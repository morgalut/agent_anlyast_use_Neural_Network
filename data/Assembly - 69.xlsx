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ltelvapfl50.eurs.ey.net\50TA004\Oren_b\WEMATCH\2022\הרכבה\"/>
    </mc:Choice>
  </mc:AlternateContent>
  <xr:revisionPtr revIDLastSave="0" documentId="8_{74E44329-5EEA-4496-8639-38F1DF68D2B0}" xr6:coauthVersionLast="47" xr6:coauthVersionMax="47" xr10:uidLastSave="{00000000-0000-0000-0000-000000000000}"/>
  <bookViews>
    <workbookView xWindow="-11080" yWindow="-16310" windowWidth="29020" windowHeight="15820" tabRatio="915" activeTab="8" xr2:uid="{C10BC785-0C8B-4942-BEF8-2BC40B1EFB8A}"/>
  </bookViews>
  <sheets>
    <sheet name="BS USD" sheetId="4" r:id="rId1"/>
    <sheet name="P&amp;L" sheetId="2" r:id="rId2"/>
    <sheet name="CF" sheetId="14" r:id="rId3"/>
    <sheet name="Change in Equity" sheetId="5" r:id="rId4"/>
    <sheet name="JE'S" sheetId="16" r:id="rId5"/>
    <sheet name="NOTES" sheetId="10" r:id="rId6"/>
    <sheet name="Options -Outstanding Awards" sheetId="9" r:id="rId7"/>
    <sheet name="Options JE's" sheetId="8" r:id="rId8"/>
    <sheet name="Full BS-USD" sheetId="3" r:id="rId9"/>
    <sheet name="Full P&amp;L-USD" sheetId="1" r:id="rId10"/>
    <sheet name="AP correction OB" sheetId="20" r:id="rId11"/>
    <sheet name="OLD---&gt;" sheetId="17" r:id="rId12"/>
    <sheet name="CF." sheetId="12" r:id="rId13"/>
    <sheet name="CF NS" sheetId="13" r:id="rId14"/>
    <sheet name="Change in Equity (2)" sheetId="19" r:id="rId15"/>
    <sheet name="Full BS-USD (2)" sheetId="15" state="hidden" r:id="rId16"/>
  </sheets>
  <externalReferences>
    <externalReference r:id="rId17"/>
    <externalReference r:id="rId18"/>
    <externalReference r:id="rId19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24" i="1" l="1"/>
  <c r="H825" i="1" s="1"/>
  <c r="G824" i="1"/>
  <c r="G825" i="1" s="1"/>
  <c r="F824" i="1"/>
  <c r="F825" i="1" s="1"/>
  <c r="E824" i="1"/>
  <c r="E825" i="1" s="1"/>
  <c r="D824" i="1"/>
  <c r="D825" i="1" s="1"/>
  <c r="C824" i="1"/>
  <c r="C825" i="1" s="1"/>
  <c r="B824" i="1"/>
  <c r="B825" i="1" s="1"/>
  <c r="I823" i="1"/>
  <c r="I822" i="1"/>
  <c r="I816" i="1"/>
  <c r="H815" i="1"/>
  <c r="H817" i="1" s="1"/>
  <c r="G815" i="1"/>
  <c r="G817" i="1" s="1"/>
  <c r="F815" i="1"/>
  <c r="F817" i="1" s="1"/>
  <c r="E815" i="1"/>
  <c r="E817" i="1" s="1"/>
  <c r="D815" i="1"/>
  <c r="D817" i="1" s="1"/>
  <c r="C815" i="1"/>
  <c r="C817" i="1" s="1"/>
  <c r="B815" i="1"/>
  <c r="B817" i="1" s="1"/>
  <c r="I814" i="1"/>
  <c r="I813" i="1"/>
  <c r="I812" i="1"/>
  <c r="I810" i="1"/>
  <c r="I809" i="1"/>
  <c r="I808" i="1"/>
  <c r="H805" i="1"/>
  <c r="H806" i="1" s="1"/>
  <c r="G805" i="1"/>
  <c r="G806" i="1" s="1"/>
  <c r="F805" i="1"/>
  <c r="F806" i="1" s="1"/>
  <c r="E805" i="1"/>
  <c r="E806" i="1" s="1"/>
  <c r="D805" i="1"/>
  <c r="D806" i="1" s="1"/>
  <c r="C805" i="1"/>
  <c r="C806" i="1" s="1"/>
  <c r="B805" i="1"/>
  <c r="B806" i="1" s="1"/>
  <c r="I804" i="1"/>
  <c r="I805" i="1" s="1"/>
  <c r="I806" i="1" s="1"/>
  <c r="H796" i="1"/>
  <c r="H797" i="1" s="1"/>
  <c r="H798" i="1" s="1"/>
  <c r="G796" i="1"/>
  <c r="G797" i="1" s="1"/>
  <c r="G798" i="1" s="1"/>
  <c r="F796" i="1"/>
  <c r="F797" i="1" s="1"/>
  <c r="F798" i="1" s="1"/>
  <c r="E796" i="1"/>
  <c r="E797" i="1" s="1"/>
  <c r="E798" i="1" s="1"/>
  <c r="D796" i="1"/>
  <c r="D797" i="1" s="1"/>
  <c r="D798" i="1" s="1"/>
  <c r="C796" i="1"/>
  <c r="C797" i="1" s="1"/>
  <c r="C798" i="1" s="1"/>
  <c r="B796" i="1"/>
  <c r="B797" i="1" s="1"/>
  <c r="B798" i="1" s="1"/>
  <c r="I795" i="1"/>
  <c r="I796" i="1" s="1"/>
  <c r="I797" i="1" s="1"/>
  <c r="I798" i="1" s="1"/>
  <c r="H789" i="1"/>
  <c r="G789" i="1"/>
  <c r="F789" i="1"/>
  <c r="E789" i="1"/>
  <c r="D789" i="1"/>
  <c r="C789" i="1"/>
  <c r="B789" i="1"/>
  <c r="I788" i="1"/>
  <c r="I787" i="1"/>
  <c r="I786" i="1"/>
  <c r="H784" i="1"/>
  <c r="G784" i="1"/>
  <c r="F784" i="1"/>
  <c r="E784" i="1"/>
  <c r="D784" i="1"/>
  <c r="C784" i="1"/>
  <c r="B784" i="1"/>
  <c r="I783" i="1"/>
  <c r="I782" i="1"/>
  <c r="I781" i="1"/>
  <c r="H778" i="1"/>
  <c r="G778" i="1"/>
  <c r="F778" i="1"/>
  <c r="E778" i="1"/>
  <c r="D778" i="1"/>
  <c r="C778" i="1"/>
  <c r="B778" i="1"/>
  <c r="I777" i="1"/>
  <c r="I776" i="1"/>
  <c r="H774" i="1"/>
  <c r="G774" i="1"/>
  <c r="F774" i="1"/>
  <c r="E774" i="1"/>
  <c r="D774" i="1"/>
  <c r="C774" i="1"/>
  <c r="B774" i="1"/>
  <c r="I773" i="1"/>
  <c r="I772" i="1"/>
  <c r="I771" i="1"/>
  <c r="I770" i="1"/>
  <c r="H768" i="1"/>
  <c r="G768" i="1"/>
  <c r="F768" i="1"/>
  <c r="E768" i="1"/>
  <c r="D768" i="1"/>
  <c r="C768" i="1"/>
  <c r="B768" i="1"/>
  <c r="I767" i="1"/>
  <c r="I766" i="1"/>
  <c r="I765" i="1"/>
  <c r="I764" i="1"/>
  <c r="H762" i="1"/>
  <c r="G762" i="1"/>
  <c r="F762" i="1"/>
  <c r="E762" i="1"/>
  <c r="D762" i="1"/>
  <c r="C762" i="1"/>
  <c r="B762" i="1"/>
  <c r="I761" i="1"/>
  <c r="I760" i="1"/>
  <c r="H756" i="1"/>
  <c r="G756" i="1"/>
  <c r="F756" i="1"/>
  <c r="E756" i="1"/>
  <c r="D756" i="1"/>
  <c r="C756" i="1"/>
  <c r="B756" i="1"/>
  <c r="I755" i="1"/>
  <c r="I756" i="1" s="1"/>
  <c r="H753" i="1"/>
  <c r="H757" i="1" s="1"/>
  <c r="G753" i="1"/>
  <c r="G757" i="1" s="1"/>
  <c r="F753" i="1"/>
  <c r="F757" i="1" s="1"/>
  <c r="E753" i="1"/>
  <c r="D753" i="1"/>
  <c r="C753" i="1"/>
  <c r="C757" i="1" s="1"/>
  <c r="B753" i="1"/>
  <c r="I752" i="1"/>
  <c r="I751" i="1"/>
  <c r="H748" i="1"/>
  <c r="G748" i="1"/>
  <c r="F748" i="1"/>
  <c r="E748" i="1"/>
  <c r="D748" i="1"/>
  <c r="C748" i="1"/>
  <c r="B748" i="1"/>
  <c r="I747" i="1"/>
  <c r="I748" i="1" s="1"/>
  <c r="H744" i="1"/>
  <c r="H745" i="1" s="1"/>
  <c r="G744" i="1"/>
  <c r="G745" i="1" s="1"/>
  <c r="F744" i="1"/>
  <c r="F745" i="1" s="1"/>
  <c r="E744" i="1"/>
  <c r="E745" i="1" s="1"/>
  <c r="D744" i="1"/>
  <c r="D745" i="1" s="1"/>
  <c r="C744" i="1"/>
  <c r="C745" i="1" s="1"/>
  <c r="B744" i="1"/>
  <c r="B745" i="1" s="1"/>
  <c r="I743" i="1"/>
  <c r="I742" i="1"/>
  <c r="I741" i="1"/>
  <c r="I740" i="1"/>
  <c r="I739" i="1"/>
  <c r="H736" i="1"/>
  <c r="G736" i="1"/>
  <c r="F736" i="1"/>
  <c r="E736" i="1"/>
  <c r="D736" i="1"/>
  <c r="C736" i="1"/>
  <c r="B736" i="1"/>
  <c r="I735" i="1"/>
  <c r="I736" i="1" s="1"/>
  <c r="H733" i="1"/>
  <c r="G733" i="1"/>
  <c r="F733" i="1"/>
  <c r="E733" i="1"/>
  <c r="D733" i="1"/>
  <c r="C733" i="1"/>
  <c r="B733" i="1"/>
  <c r="I732" i="1"/>
  <c r="I733" i="1" s="1"/>
  <c r="H730" i="1"/>
  <c r="G730" i="1"/>
  <c r="F730" i="1"/>
  <c r="E730" i="1"/>
  <c r="D730" i="1"/>
  <c r="C730" i="1"/>
  <c r="B730" i="1"/>
  <c r="I729" i="1"/>
  <c r="I730" i="1" s="1"/>
  <c r="H727" i="1"/>
  <c r="G727" i="1"/>
  <c r="F727" i="1"/>
  <c r="E727" i="1"/>
  <c r="D727" i="1"/>
  <c r="C727" i="1"/>
  <c r="B727" i="1"/>
  <c r="I726" i="1"/>
  <c r="I725" i="1"/>
  <c r="I724" i="1"/>
  <c r="I723" i="1"/>
  <c r="I722" i="1"/>
  <c r="H720" i="1"/>
  <c r="G720" i="1"/>
  <c r="F720" i="1"/>
  <c r="E720" i="1"/>
  <c r="D720" i="1"/>
  <c r="C720" i="1"/>
  <c r="B720" i="1"/>
  <c r="I719" i="1"/>
  <c r="I718" i="1"/>
  <c r="I717" i="1"/>
  <c r="I716" i="1"/>
  <c r="I715" i="1"/>
  <c r="I714" i="1"/>
  <c r="I713" i="1"/>
  <c r="I712" i="1"/>
  <c r="H709" i="1"/>
  <c r="H710" i="1" s="1"/>
  <c r="G709" i="1"/>
  <c r="G710" i="1" s="1"/>
  <c r="F709" i="1"/>
  <c r="F710" i="1" s="1"/>
  <c r="E709" i="1"/>
  <c r="E710" i="1" s="1"/>
  <c r="D709" i="1"/>
  <c r="D710" i="1" s="1"/>
  <c r="C709" i="1"/>
  <c r="C710" i="1" s="1"/>
  <c r="B709" i="1"/>
  <c r="B710" i="1" s="1"/>
  <c r="I708" i="1"/>
  <c r="I707" i="1"/>
  <c r="I706" i="1"/>
  <c r="I705" i="1"/>
  <c r="I703" i="1"/>
  <c r="I702" i="1"/>
  <c r="H698" i="1"/>
  <c r="G698" i="1"/>
  <c r="F698" i="1"/>
  <c r="E698" i="1"/>
  <c r="D698" i="1"/>
  <c r="C698" i="1"/>
  <c r="B698" i="1"/>
  <c r="I697" i="1"/>
  <c r="I696" i="1"/>
  <c r="I695" i="1"/>
  <c r="H693" i="1"/>
  <c r="G693" i="1"/>
  <c r="F693" i="1"/>
  <c r="E693" i="1"/>
  <c r="D693" i="1"/>
  <c r="C693" i="1"/>
  <c r="B693" i="1"/>
  <c r="I692" i="1"/>
  <c r="I693" i="1" s="1"/>
  <c r="H689" i="1"/>
  <c r="G689" i="1"/>
  <c r="F689" i="1"/>
  <c r="E689" i="1"/>
  <c r="D689" i="1"/>
  <c r="C689" i="1"/>
  <c r="B689" i="1"/>
  <c r="I688" i="1"/>
  <c r="I687" i="1"/>
  <c r="H685" i="1"/>
  <c r="G685" i="1"/>
  <c r="F685" i="1"/>
  <c r="E685" i="1"/>
  <c r="D685" i="1"/>
  <c r="C685" i="1"/>
  <c r="B685" i="1"/>
  <c r="I684" i="1"/>
  <c r="I683" i="1"/>
  <c r="I682" i="1"/>
  <c r="I681" i="1"/>
  <c r="H679" i="1"/>
  <c r="G679" i="1"/>
  <c r="F679" i="1"/>
  <c r="E679" i="1"/>
  <c r="D679" i="1"/>
  <c r="C679" i="1"/>
  <c r="B679" i="1"/>
  <c r="I678" i="1"/>
  <c r="I679" i="1" s="1"/>
  <c r="H674" i="1"/>
  <c r="H675" i="1" s="1"/>
  <c r="G674" i="1"/>
  <c r="G675" i="1" s="1"/>
  <c r="F674" i="1"/>
  <c r="F675" i="1" s="1"/>
  <c r="E674" i="1"/>
  <c r="E675" i="1" s="1"/>
  <c r="D674" i="1"/>
  <c r="D675" i="1" s="1"/>
  <c r="C674" i="1"/>
  <c r="C675" i="1" s="1"/>
  <c r="B674" i="1"/>
  <c r="B675" i="1" s="1"/>
  <c r="I673" i="1"/>
  <c r="I672" i="1"/>
  <c r="I671" i="1"/>
  <c r="I670" i="1"/>
  <c r="H667" i="1"/>
  <c r="G667" i="1"/>
  <c r="F667" i="1"/>
  <c r="E667" i="1"/>
  <c r="D667" i="1"/>
  <c r="C667" i="1"/>
  <c r="B667" i="1"/>
  <c r="I666" i="1"/>
  <c r="I667" i="1" s="1"/>
  <c r="H664" i="1"/>
  <c r="G664" i="1"/>
  <c r="F664" i="1"/>
  <c r="E664" i="1"/>
  <c r="D664" i="1"/>
  <c r="C664" i="1"/>
  <c r="B664" i="1"/>
  <c r="I663" i="1"/>
  <c r="I664" i="1" s="1"/>
  <c r="H661" i="1"/>
  <c r="G661" i="1"/>
  <c r="F661" i="1"/>
  <c r="E661" i="1"/>
  <c r="D661" i="1"/>
  <c r="C661" i="1"/>
  <c r="B661" i="1"/>
  <c r="I660" i="1"/>
  <c r="I661" i="1" s="1"/>
  <c r="H658" i="1"/>
  <c r="G658" i="1"/>
  <c r="F658" i="1"/>
  <c r="E658" i="1"/>
  <c r="D658" i="1"/>
  <c r="C658" i="1"/>
  <c r="B658" i="1"/>
  <c r="I657" i="1"/>
  <c r="I658" i="1" s="1"/>
  <c r="H655" i="1"/>
  <c r="G655" i="1"/>
  <c r="F655" i="1"/>
  <c r="E655" i="1"/>
  <c r="D655" i="1"/>
  <c r="C655" i="1"/>
  <c r="B655" i="1"/>
  <c r="I654" i="1"/>
  <c r="I653" i="1"/>
  <c r="H651" i="1"/>
  <c r="G651" i="1"/>
  <c r="F651" i="1"/>
  <c r="E651" i="1"/>
  <c r="D651" i="1"/>
  <c r="C651" i="1"/>
  <c r="B651" i="1"/>
  <c r="I650" i="1"/>
  <c r="I649" i="1"/>
  <c r="I648" i="1"/>
  <c r="I647" i="1"/>
  <c r="I646" i="1"/>
  <c r="H643" i="1"/>
  <c r="H644" i="1" s="1"/>
  <c r="G643" i="1"/>
  <c r="G644" i="1" s="1"/>
  <c r="F643" i="1"/>
  <c r="F644" i="1" s="1"/>
  <c r="E643" i="1"/>
  <c r="E644" i="1" s="1"/>
  <c r="D643" i="1"/>
  <c r="D644" i="1" s="1"/>
  <c r="C643" i="1"/>
  <c r="C644" i="1" s="1"/>
  <c r="B643" i="1"/>
  <c r="B644" i="1" s="1"/>
  <c r="I642" i="1"/>
  <c r="I641" i="1"/>
  <c r="I640" i="1"/>
  <c r="I638" i="1"/>
  <c r="I637" i="1"/>
  <c r="H633" i="1"/>
  <c r="G633" i="1"/>
  <c r="F633" i="1"/>
  <c r="E633" i="1"/>
  <c r="D633" i="1"/>
  <c r="C633" i="1"/>
  <c r="B633" i="1"/>
  <c r="I632" i="1"/>
  <c r="I631" i="1"/>
  <c r="I630" i="1"/>
  <c r="H628" i="1"/>
  <c r="G628" i="1"/>
  <c r="F628" i="1"/>
  <c r="E628" i="1"/>
  <c r="D628" i="1"/>
  <c r="C628" i="1"/>
  <c r="B628" i="1"/>
  <c r="I627" i="1"/>
  <c r="I626" i="1"/>
  <c r="H623" i="1"/>
  <c r="G623" i="1"/>
  <c r="F623" i="1"/>
  <c r="E623" i="1"/>
  <c r="D623" i="1"/>
  <c r="C623" i="1"/>
  <c r="B623" i="1"/>
  <c r="I622" i="1"/>
  <c r="I623" i="1" s="1"/>
  <c r="H620" i="1"/>
  <c r="G620" i="1"/>
  <c r="F620" i="1"/>
  <c r="E620" i="1"/>
  <c r="D620" i="1"/>
  <c r="C620" i="1"/>
  <c r="B620" i="1"/>
  <c r="I619" i="1"/>
  <c r="I618" i="1"/>
  <c r="H616" i="1"/>
  <c r="G616" i="1"/>
  <c r="F616" i="1"/>
  <c r="E616" i="1"/>
  <c r="D616" i="1"/>
  <c r="C616" i="1"/>
  <c r="B616" i="1"/>
  <c r="I615" i="1"/>
  <c r="I614" i="1"/>
  <c r="I613" i="1"/>
  <c r="I612" i="1"/>
  <c r="H610" i="1"/>
  <c r="G610" i="1"/>
  <c r="F610" i="1"/>
  <c r="E610" i="1"/>
  <c r="D610" i="1"/>
  <c r="C610" i="1"/>
  <c r="B610" i="1"/>
  <c r="I609" i="1"/>
  <c r="I608" i="1"/>
  <c r="H604" i="1"/>
  <c r="G604" i="1"/>
  <c r="F604" i="1"/>
  <c r="E604" i="1"/>
  <c r="D604" i="1"/>
  <c r="C604" i="1"/>
  <c r="B604" i="1"/>
  <c r="I603" i="1"/>
  <c r="I602" i="1"/>
  <c r="I601" i="1"/>
  <c r="I600" i="1"/>
  <c r="I599" i="1"/>
  <c r="H597" i="1"/>
  <c r="G597" i="1"/>
  <c r="F597" i="1"/>
  <c r="E597" i="1"/>
  <c r="D597" i="1"/>
  <c r="C597" i="1"/>
  <c r="B597" i="1"/>
  <c r="I596" i="1"/>
  <c r="I597" i="1" s="1"/>
  <c r="H592" i="1"/>
  <c r="H593" i="1" s="1"/>
  <c r="G592" i="1"/>
  <c r="G593" i="1" s="1"/>
  <c r="F592" i="1"/>
  <c r="F593" i="1" s="1"/>
  <c r="E592" i="1"/>
  <c r="E593" i="1" s="1"/>
  <c r="D592" i="1"/>
  <c r="D593" i="1" s="1"/>
  <c r="C592" i="1"/>
  <c r="C593" i="1" s="1"/>
  <c r="B592" i="1"/>
  <c r="B593" i="1" s="1"/>
  <c r="I591" i="1"/>
  <c r="I590" i="1"/>
  <c r="I589" i="1"/>
  <c r="I588" i="1"/>
  <c r="H585" i="1"/>
  <c r="G585" i="1"/>
  <c r="F585" i="1"/>
  <c r="E585" i="1"/>
  <c r="D585" i="1"/>
  <c r="C585" i="1"/>
  <c r="B585" i="1"/>
  <c r="I584" i="1"/>
  <c r="I585" i="1" s="1"/>
  <c r="H582" i="1"/>
  <c r="G582" i="1"/>
  <c r="F582" i="1"/>
  <c r="E582" i="1"/>
  <c r="D582" i="1"/>
  <c r="C582" i="1"/>
  <c r="B582" i="1"/>
  <c r="I581" i="1"/>
  <c r="I582" i="1" s="1"/>
  <c r="H579" i="1"/>
  <c r="G579" i="1"/>
  <c r="F579" i="1"/>
  <c r="E579" i="1"/>
  <c r="D579" i="1"/>
  <c r="C579" i="1"/>
  <c r="B579" i="1"/>
  <c r="I578" i="1"/>
  <c r="I579" i="1" s="1"/>
  <c r="H576" i="1"/>
  <c r="G576" i="1"/>
  <c r="F576" i="1"/>
  <c r="E576" i="1"/>
  <c r="D576" i="1"/>
  <c r="C576" i="1"/>
  <c r="B576" i="1"/>
  <c r="I575" i="1"/>
  <c r="I576" i="1" s="1"/>
  <c r="H573" i="1"/>
  <c r="G573" i="1"/>
  <c r="F573" i="1"/>
  <c r="E573" i="1"/>
  <c r="D573" i="1"/>
  <c r="C573" i="1"/>
  <c r="B573" i="1"/>
  <c r="I572" i="1"/>
  <c r="I571" i="1"/>
  <c r="H569" i="1"/>
  <c r="G569" i="1"/>
  <c r="F569" i="1"/>
  <c r="E569" i="1"/>
  <c r="D569" i="1"/>
  <c r="C569" i="1"/>
  <c r="B569" i="1"/>
  <c r="I568" i="1"/>
  <c r="I567" i="1"/>
  <c r="I566" i="1"/>
  <c r="I565" i="1"/>
  <c r="I564" i="1"/>
  <c r="I563" i="1"/>
  <c r="I562" i="1"/>
  <c r="I561" i="1"/>
  <c r="I560" i="1"/>
  <c r="H557" i="1"/>
  <c r="H558" i="1" s="1"/>
  <c r="G557" i="1"/>
  <c r="G558" i="1" s="1"/>
  <c r="F557" i="1"/>
  <c r="F558" i="1" s="1"/>
  <c r="E557" i="1"/>
  <c r="E558" i="1" s="1"/>
  <c r="D557" i="1"/>
  <c r="D558" i="1" s="1"/>
  <c r="C557" i="1"/>
  <c r="C558" i="1" s="1"/>
  <c r="B557" i="1"/>
  <c r="B558" i="1" s="1"/>
  <c r="I556" i="1"/>
  <c r="I555" i="1"/>
  <c r="I554" i="1"/>
  <c r="I553" i="1"/>
  <c r="I551" i="1"/>
  <c r="I550" i="1"/>
  <c r="H546" i="1"/>
  <c r="G546" i="1"/>
  <c r="F546" i="1"/>
  <c r="E546" i="1"/>
  <c r="D546" i="1"/>
  <c r="C546" i="1"/>
  <c r="B546" i="1"/>
  <c r="I545" i="1"/>
  <c r="I544" i="1"/>
  <c r="I543" i="1"/>
  <c r="H541" i="1"/>
  <c r="G541" i="1"/>
  <c r="F541" i="1"/>
  <c r="E541" i="1"/>
  <c r="D541" i="1"/>
  <c r="C541" i="1"/>
  <c r="B541" i="1"/>
  <c r="I540" i="1"/>
  <c r="I541" i="1" s="1"/>
  <c r="H537" i="1"/>
  <c r="G537" i="1"/>
  <c r="F537" i="1"/>
  <c r="E537" i="1"/>
  <c r="D537" i="1"/>
  <c r="C537" i="1"/>
  <c r="B537" i="1"/>
  <c r="I536" i="1"/>
  <c r="I535" i="1"/>
  <c r="H533" i="1"/>
  <c r="G533" i="1"/>
  <c r="F533" i="1"/>
  <c r="E533" i="1"/>
  <c r="D533" i="1"/>
  <c r="C533" i="1"/>
  <c r="B533" i="1"/>
  <c r="I532" i="1"/>
  <c r="I531" i="1"/>
  <c r="I530" i="1"/>
  <c r="H528" i="1"/>
  <c r="G528" i="1"/>
  <c r="F528" i="1"/>
  <c r="E528" i="1"/>
  <c r="D528" i="1"/>
  <c r="C528" i="1"/>
  <c r="B528" i="1"/>
  <c r="I527" i="1"/>
  <c r="I526" i="1"/>
  <c r="I525" i="1"/>
  <c r="I524" i="1"/>
  <c r="H522" i="1"/>
  <c r="G522" i="1"/>
  <c r="F522" i="1"/>
  <c r="E522" i="1"/>
  <c r="D522" i="1"/>
  <c r="C522" i="1"/>
  <c r="B522" i="1"/>
  <c r="I521" i="1"/>
  <c r="I522" i="1" s="1"/>
  <c r="H517" i="1"/>
  <c r="G517" i="1"/>
  <c r="F517" i="1"/>
  <c r="E517" i="1"/>
  <c r="D517" i="1"/>
  <c r="C517" i="1"/>
  <c r="B517" i="1"/>
  <c r="I516" i="1"/>
  <c r="I517" i="1" s="1"/>
  <c r="H514" i="1"/>
  <c r="H518" i="1" s="1"/>
  <c r="G514" i="1"/>
  <c r="G518" i="1" s="1"/>
  <c r="F514" i="1"/>
  <c r="F518" i="1" s="1"/>
  <c r="E514" i="1"/>
  <c r="E518" i="1" s="1"/>
  <c r="D514" i="1"/>
  <c r="C514" i="1"/>
  <c r="C518" i="1" s="1"/>
  <c r="B514" i="1"/>
  <c r="B518" i="1" s="1"/>
  <c r="I513" i="1"/>
  <c r="I514" i="1" s="1"/>
  <c r="I518" i="1" s="1"/>
  <c r="H509" i="1"/>
  <c r="H510" i="1" s="1"/>
  <c r="G509" i="1"/>
  <c r="G510" i="1" s="1"/>
  <c r="F509" i="1"/>
  <c r="F510" i="1" s="1"/>
  <c r="E509" i="1"/>
  <c r="E510" i="1" s="1"/>
  <c r="D509" i="1"/>
  <c r="D510" i="1" s="1"/>
  <c r="C509" i="1"/>
  <c r="C510" i="1" s="1"/>
  <c r="B509" i="1"/>
  <c r="B510" i="1" s="1"/>
  <c r="I508" i="1"/>
  <c r="I507" i="1"/>
  <c r="I506" i="1"/>
  <c r="I505" i="1"/>
  <c r="H502" i="1"/>
  <c r="G502" i="1"/>
  <c r="F502" i="1"/>
  <c r="E502" i="1"/>
  <c r="D502" i="1"/>
  <c r="C502" i="1"/>
  <c r="B502" i="1"/>
  <c r="I501" i="1"/>
  <c r="I502" i="1" s="1"/>
  <c r="H499" i="1"/>
  <c r="G499" i="1"/>
  <c r="F499" i="1"/>
  <c r="E499" i="1"/>
  <c r="D499" i="1"/>
  <c r="C499" i="1"/>
  <c r="B499" i="1"/>
  <c r="I498" i="1"/>
  <c r="I499" i="1" s="1"/>
  <c r="H496" i="1"/>
  <c r="G496" i="1"/>
  <c r="F496" i="1"/>
  <c r="E496" i="1"/>
  <c r="D496" i="1"/>
  <c r="C496" i="1"/>
  <c r="B496" i="1"/>
  <c r="I495" i="1"/>
  <c r="I496" i="1" s="1"/>
  <c r="H493" i="1"/>
  <c r="G493" i="1"/>
  <c r="F493" i="1"/>
  <c r="E493" i="1"/>
  <c r="D493" i="1"/>
  <c r="C493" i="1"/>
  <c r="B493" i="1"/>
  <c r="I492" i="1"/>
  <c r="I493" i="1" s="1"/>
  <c r="H490" i="1"/>
  <c r="G490" i="1"/>
  <c r="F490" i="1"/>
  <c r="E490" i="1"/>
  <c r="D490" i="1"/>
  <c r="C490" i="1"/>
  <c r="B490" i="1"/>
  <c r="I489" i="1"/>
  <c r="I488" i="1"/>
  <c r="I487" i="1"/>
  <c r="I486" i="1"/>
  <c r="I485" i="1"/>
  <c r="H483" i="1"/>
  <c r="G483" i="1"/>
  <c r="F483" i="1"/>
  <c r="E483" i="1"/>
  <c r="D483" i="1"/>
  <c r="C483" i="1"/>
  <c r="B483" i="1"/>
  <c r="I482" i="1"/>
  <c r="I481" i="1"/>
  <c r="I480" i="1"/>
  <c r="I479" i="1"/>
  <c r="I478" i="1"/>
  <c r="I477" i="1"/>
  <c r="I476" i="1"/>
  <c r="I475" i="1"/>
  <c r="H472" i="1"/>
  <c r="H473" i="1" s="1"/>
  <c r="G472" i="1"/>
  <c r="G473" i="1" s="1"/>
  <c r="F472" i="1"/>
  <c r="F473" i="1" s="1"/>
  <c r="E472" i="1"/>
  <c r="E473" i="1" s="1"/>
  <c r="D472" i="1"/>
  <c r="D473" i="1" s="1"/>
  <c r="C472" i="1"/>
  <c r="C473" i="1" s="1"/>
  <c r="B472" i="1"/>
  <c r="B473" i="1" s="1"/>
  <c r="I471" i="1"/>
  <c r="I470" i="1"/>
  <c r="I469" i="1"/>
  <c r="I468" i="1"/>
  <c r="I467" i="1"/>
  <c r="I465" i="1"/>
  <c r="I464" i="1"/>
  <c r="H458" i="1"/>
  <c r="G458" i="1"/>
  <c r="F458" i="1"/>
  <c r="E458" i="1"/>
  <c r="D458" i="1"/>
  <c r="C458" i="1"/>
  <c r="B458" i="1"/>
  <c r="I457" i="1"/>
  <c r="I456" i="1"/>
  <c r="I455" i="1"/>
  <c r="H453" i="1"/>
  <c r="G453" i="1"/>
  <c r="F453" i="1"/>
  <c r="E453" i="1"/>
  <c r="D453" i="1"/>
  <c r="C453" i="1"/>
  <c r="B453" i="1"/>
  <c r="I452" i="1"/>
  <c r="I453" i="1" s="1"/>
  <c r="H449" i="1"/>
  <c r="G449" i="1"/>
  <c r="F449" i="1"/>
  <c r="E449" i="1"/>
  <c r="D449" i="1"/>
  <c r="C449" i="1"/>
  <c r="B449" i="1"/>
  <c r="I448" i="1"/>
  <c r="I449" i="1" s="1"/>
  <c r="H446" i="1"/>
  <c r="G446" i="1"/>
  <c r="F446" i="1"/>
  <c r="E446" i="1"/>
  <c r="D446" i="1"/>
  <c r="C446" i="1"/>
  <c r="B446" i="1"/>
  <c r="I445" i="1"/>
  <c r="I444" i="1"/>
  <c r="H442" i="1"/>
  <c r="G442" i="1"/>
  <c r="F442" i="1"/>
  <c r="E442" i="1"/>
  <c r="D442" i="1"/>
  <c r="C442" i="1"/>
  <c r="B442" i="1"/>
  <c r="I441" i="1"/>
  <c r="I440" i="1"/>
  <c r="I439" i="1"/>
  <c r="H437" i="1"/>
  <c r="G437" i="1"/>
  <c r="F437" i="1"/>
  <c r="E437" i="1"/>
  <c r="D437" i="1"/>
  <c r="C437" i="1"/>
  <c r="B437" i="1"/>
  <c r="I436" i="1"/>
  <c r="I437" i="1" s="1"/>
  <c r="H433" i="1"/>
  <c r="G433" i="1"/>
  <c r="F433" i="1"/>
  <c r="E433" i="1"/>
  <c r="D433" i="1"/>
  <c r="C433" i="1"/>
  <c r="B433" i="1"/>
  <c r="I432" i="1"/>
  <c r="I433" i="1" s="1"/>
  <c r="H430" i="1"/>
  <c r="G430" i="1"/>
  <c r="F430" i="1"/>
  <c r="E430" i="1"/>
  <c r="D430" i="1"/>
  <c r="C430" i="1"/>
  <c r="B430" i="1"/>
  <c r="I429" i="1"/>
  <c r="I428" i="1"/>
  <c r="I427" i="1"/>
  <c r="H424" i="1"/>
  <c r="H425" i="1" s="1"/>
  <c r="G424" i="1"/>
  <c r="G425" i="1" s="1"/>
  <c r="F424" i="1"/>
  <c r="F425" i="1" s="1"/>
  <c r="E424" i="1"/>
  <c r="E425" i="1" s="1"/>
  <c r="D424" i="1"/>
  <c r="D425" i="1" s="1"/>
  <c r="C424" i="1"/>
  <c r="C425" i="1" s="1"/>
  <c r="B424" i="1"/>
  <c r="B425" i="1" s="1"/>
  <c r="I423" i="1"/>
  <c r="I424" i="1" s="1"/>
  <c r="I425" i="1" s="1"/>
  <c r="H420" i="1"/>
  <c r="G420" i="1"/>
  <c r="F420" i="1"/>
  <c r="E420" i="1"/>
  <c r="D420" i="1"/>
  <c r="C420" i="1"/>
  <c r="B420" i="1"/>
  <c r="I419" i="1"/>
  <c r="I418" i="1"/>
  <c r="H416" i="1"/>
  <c r="G416" i="1"/>
  <c r="F416" i="1"/>
  <c r="E416" i="1"/>
  <c r="D416" i="1"/>
  <c r="C416" i="1"/>
  <c r="B416" i="1"/>
  <c r="I415" i="1"/>
  <c r="I416" i="1" s="1"/>
  <c r="H413" i="1"/>
  <c r="G413" i="1"/>
  <c r="F413" i="1"/>
  <c r="E413" i="1"/>
  <c r="D413" i="1"/>
  <c r="C413" i="1"/>
  <c r="B413" i="1"/>
  <c r="I412" i="1"/>
  <c r="I413" i="1" s="1"/>
  <c r="H410" i="1"/>
  <c r="G410" i="1"/>
  <c r="F410" i="1"/>
  <c r="E410" i="1"/>
  <c r="D410" i="1"/>
  <c r="C410" i="1"/>
  <c r="B410" i="1"/>
  <c r="I409" i="1"/>
  <c r="I408" i="1"/>
  <c r="I407" i="1"/>
  <c r="H405" i="1"/>
  <c r="G405" i="1"/>
  <c r="F405" i="1"/>
  <c r="E405" i="1"/>
  <c r="D405" i="1"/>
  <c r="C405" i="1"/>
  <c r="B405" i="1"/>
  <c r="I404" i="1"/>
  <c r="I405" i="1" s="1"/>
  <c r="H401" i="1"/>
  <c r="H402" i="1" s="1"/>
  <c r="G401" i="1"/>
  <c r="G402" i="1" s="1"/>
  <c r="F401" i="1"/>
  <c r="F402" i="1" s="1"/>
  <c r="E401" i="1"/>
  <c r="E402" i="1" s="1"/>
  <c r="D401" i="1"/>
  <c r="D402" i="1" s="1"/>
  <c r="C401" i="1"/>
  <c r="C402" i="1" s="1"/>
  <c r="B401" i="1"/>
  <c r="B402" i="1" s="1"/>
  <c r="I400" i="1"/>
  <c r="I399" i="1"/>
  <c r="I398" i="1"/>
  <c r="I396" i="1"/>
  <c r="H392" i="1"/>
  <c r="G392" i="1"/>
  <c r="F392" i="1"/>
  <c r="E392" i="1"/>
  <c r="D392" i="1"/>
  <c r="C392" i="1"/>
  <c r="B392" i="1"/>
  <c r="I391" i="1"/>
  <c r="I390" i="1"/>
  <c r="I389" i="1"/>
  <c r="H387" i="1"/>
  <c r="G387" i="1"/>
  <c r="F387" i="1"/>
  <c r="E387" i="1"/>
  <c r="D387" i="1"/>
  <c r="C387" i="1"/>
  <c r="B387" i="1"/>
  <c r="I386" i="1"/>
  <c r="I385" i="1"/>
  <c r="H382" i="1"/>
  <c r="G382" i="1"/>
  <c r="F382" i="1"/>
  <c r="E382" i="1"/>
  <c r="D382" i="1"/>
  <c r="C382" i="1"/>
  <c r="B382" i="1"/>
  <c r="I381" i="1"/>
  <c r="I382" i="1" s="1"/>
  <c r="H379" i="1"/>
  <c r="G379" i="1"/>
  <c r="F379" i="1"/>
  <c r="E379" i="1"/>
  <c r="D379" i="1"/>
  <c r="C379" i="1"/>
  <c r="B379" i="1"/>
  <c r="I378" i="1"/>
  <c r="I377" i="1"/>
  <c r="I376" i="1"/>
  <c r="I375" i="1"/>
  <c r="H373" i="1"/>
  <c r="G373" i="1"/>
  <c r="F373" i="1"/>
  <c r="E373" i="1"/>
  <c r="D373" i="1"/>
  <c r="C373" i="1"/>
  <c r="B373" i="1"/>
  <c r="I372" i="1"/>
  <c r="I371" i="1"/>
  <c r="I370" i="1"/>
  <c r="I369" i="1"/>
  <c r="H367" i="1"/>
  <c r="G367" i="1"/>
  <c r="F367" i="1"/>
  <c r="E367" i="1"/>
  <c r="D367" i="1"/>
  <c r="C367" i="1"/>
  <c r="B367" i="1"/>
  <c r="I366" i="1"/>
  <c r="I367" i="1" s="1"/>
  <c r="H364" i="1"/>
  <c r="G364" i="1"/>
  <c r="F364" i="1"/>
  <c r="E364" i="1"/>
  <c r="D364" i="1"/>
  <c r="C364" i="1"/>
  <c r="B364" i="1"/>
  <c r="I363" i="1"/>
  <c r="I364" i="1" s="1"/>
  <c r="H359" i="1"/>
  <c r="H360" i="1" s="1"/>
  <c r="G359" i="1"/>
  <c r="G360" i="1" s="1"/>
  <c r="F359" i="1"/>
  <c r="F360" i="1" s="1"/>
  <c r="E359" i="1"/>
  <c r="E360" i="1" s="1"/>
  <c r="D359" i="1"/>
  <c r="D360" i="1" s="1"/>
  <c r="C359" i="1"/>
  <c r="C360" i="1" s="1"/>
  <c r="B359" i="1"/>
  <c r="B360" i="1" s="1"/>
  <c r="I358" i="1"/>
  <c r="I359" i="1" s="1"/>
  <c r="I360" i="1" s="1"/>
  <c r="H355" i="1"/>
  <c r="G355" i="1"/>
  <c r="F355" i="1"/>
  <c r="E355" i="1"/>
  <c r="D355" i="1"/>
  <c r="C355" i="1"/>
  <c r="B355" i="1"/>
  <c r="I354" i="1"/>
  <c r="I353" i="1"/>
  <c r="H350" i="1"/>
  <c r="H351" i="1" s="1"/>
  <c r="G350" i="1"/>
  <c r="G351" i="1" s="1"/>
  <c r="F350" i="1"/>
  <c r="F351" i="1" s="1"/>
  <c r="E350" i="1"/>
  <c r="E351" i="1" s="1"/>
  <c r="D350" i="1"/>
  <c r="D351" i="1" s="1"/>
  <c r="C350" i="1"/>
  <c r="C351" i="1" s="1"/>
  <c r="B350" i="1"/>
  <c r="B351" i="1" s="1"/>
  <c r="I349" i="1"/>
  <c r="I348" i="1"/>
  <c r="I347" i="1"/>
  <c r="I346" i="1"/>
  <c r="I345" i="1"/>
  <c r="H342" i="1"/>
  <c r="G342" i="1"/>
  <c r="F342" i="1"/>
  <c r="E342" i="1"/>
  <c r="D342" i="1"/>
  <c r="C342" i="1"/>
  <c r="B342" i="1"/>
  <c r="I341" i="1"/>
  <c r="I340" i="1"/>
  <c r="H338" i="1"/>
  <c r="G338" i="1"/>
  <c r="F338" i="1"/>
  <c r="E338" i="1"/>
  <c r="D338" i="1"/>
  <c r="C338" i="1"/>
  <c r="B338" i="1"/>
  <c r="I337" i="1"/>
  <c r="I338" i="1" s="1"/>
  <c r="H335" i="1"/>
  <c r="G335" i="1"/>
  <c r="F335" i="1"/>
  <c r="E335" i="1"/>
  <c r="D335" i="1"/>
  <c r="C335" i="1"/>
  <c r="B335" i="1"/>
  <c r="I334" i="1"/>
  <c r="I335" i="1" s="1"/>
  <c r="H332" i="1"/>
  <c r="G332" i="1"/>
  <c r="F332" i="1"/>
  <c r="E332" i="1"/>
  <c r="D332" i="1"/>
  <c r="C332" i="1"/>
  <c r="B332" i="1"/>
  <c r="I331" i="1"/>
  <c r="I330" i="1"/>
  <c r="I329" i="1"/>
  <c r="I328" i="1"/>
  <c r="I327" i="1"/>
  <c r="H325" i="1"/>
  <c r="G325" i="1"/>
  <c r="F325" i="1"/>
  <c r="E325" i="1"/>
  <c r="D325" i="1"/>
  <c r="C325" i="1"/>
  <c r="B325" i="1"/>
  <c r="I324" i="1"/>
  <c r="I323" i="1"/>
  <c r="I322" i="1"/>
  <c r="I321" i="1"/>
  <c r="I320" i="1"/>
  <c r="I319" i="1"/>
  <c r="I318" i="1"/>
  <c r="I317" i="1"/>
  <c r="I316" i="1"/>
  <c r="I315" i="1"/>
  <c r="H312" i="1"/>
  <c r="H313" i="1" s="1"/>
  <c r="G312" i="1"/>
  <c r="G313" i="1" s="1"/>
  <c r="F312" i="1"/>
  <c r="F313" i="1" s="1"/>
  <c r="E312" i="1"/>
  <c r="E313" i="1" s="1"/>
  <c r="D312" i="1"/>
  <c r="D313" i="1" s="1"/>
  <c r="C312" i="1"/>
  <c r="C313" i="1" s="1"/>
  <c r="B312" i="1"/>
  <c r="B313" i="1" s="1"/>
  <c r="I311" i="1"/>
  <c r="I310" i="1"/>
  <c r="I309" i="1"/>
  <c r="I308" i="1"/>
  <c r="I307" i="1"/>
  <c r="I305" i="1"/>
  <c r="I304" i="1"/>
  <c r="I303" i="1"/>
  <c r="I302" i="1"/>
  <c r="H296" i="1"/>
  <c r="G296" i="1"/>
  <c r="F296" i="1"/>
  <c r="E296" i="1"/>
  <c r="D296" i="1"/>
  <c r="C296" i="1"/>
  <c r="B296" i="1"/>
  <c r="I295" i="1"/>
  <c r="I294" i="1"/>
  <c r="I293" i="1"/>
  <c r="H290" i="1"/>
  <c r="G290" i="1"/>
  <c r="F290" i="1"/>
  <c r="E290" i="1"/>
  <c r="D290" i="1"/>
  <c r="C290" i="1"/>
  <c r="B290" i="1"/>
  <c r="I289" i="1"/>
  <c r="I290" i="1" s="1"/>
  <c r="H287" i="1"/>
  <c r="G287" i="1"/>
  <c r="F287" i="1"/>
  <c r="E287" i="1"/>
  <c r="D287" i="1"/>
  <c r="C287" i="1"/>
  <c r="B287" i="1"/>
  <c r="I286" i="1"/>
  <c r="I285" i="1"/>
  <c r="H283" i="1"/>
  <c r="G283" i="1"/>
  <c r="F283" i="1"/>
  <c r="E283" i="1"/>
  <c r="D283" i="1"/>
  <c r="C283" i="1"/>
  <c r="B283" i="1"/>
  <c r="I282" i="1"/>
  <c r="I281" i="1"/>
  <c r="I280" i="1"/>
  <c r="I279" i="1"/>
  <c r="H277" i="1"/>
  <c r="G277" i="1"/>
  <c r="F277" i="1"/>
  <c r="E277" i="1"/>
  <c r="D277" i="1"/>
  <c r="C277" i="1"/>
  <c r="B277" i="1"/>
  <c r="I276" i="1"/>
  <c r="I275" i="1"/>
  <c r="H271" i="1"/>
  <c r="H272" i="1" s="1"/>
  <c r="G271" i="1"/>
  <c r="G272" i="1" s="1"/>
  <c r="F271" i="1"/>
  <c r="F272" i="1" s="1"/>
  <c r="E271" i="1"/>
  <c r="E272" i="1" s="1"/>
  <c r="D271" i="1"/>
  <c r="D272" i="1" s="1"/>
  <c r="C271" i="1"/>
  <c r="C272" i="1" s="1"/>
  <c r="B271" i="1"/>
  <c r="B272" i="1" s="1"/>
  <c r="I270" i="1"/>
  <c r="I269" i="1"/>
  <c r="H266" i="1"/>
  <c r="G266" i="1"/>
  <c r="F266" i="1"/>
  <c r="E266" i="1"/>
  <c r="D266" i="1"/>
  <c r="C266" i="1"/>
  <c r="B266" i="1"/>
  <c r="I265" i="1"/>
  <c r="I266" i="1" s="1"/>
  <c r="H262" i="1"/>
  <c r="H263" i="1" s="1"/>
  <c r="G262" i="1"/>
  <c r="G263" i="1" s="1"/>
  <c r="F262" i="1"/>
  <c r="F263" i="1" s="1"/>
  <c r="E262" i="1"/>
  <c r="E263" i="1" s="1"/>
  <c r="D262" i="1"/>
  <c r="D263" i="1" s="1"/>
  <c r="C262" i="1"/>
  <c r="C263" i="1" s="1"/>
  <c r="B262" i="1"/>
  <c r="B263" i="1" s="1"/>
  <c r="I261" i="1"/>
  <c r="I260" i="1"/>
  <c r="I259" i="1"/>
  <c r="I258" i="1"/>
  <c r="H255" i="1"/>
  <c r="G255" i="1"/>
  <c r="F255" i="1"/>
  <c r="E255" i="1"/>
  <c r="D255" i="1"/>
  <c r="C255" i="1"/>
  <c r="B255" i="1"/>
  <c r="I254" i="1"/>
  <c r="I255" i="1" s="1"/>
  <c r="H252" i="1"/>
  <c r="G252" i="1"/>
  <c r="F252" i="1"/>
  <c r="E252" i="1"/>
  <c r="D252" i="1"/>
  <c r="C252" i="1"/>
  <c r="B252" i="1"/>
  <c r="I251" i="1"/>
  <c r="I250" i="1"/>
  <c r="H248" i="1"/>
  <c r="G248" i="1"/>
  <c r="F248" i="1"/>
  <c r="E248" i="1"/>
  <c r="D248" i="1"/>
  <c r="C248" i="1"/>
  <c r="B248" i="1"/>
  <c r="I247" i="1"/>
  <c r="I248" i="1" s="1"/>
  <c r="H245" i="1"/>
  <c r="G245" i="1"/>
  <c r="F245" i="1"/>
  <c r="E245" i="1"/>
  <c r="D245" i="1"/>
  <c r="C245" i="1"/>
  <c r="B245" i="1"/>
  <c r="I244" i="1"/>
  <c r="I245" i="1" s="1"/>
  <c r="H242" i="1"/>
  <c r="G242" i="1"/>
  <c r="F242" i="1"/>
  <c r="E242" i="1"/>
  <c r="D242" i="1"/>
  <c r="C242" i="1"/>
  <c r="B242" i="1"/>
  <c r="I241" i="1"/>
  <c r="I240" i="1"/>
  <c r="I239" i="1"/>
  <c r="I238" i="1"/>
  <c r="H236" i="1"/>
  <c r="G236" i="1"/>
  <c r="F236" i="1"/>
  <c r="E236" i="1"/>
  <c r="D236" i="1"/>
  <c r="C236" i="1"/>
  <c r="B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H221" i="1"/>
  <c r="H222" i="1" s="1"/>
  <c r="G221" i="1"/>
  <c r="G222" i="1" s="1"/>
  <c r="F221" i="1"/>
  <c r="F222" i="1" s="1"/>
  <c r="E221" i="1"/>
  <c r="E222" i="1" s="1"/>
  <c r="D221" i="1"/>
  <c r="D222" i="1" s="1"/>
  <c r="C221" i="1"/>
  <c r="C222" i="1" s="1"/>
  <c r="B221" i="1"/>
  <c r="B222" i="1" s="1"/>
  <c r="I220" i="1"/>
  <c r="I219" i="1"/>
  <c r="I218" i="1"/>
  <c r="I217" i="1"/>
  <c r="I215" i="1"/>
  <c r="I214" i="1"/>
  <c r="I213" i="1"/>
  <c r="I212" i="1"/>
  <c r="H208" i="1"/>
  <c r="G208" i="1"/>
  <c r="F208" i="1"/>
  <c r="E208" i="1"/>
  <c r="D208" i="1"/>
  <c r="C208" i="1"/>
  <c r="B208" i="1"/>
  <c r="I207" i="1"/>
  <c r="I206" i="1"/>
  <c r="I205" i="1"/>
  <c r="H202" i="1"/>
  <c r="G202" i="1"/>
  <c r="F202" i="1"/>
  <c r="E202" i="1"/>
  <c r="D202" i="1"/>
  <c r="C202" i="1"/>
  <c r="B202" i="1"/>
  <c r="I201" i="1"/>
  <c r="I202" i="1" s="1"/>
  <c r="H199" i="1"/>
  <c r="G199" i="1"/>
  <c r="F199" i="1"/>
  <c r="E199" i="1"/>
  <c r="D199" i="1"/>
  <c r="C199" i="1"/>
  <c r="B199" i="1"/>
  <c r="I198" i="1"/>
  <c r="I197" i="1"/>
  <c r="H195" i="1"/>
  <c r="G195" i="1"/>
  <c r="F195" i="1"/>
  <c r="E195" i="1"/>
  <c r="D195" i="1"/>
  <c r="C195" i="1"/>
  <c r="B195" i="1"/>
  <c r="I194" i="1"/>
  <c r="I193" i="1"/>
  <c r="I192" i="1"/>
  <c r="I191" i="1"/>
  <c r="H189" i="1"/>
  <c r="G189" i="1"/>
  <c r="F189" i="1"/>
  <c r="E189" i="1"/>
  <c r="D189" i="1"/>
  <c r="C189" i="1"/>
  <c r="B189" i="1"/>
  <c r="I188" i="1"/>
  <c r="I189" i="1" s="1"/>
  <c r="H184" i="1"/>
  <c r="H185" i="1" s="1"/>
  <c r="G184" i="1"/>
  <c r="G185" i="1" s="1"/>
  <c r="F184" i="1"/>
  <c r="F185" i="1" s="1"/>
  <c r="E184" i="1"/>
  <c r="E185" i="1" s="1"/>
  <c r="D184" i="1"/>
  <c r="D185" i="1" s="1"/>
  <c r="C184" i="1"/>
  <c r="C185" i="1" s="1"/>
  <c r="B184" i="1"/>
  <c r="B185" i="1" s="1"/>
  <c r="I183" i="1"/>
  <c r="I184" i="1" s="1"/>
  <c r="I185" i="1" s="1"/>
  <c r="H179" i="1"/>
  <c r="H180" i="1" s="1"/>
  <c r="G179" i="1"/>
  <c r="G180" i="1" s="1"/>
  <c r="F179" i="1"/>
  <c r="F180" i="1" s="1"/>
  <c r="E179" i="1"/>
  <c r="E180" i="1" s="1"/>
  <c r="D179" i="1"/>
  <c r="D180" i="1" s="1"/>
  <c r="C179" i="1"/>
  <c r="C180" i="1" s="1"/>
  <c r="B179" i="1"/>
  <c r="B180" i="1" s="1"/>
  <c r="I178" i="1"/>
  <c r="I177" i="1"/>
  <c r="I176" i="1"/>
  <c r="I175" i="1"/>
  <c r="I174" i="1"/>
  <c r="H171" i="1"/>
  <c r="G171" i="1"/>
  <c r="F171" i="1"/>
  <c r="E171" i="1"/>
  <c r="D171" i="1"/>
  <c r="C171" i="1"/>
  <c r="B171" i="1"/>
  <c r="I170" i="1"/>
  <c r="I171" i="1" s="1"/>
  <c r="H168" i="1"/>
  <c r="G168" i="1"/>
  <c r="F168" i="1"/>
  <c r="E168" i="1"/>
  <c r="D168" i="1"/>
  <c r="C168" i="1"/>
  <c r="B168" i="1"/>
  <c r="I167" i="1"/>
  <c r="I166" i="1"/>
  <c r="H164" i="1"/>
  <c r="G164" i="1"/>
  <c r="F164" i="1"/>
  <c r="E164" i="1"/>
  <c r="D164" i="1"/>
  <c r="C164" i="1"/>
  <c r="B164" i="1"/>
  <c r="I163" i="1"/>
  <c r="I164" i="1" s="1"/>
  <c r="H161" i="1"/>
  <c r="G161" i="1"/>
  <c r="F161" i="1"/>
  <c r="E161" i="1"/>
  <c r="D161" i="1"/>
  <c r="C161" i="1"/>
  <c r="B161" i="1"/>
  <c r="I160" i="1"/>
  <c r="I161" i="1" s="1"/>
  <c r="H158" i="1"/>
  <c r="G158" i="1"/>
  <c r="F158" i="1"/>
  <c r="E158" i="1"/>
  <c r="D158" i="1"/>
  <c r="C158" i="1"/>
  <c r="B158" i="1"/>
  <c r="I157" i="1"/>
  <c r="I156" i="1"/>
  <c r="I155" i="1"/>
  <c r="I154" i="1"/>
  <c r="I153" i="1"/>
  <c r="H151" i="1"/>
  <c r="G151" i="1"/>
  <c r="F151" i="1"/>
  <c r="E151" i="1"/>
  <c r="D151" i="1"/>
  <c r="C151" i="1"/>
  <c r="B151" i="1"/>
  <c r="I150" i="1"/>
  <c r="I149" i="1"/>
  <c r="I148" i="1"/>
  <c r="I147" i="1"/>
  <c r="I146" i="1"/>
  <c r="I145" i="1"/>
  <c r="I144" i="1"/>
  <c r="I143" i="1"/>
  <c r="I142" i="1"/>
  <c r="I141" i="1"/>
  <c r="H138" i="1"/>
  <c r="H139" i="1" s="1"/>
  <c r="G138" i="1"/>
  <c r="G139" i="1" s="1"/>
  <c r="F138" i="1"/>
  <c r="F139" i="1" s="1"/>
  <c r="E138" i="1"/>
  <c r="E139" i="1" s="1"/>
  <c r="D138" i="1"/>
  <c r="D139" i="1" s="1"/>
  <c r="C138" i="1"/>
  <c r="C139" i="1" s="1"/>
  <c r="B138" i="1"/>
  <c r="B139" i="1" s="1"/>
  <c r="I137" i="1"/>
  <c r="I136" i="1"/>
  <c r="I135" i="1"/>
  <c r="I134" i="1"/>
  <c r="I133" i="1"/>
  <c r="I131" i="1"/>
  <c r="I130" i="1"/>
  <c r="H124" i="1"/>
  <c r="G124" i="1"/>
  <c r="F124" i="1"/>
  <c r="E124" i="1"/>
  <c r="D124" i="1"/>
  <c r="C124" i="1"/>
  <c r="B124" i="1"/>
  <c r="I123" i="1"/>
  <c r="I122" i="1"/>
  <c r="H120" i="1"/>
  <c r="G120" i="1"/>
  <c r="F120" i="1"/>
  <c r="E120" i="1"/>
  <c r="D120" i="1"/>
  <c r="C120" i="1"/>
  <c r="B120" i="1"/>
  <c r="I119" i="1"/>
  <c r="I118" i="1"/>
  <c r="H114" i="1"/>
  <c r="H115" i="1" s="1"/>
  <c r="G114" i="1"/>
  <c r="G115" i="1" s="1"/>
  <c r="F114" i="1"/>
  <c r="F115" i="1" s="1"/>
  <c r="E114" i="1"/>
  <c r="E115" i="1" s="1"/>
  <c r="D114" i="1"/>
  <c r="D115" i="1" s="1"/>
  <c r="C114" i="1"/>
  <c r="C115" i="1" s="1"/>
  <c r="B114" i="1"/>
  <c r="B115" i="1" s="1"/>
  <c r="I113" i="1"/>
  <c r="I112" i="1"/>
  <c r="I111" i="1"/>
  <c r="I110" i="1"/>
  <c r="H107" i="1"/>
  <c r="G107" i="1"/>
  <c r="F107" i="1"/>
  <c r="E107" i="1"/>
  <c r="D107" i="1"/>
  <c r="C107" i="1"/>
  <c r="B107" i="1"/>
  <c r="I106" i="1"/>
  <c r="I107" i="1" s="1"/>
  <c r="H104" i="1"/>
  <c r="G104" i="1"/>
  <c r="F104" i="1"/>
  <c r="E104" i="1"/>
  <c r="D104" i="1"/>
  <c r="C104" i="1"/>
  <c r="B104" i="1"/>
  <c r="I103" i="1"/>
  <c r="I104" i="1" s="1"/>
  <c r="H100" i="1"/>
  <c r="H101" i="1" s="1"/>
  <c r="G100" i="1"/>
  <c r="G101" i="1" s="1"/>
  <c r="F100" i="1"/>
  <c r="F101" i="1" s="1"/>
  <c r="E100" i="1"/>
  <c r="E101" i="1" s="1"/>
  <c r="D100" i="1"/>
  <c r="D101" i="1" s="1"/>
  <c r="C100" i="1"/>
  <c r="C101" i="1" s="1"/>
  <c r="B100" i="1"/>
  <c r="B101" i="1" s="1"/>
  <c r="I99" i="1"/>
  <c r="I100" i="1" s="1"/>
  <c r="I97" i="1"/>
  <c r="I95" i="1"/>
  <c r="H89" i="1"/>
  <c r="G89" i="1"/>
  <c r="F89" i="1"/>
  <c r="E89" i="1"/>
  <c r="D89" i="1"/>
  <c r="C89" i="1"/>
  <c r="B89" i="1"/>
  <c r="I88" i="1"/>
  <c r="I89" i="1" s="1"/>
  <c r="H85" i="1"/>
  <c r="H86" i="1" s="1"/>
  <c r="G85" i="1"/>
  <c r="G86" i="1" s="1"/>
  <c r="F85" i="1"/>
  <c r="F86" i="1" s="1"/>
  <c r="E85" i="1"/>
  <c r="E86" i="1" s="1"/>
  <c r="D85" i="1"/>
  <c r="D86" i="1" s="1"/>
  <c r="C85" i="1"/>
  <c r="C86" i="1" s="1"/>
  <c r="B85" i="1"/>
  <c r="B86" i="1" s="1"/>
  <c r="I84" i="1"/>
  <c r="I83" i="1"/>
  <c r="I82" i="1"/>
  <c r="H79" i="1"/>
  <c r="G79" i="1"/>
  <c r="F79" i="1"/>
  <c r="E79" i="1"/>
  <c r="D79" i="1"/>
  <c r="C79" i="1"/>
  <c r="B79" i="1"/>
  <c r="I78" i="1"/>
  <c r="I79" i="1" s="1"/>
  <c r="H76" i="1"/>
  <c r="G76" i="1"/>
  <c r="F76" i="1"/>
  <c r="E76" i="1"/>
  <c r="D76" i="1"/>
  <c r="C76" i="1"/>
  <c r="B76" i="1"/>
  <c r="I75" i="1"/>
  <c r="I76" i="1" s="1"/>
  <c r="H72" i="1"/>
  <c r="G72" i="1"/>
  <c r="F72" i="1"/>
  <c r="E72" i="1"/>
  <c r="D72" i="1"/>
  <c r="C72" i="1"/>
  <c r="B72" i="1"/>
  <c r="I71" i="1"/>
  <c r="I70" i="1"/>
  <c r="I69" i="1"/>
  <c r="H67" i="1"/>
  <c r="G67" i="1"/>
  <c r="F67" i="1"/>
  <c r="E67" i="1"/>
  <c r="D67" i="1"/>
  <c r="C67" i="1"/>
  <c r="B67" i="1"/>
  <c r="I66" i="1"/>
  <c r="I67" i="1" s="1"/>
  <c r="H64" i="1"/>
  <c r="G64" i="1"/>
  <c r="F64" i="1"/>
  <c r="E64" i="1"/>
  <c r="D64" i="1"/>
  <c r="C64" i="1"/>
  <c r="B64" i="1"/>
  <c r="I63" i="1"/>
  <c r="I62" i="1"/>
  <c r="H60" i="1"/>
  <c r="G60" i="1"/>
  <c r="F60" i="1"/>
  <c r="E60" i="1"/>
  <c r="D60" i="1"/>
  <c r="C60" i="1"/>
  <c r="B60" i="1"/>
  <c r="I59" i="1"/>
  <c r="I60" i="1" s="1"/>
  <c r="H56" i="1"/>
  <c r="G56" i="1"/>
  <c r="F56" i="1"/>
  <c r="E56" i="1"/>
  <c r="D56" i="1"/>
  <c r="C56" i="1"/>
  <c r="B56" i="1"/>
  <c r="I55" i="1"/>
  <c r="I54" i="1"/>
  <c r="I53" i="1"/>
  <c r="H51" i="1"/>
  <c r="G51" i="1"/>
  <c r="F51" i="1"/>
  <c r="E51" i="1"/>
  <c r="D51" i="1"/>
  <c r="C51" i="1"/>
  <c r="B51" i="1"/>
  <c r="I50" i="1"/>
  <c r="I49" i="1"/>
  <c r="I46" i="1"/>
  <c r="H45" i="1"/>
  <c r="G45" i="1"/>
  <c r="F45" i="1"/>
  <c r="E45" i="1"/>
  <c r="D45" i="1"/>
  <c r="C45" i="1"/>
  <c r="B45" i="1"/>
  <c r="I44" i="1"/>
  <c r="I45" i="1" s="1"/>
  <c r="H42" i="1"/>
  <c r="G42" i="1"/>
  <c r="F42" i="1"/>
  <c r="E42" i="1"/>
  <c r="D42" i="1"/>
  <c r="C42" i="1"/>
  <c r="B42" i="1"/>
  <c r="I41" i="1"/>
  <c r="I40" i="1"/>
  <c r="H38" i="1"/>
  <c r="G38" i="1"/>
  <c r="F38" i="1"/>
  <c r="E38" i="1"/>
  <c r="D38" i="1"/>
  <c r="C38" i="1"/>
  <c r="B38" i="1"/>
  <c r="I37" i="1"/>
  <c r="I38" i="1" s="1"/>
  <c r="H35" i="1"/>
  <c r="G35" i="1"/>
  <c r="F35" i="1"/>
  <c r="E35" i="1"/>
  <c r="D35" i="1"/>
  <c r="C35" i="1"/>
  <c r="B35" i="1"/>
  <c r="I34" i="1"/>
  <c r="I33" i="1"/>
  <c r="I32" i="1"/>
  <c r="H30" i="1"/>
  <c r="G30" i="1"/>
  <c r="F30" i="1"/>
  <c r="E30" i="1"/>
  <c r="D30" i="1"/>
  <c r="C30" i="1"/>
  <c r="B30" i="1"/>
  <c r="I29" i="1"/>
  <c r="I28" i="1"/>
  <c r="I27" i="1"/>
  <c r="I26" i="1"/>
  <c r="H20" i="1"/>
  <c r="H21" i="1" s="1"/>
  <c r="G20" i="1"/>
  <c r="G21" i="1" s="1"/>
  <c r="F20" i="1"/>
  <c r="F21" i="1" s="1"/>
  <c r="E20" i="1"/>
  <c r="E21" i="1" s="1"/>
  <c r="D20" i="1"/>
  <c r="D21" i="1" s="1"/>
  <c r="C20" i="1"/>
  <c r="C21" i="1" s="1"/>
  <c r="B20" i="1"/>
  <c r="B21" i="1" s="1"/>
  <c r="I19" i="1"/>
  <c r="I18" i="1"/>
  <c r="I17" i="1"/>
  <c r="H14" i="1"/>
  <c r="G14" i="1"/>
  <c r="F14" i="1"/>
  <c r="E14" i="1"/>
  <c r="D14" i="1"/>
  <c r="C14" i="1"/>
  <c r="B14" i="1"/>
  <c r="I13" i="1"/>
  <c r="I12" i="1"/>
  <c r="I11" i="1"/>
  <c r="I10" i="1"/>
  <c r="J200" i="3"/>
  <c r="J199" i="3"/>
  <c r="I197" i="3"/>
  <c r="H197" i="3"/>
  <c r="G197" i="3"/>
  <c r="F197" i="3"/>
  <c r="E197" i="3"/>
  <c r="D197" i="3"/>
  <c r="C197" i="3"/>
  <c r="B197" i="3"/>
  <c r="J196" i="3"/>
  <c r="J195" i="3"/>
  <c r="J194" i="3"/>
  <c r="J193" i="3"/>
  <c r="J192" i="3"/>
  <c r="J191" i="3"/>
  <c r="J190" i="3"/>
  <c r="I188" i="3"/>
  <c r="H188" i="3"/>
  <c r="G188" i="3"/>
  <c r="F188" i="3"/>
  <c r="E188" i="3"/>
  <c r="D188" i="3"/>
  <c r="C188" i="3"/>
  <c r="B188" i="3"/>
  <c r="J187" i="3"/>
  <c r="J188" i="3" s="1"/>
  <c r="J178" i="3"/>
  <c r="J177" i="3"/>
  <c r="I176" i="3"/>
  <c r="H176" i="3"/>
  <c r="G176" i="3"/>
  <c r="F176" i="3"/>
  <c r="E176" i="3"/>
  <c r="D176" i="3"/>
  <c r="C176" i="3"/>
  <c r="B176" i="3"/>
  <c r="J175" i="3"/>
  <c r="J174" i="3"/>
  <c r="J172" i="3"/>
  <c r="I171" i="3"/>
  <c r="H171" i="3"/>
  <c r="G171" i="3"/>
  <c r="F171" i="3"/>
  <c r="E171" i="3"/>
  <c r="D171" i="3"/>
  <c r="C171" i="3"/>
  <c r="B171" i="3"/>
  <c r="J170" i="3"/>
  <c r="J171" i="3" s="1"/>
  <c r="I168" i="3"/>
  <c r="H168" i="3"/>
  <c r="G168" i="3"/>
  <c r="F168" i="3"/>
  <c r="E168" i="3"/>
  <c r="D168" i="3"/>
  <c r="C168" i="3"/>
  <c r="B168" i="3"/>
  <c r="J167" i="3"/>
  <c r="J166" i="3"/>
  <c r="I164" i="3"/>
  <c r="H164" i="3"/>
  <c r="G164" i="3"/>
  <c r="F164" i="3"/>
  <c r="E164" i="3"/>
  <c r="D164" i="3"/>
  <c r="C164" i="3"/>
  <c r="B164" i="3"/>
  <c r="J163" i="3"/>
  <c r="J162" i="3"/>
  <c r="J161" i="3"/>
  <c r="I159" i="3"/>
  <c r="H159" i="3"/>
  <c r="G159" i="3"/>
  <c r="F159" i="3"/>
  <c r="E159" i="3"/>
  <c r="D159" i="3"/>
  <c r="C159" i="3"/>
  <c r="B159" i="3"/>
  <c r="J158" i="3"/>
  <c r="J157" i="3"/>
  <c r="J156" i="3"/>
  <c r="J155" i="3"/>
  <c r="J153" i="3"/>
  <c r="I152" i="3"/>
  <c r="H152" i="3"/>
  <c r="G152" i="3"/>
  <c r="F152" i="3"/>
  <c r="E152" i="3"/>
  <c r="D152" i="3"/>
  <c r="C152" i="3"/>
  <c r="B152" i="3"/>
  <c r="J151" i="3"/>
  <c r="J150" i="3"/>
  <c r="J149" i="3"/>
  <c r="J148" i="3"/>
  <c r="J147" i="3"/>
  <c r="J146" i="3"/>
  <c r="I142" i="3"/>
  <c r="I143" i="3" s="1"/>
  <c r="H142" i="3"/>
  <c r="H143" i="3" s="1"/>
  <c r="G142" i="3"/>
  <c r="G143" i="3" s="1"/>
  <c r="F142" i="3"/>
  <c r="F143" i="3" s="1"/>
  <c r="E142" i="3"/>
  <c r="E143" i="3" s="1"/>
  <c r="D142" i="3"/>
  <c r="D143" i="3" s="1"/>
  <c r="C142" i="3"/>
  <c r="C143" i="3" s="1"/>
  <c r="B142" i="3"/>
  <c r="B143" i="3" s="1"/>
  <c r="J141" i="3"/>
  <c r="J140" i="3"/>
  <c r="J139" i="3"/>
  <c r="J138" i="3"/>
  <c r="J137" i="3"/>
  <c r="J136" i="3"/>
  <c r="J135" i="3"/>
  <c r="J134" i="3"/>
  <c r="J133" i="3"/>
  <c r="J132" i="3"/>
  <c r="I128" i="3"/>
  <c r="H128" i="3"/>
  <c r="G128" i="3"/>
  <c r="F128" i="3"/>
  <c r="E128" i="3"/>
  <c r="D128" i="3"/>
  <c r="C128" i="3"/>
  <c r="B128" i="3"/>
  <c r="J127" i="3"/>
  <c r="J128" i="3" s="1"/>
  <c r="I125" i="3"/>
  <c r="H125" i="3"/>
  <c r="G125" i="3"/>
  <c r="F125" i="3"/>
  <c r="E125" i="3"/>
  <c r="D125" i="3"/>
  <c r="C125" i="3"/>
  <c r="B125" i="3"/>
  <c r="J124" i="3"/>
  <c r="J125" i="3" s="1"/>
  <c r="I119" i="3"/>
  <c r="H119" i="3"/>
  <c r="G119" i="3"/>
  <c r="F119" i="3"/>
  <c r="E119" i="3"/>
  <c r="D119" i="3"/>
  <c r="C119" i="3"/>
  <c r="B119" i="3"/>
  <c r="J118" i="3"/>
  <c r="J117" i="3"/>
  <c r="J116" i="3"/>
  <c r="J115" i="3"/>
  <c r="I113" i="3"/>
  <c r="H113" i="3"/>
  <c r="G113" i="3"/>
  <c r="F113" i="3"/>
  <c r="E113" i="3"/>
  <c r="D113" i="3"/>
  <c r="C113" i="3"/>
  <c r="B113" i="3"/>
  <c r="J112" i="3"/>
  <c r="J111" i="3"/>
  <c r="J110" i="3"/>
  <c r="J109" i="3"/>
  <c r="J104" i="3"/>
  <c r="I103" i="3"/>
  <c r="H103" i="3"/>
  <c r="G103" i="3"/>
  <c r="F103" i="3"/>
  <c r="E103" i="3"/>
  <c r="D103" i="3"/>
  <c r="C103" i="3"/>
  <c r="B103" i="3"/>
  <c r="J102" i="3"/>
  <c r="J101" i="3"/>
  <c r="J99" i="3"/>
  <c r="I98" i="3"/>
  <c r="H98" i="3"/>
  <c r="G98" i="3"/>
  <c r="F98" i="3"/>
  <c r="E98" i="3"/>
  <c r="D98" i="3"/>
  <c r="C98" i="3"/>
  <c r="B98" i="3"/>
  <c r="J97" i="3"/>
  <c r="J96" i="3"/>
  <c r="I93" i="3"/>
  <c r="H93" i="3"/>
  <c r="G93" i="3"/>
  <c r="F93" i="3"/>
  <c r="E93" i="3"/>
  <c r="D93" i="3"/>
  <c r="C93" i="3"/>
  <c r="B93" i="3"/>
  <c r="J92" i="3"/>
  <c r="J91" i="3"/>
  <c r="J90" i="3"/>
  <c r="J89" i="3"/>
  <c r="I87" i="3"/>
  <c r="H87" i="3"/>
  <c r="G87" i="3"/>
  <c r="F87" i="3"/>
  <c r="E87" i="3"/>
  <c r="D87" i="3"/>
  <c r="C87" i="3"/>
  <c r="B87" i="3"/>
  <c r="J86" i="3"/>
  <c r="J85" i="3"/>
  <c r="J84" i="3"/>
  <c r="J83" i="3"/>
  <c r="J82" i="3"/>
  <c r="J81" i="3"/>
  <c r="J80" i="3"/>
  <c r="J79" i="3"/>
  <c r="I76" i="3"/>
  <c r="H76" i="3"/>
  <c r="G76" i="3"/>
  <c r="F76" i="3"/>
  <c r="E76" i="3"/>
  <c r="D76" i="3"/>
  <c r="C76" i="3"/>
  <c r="B76" i="3"/>
  <c r="J75" i="3"/>
  <c r="J74" i="3"/>
  <c r="J73" i="3"/>
  <c r="I71" i="3"/>
  <c r="H71" i="3"/>
  <c r="G71" i="3"/>
  <c r="F71" i="3"/>
  <c r="E71" i="3"/>
  <c r="D71" i="3"/>
  <c r="C71" i="3"/>
  <c r="B71" i="3"/>
  <c r="J70" i="3"/>
  <c r="J69" i="3"/>
  <c r="J68" i="3"/>
  <c r="J67" i="3"/>
  <c r="J66" i="3"/>
  <c r="J64" i="3"/>
  <c r="I62" i="3"/>
  <c r="H62" i="3"/>
  <c r="G62" i="3"/>
  <c r="F62" i="3"/>
  <c r="E62" i="3"/>
  <c r="D62" i="3"/>
  <c r="C62" i="3"/>
  <c r="B62" i="3"/>
  <c r="J61" i="3"/>
  <c r="J62" i="3" s="1"/>
  <c r="I58" i="3"/>
  <c r="H58" i="3"/>
  <c r="G58" i="3"/>
  <c r="F58" i="3"/>
  <c r="E58" i="3"/>
  <c r="D58" i="3"/>
  <c r="C58" i="3"/>
  <c r="B58" i="3"/>
  <c r="J57" i="3"/>
  <c r="J58" i="3" s="1"/>
  <c r="I55" i="3"/>
  <c r="H55" i="3"/>
  <c r="G55" i="3"/>
  <c r="F55" i="3"/>
  <c r="E55" i="3"/>
  <c r="D55" i="3"/>
  <c r="C55" i="3"/>
  <c r="B55" i="3"/>
  <c r="J54" i="3"/>
  <c r="J53" i="3"/>
  <c r="I49" i="3"/>
  <c r="H49" i="3"/>
  <c r="G49" i="3"/>
  <c r="F49" i="3"/>
  <c r="E49" i="3"/>
  <c r="D49" i="3"/>
  <c r="C49" i="3"/>
  <c r="B49" i="3"/>
  <c r="J48" i="3"/>
  <c r="J49" i="3" s="1"/>
  <c r="I46" i="3"/>
  <c r="H46" i="3"/>
  <c r="G46" i="3"/>
  <c r="F46" i="3"/>
  <c r="E46" i="3"/>
  <c r="D46" i="3"/>
  <c r="C46" i="3"/>
  <c r="B46" i="3"/>
  <c r="J45" i="3"/>
  <c r="J44" i="3"/>
  <c r="J43" i="3"/>
  <c r="I41" i="3"/>
  <c r="H41" i="3"/>
  <c r="G41" i="3"/>
  <c r="F41" i="3"/>
  <c r="E41" i="3"/>
  <c r="D41" i="3"/>
  <c r="C41" i="3"/>
  <c r="B41" i="3"/>
  <c r="J40" i="3"/>
  <c r="J39" i="3"/>
  <c r="I37" i="3"/>
  <c r="H37" i="3"/>
  <c r="G37" i="3"/>
  <c r="F37" i="3"/>
  <c r="E37" i="3"/>
  <c r="D37" i="3"/>
  <c r="C37" i="3"/>
  <c r="B37" i="3"/>
  <c r="J36" i="3"/>
  <c r="J37" i="3" s="1"/>
  <c r="I34" i="3"/>
  <c r="H34" i="3"/>
  <c r="G34" i="3"/>
  <c r="F34" i="3"/>
  <c r="E34" i="3"/>
  <c r="D34" i="3"/>
  <c r="C34" i="3"/>
  <c r="B34" i="3"/>
  <c r="J33" i="3"/>
  <c r="J34" i="3" s="1"/>
  <c r="I31" i="3"/>
  <c r="H31" i="3"/>
  <c r="G31" i="3"/>
  <c r="F31" i="3"/>
  <c r="E31" i="3"/>
  <c r="D31" i="3"/>
  <c r="C31" i="3"/>
  <c r="B31" i="3"/>
  <c r="J30" i="3"/>
  <c r="J29" i="3"/>
  <c r="J28" i="3"/>
  <c r="I26" i="3"/>
  <c r="H26" i="3"/>
  <c r="G26" i="3"/>
  <c r="F26" i="3"/>
  <c r="E26" i="3"/>
  <c r="D26" i="3"/>
  <c r="C26" i="3"/>
  <c r="B26" i="3"/>
  <c r="J25" i="3"/>
  <c r="J24" i="3"/>
  <c r="J23" i="3"/>
  <c r="I21" i="3"/>
  <c r="H21" i="3"/>
  <c r="G21" i="3"/>
  <c r="F21" i="3"/>
  <c r="E21" i="3"/>
  <c r="D21" i="3"/>
  <c r="C21" i="3"/>
  <c r="B21" i="3"/>
  <c r="J20" i="3"/>
  <c r="J21" i="3" s="1"/>
  <c r="J18" i="3"/>
  <c r="I17" i="3"/>
  <c r="H17" i="3"/>
  <c r="G17" i="3"/>
  <c r="F17" i="3"/>
  <c r="E17" i="3"/>
  <c r="D17" i="3"/>
  <c r="C17" i="3"/>
  <c r="B17" i="3"/>
  <c r="J16" i="3"/>
  <c r="J15" i="3"/>
  <c r="J14" i="3"/>
  <c r="J13" i="3"/>
  <c r="J12" i="3"/>
  <c r="B757" i="1" l="1"/>
  <c r="G125" i="1"/>
  <c r="D757" i="1"/>
  <c r="C120" i="3"/>
  <c r="H94" i="3"/>
  <c r="I446" i="1"/>
  <c r="H129" i="3"/>
  <c r="I689" i="1"/>
  <c r="D518" i="1"/>
  <c r="I778" i="1"/>
  <c r="B450" i="1"/>
  <c r="B459" i="1" s="1"/>
  <c r="J103" i="3"/>
  <c r="I120" i="1"/>
  <c r="H125" i="1"/>
  <c r="H126" i="1" s="1"/>
  <c r="J46" i="3"/>
  <c r="G22" i="1"/>
  <c r="I620" i="1"/>
  <c r="B73" i="1"/>
  <c r="J31" i="3"/>
  <c r="E59" i="3"/>
  <c r="J176" i="3"/>
  <c r="J55" i="3"/>
  <c r="J59" i="3" s="1"/>
  <c r="H59" i="3"/>
  <c r="B129" i="3"/>
  <c r="H198" i="3"/>
  <c r="H201" i="3" s="1"/>
  <c r="C203" i="1"/>
  <c r="C209" i="1" s="1"/>
  <c r="I655" i="1"/>
  <c r="B59" i="3"/>
  <c r="D129" i="3"/>
  <c r="I208" i="1"/>
  <c r="J164" i="3"/>
  <c r="F198" i="3"/>
  <c r="F201" i="3" s="1"/>
  <c r="H22" i="1"/>
  <c r="I42" i="1"/>
  <c r="I410" i="1"/>
  <c r="I592" i="1"/>
  <c r="I593" i="1" s="1"/>
  <c r="F120" i="3"/>
  <c r="B120" i="3"/>
  <c r="I129" i="3"/>
  <c r="B605" i="1"/>
  <c r="D538" i="1"/>
  <c r="D547" i="1" s="1"/>
  <c r="F538" i="1"/>
  <c r="F547" i="1" s="1"/>
  <c r="C605" i="1"/>
  <c r="F624" i="1"/>
  <c r="C818" i="1"/>
  <c r="J168" i="3"/>
  <c r="I20" i="1"/>
  <c r="I21" i="1" s="1"/>
  <c r="G73" i="1"/>
  <c r="C125" i="1"/>
  <c r="C126" i="1" s="1"/>
  <c r="I392" i="1"/>
  <c r="E538" i="1"/>
  <c r="E547" i="1" s="1"/>
  <c r="D605" i="1"/>
  <c r="G624" i="1"/>
  <c r="C690" i="1"/>
  <c r="C699" i="1" s="1"/>
  <c r="I727" i="1"/>
  <c r="I753" i="1"/>
  <c r="I757" i="1" s="1"/>
  <c r="J159" i="3"/>
  <c r="C198" i="3"/>
  <c r="C201" i="3" s="1"/>
  <c r="E125" i="1"/>
  <c r="E126" i="1" s="1"/>
  <c r="H450" i="1"/>
  <c r="H459" i="1" s="1"/>
  <c r="I546" i="1"/>
  <c r="D198" i="3"/>
  <c r="D201" i="3" s="1"/>
  <c r="I64" i="1"/>
  <c r="H50" i="3"/>
  <c r="D59" i="3"/>
  <c r="I50" i="3"/>
  <c r="C94" i="3"/>
  <c r="C105" i="3" s="1"/>
  <c r="E120" i="3"/>
  <c r="J119" i="3"/>
  <c r="I120" i="3"/>
  <c r="E22" i="1"/>
  <c r="I287" i="1"/>
  <c r="I342" i="1"/>
  <c r="B50" i="3"/>
  <c r="G59" i="3"/>
  <c r="J113" i="3"/>
  <c r="G179" i="3"/>
  <c r="C383" i="1"/>
  <c r="C393" i="1" s="1"/>
  <c r="I401" i="1"/>
  <c r="I402" i="1" s="1"/>
  <c r="I442" i="1"/>
  <c r="I610" i="1"/>
  <c r="F818" i="1"/>
  <c r="E94" i="3"/>
  <c r="E105" i="3" s="1"/>
  <c r="G120" i="3"/>
  <c r="I151" i="1"/>
  <c r="I158" i="1"/>
  <c r="H203" i="1"/>
  <c r="H209" i="1" s="1"/>
  <c r="I271" i="1"/>
  <c r="I272" i="1" s="1"/>
  <c r="F291" i="1"/>
  <c r="F297" i="1" s="1"/>
  <c r="B690" i="1"/>
  <c r="B699" i="1" s="1"/>
  <c r="G818" i="1"/>
  <c r="J17" i="3"/>
  <c r="F94" i="3"/>
  <c r="F105" i="3" s="1"/>
  <c r="B94" i="3"/>
  <c r="B105" i="3" s="1"/>
  <c r="H120" i="3"/>
  <c r="C129" i="3"/>
  <c r="I195" i="1"/>
  <c r="I242" i="1"/>
  <c r="G291" i="1"/>
  <c r="G297" i="1" s="1"/>
  <c r="C450" i="1"/>
  <c r="C459" i="1" s="1"/>
  <c r="H605" i="1"/>
  <c r="H818" i="1"/>
  <c r="D450" i="1"/>
  <c r="D459" i="1" s="1"/>
  <c r="H690" i="1"/>
  <c r="H699" i="1" s="1"/>
  <c r="D779" i="1"/>
  <c r="D790" i="1" s="1"/>
  <c r="I768" i="1"/>
  <c r="I774" i="1"/>
  <c r="J26" i="3"/>
  <c r="I56" i="1"/>
  <c r="C179" i="3"/>
  <c r="B198" i="3"/>
  <c r="B201" i="3" s="1"/>
  <c r="B22" i="1"/>
  <c r="I221" i="1"/>
  <c r="I222" i="1" s="1"/>
  <c r="I283" i="1"/>
  <c r="I628" i="1"/>
  <c r="I651" i="1"/>
  <c r="I674" i="1"/>
  <c r="I675" i="1" s="1"/>
  <c r="I685" i="1"/>
  <c r="I690" i="1" s="1"/>
  <c r="I824" i="1"/>
  <c r="I825" i="1" s="1"/>
  <c r="I509" i="1"/>
  <c r="I510" i="1" s="1"/>
  <c r="H624" i="1"/>
  <c r="E757" i="1"/>
  <c r="J71" i="3"/>
  <c r="E129" i="3"/>
  <c r="C50" i="3"/>
  <c r="C59" i="3"/>
  <c r="J76" i="3"/>
  <c r="G129" i="3"/>
  <c r="G180" i="3" s="1"/>
  <c r="F129" i="3"/>
  <c r="I179" i="3"/>
  <c r="D179" i="3"/>
  <c r="E198" i="3"/>
  <c r="E201" i="3" s="1"/>
  <c r="E73" i="1"/>
  <c r="I114" i="1"/>
  <c r="I115" i="1" s="1"/>
  <c r="D125" i="1"/>
  <c r="D126" i="1" s="1"/>
  <c r="I138" i="1"/>
  <c r="I139" i="1" s="1"/>
  <c r="I277" i="1"/>
  <c r="H291" i="1"/>
  <c r="H297" i="1" s="1"/>
  <c r="E383" i="1"/>
  <c r="E393" i="1" s="1"/>
  <c r="G383" i="1"/>
  <c r="G393" i="1" s="1"/>
  <c r="I537" i="1"/>
  <c r="B624" i="1"/>
  <c r="B634" i="1" s="1"/>
  <c r="I633" i="1"/>
  <c r="F779" i="1"/>
  <c r="F790" i="1" s="1"/>
  <c r="B818" i="1"/>
  <c r="H179" i="3"/>
  <c r="B179" i="3"/>
  <c r="F383" i="1"/>
  <c r="F393" i="1" s="1"/>
  <c r="I569" i="1"/>
  <c r="E50" i="3"/>
  <c r="F59" i="3"/>
  <c r="I94" i="3"/>
  <c r="I105" i="3" s="1"/>
  <c r="J98" i="3"/>
  <c r="G198" i="3"/>
  <c r="G201" i="3" s="1"/>
  <c r="I14" i="1"/>
  <c r="C73" i="1"/>
  <c r="I72" i="1"/>
  <c r="F125" i="1"/>
  <c r="F126" i="1" s="1"/>
  <c r="I168" i="1"/>
  <c r="I199" i="1"/>
  <c r="I252" i="1"/>
  <c r="I355" i="1"/>
  <c r="I387" i="1"/>
  <c r="I490" i="1"/>
  <c r="I573" i="1"/>
  <c r="F605" i="1"/>
  <c r="D624" i="1"/>
  <c r="G779" i="1"/>
  <c r="G790" i="1" s="1"/>
  <c r="D818" i="1"/>
  <c r="J87" i="3"/>
  <c r="J93" i="3"/>
  <c r="F22" i="1"/>
  <c r="I35" i="1"/>
  <c r="D73" i="1"/>
  <c r="I179" i="1"/>
  <c r="I180" i="1" s="1"/>
  <c r="E203" i="1"/>
  <c r="E209" i="1" s="1"/>
  <c r="I262" i="1"/>
  <c r="I263" i="1" s="1"/>
  <c r="C291" i="1"/>
  <c r="C297" i="1" s="1"/>
  <c r="I312" i="1"/>
  <c r="I313" i="1" s="1"/>
  <c r="I420" i="1"/>
  <c r="I458" i="1"/>
  <c r="I528" i="1"/>
  <c r="G605" i="1"/>
  <c r="I616" i="1"/>
  <c r="E690" i="1"/>
  <c r="E699" i="1" s="1"/>
  <c r="I762" i="1"/>
  <c r="H779" i="1"/>
  <c r="H790" i="1" s="1"/>
  <c r="I815" i="1"/>
  <c r="I817" i="1" s="1"/>
  <c r="I818" i="1" s="1"/>
  <c r="D50" i="3"/>
  <c r="J142" i="3"/>
  <c r="J143" i="3" s="1"/>
  <c r="G50" i="3"/>
  <c r="G94" i="3"/>
  <c r="G105" i="3" s="1"/>
  <c r="J152" i="3"/>
  <c r="E179" i="3"/>
  <c r="I198" i="3"/>
  <c r="I201" i="3" s="1"/>
  <c r="D47" i="1"/>
  <c r="I85" i="1"/>
  <c r="I86" i="1" s="1"/>
  <c r="F203" i="1"/>
  <c r="F209" i="1" s="1"/>
  <c r="I373" i="1"/>
  <c r="F450" i="1"/>
  <c r="F459" i="1" s="1"/>
  <c r="B538" i="1"/>
  <c r="B547" i="1" s="1"/>
  <c r="I643" i="1"/>
  <c r="I644" i="1" s="1"/>
  <c r="F690" i="1"/>
  <c r="F699" i="1" s="1"/>
  <c r="I698" i="1"/>
  <c r="B779" i="1"/>
  <c r="B790" i="1" s="1"/>
  <c r="B125" i="1"/>
  <c r="B126" i="1" s="1"/>
  <c r="I30" i="1"/>
  <c r="G538" i="1"/>
  <c r="G547" i="1" s="1"/>
  <c r="F50" i="3"/>
  <c r="J41" i="3"/>
  <c r="I59" i="3"/>
  <c r="D94" i="3"/>
  <c r="D105" i="3" s="1"/>
  <c r="D120" i="3"/>
  <c r="F179" i="3"/>
  <c r="J197" i="3"/>
  <c r="J198" i="3" s="1"/>
  <c r="J201" i="3" s="1"/>
  <c r="E47" i="1"/>
  <c r="I51" i="1"/>
  <c r="F73" i="1"/>
  <c r="I124" i="1"/>
  <c r="I125" i="1" s="1"/>
  <c r="G203" i="1"/>
  <c r="G209" i="1" s="1"/>
  <c r="E291" i="1"/>
  <c r="E297" i="1" s="1"/>
  <c r="I296" i="1"/>
  <c r="I350" i="1"/>
  <c r="I351" i="1" s="1"/>
  <c r="B383" i="1"/>
  <c r="B393" i="1" s="1"/>
  <c r="I430" i="1"/>
  <c r="G450" i="1"/>
  <c r="G459" i="1" s="1"/>
  <c r="I557" i="1"/>
  <c r="I558" i="1" s="1"/>
  <c r="I604" i="1"/>
  <c r="I605" i="1" s="1"/>
  <c r="E605" i="1"/>
  <c r="G690" i="1"/>
  <c r="G699" i="1" s="1"/>
  <c r="D690" i="1"/>
  <c r="D699" i="1" s="1"/>
  <c r="I744" i="1"/>
  <c r="I745" i="1" s="1"/>
  <c r="C779" i="1"/>
  <c r="C790" i="1" s="1"/>
  <c r="I789" i="1"/>
  <c r="C22" i="1"/>
  <c r="D22" i="1"/>
  <c r="F47" i="1"/>
  <c r="H383" i="1"/>
  <c r="H393" i="1" s="1"/>
  <c r="G47" i="1"/>
  <c r="G126" i="1"/>
  <c r="I483" i="1"/>
  <c r="I720" i="1"/>
  <c r="E779" i="1"/>
  <c r="H47" i="1"/>
  <c r="I101" i="1"/>
  <c r="B203" i="1"/>
  <c r="B209" i="1" s="1"/>
  <c r="I236" i="1"/>
  <c r="B291" i="1"/>
  <c r="B297" i="1" s="1"/>
  <c r="H538" i="1"/>
  <c r="H547" i="1" s="1"/>
  <c r="C624" i="1"/>
  <c r="B47" i="1"/>
  <c r="D203" i="1"/>
  <c r="D209" i="1" s="1"/>
  <c r="D291" i="1"/>
  <c r="D297" i="1" s="1"/>
  <c r="I325" i="1"/>
  <c r="D383" i="1"/>
  <c r="D393" i="1" s="1"/>
  <c r="I472" i="1"/>
  <c r="I473" i="1" s="1"/>
  <c r="E624" i="1"/>
  <c r="E818" i="1"/>
  <c r="C47" i="1"/>
  <c r="H73" i="1"/>
  <c r="I332" i="1"/>
  <c r="I379" i="1"/>
  <c r="E450" i="1"/>
  <c r="E459" i="1" s="1"/>
  <c r="C538" i="1"/>
  <c r="C547" i="1" s="1"/>
  <c r="I709" i="1"/>
  <c r="I710" i="1" s="1"/>
  <c r="I533" i="1"/>
  <c r="I784" i="1"/>
  <c r="J129" i="3"/>
  <c r="H105" i="3"/>
  <c r="I450" i="1" l="1"/>
  <c r="I73" i="1"/>
  <c r="H180" i="3"/>
  <c r="B90" i="1"/>
  <c r="B91" i="1" s="1"/>
  <c r="B92" i="1" s="1"/>
  <c r="E790" i="1"/>
  <c r="I779" i="1"/>
  <c r="I790" i="1" s="1"/>
  <c r="C634" i="1"/>
  <c r="C791" i="1" s="1"/>
  <c r="B106" i="3"/>
  <c r="G634" i="1"/>
  <c r="G791" i="1" s="1"/>
  <c r="D180" i="3"/>
  <c r="C180" i="3"/>
  <c r="B180" i="3"/>
  <c r="D634" i="1"/>
  <c r="D791" i="1" s="1"/>
  <c r="I180" i="3"/>
  <c r="E634" i="1"/>
  <c r="J50" i="3"/>
  <c r="E90" i="1"/>
  <c r="E91" i="1" s="1"/>
  <c r="E92" i="1" s="1"/>
  <c r="G90" i="1"/>
  <c r="G91" i="1" s="1"/>
  <c r="G92" i="1" s="1"/>
  <c r="F634" i="1"/>
  <c r="F791" i="1" s="1"/>
  <c r="I203" i="1"/>
  <c r="I209" i="1" s="1"/>
  <c r="I22" i="1"/>
  <c r="I47" i="1"/>
  <c r="H634" i="1"/>
  <c r="H791" i="1" s="1"/>
  <c r="G106" i="3"/>
  <c r="G181" i="3" s="1"/>
  <c r="G182" i="3" s="1"/>
  <c r="G183" i="3" s="1"/>
  <c r="I624" i="1"/>
  <c r="I634" i="1" s="1"/>
  <c r="F106" i="3"/>
  <c r="I538" i="1"/>
  <c r="I547" i="1" s="1"/>
  <c r="H106" i="3"/>
  <c r="E460" i="1"/>
  <c r="J120" i="3"/>
  <c r="H460" i="1"/>
  <c r="I699" i="1"/>
  <c r="E106" i="3"/>
  <c r="J179" i="3"/>
  <c r="J180" i="3" s="1"/>
  <c r="J94" i="3"/>
  <c r="J105" i="3" s="1"/>
  <c r="D460" i="1"/>
  <c r="D90" i="1"/>
  <c r="D91" i="1" s="1"/>
  <c r="D92" i="1" s="1"/>
  <c r="E298" i="1"/>
  <c r="C106" i="3"/>
  <c r="I383" i="1"/>
  <c r="I393" i="1" s="1"/>
  <c r="G298" i="1"/>
  <c r="D106" i="3"/>
  <c r="F298" i="1"/>
  <c r="I106" i="3"/>
  <c r="I291" i="1"/>
  <c r="I297" i="1" s="1"/>
  <c r="F460" i="1"/>
  <c r="E180" i="3"/>
  <c r="F180" i="3"/>
  <c r="B460" i="1"/>
  <c r="I126" i="1"/>
  <c r="B791" i="1"/>
  <c r="H298" i="1"/>
  <c r="I459" i="1"/>
  <c r="C90" i="1"/>
  <c r="C91" i="1" s="1"/>
  <c r="F90" i="1"/>
  <c r="F91" i="1" s="1"/>
  <c r="F92" i="1" s="1"/>
  <c r="G460" i="1"/>
  <c r="D298" i="1"/>
  <c r="B298" i="1"/>
  <c r="C298" i="1"/>
  <c r="C460" i="1"/>
  <c r="H90" i="1"/>
  <c r="H91" i="1" s="1"/>
  <c r="J93" i="14"/>
  <c r="E93" i="14" s="1"/>
  <c r="L20" i="5" s="1"/>
  <c r="R20" i="5" s="1"/>
  <c r="C65" i="9"/>
  <c r="C70" i="9" s="1"/>
  <c r="G30" i="16"/>
  <c r="O56" i="20"/>
  <c r="H117" i="20"/>
  <c r="H118" i="20" s="1"/>
  <c r="H119" i="20" s="1"/>
  <c r="H120" i="20" s="1"/>
  <c r="G117" i="20"/>
  <c r="G118" i="20" s="1"/>
  <c r="G119" i="20" s="1"/>
  <c r="G120" i="20" s="1"/>
  <c r="I56" i="20"/>
  <c r="I57" i="20" s="1"/>
  <c r="I58" i="20" s="1"/>
  <c r="I59" i="20" s="1"/>
  <c r="I60" i="20" s="1"/>
  <c r="I61" i="20" s="1"/>
  <c r="I62" i="20" s="1"/>
  <c r="I63" i="20" s="1"/>
  <c r="I64" i="20" s="1"/>
  <c r="I65" i="20" s="1"/>
  <c r="I66" i="20" s="1"/>
  <c r="I67" i="20" s="1"/>
  <c r="I68" i="20" s="1"/>
  <c r="I69" i="20" s="1"/>
  <c r="I70" i="20" s="1"/>
  <c r="I71" i="20" s="1"/>
  <c r="I72" i="20" s="1"/>
  <c r="I73" i="20" s="1"/>
  <c r="I74" i="20" s="1"/>
  <c r="I75" i="20" s="1"/>
  <c r="I76" i="20" s="1"/>
  <c r="I77" i="20" s="1"/>
  <c r="I78" i="20" s="1"/>
  <c r="I79" i="20" s="1"/>
  <c r="I80" i="20" s="1"/>
  <c r="I81" i="20" s="1"/>
  <c r="I82" i="20" s="1"/>
  <c r="I83" i="20" s="1"/>
  <c r="I84" i="20" s="1"/>
  <c r="I85" i="20" s="1"/>
  <c r="I86" i="20" s="1"/>
  <c r="I87" i="20" s="1"/>
  <c r="I88" i="20" s="1"/>
  <c r="I89" i="20" s="1"/>
  <c r="I90" i="20" s="1"/>
  <c r="I91" i="20" s="1"/>
  <c r="I92" i="20" s="1"/>
  <c r="I93" i="20" s="1"/>
  <c r="I94" i="20" s="1"/>
  <c r="I95" i="20" s="1"/>
  <c r="I96" i="20" s="1"/>
  <c r="I97" i="20" s="1"/>
  <c r="I98" i="20" s="1"/>
  <c r="I99" i="20" s="1"/>
  <c r="I100" i="20" s="1"/>
  <c r="I101" i="20" s="1"/>
  <c r="I102" i="20" s="1"/>
  <c r="I103" i="20" s="1"/>
  <c r="I104" i="20" s="1"/>
  <c r="I105" i="20" s="1"/>
  <c r="I106" i="20" s="1"/>
  <c r="I107" i="20" s="1"/>
  <c r="I108" i="20" s="1"/>
  <c r="I109" i="20" s="1"/>
  <c r="I110" i="20" s="1"/>
  <c r="I111" i="20" s="1"/>
  <c r="I112" i="20" s="1"/>
  <c r="I113" i="20" s="1"/>
  <c r="I114" i="20" s="1"/>
  <c r="I115" i="20" s="1"/>
  <c r="I116" i="20" s="1"/>
  <c r="I117" i="20" s="1"/>
  <c r="I118" i="20" s="1"/>
  <c r="I119" i="20" s="1"/>
  <c r="I120" i="20" s="1"/>
  <c r="G38" i="16"/>
  <c r="E791" i="1" l="1"/>
  <c r="H181" i="3"/>
  <c r="H182" i="3" s="1"/>
  <c r="H183" i="3" s="1"/>
  <c r="I90" i="1"/>
  <c r="I91" i="1" s="1"/>
  <c r="I92" i="1" s="1"/>
  <c r="H799" i="1"/>
  <c r="B181" i="3"/>
  <c r="B182" i="3" s="1"/>
  <c r="B183" i="3" s="1"/>
  <c r="C181" i="3"/>
  <c r="C182" i="3" s="1"/>
  <c r="C183" i="3" s="1"/>
  <c r="I181" i="3"/>
  <c r="I182" i="3" s="1"/>
  <c r="I183" i="3" s="1"/>
  <c r="D181" i="3"/>
  <c r="D182" i="3" s="1"/>
  <c r="D183" i="3" s="1"/>
  <c r="J106" i="3"/>
  <c r="J181" i="3" s="1"/>
  <c r="J182" i="3" s="1"/>
  <c r="J183" i="3" s="1"/>
  <c r="F799" i="1"/>
  <c r="F800" i="1" s="1"/>
  <c r="F819" i="1" s="1"/>
  <c r="F826" i="1" s="1"/>
  <c r="E181" i="3"/>
  <c r="E182" i="3" s="1"/>
  <c r="E183" i="3" s="1"/>
  <c r="F181" i="3"/>
  <c r="F182" i="3" s="1"/>
  <c r="F183" i="3" s="1"/>
  <c r="D799" i="1"/>
  <c r="D800" i="1" s="1"/>
  <c r="D819" i="1" s="1"/>
  <c r="D826" i="1" s="1"/>
  <c r="G799" i="1"/>
  <c r="G800" i="1" s="1"/>
  <c r="G819" i="1" s="1"/>
  <c r="G826" i="1" s="1"/>
  <c r="I791" i="1"/>
  <c r="C799" i="1"/>
  <c r="C800" i="1" s="1"/>
  <c r="C819" i="1" s="1"/>
  <c r="C826" i="1" s="1"/>
  <c r="E799" i="1"/>
  <c r="E800" i="1" s="1"/>
  <c r="E819" i="1" s="1"/>
  <c r="E826" i="1" s="1"/>
  <c r="I298" i="1"/>
  <c r="I460" i="1"/>
  <c r="B799" i="1"/>
  <c r="B800" i="1" s="1"/>
  <c r="B819" i="1" s="1"/>
  <c r="B826" i="1" s="1"/>
  <c r="C92" i="1"/>
  <c r="H800" i="1"/>
  <c r="H819" i="1" s="1"/>
  <c r="H826" i="1" s="1"/>
  <c r="H92" i="1"/>
  <c r="C23" i="9"/>
  <c r="E59" i="10"/>
  <c r="G41" i="10"/>
  <c r="H41" i="10" s="1"/>
  <c r="E5" i="10"/>
  <c r="E6" i="10" s="1"/>
  <c r="I799" i="1" l="1"/>
  <c r="I800" i="1" s="1"/>
  <c r="I819" i="1" s="1"/>
  <c r="I826" i="1" s="1"/>
  <c r="F83" i="14"/>
  <c r="J95" i="14"/>
  <c r="E60" i="10" l="1"/>
  <c r="J14" i="4" l="1"/>
  <c r="K48" i="4"/>
  <c r="O48" i="4"/>
  <c r="Q48" i="4" s="1"/>
  <c r="K13" i="4"/>
  <c r="O13" i="4"/>
  <c r="Q13" i="4" s="1"/>
  <c r="O14" i="4"/>
  <c r="C31" i="9"/>
  <c r="C30" i="9"/>
  <c r="C29" i="9"/>
  <c r="T27" i="9"/>
  <c r="T26" i="9"/>
  <c r="T25" i="9"/>
  <c r="G29" i="9"/>
  <c r="G33" i="9"/>
  <c r="G32" i="9"/>
  <c r="E32" i="9"/>
  <c r="E33" i="9" s="1"/>
  <c r="G30" i="9"/>
  <c r="D33" i="9"/>
  <c r="F33" i="9"/>
  <c r="F32" i="9" s="1"/>
  <c r="E52" i="10"/>
  <c r="B21" i="9" l="1"/>
  <c r="B22" i="9" s="1"/>
  <c r="E45" i="9"/>
  <c r="L46" i="9"/>
  <c r="L47" i="9" s="1"/>
  <c r="E21" i="9" l="1"/>
  <c r="E20" i="9"/>
  <c r="F20" i="9" s="1"/>
  <c r="B23" i="9" l="1"/>
  <c r="C21" i="9"/>
  <c r="F21" i="9" s="1"/>
  <c r="F22" i="9" s="1"/>
  <c r="F45" i="9"/>
  <c r="G31" i="9"/>
  <c r="D31" i="9"/>
  <c r="D29" i="9"/>
  <c r="J80" i="14"/>
  <c r="O12" i="4"/>
  <c r="J91" i="14"/>
  <c r="Q14" i="4"/>
  <c r="J81" i="14" s="1"/>
  <c r="D95" i="14"/>
  <c r="D78" i="14"/>
  <c r="D98" i="14"/>
  <c r="E11" i="4"/>
  <c r="Q25" i="2"/>
  <c r="Q12" i="4" l="1"/>
  <c r="J79" i="14" s="1"/>
  <c r="K80" i="14"/>
  <c r="G25" i="16"/>
  <c r="G24" i="16"/>
  <c r="G17" i="16"/>
  <c r="F18" i="16"/>
  <c r="G18" i="16" s="1"/>
  <c r="F23" i="16"/>
  <c r="G23" i="16" s="1"/>
  <c r="H25" i="20" l="1"/>
  <c r="H14" i="16"/>
  <c r="G12" i="20"/>
  <c r="H12" i="20" s="1"/>
  <c r="G13" i="20"/>
  <c r="H13" i="20" s="1"/>
  <c r="G14" i="20"/>
  <c r="H14" i="20" s="1"/>
  <c r="G15" i="20"/>
  <c r="H15" i="20" s="1"/>
  <c r="G16" i="20"/>
  <c r="H16" i="20" s="1"/>
  <c r="H17" i="20"/>
  <c r="G18" i="20"/>
  <c r="H18" i="20" s="1"/>
  <c r="G19" i="20"/>
  <c r="H19" i="20" s="1"/>
  <c r="G20" i="20"/>
  <c r="H20" i="20" s="1"/>
  <c r="H21" i="20"/>
  <c r="G22" i="20"/>
  <c r="H22" i="20" s="1"/>
  <c r="G23" i="20"/>
  <c r="H23" i="20" s="1"/>
  <c r="G24" i="20"/>
  <c r="H24" i="20" s="1"/>
  <c r="G27" i="20"/>
  <c r="H27" i="20"/>
  <c r="G28" i="20"/>
  <c r="H28" i="20" s="1"/>
  <c r="G29" i="20"/>
  <c r="H29" i="20" s="1"/>
  <c r="G30" i="20"/>
  <c r="H30" i="20" s="1"/>
  <c r="F31" i="20"/>
  <c r="F32" i="20" s="1"/>
  <c r="F33" i="20" s="1"/>
  <c r="F34" i="20" s="1"/>
  <c r="F35" i="20" s="1"/>
  <c r="F36" i="20" s="1"/>
  <c r="F37" i="20" s="1"/>
  <c r="Q28" i="19" l="1"/>
  <c r="R24" i="19"/>
  <c r="R22" i="19"/>
  <c r="R21" i="19"/>
  <c r="D20" i="19"/>
  <c r="R19" i="19"/>
  <c r="P16" i="19"/>
  <c r="N16" i="19"/>
  <c r="N26" i="19" s="1"/>
  <c r="J16" i="19"/>
  <c r="J26" i="19" s="1"/>
  <c r="F16" i="19"/>
  <c r="F26" i="19" s="1"/>
  <c r="D16" i="19"/>
  <c r="R14" i="19"/>
  <c r="H14" i="19"/>
  <c r="H16" i="19" s="1"/>
  <c r="T11" i="19" s="1"/>
  <c r="L13" i="19"/>
  <c r="L16" i="19" s="1"/>
  <c r="R12" i="19"/>
  <c r="R11" i="19"/>
  <c r="R10" i="19"/>
  <c r="R9" i="19"/>
  <c r="R7" i="19"/>
  <c r="D26" i="19" l="1"/>
  <c r="D28" i="19" s="1"/>
  <c r="R16" i="19"/>
  <c r="H26" i="19"/>
  <c r="H28" i="19" s="1"/>
  <c r="R13" i="19"/>
  <c r="R7" i="5" l="1"/>
  <c r="Q28" i="5"/>
  <c r="D20" i="5"/>
  <c r="K42" i="10" l="1"/>
  <c r="J42" i="10"/>
  <c r="E42" i="10"/>
  <c r="F42" i="10"/>
  <c r="E83" i="14" l="1"/>
  <c r="C40" i="14"/>
  <c r="C44" i="14" s="1"/>
  <c r="C14" i="14"/>
  <c r="E77" i="12"/>
  <c r="C46" i="12" s="1"/>
  <c r="D102" i="12"/>
  <c r="E86" i="14"/>
  <c r="C26" i="14" s="1"/>
  <c r="C47" i="14"/>
  <c r="J13" i="15"/>
  <c r="J14" i="15"/>
  <c r="J15" i="15"/>
  <c r="J16" i="15"/>
  <c r="J17" i="15"/>
  <c r="J18" i="15"/>
  <c r="J19" i="15"/>
  <c r="J20" i="15"/>
  <c r="J21" i="15"/>
  <c r="J22" i="15"/>
  <c r="J23" i="15"/>
  <c r="J24" i="15"/>
  <c r="J25" i="15"/>
  <c r="J26" i="15"/>
  <c r="J27" i="15"/>
  <c r="J28" i="15"/>
  <c r="J29" i="15"/>
  <c r="J30" i="15"/>
  <c r="J31" i="15"/>
  <c r="J32" i="15"/>
  <c r="J33" i="15"/>
  <c r="J34" i="15"/>
  <c r="J35" i="15"/>
  <c r="J36" i="15"/>
  <c r="J37" i="15"/>
  <c r="J38" i="15"/>
  <c r="J39" i="15"/>
  <c r="J40" i="15"/>
  <c r="J41" i="15"/>
  <c r="J42" i="15"/>
  <c r="J43" i="15"/>
  <c r="J44" i="15"/>
  <c r="J45" i="15"/>
  <c r="J46" i="15"/>
  <c r="J47" i="15"/>
  <c r="J48" i="15"/>
  <c r="J49" i="15"/>
  <c r="J50" i="15"/>
  <c r="J51" i="15"/>
  <c r="J52" i="15"/>
  <c r="J53" i="15"/>
  <c r="J54" i="15"/>
  <c r="J55" i="15"/>
  <c r="J56" i="15"/>
  <c r="J57" i="15"/>
  <c r="J58" i="15"/>
  <c r="J59" i="15"/>
  <c r="J60" i="15"/>
  <c r="J61" i="15"/>
  <c r="J62" i="15"/>
  <c r="J63" i="15"/>
  <c r="J64" i="15"/>
  <c r="J65" i="15"/>
  <c r="J66" i="15"/>
  <c r="J67" i="15"/>
  <c r="J68" i="15"/>
  <c r="J69" i="15"/>
  <c r="J70" i="15"/>
  <c r="J71" i="15"/>
  <c r="J72" i="15"/>
  <c r="J73" i="15"/>
  <c r="J74" i="15"/>
  <c r="J75" i="15"/>
  <c r="J76" i="15"/>
  <c r="J77" i="15"/>
  <c r="J78" i="15"/>
  <c r="J79" i="15"/>
  <c r="J80" i="15"/>
  <c r="J81" i="15"/>
  <c r="J82" i="15"/>
  <c r="J83" i="15"/>
  <c r="J84" i="15"/>
  <c r="J85" i="15"/>
  <c r="J86" i="15"/>
  <c r="J87" i="15"/>
  <c r="J88" i="15"/>
  <c r="J89" i="15"/>
  <c r="J90" i="15"/>
  <c r="J91" i="15"/>
  <c r="J92" i="15"/>
  <c r="J93" i="15"/>
  <c r="J94" i="15"/>
  <c r="J95" i="15"/>
  <c r="J96" i="15"/>
  <c r="J97" i="15"/>
  <c r="J98" i="15"/>
  <c r="J99" i="15"/>
  <c r="J100" i="15"/>
  <c r="J101" i="15"/>
  <c r="J102" i="15"/>
  <c r="J103" i="15"/>
  <c r="J104" i="15"/>
  <c r="J105" i="15"/>
  <c r="J106" i="15"/>
  <c r="J107" i="15"/>
  <c r="J108" i="15"/>
  <c r="J109" i="15"/>
  <c r="J110" i="15"/>
  <c r="J111" i="15"/>
  <c r="J112" i="15"/>
  <c r="J113" i="15"/>
  <c r="J114" i="15"/>
  <c r="J115" i="15"/>
  <c r="J116" i="15"/>
  <c r="J117" i="15"/>
  <c r="J118" i="15"/>
  <c r="J119" i="15"/>
  <c r="J120" i="15"/>
  <c r="J121" i="15"/>
  <c r="J122" i="15"/>
  <c r="J123" i="15"/>
  <c r="J124" i="15"/>
  <c r="J125" i="15"/>
  <c r="J126" i="15"/>
  <c r="J127" i="15"/>
  <c r="J128" i="15"/>
  <c r="J129" i="15"/>
  <c r="J130" i="15"/>
  <c r="J131" i="15"/>
  <c r="J132" i="15"/>
  <c r="J133" i="15"/>
  <c r="J134" i="15"/>
  <c r="J135" i="15"/>
  <c r="J136" i="15"/>
  <c r="J137" i="15"/>
  <c r="J138" i="15"/>
  <c r="J139" i="15"/>
  <c r="J140" i="15"/>
  <c r="J141" i="15"/>
  <c r="J142" i="15"/>
  <c r="J143" i="15"/>
  <c r="J144" i="15"/>
  <c r="J145" i="15"/>
  <c r="J146" i="15"/>
  <c r="J147" i="15"/>
  <c r="J148" i="15"/>
  <c r="J149" i="15"/>
  <c r="J150" i="15"/>
  <c r="J151" i="15"/>
  <c r="J152" i="15"/>
  <c r="J153" i="15"/>
  <c r="J154" i="15"/>
  <c r="J155" i="15"/>
  <c r="J156" i="15"/>
  <c r="J157" i="15"/>
  <c r="J158" i="15"/>
  <c r="J159" i="15"/>
  <c r="J160" i="15"/>
  <c r="J161" i="15"/>
  <c r="J162" i="15"/>
  <c r="J163" i="15"/>
  <c r="J164" i="15"/>
  <c r="J165" i="15"/>
  <c r="J166" i="15"/>
  <c r="J167" i="15"/>
  <c r="J168" i="15"/>
  <c r="J169" i="15"/>
  <c r="J170" i="15"/>
  <c r="J171" i="15"/>
  <c r="J172" i="15"/>
  <c r="J173" i="15"/>
  <c r="J174" i="15"/>
  <c r="J175" i="15"/>
  <c r="J176" i="15"/>
  <c r="J177" i="15"/>
  <c r="J178" i="15"/>
  <c r="J179" i="15"/>
  <c r="J180" i="15"/>
  <c r="J181" i="15"/>
  <c r="J182" i="15"/>
  <c r="J183" i="15"/>
  <c r="J184" i="15"/>
  <c r="J185" i="15"/>
  <c r="J186" i="15"/>
  <c r="J187" i="15"/>
  <c r="J188" i="15"/>
  <c r="J189" i="15"/>
  <c r="J190" i="15"/>
  <c r="J191" i="15"/>
  <c r="J192" i="15"/>
  <c r="J193" i="15"/>
  <c r="J194" i="15"/>
  <c r="J195" i="15"/>
  <c r="J196" i="15"/>
  <c r="J197" i="15"/>
  <c r="J198" i="15"/>
  <c r="J199" i="15"/>
  <c r="J200" i="15"/>
  <c r="J12" i="15"/>
  <c r="I61" i="15"/>
  <c r="H61" i="15"/>
  <c r="G61" i="15"/>
  <c r="F61" i="15"/>
  <c r="E61" i="15"/>
  <c r="D61" i="15"/>
  <c r="C61" i="15"/>
  <c r="B61" i="15"/>
  <c r="I57" i="15"/>
  <c r="H57" i="15"/>
  <c r="G57" i="15"/>
  <c r="F57" i="15"/>
  <c r="E57" i="15"/>
  <c r="D57" i="15"/>
  <c r="C57" i="15"/>
  <c r="B57" i="15"/>
  <c r="I54" i="15"/>
  <c r="I58" i="15" s="1"/>
  <c r="H54" i="15"/>
  <c r="H58" i="15" s="1"/>
  <c r="G54" i="15"/>
  <c r="G58" i="15" s="1"/>
  <c r="F54" i="15"/>
  <c r="E54" i="15"/>
  <c r="D54" i="15"/>
  <c r="C54" i="15"/>
  <c r="C58" i="15" s="1"/>
  <c r="B54" i="15"/>
  <c r="B58" i="15" s="1"/>
  <c r="I48" i="15"/>
  <c r="H48" i="15"/>
  <c r="G48" i="15"/>
  <c r="F48" i="15"/>
  <c r="E48" i="15"/>
  <c r="D48" i="15"/>
  <c r="C48" i="15"/>
  <c r="B48" i="15"/>
  <c r="I45" i="15"/>
  <c r="H45" i="15"/>
  <c r="G45" i="15"/>
  <c r="F45" i="15"/>
  <c r="E45" i="15"/>
  <c r="D45" i="15"/>
  <c r="C45" i="15"/>
  <c r="B45" i="15"/>
  <c r="I40" i="15"/>
  <c r="H40" i="15"/>
  <c r="G40" i="15"/>
  <c r="F40" i="15"/>
  <c r="E40" i="15"/>
  <c r="D40" i="15"/>
  <c r="C40" i="15"/>
  <c r="B40" i="15"/>
  <c r="I36" i="15"/>
  <c r="H36" i="15"/>
  <c r="G36" i="15"/>
  <c r="F36" i="15"/>
  <c r="E36" i="15"/>
  <c r="D36" i="15"/>
  <c r="C36" i="15"/>
  <c r="B36" i="15"/>
  <c r="I33" i="15"/>
  <c r="H33" i="15"/>
  <c r="G33" i="15"/>
  <c r="F33" i="15"/>
  <c r="E33" i="15"/>
  <c r="D33" i="15"/>
  <c r="C33" i="15"/>
  <c r="B33" i="15"/>
  <c r="I30" i="15"/>
  <c r="H30" i="15"/>
  <c r="G30" i="15"/>
  <c r="F30" i="15"/>
  <c r="E30" i="15"/>
  <c r="D30" i="15"/>
  <c r="C30" i="15"/>
  <c r="B30" i="15"/>
  <c r="I26" i="15"/>
  <c r="H26" i="15"/>
  <c r="G26" i="15"/>
  <c r="F26" i="15"/>
  <c r="E26" i="15"/>
  <c r="D26" i="15"/>
  <c r="C26" i="15"/>
  <c r="B26" i="15"/>
  <c r="I21" i="15"/>
  <c r="H21" i="15"/>
  <c r="G21" i="15"/>
  <c r="F21" i="15"/>
  <c r="E21" i="15"/>
  <c r="D21" i="15"/>
  <c r="C21" i="15"/>
  <c r="B21" i="15"/>
  <c r="I17" i="15"/>
  <c r="I49" i="15" s="1"/>
  <c r="H17" i="15"/>
  <c r="H49" i="15" s="1"/>
  <c r="G17" i="15"/>
  <c r="G49" i="15" s="1"/>
  <c r="F17" i="15"/>
  <c r="F49" i="15" s="1"/>
  <c r="E17" i="15"/>
  <c r="E49" i="15" s="1"/>
  <c r="D17" i="15"/>
  <c r="D49" i="15" s="1"/>
  <c r="C17" i="15"/>
  <c r="C49" i="15" s="1"/>
  <c r="B17" i="15"/>
  <c r="B49" i="15" s="1"/>
  <c r="J90" i="14"/>
  <c r="J88" i="14"/>
  <c r="J87" i="14"/>
  <c r="C33" i="14"/>
  <c r="J90" i="12"/>
  <c r="D58" i="15" l="1"/>
  <c r="F58" i="15"/>
  <c r="E58" i="15"/>
  <c r="E87" i="14"/>
  <c r="E88" i="14"/>
  <c r="L88" i="14" s="1"/>
  <c r="L90" i="14"/>
  <c r="L86" i="14"/>
  <c r="C33" i="12"/>
  <c r="C9" i="12"/>
  <c r="F94" i="12"/>
  <c r="D94" i="12"/>
  <c r="E82" i="12"/>
  <c r="C14" i="12" s="1"/>
  <c r="F82" i="12"/>
  <c r="L87" i="14" l="1"/>
  <c r="L91" i="14"/>
  <c r="C19" i="14"/>
  <c r="L98" i="14"/>
  <c r="E69" i="10" l="1"/>
  <c r="E67" i="10"/>
  <c r="E68" i="10"/>
  <c r="E85" i="12" l="1"/>
  <c r="C26" i="12" s="1"/>
  <c r="E34" i="4"/>
  <c r="F42" i="4"/>
  <c r="F46" i="4"/>
  <c r="F47" i="4"/>
  <c r="F48" i="4"/>
  <c r="E42" i="4"/>
  <c r="E46" i="4"/>
  <c r="E47" i="4"/>
  <c r="E48" i="4"/>
  <c r="L42" i="4"/>
  <c r="L46" i="4"/>
  <c r="H46" i="4"/>
  <c r="J94" i="12" l="1"/>
  <c r="L94" i="12" s="1"/>
  <c r="L85" i="12"/>
  <c r="D97" i="12" l="1"/>
  <c r="M15" i="2"/>
  <c r="O15" i="2" s="1"/>
  <c r="M19" i="2"/>
  <c r="F15" i="2"/>
  <c r="E15" i="2"/>
  <c r="M16" i="2"/>
  <c r="O16" i="2" s="1"/>
  <c r="M17" i="2"/>
  <c r="O17" i="2" s="1"/>
  <c r="J86" i="12"/>
  <c r="E86" i="12" s="1"/>
  <c r="L86" i="12" s="1"/>
  <c r="J87" i="12"/>
  <c r="E87" i="12" s="1"/>
  <c r="J89" i="12"/>
  <c r="E90" i="12"/>
  <c r="S35" i="4"/>
  <c r="S14" i="4"/>
  <c r="S13" i="4"/>
  <c r="Q29" i="4"/>
  <c r="Q17" i="4"/>
  <c r="Q15" i="4"/>
  <c r="Q10" i="4"/>
  <c r="Q8" i="4"/>
  <c r="Q10" i="2"/>
  <c r="E53" i="10"/>
  <c r="L87" i="12" l="1"/>
  <c r="C19" i="12"/>
  <c r="L90" i="12"/>
  <c r="Q8" i="2"/>
  <c r="R14" i="5" l="1"/>
  <c r="H14" i="5"/>
  <c r="H16" i="5" s="1"/>
  <c r="P16" i="5"/>
  <c r="N16" i="5"/>
  <c r="J16" i="5"/>
  <c r="F16" i="5"/>
  <c r="F26" i="5" s="1"/>
  <c r="D16" i="5"/>
  <c r="L13" i="5"/>
  <c r="R13" i="5" s="1"/>
  <c r="R12" i="5"/>
  <c r="R10" i="5"/>
  <c r="R11" i="5"/>
  <c r="R9" i="5"/>
  <c r="D26" i="5" l="1"/>
  <c r="D28" i="5" s="1"/>
  <c r="H26" i="5"/>
  <c r="H28" i="5" s="1"/>
  <c r="L16" i="5"/>
  <c r="R16" i="5" l="1"/>
  <c r="N26" i="5"/>
  <c r="J26" i="5"/>
  <c r="R24" i="5"/>
  <c r="R22" i="5"/>
  <c r="R21" i="5"/>
  <c r="R19" i="5"/>
  <c r="I48" i="4" l="1"/>
  <c r="P15" i="4"/>
  <c r="P17" i="4"/>
  <c r="P18" i="4"/>
  <c r="P19" i="4"/>
  <c r="P22" i="4"/>
  <c r="P23" i="4"/>
  <c r="P25" i="4"/>
  <c r="P26" i="4"/>
  <c r="J48" i="4"/>
  <c r="L47" i="4"/>
  <c r="K47" i="4"/>
  <c r="H47" i="4"/>
  <c r="G47" i="4"/>
  <c r="K46" i="4"/>
  <c r="G46" i="4"/>
  <c r="J42" i="4"/>
  <c r="I42" i="4"/>
  <c r="H42" i="4"/>
  <c r="K35" i="4"/>
  <c r="J35" i="4"/>
  <c r="I35" i="4"/>
  <c r="H35" i="4"/>
  <c r="G35" i="4"/>
  <c r="F35" i="4"/>
  <c r="E35" i="4"/>
  <c r="L34" i="4"/>
  <c r="K34" i="4"/>
  <c r="J34" i="4"/>
  <c r="I34" i="4"/>
  <c r="H34" i="4"/>
  <c r="G34" i="4"/>
  <c r="F34" i="4"/>
  <c r="E20" i="4"/>
  <c r="E21" i="4"/>
  <c r="N9" i="2"/>
  <c r="N11" i="2"/>
  <c r="N13" i="2"/>
  <c r="N14" i="2"/>
  <c r="N18" i="2"/>
  <c r="N20" i="2"/>
  <c r="N24" i="2"/>
  <c r="N26" i="2"/>
  <c r="N28" i="2"/>
  <c r="N30" i="2"/>
  <c r="I14" i="4"/>
  <c r="K29" i="2"/>
  <c r="I29" i="2"/>
  <c r="H29" i="2"/>
  <c r="F29" i="2"/>
  <c r="K8" i="2"/>
  <c r="J8" i="2"/>
  <c r="I8" i="2"/>
  <c r="G8" i="2"/>
  <c r="F8" i="2"/>
  <c r="E8" i="2"/>
  <c r="E16" i="10" l="1"/>
  <c r="J92" i="12"/>
  <c r="E28" i="10"/>
  <c r="E21" i="10"/>
  <c r="E18" i="10"/>
  <c r="J93" i="12"/>
  <c r="J94" i="14"/>
  <c r="J101" i="14" s="1"/>
  <c r="E27" i="10"/>
  <c r="J92" i="14"/>
  <c r="J91" i="12"/>
  <c r="E17" i="10"/>
  <c r="F25" i="2"/>
  <c r="E29" i="2"/>
  <c r="E70" i="10"/>
  <c r="E71" i="10" s="1"/>
  <c r="O42" i="4"/>
  <c r="Q42" i="4" s="1"/>
  <c r="J89" i="14" s="1"/>
  <c r="E10" i="10"/>
  <c r="G29" i="2"/>
  <c r="G25" i="2"/>
  <c r="J29" i="2"/>
  <c r="H8" i="2"/>
  <c r="H25" i="2"/>
  <c r="K25" i="2"/>
  <c r="K50" i="4"/>
  <c r="G42" i="4"/>
  <c r="O47" i="4"/>
  <c r="Q47" i="4" s="1"/>
  <c r="L48" i="4"/>
  <c r="L50" i="4" s="1"/>
  <c r="L13" i="4"/>
  <c r="G48" i="4"/>
  <c r="G50" i="4" s="1"/>
  <c r="L35" i="4"/>
  <c r="L37" i="4" s="1"/>
  <c r="K42" i="4"/>
  <c r="I46" i="4"/>
  <c r="I47" i="4"/>
  <c r="H48" i="4"/>
  <c r="H50" i="4" s="1"/>
  <c r="J46" i="4"/>
  <c r="J47" i="4"/>
  <c r="G37" i="4"/>
  <c r="J37" i="4"/>
  <c r="I37" i="4"/>
  <c r="E24" i="4"/>
  <c r="H37" i="4"/>
  <c r="K37" i="4"/>
  <c r="E37" i="4"/>
  <c r="F37" i="4"/>
  <c r="I25" i="2"/>
  <c r="J25" i="2"/>
  <c r="E25" i="2"/>
  <c r="K89" i="14" l="1"/>
  <c r="E89" i="14"/>
  <c r="E92" i="12"/>
  <c r="C15" i="12" s="1"/>
  <c r="E29" i="10"/>
  <c r="E30" i="10" s="1"/>
  <c r="G91" i="12"/>
  <c r="C40" i="12" s="1"/>
  <c r="C43" i="12" s="1"/>
  <c r="E19" i="10"/>
  <c r="E23" i="10" s="1"/>
  <c r="G92" i="14"/>
  <c r="G97" i="14" s="1"/>
  <c r="J88" i="12"/>
  <c r="E88" i="12" s="1"/>
  <c r="G10" i="2"/>
  <c r="G12" i="2" s="1"/>
  <c r="E10" i="2"/>
  <c r="E12" i="2" s="1"/>
  <c r="M29" i="2"/>
  <c r="O29" i="2" s="1"/>
  <c r="F10" i="2"/>
  <c r="F12" i="2" s="1"/>
  <c r="M8" i="2"/>
  <c r="K17" i="2"/>
  <c r="J17" i="2"/>
  <c r="H17" i="2"/>
  <c r="K10" i="2"/>
  <c r="K12" i="2" s="1"/>
  <c r="F17" i="2"/>
  <c r="G15" i="2"/>
  <c r="I16" i="2"/>
  <c r="E11" i="10"/>
  <c r="O35" i="4"/>
  <c r="Q35" i="4" s="1"/>
  <c r="O46" i="4"/>
  <c r="Q46" i="4" s="1"/>
  <c r="K16" i="2"/>
  <c r="J10" i="2"/>
  <c r="J12" i="2" s="1"/>
  <c r="O34" i="4"/>
  <c r="Q34" i="4" s="1"/>
  <c r="I10" i="2"/>
  <c r="I12" i="2" s="1"/>
  <c r="H16" i="2"/>
  <c r="K15" i="2"/>
  <c r="J15" i="2"/>
  <c r="G16" i="2"/>
  <c r="H52" i="4"/>
  <c r="K52" i="4"/>
  <c r="G52" i="4"/>
  <c r="L52" i="4"/>
  <c r="P42" i="4"/>
  <c r="E50" i="4"/>
  <c r="E52" i="4" s="1"/>
  <c r="P48" i="4"/>
  <c r="I50" i="4"/>
  <c r="I52" i="4" s="1"/>
  <c r="F50" i="4"/>
  <c r="F52" i="4" s="1"/>
  <c r="J50" i="4"/>
  <c r="J52" i="4" s="1"/>
  <c r="P47" i="4"/>
  <c r="E16" i="2"/>
  <c r="H15" i="2"/>
  <c r="F16" i="2"/>
  <c r="Q50" i="4" l="1"/>
  <c r="O8" i="2"/>
  <c r="E54" i="10" s="1"/>
  <c r="E55" i="10" s="1"/>
  <c r="E31" i="10"/>
  <c r="J85" i="14"/>
  <c r="E85" i="14" s="1"/>
  <c r="L85" i="14" s="1"/>
  <c r="P34" i="4"/>
  <c r="J84" i="14"/>
  <c r="K84" i="14" s="1"/>
  <c r="L93" i="14"/>
  <c r="L91" i="12"/>
  <c r="L92" i="12"/>
  <c r="L20" i="19"/>
  <c r="C15" i="14"/>
  <c r="L92" i="14"/>
  <c r="L88" i="12"/>
  <c r="C17" i="12"/>
  <c r="C17" i="14"/>
  <c r="L89" i="14"/>
  <c r="J84" i="12"/>
  <c r="E84" i="12" s="1"/>
  <c r="I17" i="2"/>
  <c r="H10" i="2"/>
  <c r="H12" i="2" s="1"/>
  <c r="N29" i="2"/>
  <c r="N8" i="2"/>
  <c r="E17" i="2"/>
  <c r="E61" i="10"/>
  <c r="E12" i="10"/>
  <c r="E13" i="10" s="1"/>
  <c r="E14" i="10" s="1"/>
  <c r="O50" i="4"/>
  <c r="P35" i="4"/>
  <c r="P46" i="4"/>
  <c r="F19" i="2"/>
  <c r="O37" i="4"/>
  <c r="P37" i="4" s="1"/>
  <c r="J16" i="2"/>
  <c r="J19" i="2" s="1"/>
  <c r="J23" i="2" s="1"/>
  <c r="I15" i="2"/>
  <c r="N15" i="2" s="1"/>
  <c r="K19" i="2"/>
  <c r="K23" i="2" s="1"/>
  <c r="G17" i="2"/>
  <c r="G19" i="2" s="1"/>
  <c r="G23" i="2" s="1"/>
  <c r="H19" i="2"/>
  <c r="K85" i="14" l="1"/>
  <c r="E7" i="10"/>
  <c r="E8" i="10" s="1"/>
  <c r="Q37" i="4"/>
  <c r="Q52" i="4" s="1"/>
  <c r="C25" i="14"/>
  <c r="E19" i="2"/>
  <c r="E23" i="2" s="1"/>
  <c r="E27" i="2" s="1"/>
  <c r="E31" i="2" s="1"/>
  <c r="N17" i="2"/>
  <c r="L26" i="5"/>
  <c r="L28" i="5" s="1"/>
  <c r="R20" i="19"/>
  <c r="L26" i="19"/>
  <c r="L33" i="19" s="1"/>
  <c r="K81" i="14"/>
  <c r="J80" i="12"/>
  <c r="J83" i="12"/>
  <c r="E83" i="12" s="1"/>
  <c r="E84" i="14"/>
  <c r="L84" i="12"/>
  <c r="C25" i="12"/>
  <c r="N16" i="2"/>
  <c r="F23" i="2"/>
  <c r="F27" i="2" s="1"/>
  <c r="F31" i="2" s="1"/>
  <c r="H23" i="2"/>
  <c r="H27" i="2" s="1"/>
  <c r="H31" i="2" s="1"/>
  <c r="I19" i="2"/>
  <c r="I23" i="2" s="1"/>
  <c r="I27" i="2" s="1"/>
  <c r="I31" i="2" s="1"/>
  <c r="M25" i="2"/>
  <c r="O25" i="2" s="1"/>
  <c r="E72" i="10" s="1"/>
  <c r="M10" i="2"/>
  <c r="O10" i="2" s="1"/>
  <c r="E62" i="10" s="1"/>
  <c r="O52" i="4"/>
  <c r="K27" i="2"/>
  <c r="K31" i="2" s="1"/>
  <c r="F21" i="2"/>
  <c r="G27" i="2"/>
  <c r="G31" i="2" s="1"/>
  <c r="G21" i="2"/>
  <c r="K21" i="2"/>
  <c r="J27" i="2"/>
  <c r="J31" i="2" s="1"/>
  <c r="J21" i="2"/>
  <c r="H21" i="2"/>
  <c r="L20" i="4"/>
  <c r="O20" i="4"/>
  <c r="Q20" i="4" s="1"/>
  <c r="J82" i="14" s="1"/>
  <c r="F20" i="4"/>
  <c r="I20" i="4"/>
  <c r="K20" i="4"/>
  <c r="K11" i="4"/>
  <c r="G20" i="4"/>
  <c r="G11" i="4"/>
  <c r="L11" i="4"/>
  <c r="H20" i="4"/>
  <c r="H11" i="4"/>
  <c r="F11" i="4"/>
  <c r="I11" i="4"/>
  <c r="J20" i="4"/>
  <c r="J11" i="4"/>
  <c r="G12" i="4"/>
  <c r="H12" i="4"/>
  <c r="I13" i="4"/>
  <c r="J21" i="4"/>
  <c r="E12" i="4"/>
  <c r="I21" i="4"/>
  <c r="I12" i="4"/>
  <c r="J13" i="4"/>
  <c r="K14" i="4"/>
  <c r="L12" i="4"/>
  <c r="K21" i="4"/>
  <c r="E13" i="4"/>
  <c r="L14" i="4"/>
  <c r="J12" i="4"/>
  <c r="L21" i="4"/>
  <c r="H13" i="4"/>
  <c r="K12" i="4"/>
  <c r="E14" i="4"/>
  <c r="O21" i="4"/>
  <c r="Q21" i="4" s="1"/>
  <c r="F21" i="4"/>
  <c r="F13" i="4"/>
  <c r="F14" i="4"/>
  <c r="G14" i="4"/>
  <c r="G21" i="4"/>
  <c r="F12" i="4"/>
  <c r="G13" i="4"/>
  <c r="H14" i="4"/>
  <c r="O11" i="4"/>
  <c r="H21" i="4"/>
  <c r="Q11" i="4" l="1"/>
  <c r="J78" i="14" s="1"/>
  <c r="E21" i="2"/>
  <c r="P14" i="4"/>
  <c r="J83" i="14"/>
  <c r="E24" i="10"/>
  <c r="P12" i="4"/>
  <c r="L28" i="19"/>
  <c r="E80" i="12"/>
  <c r="C23" i="12" s="1"/>
  <c r="E81" i="14"/>
  <c r="C23" i="14" s="1"/>
  <c r="J77" i="12"/>
  <c r="E80" i="14"/>
  <c r="J79" i="12"/>
  <c r="E79" i="12" s="1"/>
  <c r="J82" i="12"/>
  <c r="J81" i="12"/>
  <c r="E81" i="12" s="1"/>
  <c r="J78" i="12"/>
  <c r="C24" i="14"/>
  <c r="L84" i="14"/>
  <c r="C24" i="12"/>
  <c r="L83" i="12"/>
  <c r="J24" i="4"/>
  <c r="N19" i="2"/>
  <c r="O12" i="2"/>
  <c r="N10" i="2"/>
  <c r="I21" i="2"/>
  <c r="M12" i="2"/>
  <c r="N12" i="2" s="1"/>
  <c r="N25" i="2"/>
  <c r="O16" i="4"/>
  <c r="P20" i="4"/>
  <c r="P13" i="4"/>
  <c r="P21" i="4"/>
  <c r="P11" i="4"/>
  <c r="I24" i="4"/>
  <c r="F24" i="4"/>
  <c r="H24" i="4"/>
  <c r="O24" i="4"/>
  <c r="Q24" i="4" s="1"/>
  <c r="L24" i="4"/>
  <c r="G24" i="4"/>
  <c r="K24" i="4"/>
  <c r="L16" i="4"/>
  <c r="I16" i="4"/>
  <c r="F16" i="4"/>
  <c r="G16" i="4"/>
  <c r="E16" i="4"/>
  <c r="E27" i="4" s="1"/>
  <c r="E54" i="4" s="1"/>
  <c r="H16" i="4"/>
  <c r="K16" i="4"/>
  <c r="J16" i="4"/>
  <c r="K78" i="14" l="1"/>
  <c r="I78" i="14"/>
  <c r="Q16" i="4"/>
  <c r="Q27" i="4"/>
  <c r="Q54" i="4" s="1"/>
  <c r="E82" i="14"/>
  <c r="C16" i="14" s="1"/>
  <c r="K82" i="14"/>
  <c r="L83" i="14"/>
  <c r="K83" i="14"/>
  <c r="F79" i="14"/>
  <c r="K79" i="14"/>
  <c r="L81" i="14"/>
  <c r="L80" i="12"/>
  <c r="L81" i="12"/>
  <c r="C16" i="12"/>
  <c r="C22" i="12"/>
  <c r="L79" i="12"/>
  <c r="L80" i="14"/>
  <c r="C22" i="14"/>
  <c r="D49" i="14"/>
  <c r="E96" i="12"/>
  <c r="I77" i="12"/>
  <c r="I96" i="12" s="1"/>
  <c r="D48" i="12"/>
  <c r="F78" i="12"/>
  <c r="O27" i="4"/>
  <c r="O54" i="4" s="1"/>
  <c r="L82" i="12"/>
  <c r="M21" i="2"/>
  <c r="L27" i="4"/>
  <c r="L54" i="4" s="1"/>
  <c r="M23" i="2"/>
  <c r="O19" i="2"/>
  <c r="P16" i="4"/>
  <c r="P24" i="4"/>
  <c r="G27" i="4"/>
  <c r="G54" i="4" s="1"/>
  <c r="J27" i="4"/>
  <c r="J54" i="4" s="1"/>
  <c r="H27" i="4"/>
  <c r="H54" i="4" s="1"/>
  <c r="I27" i="4"/>
  <c r="I54" i="4" s="1"/>
  <c r="K27" i="4"/>
  <c r="K54" i="4" s="1"/>
  <c r="F27" i="4"/>
  <c r="F54" i="4" s="1"/>
  <c r="L82" i="14" l="1"/>
  <c r="C32" i="14"/>
  <c r="F97" i="14"/>
  <c r="C35" i="14" s="1"/>
  <c r="L79" i="14"/>
  <c r="C28" i="12"/>
  <c r="I97" i="14"/>
  <c r="L78" i="14"/>
  <c r="F96" i="12"/>
  <c r="C35" i="12" s="1"/>
  <c r="C32" i="12"/>
  <c r="L77" i="12"/>
  <c r="L78" i="12"/>
  <c r="O23" i="2"/>
  <c r="O27" i="2" s="1"/>
  <c r="O31" i="2" s="1"/>
  <c r="J96" i="14" s="1"/>
  <c r="O21" i="2"/>
  <c r="M27" i="2"/>
  <c r="N23" i="2"/>
  <c r="P27" i="4"/>
  <c r="E96" i="14" l="1"/>
  <c r="E97" i="14" s="1"/>
  <c r="J97" i="14"/>
  <c r="P18" i="19"/>
  <c r="C45" i="12"/>
  <c r="C48" i="12" s="1"/>
  <c r="E48" i="12" s="1"/>
  <c r="P18" i="5"/>
  <c r="J95" i="12"/>
  <c r="L95" i="12" s="1"/>
  <c r="M31" i="2"/>
  <c r="N31" i="2" s="1"/>
  <c r="N27" i="2"/>
  <c r="R18" i="5" l="1"/>
  <c r="R26" i="5" s="1"/>
  <c r="R29" i="5" s="1"/>
  <c r="P26" i="5"/>
  <c r="P28" i="5" s="1"/>
  <c r="L97" i="14"/>
  <c r="C9" i="14"/>
  <c r="C28" i="14" s="1"/>
  <c r="C46" i="14" s="1"/>
  <c r="C49" i="14" s="1"/>
  <c r="E49" i="14" s="1"/>
  <c r="L96" i="14"/>
  <c r="R18" i="19"/>
  <c r="R26" i="19" s="1"/>
  <c r="P26" i="19"/>
  <c r="P33" i="19" s="1"/>
  <c r="J96" i="12"/>
  <c r="E99" i="14" l="1"/>
  <c r="P28" i="19"/>
  <c r="L89" i="12"/>
  <c r="L97" i="12" l="1"/>
  <c r="E98" i="12"/>
  <c r="E99" i="12" s="1"/>
  <c r="L96" i="12"/>
  <c r="J27" i="19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E83" authorId="0" shapeId="0" xr:uid="{2CF5960C-66EA-4A93-9EEE-C7182740D8A3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depritiation</t>
        </r>
      </text>
    </comment>
    <comment ref="F83" authorId="0" shapeId="0" xr:uid="{1E87057B-C5B5-47E3-B4EB-CF0156D3311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Assets purchases
from GL</t>
        </r>
      </text>
    </comment>
    <comment ref="D95" authorId="0" shapeId="0" xr:uid="{157F81FD-EA61-4856-9996-8181BF9D8330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retained earnings are 11091 USD on NS, 10806 on sighed statements.
Add last FY REV to this balance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H16" authorId="0" shapeId="0" xr:uid="{E98E8B07-2D86-476C-B105-46D5265C4BF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לוודא שהמספר נכון</t>
        </r>
      </text>
    </comment>
    <comment ref="H22" authorId="0" shapeId="0" xr:uid="{4E8D9334-56A5-4BC6-BF53-22217888B845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Soc-Gen excersized warrants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24" authorId="0" shapeId="0" xr:uid="{AEB51F43-3612-4848-AA3C-A5800EFA5737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32" authorId="0" shapeId="0" xr:uid="{81170CB6-A94B-45B8-8EC0-C6CFAB8AA79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column C on "B&amp;S Valuation Records" spread sheet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D77" authorId="0" shapeId="0" xr:uid="{09CEEA00-F92C-4D38-8AC0-95130F3E5B08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27,388 NS</t>
        </r>
      </text>
    </comment>
    <comment ref="E77" authorId="0" shapeId="0" xr:uid="{70283B9B-CDF3-430F-8C0F-E86D98303A84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DIFF from open balance</t>
        </r>
      </text>
    </comment>
    <comment ref="E82" authorId="0" shapeId="0" xr:uid="{3FB30BBE-F8A7-4797-BF2D-00BC7031BE08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depritiation</t>
        </r>
      </text>
    </comment>
    <comment ref="F82" authorId="0" shapeId="0" xr:uid="{08132F21-7FAE-4CEB-AA07-0D80AA269822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Assets purchases
from GL</t>
        </r>
      </text>
    </comment>
    <comment ref="H93" authorId="0" shapeId="0" xr:uid="{ABF2CFC4-6548-4A2B-9F5F-581B7BD9989C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What is it for?</t>
        </r>
      </text>
    </comment>
    <comment ref="D94" authorId="0" shapeId="0" xr:uid="{09BEA4B9-3708-4466-B123-EFA04D9BA1AB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retained earnings are 11091 USD on NS, 10806 on sighed statements.
Add last FY REV to this balance </t>
        </r>
      </text>
    </comment>
    <comment ref="F94" authorId="0" shapeId="0" xr:uid="{7642A2F4-0050-42C6-B838-86451F1E6F3F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diff NS and signed reports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</authors>
  <commentList>
    <comment ref="H16" authorId="0" shapeId="0" xr:uid="{1640D3FF-E95C-42EF-B6EC-851029411D31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לוודא שהמספר נכון</t>
        </r>
      </text>
    </comment>
    <comment ref="H22" authorId="0" shapeId="0" xr:uid="{3F61A7EA-E378-47BA-AF66-90351EF3E7DE}">
      <text>
        <r>
          <rPr>
            <b/>
            <sz val="9"/>
            <color indexed="81"/>
            <rFont val="Tahoma"/>
            <family val="2"/>
          </rPr>
          <t>ASUS:</t>
        </r>
        <r>
          <rPr>
            <sz val="9"/>
            <color indexed="81"/>
            <rFont val="Tahoma"/>
            <family val="2"/>
          </rPr>
          <t xml:space="preserve">
Soc-Gen excersized warrants</t>
        </r>
      </text>
    </comment>
  </commentList>
</comments>
</file>

<file path=xl/sharedStrings.xml><?xml version="1.0" encoding="utf-8"?>
<sst xmlns="http://schemas.openxmlformats.org/spreadsheetml/2006/main" count="2237" uniqueCount="885">
  <si>
    <t>Wematch.live R&amp;D LTD</t>
  </si>
  <si>
    <t>Wematch.live R&amp;D LTD (Consolidated)</t>
  </si>
  <si>
    <t>WM INCOME STATEMENT</t>
  </si>
  <si>
    <t>From Jan 2022 to Dec 2022</t>
  </si>
  <si>
    <t/>
  </si>
  <si>
    <t>Financial Row</t>
  </si>
  <si>
    <t>WEMATCH.SUPPORT US INC.</t>
  </si>
  <si>
    <t>Wematch EQD LTD</t>
  </si>
  <si>
    <t>Wematch Interest rate LTD</t>
  </si>
  <si>
    <t>Wematch Securities. Financing LTD [IL]</t>
  </si>
  <si>
    <t>Wematch.Securities Financing LTD</t>
  </si>
  <si>
    <t>Wematch.live Tech Support Europe</t>
  </si>
  <si>
    <t>Total</t>
  </si>
  <si>
    <t> </t>
  </si>
  <si>
    <t>Amount</t>
  </si>
  <si>
    <t>Gross Income</t>
  </si>
  <si>
    <t>TRS</t>
  </si>
  <si>
    <t>SBL</t>
  </si>
  <si>
    <t>Interest rate</t>
  </si>
  <si>
    <t>Equity Derivative</t>
  </si>
  <si>
    <t>Total Gross Income</t>
  </si>
  <si>
    <t>Revenue Shared With Regulated Broker Dealer</t>
  </si>
  <si>
    <t>45000 - Revenues shared to third parties</t>
  </si>
  <si>
    <t>45002 - Commission Shared with third party</t>
  </si>
  <si>
    <t>45001 - IS IN</t>
  </si>
  <si>
    <t>45003 - Non Reclaimable VAT</t>
  </si>
  <si>
    <t>Total - 45000 - Revenues shared to third parties</t>
  </si>
  <si>
    <t>Total Revenue Shared With Regulated Broker Dealer</t>
  </si>
  <si>
    <t>Net Income</t>
  </si>
  <si>
    <t>Cost Of Sales</t>
  </si>
  <si>
    <t>50000 - COGS expenses</t>
  </si>
  <si>
    <t>50100 - Payroll and Related expenses [COGS]</t>
  </si>
  <si>
    <t>50101 - COGS Gross Salaries</t>
  </si>
  <si>
    <t>50105 - COGS Employer taxes</t>
  </si>
  <si>
    <t>50107 - COGS Benefits</t>
  </si>
  <si>
    <t>50108 - COGS Employee stock-based compensation</t>
  </si>
  <si>
    <t>Total - 50100 - Payroll and Related expenses [COGS]</t>
  </si>
  <si>
    <t>51000 - Pyroll Taxes [COGS]</t>
  </si>
  <si>
    <t>51001 - Social Security</t>
  </si>
  <si>
    <t>51002 - Participation in vocational training</t>
  </si>
  <si>
    <t>51003 - Medical Insurance</t>
  </si>
  <si>
    <t>Total - 51000 - Pyroll Taxes [COGS]</t>
  </si>
  <si>
    <t>51100 - Other Payroll related cost [COGS]</t>
  </si>
  <si>
    <t>51101 - Pension Contribution [COGS]</t>
  </si>
  <si>
    <t>Total - 51100 - Other Payroll related cost [COGS]</t>
  </si>
  <si>
    <t>50400 - COGS Hosting</t>
  </si>
  <si>
    <t>50402 - AWS</t>
  </si>
  <si>
    <t>50401 - COGS Hosting exp.</t>
  </si>
  <si>
    <t>Total - 50400 - COGS Hosting</t>
  </si>
  <si>
    <t>50300 - COGS Tools/ Systems</t>
  </si>
  <si>
    <t>50301 - COGS Tools</t>
  </si>
  <si>
    <t>Total - 50300 - COGS Tools/ Systems</t>
  </si>
  <si>
    <t>51110 - Recruiting Fees</t>
  </si>
  <si>
    <t>Total - 50000 - COGS expenses</t>
  </si>
  <si>
    <t>61200 - Benefits - Financial</t>
  </si>
  <si>
    <t>61203 - Benefits</t>
  </si>
  <si>
    <t>61118 - Medical Insurance</t>
  </si>
  <si>
    <t>Total - 61200 - Benefits - Financial</t>
  </si>
  <si>
    <t>69000 - Depreciation &amp; Amortization</t>
  </si>
  <si>
    <t>69001 - Depr. - Computers &amp; Software Licenses</t>
  </si>
  <si>
    <t>69003 - Depr. - Electric &amp; Office Equipment</t>
  </si>
  <si>
    <t>69002 - Depr. - Furniture and Fixtures</t>
  </si>
  <si>
    <t>Total - 69000 - Depreciation &amp; Amortization</t>
  </si>
  <si>
    <t>67000 - IT, Rent, &amp; Office Expenses</t>
  </si>
  <si>
    <t>67500 - Insurance</t>
  </si>
  <si>
    <t>67504 - Life / Risk insurance</t>
  </si>
  <si>
    <t>Total - 67500 - Insurance</t>
  </si>
  <si>
    <t>67400 - Other Office Expenses</t>
  </si>
  <si>
    <t>67402 - Office Food</t>
  </si>
  <si>
    <t>67401 - Office Supplies</t>
  </si>
  <si>
    <t>Total - 67400 - Other Office Expenses</t>
  </si>
  <si>
    <t>67100 - Rent Expenses</t>
  </si>
  <si>
    <t>67101 - Office rent</t>
  </si>
  <si>
    <t>Total - 67100 - Rent Expenses</t>
  </si>
  <si>
    <t>67300 - Software &amp; Equipment</t>
  </si>
  <si>
    <t>62105 - Communication</t>
  </si>
  <si>
    <t>67301 - IT Equipment (non-capitalizable)</t>
  </si>
  <si>
    <t>67303 - IT services</t>
  </si>
  <si>
    <t>Total - 67300 - Software &amp; Equipment</t>
  </si>
  <si>
    <t>Total - 67000 - IT, Rent, &amp; Office Expenses</t>
  </si>
  <si>
    <t>61400 - Payroll Services</t>
  </si>
  <si>
    <t>61401 - Payroll processing fees</t>
  </si>
  <si>
    <t>Total - 61400 - Payroll Services</t>
  </si>
  <si>
    <t>61100 - Payroll Taxes</t>
  </si>
  <si>
    <t>61101 - Employer taxes</t>
  </si>
  <si>
    <t>Total - 61100 - Payroll Taxes</t>
  </si>
  <si>
    <t>61000 - Salaries &amp; Wages</t>
  </si>
  <si>
    <t>61700 - Team Events &amp; Welfare</t>
  </si>
  <si>
    <t>61701 - Employee gifts</t>
  </si>
  <si>
    <t>61703 - Employee meals</t>
  </si>
  <si>
    <t>61705 - Team events</t>
  </si>
  <si>
    <t>Total - 61700 - Team Events &amp; Welfare</t>
  </si>
  <si>
    <t>Total - 61000 - Salaries &amp; Wages</t>
  </si>
  <si>
    <t>Total - Cost Of Sales</t>
  </si>
  <si>
    <t>Gross Profit</t>
  </si>
  <si>
    <t>Gross Profit as % of Gross Income</t>
  </si>
  <si>
    <t>Operation Expense</t>
  </si>
  <si>
    <t>- No Department -</t>
  </si>
  <si>
    <t>Total - No Department -</t>
  </si>
  <si>
    <t>R&amp;D</t>
  </si>
  <si>
    <t>Product</t>
  </si>
  <si>
    <t>61001 - Gross Salaries</t>
  </si>
  <si>
    <t>61003 - Vacation expenses</t>
  </si>
  <si>
    <t>61702 - Company events</t>
  </si>
  <si>
    <t>61704 - Onboarding new employee</t>
  </si>
  <si>
    <t>61105 - Gift value - Debit</t>
  </si>
  <si>
    <t>61106 - Gift value - Credit</t>
  </si>
  <si>
    <t>61107 - Imputation of benefits - Debit</t>
  </si>
  <si>
    <t>61108 - Imputation of benefits - Credit</t>
  </si>
  <si>
    <t>61109 - Education fund Imputation - Debit</t>
  </si>
  <si>
    <t>61110 - Education fund Imputation - Credit</t>
  </si>
  <si>
    <t>61111 - Meals value - Debit</t>
  </si>
  <si>
    <t>61112 - Meals value - Credit</t>
  </si>
  <si>
    <t>61201 - Keren Hishtalmut</t>
  </si>
  <si>
    <t>61205 - Pension contributions</t>
  </si>
  <si>
    <t>61206 - Post Employee Benefits expenses</t>
  </si>
  <si>
    <t>61300 - Stock-Based Compensation</t>
  </si>
  <si>
    <t>61301 - Employee stock-based compensation</t>
  </si>
  <si>
    <t>Total - 61300 - Stock-Based Compensation</t>
  </si>
  <si>
    <t>61500 - Recruiting</t>
  </si>
  <si>
    <t>61501 - Job posting</t>
  </si>
  <si>
    <t>61502 - Placement fees</t>
  </si>
  <si>
    <t>Total - 61500 - Recruiting</t>
  </si>
  <si>
    <t>61600 - Professional Development</t>
  </si>
  <si>
    <t>61602 - Training &amp; courses</t>
  </si>
  <si>
    <t>Total - 61600 - Professional Development</t>
  </si>
  <si>
    <t>62000 - Travel and Entertainment</t>
  </si>
  <si>
    <t>62100 - Travel &amp; Entertainment</t>
  </si>
  <si>
    <t>62101 - Airfare</t>
  </si>
  <si>
    <t>62102 - Lodging</t>
  </si>
  <si>
    <t>62103 - Ground Transportation</t>
  </si>
  <si>
    <t>62106 - Other Travel expenses</t>
  </si>
  <si>
    <t>62107 - Meals &amp; Entertainment (T&amp;E)</t>
  </si>
  <si>
    <t>Total - 62100 - Travel &amp; Entertainment</t>
  </si>
  <si>
    <t>Total - 62000 - Travel and Entertainment</t>
  </si>
  <si>
    <t>66000 - Professional Services</t>
  </si>
  <si>
    <t>66100 - Consulting</t>
  </si>
  <si>
    <t>66101 - Reccuring Consultants &amp; Subcontractors</t>
  </si>
  <si>
    <t>Total - 66100 - Consulting</t>
  </si>
  <si>
    <t>Total - 66000 - Professional Services</t>
  </si>
  <si>
    <t>67302 - Cloud services</t>
  </si>
  <si>
    <t>Total - Product</t>
  </si>
  <si>
    <t>Technology</t>
  </si>
  <si>
    <t>61002 - Reserve duty receipts</t>
  </si>
  <si>
    <t>61009 - Allowances and miscellaneous benefits</t>
  </si>
  <si>
    <t>61102 - Workers Compensation</t>
  </si>
  <si>
    <t>61117 - Participation in vocational training</t>
  </si>
  <si>
    <t>65000 - Hosting</t>
  </si>
  <si>
    <t>65001 - Hosting exp.</t>
  </si>
  <si>
    <t>Total - 65000 - Hosting</t>
  </si>
  <si>
    <t>66102 - Onetime Consultants</t>
  </si>
  <si>
    <t>67104 - Parking</t>
  </si>
  <si>
    <t>Total - Technology</t>
  </si>
  <si>
    <t>Total - R&amp;D</t>
  </si>
  <si>
    <t>S&amp;M</t>
  </si>
  <si>
    <t>Sales</t>
  </si>
  <si>
    <t>61011 - Gross Salaries (Directors' salaries)</t>
  </si>
  <si>
    <t>64000 - Tools/ systmes</t>
  </si>
  <si>
    <t>64001 - Tools</t>
  </si>
  <si>
    <t>64002 - Communication</t>
  </si>
  <si>
    <t>Total - 64000 - Tools/ systmes</t>
  </si>
  <si>
    <t>67200 - Other Facility Expense</t>
  </si>
  <si>
    <t>67201 - Utilities</t>
  </si>
  <si>
    <t>Total - 67200 - Other Facility Expense</t>
  </si>
  <si>
    <t>67406 - Other office expenses</t>
  </si>
  <si>
    <t>67407 - Buisness meals</t>
  </si>
  <si>
    <t>68000 - Other Operating Expenses</t>
  </si>
  <si>
    <t>68001 - Filing Fees &amp; Licenses</t>
  </si>
  <si>
    <t>68002 - Other Operating Exp</t>
  </si>
  <si>
    <t>Total - 68000 - Other Operating Expenses</t>
  </si>
  <si>
    <t>Total - Sales</t>
  </si>
  <si>
    <t>Marketing</t>
  </si>
  <si>
    <t>63000 - Marketing expenses</t>
  </si>
  <si>
    <t>63003 - Marketing Conferences</t>
  </si>
  <si>
    <t>63004 - Content</t>
  </si>
  <si>
    <t>63006 - Other Marketing</t>
  </si>
  <si>
    <t>Total - 63000 - Marketing expenses</t>
  </si>
  <si>
    <t>Total - Marketing</t>
  </si>
  <si>
    <t>Total - S&amp;M</t>
  </si>
  <si>
    <t>G&amp;A</t>
  </si>
  <si>
    <t>Finance</t>
  </si>
  <si>
    <t>66200 - Accounting &amp; Finance</t>
  </si>
  <si>
    <t>66201 - Audit, tax and accounting Services</t>
  </si>
  <si>
    <t>Total - 66200 - Accounting &amp; Finance</t>
  </si>
  <si>
    <t>67505 - Other Insurance</t>
  </si>
  <si>
    <t>Total - Finance</t>
  </si>
  <si>
    <t>Legal</t>
  </si>
  <si>
    <t>66300 - Legal</t>
  </si>
  <si>
    <t>66301 - Corporate</t>
  </si>
  <si>
    <t>66302 - Commercial</t>
  </si>
  <si>
    <t>66303 - Privacy and compliance</t>
  </si>
  <si>
    <t>66304 - Patents and IP</t>
  </si>
  <si>
    <t>66305 - Other legal exp.</t>
  </si>
  <si>
    <t>Total - 66300 - Legal</t>
  </si>
  <si>
    <t>67502 - Commercial General Liability</t>
  </si>
  <si>
    <t>68003 - Relocation Expenses</t>
  </si>
  <si>
    <t>Total - Legal</t>
  </si>
  <si>
    <t>HR</t>
  </si>
  <si>
    <t>Total - HR</t>
  </si>
  <si>
    <t>General</t>
  </si>
  <si>
    <t>67405 - Vendor and client gifts</t>
  </si>
  <si>
    <t>Total - General</t>
  </si>
  <si>
    <t>Total - G&amp;A</t>
  </si>
  <si>
    <t>Total Operation Expense</t>
  </si>
  <si>
    <t>Earning/(Loss) Before Interest &amp; Tax</t>
  </si>
  <si>
    <t>Financial Income/(Expenses)</t>
  </si>
  <si>
    <t>Financial Income</t>
  </si>
  <si>
    <t>71000 - Financing income</t>
  </si>
  <si>
    <t>71004 - Interest Income</t>
  </si>
  <si>
    <t>Total - 71000 - Financing income</t>
  </si>
  <si>
    <t>Total Financial Income</t>
  </si>
  <si>
    <t>Financial expenses</t>
  </si>
  <si>
    <t>Rounding Gain/Loss</t>
  </si>
  <si>
    <t>Unrealized Gain/Loss</t>
  </si>
  <si>
    <t>Unrealized Matching Gain/Loss</t>
  </si>
  <si>
    <t>81000 - Financing expenses</t>
  </si>
  <si>
    <t>81003 - Institutions fines</t>
  </si>
  <si>
    <t>81002 - CC Commisions</t>
  </si>
  <si>
    <t>81001 - Bank Charges</t>
  </si>
  <si>
    <t>Total - 81000 - Financing expenses</t>
  </si>
  <si>
    <t>72001 - FX Gain/Loss- realized</t>
  </si>
  <si>
    <t>Total Financial expenses</t>
  </si>
  <si>
    <t>Total Financial Income/(Expenses)</t>
  </si>
  <si>
    <t>Net Income Before Tax</t>
  </si>
  <si>
    <t>Tax on Income</t>
  </si>
  <si>
    <t>80000 - Taxes</t>
  </si>
  <si>
    <t>80001 - Tax on Income</t>
  </si>
  <si>
    <t>Total - 80000 - Taxes</t>
  </si>
  <si>
    <t>Total - Tax on Income</t>
  </si>
  <si>
    <t>Revenues</t>
  </si>
  <si>
    <t>INDEX</t>
  </si>
  <si>
    <t>Cost of Revenues</t>
  </si>
  <si>
    <t>Gross profit</t>
  </si>
  <si>
    <t>WUS- INC</t>
  </si>
  <si>
    <t xml:space="preserve"> EQD</t>
  </si>
  <si>
    <t>WSF- LTD [IL]</t>
  </si>
  <si>
    <t>WSF LTD</t>
  </si>
  <si>
    <t xml:space="preserve">R&amp;D </t>
  </si>
  <si>
    <t>WTSE</t>
  </si>
  <si>
    <t>WIR</t>
  </si>
  <si>
    <t>Operating expenses:</t>
  </si>
  <si>
    <t>Loss Before Taxes On Income</t>
  </si>
  <si>
    <t xml:space="preserve">Net Loss </t>
  </si>
  <si>
    <t>Total Capital and Reserves</t>
  </si>
  <si>
    <t>Retained Earnings</t>
  </si>
  <si>
    <t>Total - Capital and Reserves</t>
  </si>
  <si>
    <t>Total - 31000 - APIC</t>
  </si>
  <si>
    <t>31007 - Warrants</t>
  </si>
  <si>
    <t>31006 - Issuance Costs</t>
  </si>
  <si>
    <t>31005 - Stock Based Compensation</t>
  </si>
  <si>
    <t>31004 - Option exercise by employees</t>
  </si>
  <si>
    <t>31003 - Series B</t>
  </si>
  <si>
    <t>31002 - Series A</t>
  </si>
  <si>
    <t>31001 - Ordinary Shares - Series A</t>
  </si>
  <si>
    <t>31000 - APIC</t>
  </si>
  <si>
    <t>Total - 30000 - Preferred and Common Stock</t>
  </si>
  <si>
    <t>30001 - Preferred &amp; Common Stock</t>
  </si>
  <si>
    <t>30000 - Preferred and Common Stock</t>
  </si>
  <si>
    <t>Capital and Reserves</t>
  </si>
  <si>
    <t>Total Assets Less Total Liabilities</t>
  </si>
  <si>
    <t>Total Assets Less Current Liabilities</t>
  </si>
  <si>
    <t>Current Assets Less Current Liabilities</t>
  </si>
  <si>
    <t>Total Liabilities</t>
  </si>
  <si>
    <t>Total Other Current Liability</t>
  </si>
  <si>
    <t>27002 - Intercompany loan</t>
  </si>
  <si>
    <t>27001 - Other non Current Liability</t>
  </si>
  <si>
    <t>Total - 26000 - Deffered Income</t>
  </si>
  <si>
    <t>26002 - Deffered revenues offset</t>
  </si>
  <si>
    <t>26001 - Deferred Revenues</t>
  </si>
  <si>
    <t>26000 - Deffered Income</t>
  </si>
  <si>
    <t>23501 - Other Current Liability</t>
  </si>
  <si>
    <t>Total - 23000 - Accrued Expenses</t>
  </si>
  <si>
    <t>23001 - Accrued Expenses &amp; Related</t>
  </si>
  <si>
    <t>23000 - Accrued Expenses</t>
  </si>
  <si>
    <t>Total - 22100 - Payroll institutions</t>
  </si>
  <si>
    <t>22102 - Payroll Taxes Payable</t>
  </si>
  <si>
    <t>22101 - Social Security</t>
  </si>
  <si>
    <t>22100 - Payroll institutions</t>
  </si>
  <si>
    <t>Total - 21100 - Retirement Funds</t>
  </si>
  <si>
    <t>21203 - Worker Disability Insurance</t>
  </si>
  <si>
    <t>21102 - Retirement Funds : Retirement Funds (Mosdot) - differential</t>
  </si>
  <si>
    <t>21101 - Pension Contribution Liability</t>
  </si>
  <si>
    <t>21100 - Retirement Funds</t>
  </si>
  <si>
    <t>Total - 21000 - Payroll and related</t>
  </si>
  <si>
    <t>21200 - Health Insurance Liability</t>
  </si>
  <si>
    <t>21012 - Social security on Accrued Vacation</t>
  </si>
  <si>
    <t>21002 - Accrued Vacation</t>
  </si>
  <si>
    <t>21001 - Net Payroll</t>
  </si>
  <si>
    <t>21000 - Payroll and related</t>
  </si>
  <si>
    <t>20203 - Tax on Income</t>
  </si>
  <si>
    <t>Total - 20060 - Intercompany (O.C Liability)</t>
  </si>
  <si>
    <t>20066 - Wematch.Support US INC [PL]</t>
  </si>
  <si>
    <t>20065 - WeMatch EQD Ltd. [PL]</t>
  </si>
  <si>
    <t>20064 - WeMatch Interest Rates Ltd. [PL]</t>
  </si>
  <si>
    <t>20063 - WeMatch Securities Financing Ltd. [PL]</t>
  </si>
  <si>
    <t>20062 - WeMatch.Live Tech Support Europe [PL]</t>
  </si>
  <si>
    <t>20061 - WeMatch.Securitiesfinancing Ltd. [PL]</t>
  </si>
  <si>
    <t>20060 - Intercompany (O.C Liability)</t>
  </si>
  <si>
    <t>Other Current Liability</t>
  </si>
  <si>
    <t>Total Credit Card</t>
  </si>
  <si>
    <t>Total - 20100 - Credit Cards</t>
  </si>
  <si>
    <t>20114 - BH CC 0070 EURO</t>
  </si>
  <si>
    <t>20113 - BH CC 7544 EURO</t>
  </si>
  <si>
    <t>20111 - BH CC 0070 ILS</t>
  </si>
  <si>
    <t>20110 - BH CC 7544 ILS</t>
  </si>
  <si>
    <t>20109 - Netwest CC #9694 2 Credit GBP</t>
  </si>
  <si>
    <t>20106 - FIBI CC 7644</t>
  </si>
  <si>
    <t>20105 - FIBI CC 6491</t>
  </si>
  <si>
    <t>20103 - BH CC 4700</t>
  </si>
  <si>
    <t>20102 - BH CC 0070</t>
  </si>
  <si>
    <t>20101 - BH CC 7544</t>
  </si>
  <si>
    <t>20100 - Credit Cards</t>
  </si>
  <si>
    <t>Credit Card</t>
  </si>
  <si>
    <t>Total Accounts Payable</t>
  </si>
  <si>
    <t>Total - 20050 - Intercompany Liabilities</t>
  </si>
  <si>
    <t>20052 - WeMatch.Live Tech Support Europe</t>
  </si>
  <si>
    <t>20050 - Intercompany Liabilities</t>
  </si>
  <si>
    <t>Total - 20000 - AP</t>
  </si>
  <si>
    <t>20001 - Accounts Payable</t>
  </si>
  <si>
    <t>20000 - AP</t>
  </si>
  <si>
    <t>Accounts Payable</t>
  </si>
  <si>
    <t>Current Liabilities</t>
  </si>
  <si>
    <t>Total Fixed Assets</t>
  </si>
  <si>
    <t>Total - 15100 - Accumulated Depr.</t>
  </si>
  <si>
    <t>15104 - AD - Electronic equipments</t>
  </si>
  <si>
    <t>15103 - AD - Furniture and Fixtures</t>
  </si>
  <si>
    <t>15102 - AD - Leasehold Improvements</t>
  </si>
  <si>
    <t>15101 - AD - Computers &amp; Software</t>
  </si>
  <si>
    <t>15100 - Accumulated Depr.</t>
  </si>
  <si>
    <t>Total - 15000 - FA Cost</t>
  </si>
  <si>
    <t>15004 - Cost - Electronic equipment</t>
  </si>
  <si>
    <t>15003 - Cost - Furniture and Fixtures</t>
  </si>
  <si>
    <t>15002 - Cost - Leasehold Improvements</t>
  </si>
  <si>
    <t>15001 - Cost - Computers &amp; Software</t>
  </si>
  <si>
    <t>15000 - FA Cost</t>
  </si>
  <si>
    <t>Fixed Assets</t>
  </si>
  <si>
    <t>Total Current Assets</t>
  </si>
  <si>
    <t>Total Other Current Asset</t>
  </si>
  <si>
    <t>Advances Paid</t>
  </si>
  <si>
    <t>Total - 17000 - Other long term assets</t>
  </si>
  <si>
    <t>17002 - Employee Loans</t>
  </si>
  <si>
    <t>17001 - Interco Loans</t>
  </si>
  <si>
    <t>17000 - Other long term assets</t>
  </si>
  <si>
    <t>16100 - other current asset</t>
  </si>
  <si>
    <t>Total - 16000 - Other Current Asset</t>
  </si>
  <si>
    <t>16002 - Other Deposits</t>
  </si>
  <si>
    <t>16001 - Rent deposit</t>
  </si>
  <si>
    <t>16000 - Other Current Asset</t>
  </si>
  <si>
    <t>Total - 13009 - Government Institutions</t>
  </si>
  <si>
    <t>Total - 13300 - TAX Assets</t>
  </si>
  <si>
    <t>13304 - Other current tax asset</t>
  </si>
  <si>
    <t>13303 - Tax Benefits</t>
  </si>
  <si>
    <t>13302 - Reversal for Exceed expenses</t>
  </si>
  <si>
    <t>13301 - Advances for Odfot</t>
  </si>
  <si>
    <t>13300 - TAX Assets</t>
  </si>
  <si>
    <t>Total - 13100 - VAT Assets</t>
  </si>
  <si>
    <t>13202 - VAT on Purchases UK</t>
  </si>
  <si>
    <t>13124 - VAT deductible on goods and services</t>
  </si>
  <si>
    <t>13123 - VAT on Purchases FR</t>
  </si>
  <si>
    <t>13122 - VAT on FA Purchases FR</t>
  </si>
  <si>
    <t>13107 - VAT D/C</t>
  </si>
  <si>
    <t>13103 - VAT Proforma IL</t>
  </si>
  <si>
    <t>13102 - VAT on Purchases IL</t>
  </si>
  <si>
    <t>13101 - VAT on FA Purchases IL</t>
  </si>
  <si>
    <t>13100 - VAT Assets</t>
  </si>
  <si>
    <t>13009 - Government Institutions</t>
  </si>
  <si>
    <t>Total - 13000 - Prepaid Exp.</t>
  </si>
  <si>
    <t>13003 - Deferred Customer acquisition cost</t>
  </si>
  <si>
    <t>13002 - Prepaid rent</t>
  </si>
  <si>
    <t>13001 - Prepaid Expenses</t>
  </si>
  <si>
    <t>13000 - Prepaid Exp.</t>
  </si>
  <si>
    <t>Total - 12600 - Intercompany (O.C Assets)</t>
  </si>
  <si>
    <t>12606 - Wematch.Support US INC [P]</t>
  </si>
  <si>
    <t>12605 - WeMatch EQD Ltd. [P]</t>
  </si>
  <si>
    <t>12603 - WeMatch Securities Financing Ltd. [P]</t>
  </si>
  <si>
    <t>12602 - WeMatch.Live Tech Support Europe [P]</t>
  </si>
  <si>
    <t>12601 - WeMatch.Securitiesfinancing Ltd. [P]</t>
  </si>
  <si>
    <t>12600 - Intercompany (O.C Assets)</t>
  </si>
  <si>
    <t>12004 - Unbilled Revenue</t>
  </si>
  <si>
    <t>Other Current Asset</t>
  </si>
  <si>
    <t>Total Unbilled Receivable</t>
  </si>
  <si>
    <t>Unbilled Receivable</t>
  </si>
  <si>
    <t>Total Accounts Receivable</t>
  </si>
  <si>
    <t>Total - 12500 - Intercompany (Receviable)</t>
  </si>
  <si>
    <t>12502 - WeMatch.Live Tech Support Europe</t>
  </si>
  <si>
    <t>12500 - Intercompany (Receviable)</t>
  </si>
  <si>
    <t>Total - 12000 - Accounts Receivable</t>
  </si>
  <si>
    <t>12002 - Accounts Receivable - Customers offset</t>
  </si>
  <si>
    <t>12001 - Accounts Receivable</t>
  </si>
  <si>
    <t>12000 - Accounts Receivable</t>
  </si>
  <si>
    <t>Accounts Receivable</t>
  </si>
  <si>
    <t>Total Bank</t>
  </si>
  <si>
    <t>Total - 11100 - Short term Bank Deposit</t>
  </si>
  <si>
    <t>11101 - Short term Bank Deposit [BANK HAPOALIM]</t>
  </si>
  <si>
    <t>11100 - Short term Bank Deposit</t>
  </si>
  <si>
    <t>Total - 11000 - Short-term Restricted cash</t>
  </si>
  <si>
    <t>11003 - Bank FIBI Deposit EUR</t>
  </si>
  <si>
    <t>11002 - Bank FIBI Deposit NIS</t>
  </si>
  <si>
    <t>11001 - Bank Hapoalim Deposit NIS</t>
  </si>
  <si>
    <t>11000 - Short-term Restricted cash</t>
  </si>
  <si>
    <t>Total - 10600 - Cash and Cash Equivalent (WUS-US)</t>
  </si>
  <si>
    <t>10602 - Bank Hapoalim 0700 Checking USD</t>
  </si>
  <si>
    <t>10601 - Bank Hapoalim 542 Saving USD</t>
  </si>
  <si>
    <t>10600 - Cash and Cash Equivalent (WUS-US)</t>
  </si>
  <si>
    <t>Total - 10500 - Cash and Cash Equivalent (WTSE-FR)</t>
  </si>
  <si>
    <t>10501 - Bank SG 20020671 EUR</t>
  </si>
  <si>
    <t>10500 - Cash and Cash Equivalent (WTSE-FR)</t>
  </si>
  <si>
    <t>Total - 10400 - Cash and Cash Equivalent (WSF-UK)</t>
  </si>
  <si>
    <t>10401 - Bank Netwest 27557405 GBP</t>
  </si>
  <si>
    <t>10400 - Cash and Cash Equivalent (WSF-UK)</t>
  </si>
  <si>
    <t>Total - 10300 - Cash and Cash Equivalent (WEQD-IL)</t>
  </si>
  <si>
    <t>10302 - Bank Hapoalim 120702 USD</t>
  </si>
  <si>
    <t>10301 - Bank Hapoalim 120702 NIS</t>
  </si>
  <si>
    <t>10300 - Cash and Cash Equivalent (WEQD-IL)</t>
  </si>
  <si>
    <t>Total - 10200 - Cash and Cash Equivalent (WSF-IL)</t>
  </si>
  <si>
    <t>10203 - Bank Hapoalim 120729 EUR</t>
  </si>
  <si>
    <t>10202 - Bank Hapoalim 120729 USD</t>
  </si>
  <si>
    <t>10201 - Bank Hapoalim 120729 NIS</t>
  </si>
  <si>
    <t>10200 - Cash and Cash Equivalent (WSF-IL)</t>
  </si>
  <si>
    <t>Total - 10100 - Cash and Cash Equivalent (WIR-IL)</t>
  </si>
  <si>
    <t>10101 - Bank Hapoalim 120720 NIS</t>
  </si>
  <si>
    <t>10100 - Cash and Cash Equivalent (WIR-IL)</t>
  </si>
  <si>
    <t>101 - Dummy USD [UK]</t>
  </si>
  <si>
    <t>Total - 10000 - Cash and Cash Equivalent (WRD-IL)</t>
  </si>
  <si>
    <t>10005 - Bank Hapoalim 120737 EUR</t>
  </si>
  <si>
    <t>10004 - Bank Hapoalim 120737 GBP</t>
  </si>
  <si>
    <t>10003 - Bank Hapoalim 120737 USD</t>
  </si>
  <si>
    <t>10002 - Bank Hapoalim 120737 NIS</t>
  </si>
  <si>
    <t>10001 - Bank Fibi 327492 NIS</t>
  </si>
  <si>
    <t>10000 - Cash and Cash Equivalent (WRD-IL)</t>
  </si>
  <si>
    <t>Bank</t>
  </si>
  <si>
    <t>Current Assets</t>
  </si>
  <si>
    <t>Elimination</t>
  </si>
  <si>
    <t>End of FY 2022</t>
  </si>
  <si>
    <t>Balance Sheet</t>
  </si>
  <si>
    <t>Assets</t>
  </si>
  <si>
    <t>Cash and cash equivalent</t>
  </si>
  <si>
    <t>Short term restricted deposits</t>
  </si>
  <si>
    <t>Trade recievables</t>
  </si>
  <si>
    <t>other recievables and prepaid expenses</t>
  </si>
  <si>
    <t>Current Assets:</t>
  </si>
  <si>
    <t>Total cerrent assets</t>
  </si>
  <si>
    <t>Long-Term assets:</t>
  </si>
  <si>
    <t>loans to employees</t>
  </si>
  <si>
    <t>Total Long-term assets</t>
  </si>
  <si>
    <t>Total assets</t>
  </si>
  <si>
    <t>property and equipment</t>
  </si>
  <si>
    <t>Liabilities and shareholders' equity</t>
  </si>
  <si>
    <t>Current Liabilities:</t>
  </si>
  <si>
    <t>Trade payables</t>
  </si>
  <si>
    <t>Accrued expenses and other liabilities</t>
  </si>
  <si>
    <t>Long-Term liabilities:</t>
  </si>
  <si>
    <t>Shareholders equity</t>
  </si>
  <si>
    <t>additrional paid in capital</t>
  </si>
  <si>
    <t>Recievable on share account</t>
  </si>
  <si>
    <t>Accumulated deficit</t>
  </si>
  <si>
    <t>Total shareholders equity</t>
  </si>
  <si>
    <t>Total liabilities and shareholders' equity</t>
  </si>
  <si>
    <t>Total current liabilities</t>
  </si>
  <si>
    <t>ידני</t>
  </si>
  <si>
    <t>Wematch.live</t>
  </si>
  <si>
    <t>31.12.2022</t>
  </si>
  <si>
    <t>USD</t>
  </si>
  <si>
    <t>80005 - Other Taxes</t>
  </si>
  <si>
    <t>Preferred  Shares</t>
  </si>
  <si>
    <t>Additional</t>
  </si>
  <si>
    <t>Receivable on</t>
  </si>
  <si>
    <t xml:space="preserve">Accumulated </t>
  </si>
  <si>
    <t>Total shareholders' equity</t>
  </si>
  <si>
    <t>paid-in</t>
  </si>
  <si>
    <t>Number</t>
  </si>
  <si>
    <t>capital</t>
  </si>
  <si>
    <t>Shares account</t>
  </si>
  <si>
    <t>deficit</t>
  </si>
  <si>
    <t>(deficit)</t>
  </si>
  <si>
    <t>-</t>
  </si>
  <si>
    <t>Net loss and other comprehensive loss</t>
  </si>
  <si>
    <t>Share based compensation</t>
  </si>
  <si>
    <t>Issuance of preferred A Shares, net of issuance cost</t>
  </si>
  <si>
    <t>SAFE exercise</t>
  </si>
  <si>
    <t>Warrant exercise</t>
  </si>
  <si>
    <t>Issuance of preferred B Shares, net of issuance cost</t>
  </si>
  <si>
    <t>Balance as of December 31, 2021</t>
  </si>
  <si>
    <t>Working peper for cash flow</t>
  </si>
  <si>
    <t>Closing balance as</t>
  </si>
  <si>
    <t>Cash flow from</t>
  </si>
  <si>
    <t>Opeartion</t>
  </si>
  <si>
    <t>Investing</t>
  </si>
  <si>
    <t>Financing</t>
  </si>
  <si>
    <t>Non-cash activites</t>
  </si>
  <si>
    <t>Change in cash</t>
  </si>
  <si>
    <t>Check</t>
  </si>
  <si>
    <t>Balance as of January 1, 2021</t>
  </si>
  <si>
    <t>Expense to Amortize for the Period</t>
  </si>
  <si>
    <t>Debit</t>
  </si>
  <si>
    <t>Credit</t>
  </si>
  <si>
    <t>Compensation Expense</t>
  </si>
  <si>
    <t>Expense (Fair Value) of Awards Exercised / Released in Period</t>
  </si>
  <si>
    <t>Cash</t>
  </si>
  <si>
    <t>Common Stock</t>
  </si>
  <si>
    <t>Expiration</t>
  </si>
  <si>
    <t>Premium</t>
  </si>
  <si>
    <t>Number of Awards</t>
  </si>
  <si>
    <t>Weighted Average Exercise Price</t>
  </si>
  <si>
    <t>Weighted Average Share Price on Date of Exercise</t>
  </si>
  <si>
    <t>Weighted Average Remaining Contractual Life</t>
  </si>
  <si>
    <t>Aggregate Intrinsic Value</t>
  </si>
  <si>
    <t>Outstanding, beginning of period</t>
  </si>
  <si>
    <t>Granted</t>
  </si>
  <si>
    <t>Exercised/Released</t>
  </si>
  <si>
    <t>Cancelled/Forfeited</t>
  </si>
  <si>
    <t>Expired</t>
  </si>
  <si>
    <t>Outstanding, End of period</t>
  </si>
  <si>
    <t>Exercisable, End of period</t>
  </si>
  <si>
    <t>Receivable of shares</t>
  </si>
  <si>
    <t>in 000'</t>
  </si>
  <si>
    <t>Issuance of ordinary stocks, net of issuance cost</t>
  </si>
  <si>
    <t>Balance as of December 31, 2022</t>
  </si>
  <si>
    <t>Operating Loss</t>
  </si>
  <si>
    <t>Financial expenses, net</t>
  </si>
  <si>
    <t>NOTE</t>
  </si>
  <si>
    <t>Bank fees</t>
  </si>
  <si>
    <t>Revaluation expenses</t>
  </si>
  <si>
    <t>Exchange difference</t>
  </si>
  <si>
    <t>Subscription fees</t>
  </si>
  <si>
    <t>Variable Fees</t>
  </si>
  <si>
    <t>From rev File</t>
  </si>
  <si>
    <t>NS</t>
  </si>
  <si>
    <t>DIFF</t>
  </si>
  <si>
    <t>Revenues shared with third parties</t>
  </si>
  <si>
    <t>Other cost of sales</t>
  </si>
  <si>
    <t>note</t>
  </si>
  <si>
    <t>P&amp;L Notes</t>
  </si>
  <si>
    <t>Balance Sheet Notes</t>
  </si>
  <si>
    <t xml:space="preserve">Trade recievables </t>
  </si>
  <si>
    <t>Unbilled revenue</t>
  </si>
  <si>
    <t xml:space="preserve">Prepaid expenses </t>
  </si>
  <si>
    <t xml:space="preserve">Government institutions </t>
  </si>
  <si>
    <t>Other current assts</t>
  </si>
  <si>
    <t>Cost:</t>
  </si>
  <si>
    <t>Computers &amp; Software</t>
  </si>
  <si>
    <t>Office furniture</t>
  </si>
  <si>
    <t>Leasehold improvements</t>
  </si>
  <si>
    <t>Accumulated depritiation</t>
  </si>
  <si>
    <t>Preperty and equipment, net</t>
  </si>
  <si>
    <t>Accrued employee compensation and benefits</t>
  </si>
  <si>
    <t>Income and indirect tax payable</t>
  </si>
  <si>
    <t>Accrued expenses</t>
  </si>
  <si>
    <t xml:space="preserve">Create a working paper </t>
  </si>
  <si>
    <t>Share capital:</t>
  </si>
  <si>
    <t xml:space="preserve">ordinary shares </t>
  </si>
  <si>
    <t>ordinary A Shares</t>
  </si>
  <si>
    <t>Preferred A shares (*)</t>
  </si>
  <si>
    <t>preferred B shares (*)</t>
  </si>
  <si>
    <t>December 31,2022</t>
  </si>
  <si>
    <t>Authorized</t>
  </si>
  <si>
    <t>issued and outstanding</t>
  </si>
  <si>
    <t>Shareholders' equity</t>
  </si>
  <si>
    <t>number of options</t>
  </si>
  <si>
    <t>weightes average excersise price</t>
  </si>
  <si>
    <t>Balance as of December 31,2021</t>
  </si>
  <si>
    <t>Balance as of December 31,2022</t>
  </si>
  <si>
    <t>Excercisable as of December 31,2021</t>
  </si>
  <si>
    <t>Cash Flow Statement</t>
  </si>
  <si>
    <t>Operating Activities</t>
  </si>
  <si>
    <t>Adjustments to Profit/(Loss)</t>
  </si>
  <si>
    <t>Sales Tax Payable</t>
  </si>
  <si>
    <t>Other Current Liabilities</t>
  </si>
  <si>
    <t>Total Adjustments to Profit/(Loss)</t>
  </si>
  <si>
    <t>Total Operating Activities</t>
  </si>
  <si>
    <t>Investing Activities</t>
  </si>
  <si>
    <t>Fixed Asset</t>
  </si>
  <si>
    <t>Total Investing Activities</t>
  </si>
  <si>
    <t>Financing Activities</t>
  </si>
  <si>
    <t>Other Equity</t>
  </si>
  <si>
    <t>Total Financing Activities</t>
  </si>
  <si>
    <t>Net Change in Cash for Period</t>
  </si>
  <si>
    <t>Cash at Beginning of Period</t>
  </si>
  <si>
    <t>Cash at End of Period</t>
  </si>
  <si>
    <t>Cash and cash equivalents</t>
  </si>
  <si>
    <t>Restricted Bank Deposit</t>
  </si>
  <si>
    <t xml:space="preserve">Account Receivable </t>
  </si>
  <si>
    <t xml:space="preserve">Prepaid expenses and other current assets </t>
  </si>
  <si>
    <t>Other long term accounts receivables</t>
  </si>
  <si>
    <t>Property &amp; Equipment, Net</t>
  </si>
  <si>
    <t>Account Payable</t>
  </si>
  <si>
    <t>Accrued expenses and other current liabilities</t>
  </si>
  <si>
    <t>Deferred Revenues</t>
  </si>
  <si>
    <t>Warrants</t>
  </si>
  <si>
    <t>Safe agreement</t>
  </si>
  <si>
    <t>Provision for post employment benefits</t>
  </si>
  <si>
    <t>Ordinary shares</t>
  </si>
  <si>
    <t>Preferred shares</t>
  </si>
  <si>
    <t>Additional paid in capital-Share based compensation</t>
  </si>
  <si>
    <t>Additional paid in capital</t>
  </si>
  <si>
    <t>Current year Profit (loss)</t>
  </si>
  <si>
    <t>61113 - Social Security</t>
  </si>
  <si>
    <t>Allocation</t>
  </si>
  <si>
    <t>Total - Allocation</t>
  </si>
  <si>
    <t>Total Operatiing Expense</t>
  </si>
  <si>
    <t>Non current Liabilities:</t>
  </si>
  <si>
    <t>check</t>
  </si>
  <si>
    <t>14ב</t>
  </si>
  <si>
    <t>Cash flows from operating activities:</t>
  </si>
  <si>
    <t>  </t>
  </si>
  <si>
    <t>US thousand</t>
  </si>
  <si>
    <t>Net loss</t>
  </si>
  <si>
    <t>Adjustments to reconcile net loss to net cash provided by operating activities:</t>
  </si>
  <si>
    <t>Depreciation and amortization and impermanent</t>
  </si>
  <si>
    <t>Share-based compensation expense</t>
  </si>
  <si>
    <t>Change in employee long term loans</t>
  </si>
  <si>
    <t>Change in long time employee benefit</t>
  </si>
  <si>
    <t>Change in SAFE fair value</t>
  </si>
  <si>
    <t>Changes in operating assets and liabilities:</t>
  </si>
  <si>
    <t>Accounts receivable</t>
  </si>
  <si>
    <t>Prepaid expenses and other assets</t>
  </si>
  <si>
    <t>Accounts payable</t>
  </si>
  <si>
    <t>Change in Deferred revenue</t>
  </si>
  <si>
    <t>Net cash provided by operating activities</t>
  </si>
  <si>
    <t>Cash flows from investing activities:</t>
  </si>
  <si>
    <t>Change in short term restricted deposit</t>
  </si>
  <si>
    <t>Purchases of property and equipment</t>
  </si>
  <si>
    <t>Net cash used in investing activities</t>
  </si>
  <si>
    <t>Cash flows from financing activities:</t>
  </si>
  <si>
    <t>Proceeds from issuance of Sample agreement for future equity ("SAFE")</t>
  </si>
  <si>
    <t>Issuance of Preferred B shares, net of issuance cost</t>
  </si>
  <si>
    <t>Proceeds from issuance of convertible preferred shares, net of issuance costs</t>
  </si>
  <si>
    <t>Net cash provided by financing activities</t>
  </si>
  <si>
    <t>Net increase (decrease) in cash, cash equivalents, and restricted cash</t>
  </si>
  <si>
    <t>Cash, cash equivalents, and restricted cash—beginning of period</t>
  </si>
  <si>
    <t>Cash, cash equivalents, and restricted cash—end of period</t>
  </si>
  <si>
    <t>As of December 31, 2022</t>
  </si>
  <si>
    <t>Option exercise by employees</t>
  </si>
  <si>
    <t>לבדוק האם לשים יתרה עם פקדונות או בלי?</t>
  </si>
  <si>
    <t>EY</t>
  </si>
  <si>
    <t>Total Credit Card- add manualy</t>
  </si>
  <si>
    <t>.</t>
  </si>
  <si>
    <t>Proceeds from opsions excersize</t>
  </si>
  <si>
    <t>JE'S</t>
  </si>
  <si>
    <t>JEIL-01719</t>
  </si>
  <si>
    <t>D</t>
  </si>
  <si>
    <t>12002 AR OFFSET</t>
  </si>
  <si>
    <t>C</t>
  </si>
  <si>
    <t>26002 DR OFFSET</t>
  </si>
  <si>
    <t>AR-DR Offset</t>
  </si>
  <si>
    <t>includes DR</t>
  </si>
  <si>
    <t>December 31,2021</t>
  </si>
  <si>
    <t>The information is taken from Carta- "Summery Cap Table" report</t>
  </si>
  <si>
    <t>(*)</t>
  </si>
  <si>
    <t>recievable on account of shares</t>
  </si>
  <si>
    <t>NS Open balance correction</t>
  </si>
  <si>
    <t>Vissensa Ltd</t>
  </si>
  <si>
    <t>AP Vissensa Ltd</t>
  </si>
  <si>
    <t>Total - 20001 - Accounts Payable</t>
  </si>
  <si>
    <t>10Bis LTD</t>
  </si>
  <si>
    <t>202146051</t>
  </si>
  <si>
    <t>Bill</t>
  </si>
  <si>
    <t>Expensify, Inc.</t>
  </si>
  <si>
    <t>86344375</t>
  </si>
  <si>
    <t>James Boyce</t>
  </si>
  <si>
    <t>3</t>
  </si>
  <si>
    <t>EFINANCIAL CAREERS</t>
  </si>
  <si>
    <t>Menashe Mozago</t>
  </si>
  <si>
    <t>1</t>
  </si>
  <si>
    <t>EXPENSIFY</t>
  </si>
  <si>
    <t>DoiT International LTD</t>
  </si>
  <si>
    <t>IN214008800</t>
  </si>
  <si>
    <t>מוזגו מנשה</t>
  </si>
  <si>
    <t>MongoDB Limited</t>
  </si>
  <si>
    <t>IIR025446</t>
  </si>
  <si>
    <t>MONDAY</t>
  </si>
  <si>
    <t>iDigital Store LTD</t>
  </si>
  <si>
    <t>UNK 1</t>
  </si>
  <si>
    <t>דאטהצ'ק בע"מ</t>
  </si>
  <si>
    <t>IIR025280</t>
  </si>
  <si>
    <t>הפרשה לספקים בחובה(אל על)</t>
  </si>
  <si>
    <t>BLOOMBERG FINANCE L.P</t>
  </si>
  <si>
    <t>5606566274</t>
  </si>
  <si>
    <t>JAMES BOYCE</t>
  </si>
  <si>
    <t>5606566270</t>
  </si>
  <si>
    <t>DOIT INTERNATIONAL LTD</t>
  </si>
  <si>
    <t>eFinancialCareers Limited</t>
  </si>
  <si>
    <t>BD0002081</t>
  </si>
  <si>
    <t>OPENFIN INC</t>
  </si>
  <si>
    <t>monday.com Ltd</t>
  </si>
  <si>
    <t>IN21010009624</t>
  </si>
  <si>
    <t>BLOOMBERG</t>
  </si>
  <si>
    <t>Engage-Adrian S.L.</t>
  </si>
  <si>
    <t>21-124</t>
  </si>
  <si>
    <t>MONGODBCLOUD</t>
  </si>
  <si>
    <t>Intralinks, Inc.</t>
  </si>
  <si>
    <t>1456847</t>
  </si>
  <si>
    <t>תן ביס</t>
  </si>
  <si>
    <t>OpenFin Inc</t>
  </si>
  <si>
    <t>1912</t>
  </si>
  <si>
    <t>ENGAGE - ADRIAN</t>
  </si>
  <si>
    <t>IN214008196</t>
  </si>
  <si>
    <t>INTRALINKS</t>
  </si>
  <si>
    <t>1429268</t>
  </si>
  <si>
    <t>GLOUCESTER PLACE HOTEL</t>
  </si>
  <si>
    <t>Z Hotel</t>
  </si>
  <si>
    <t>87KL2Y</t>
  </si>
  <si>
    <t>VISSENSA</t>
  </si>
  <si>
    <t>467</t>
  </si>
  <si>
    <t>NOBU HOTEL</t>
  </si>
  <si>
    <t>אל על</t>
  </si>
  <si>
    <t>איי דיגיטל סטור בע"מ</t>
  </si>
  <si>
    <t>תפעול פנסיוני</t>
  </si>
  <si>
    <t>Name</t>
  </si>
  <si>
    <t>Document Number</t>
  </si>
  <si>
    <t>Date</t>
  </si>
  <si>
    <t>Type</t>
  </si>
  <si>
    <t>From Jan 2021 to Dec 2021</t>
  </si>
  <si>
    <t>Balance Sheet Detail</t>
  </si>
  <si>
    <t>AP Z Hotel</t>
  </si>
  <si>
    <t>A</t>
  </si>
  <si>
    <t>ILS</t>
  </si>
  <si>
    <t>WEQD - 10010 Bank BIA</t>
  </si>
  <si>
    <t>JE10500</t>
  </si>
  <si>
    <t>10303 - Bank BIA</t>
  </si>
  <si>
    <t>אם הפקדונות משמשים לפעילות השוטפת או נזילים תוך פחות מ-3 חודשים הם מסווגים כמזומן ושווי מזומן</t>
  </si>
  <si>
    <t>Wematch.SecuritiesFinancing LTD</t>
  </si>
  <si>
    <t>12003 - Accrued income</t>
  </si>
  <si>
    <t>Additional Paid-in-Capital</t>
  </si>
  <si>
    <t>Excercisable as of December 31,2022</t>
  </si>
  <si>
    <t>Number of options</t>
  </si>
  <si>
    <t>Weightes average exercise price</t>
  </si>
  <si>
    <t>Grant date</t>
  </si>
  <si>
    <t>number of options excercised during 2022</t>
  </si>
  <si>
    <t>number of options granted during 2022</t>
  </si>
  <si>
    <t>Options outstanding as of December 31, 2022</t>
  </si>
  <si>
    <t>Exercise price</t>
  </si>
  <si>
    <t>Options excercisable as of December 31,2022</t>
  </si>
  <si>
    <t>Excercisable through</t>
  </si>
  <si>
    <t>December 31,</t>
  </si>
  <si>
    <t>01/05/2022</t>
  </si>
  <si>
    <t>22/09/2022</t>
  </si>
  <si>
    <t>CogS</t>
  </si>
  <si>
    <t>JEIL-03302</t>
  </si>
  <si>
    <t>Max corrected the open balance</t>
  </si>
  <si>
    <t>reversal--&gt;</t>
  </si>
  <si>
    <t>*</t>
  </si>
  <si>
    <t>Wematch.live R&amp;D LTD Options Exercised &amp; RSUs Settled</t>
  </si>
  <si>
    <t xml:space="preserve">As of 12/31/2022 • Generated by Hila Eliasi (hila.eliasi@wematch.live) at 08/10/2023 06:10:37 </t>
  </si>
  <si>
    <t>ID</t>
  </si>
  <si>
    <t>Optionholder</t>
  </si>
  <si>
    <t>Employee ID</t>
  </si>
  <si>
    <t>Shares Exercised</t>
  </si>
  <si>
    <t>Grant Date</t>
  </si>
  <si>
    <t>Exercise Request Date</t>
  </si>
  <si>
    <t>Off System Transaction</t>
  </si>
  <si>
    <t>Exercise Price</t>
  </si>
  <si>
    <t>Total Exercise Price</t>
  </si>
  <si>
    <t>ES-1008</t>
  </si>
  <si>
    <t>Rudy Perez</t>
  </si>
  <si>
    <t>ES-1019</t>
  </si>
  <si>
    <t>Eitan Katz</t>
  </si>
  <si>
    <t>ES-1054</t>
  </si>
  <si>
    <t>From Carta</t>
  </si>
  <si>
    <t>299997 - Conversion payable account</t>
  </si>
  <si>
    <t>Interest income</t>
  </si>
  <si>
    <t>Rent pad upfront- wework</t>
  </si>
  <si>
    <t>JEIL-03339</t>
  </si>
  <si>
    <t>20001 AP</t>
  </si>
  <si>
    <t>67101 Rent</t>
  </si>
  <si>
    <t>I digital</t>
  </si>
  <si>
    <t xml:space="preserve">Open balance correction </t>
  </si>
  <si>
    <t>Israeli A/P Register</t>
  </si>
  <si>
    <t>31 December 2021 - 31 August 2023</t>
  </si>
  <si>
    <t>Vendor Name</t>
  </si>
  <si>
    <t>No.</t>
  </si>
  <si>
    <t>Memo</t>
  </si>
  <si>
    <t>Date Due</t>
  </si>
  <si>
    <t>Billed</t>
  </si>
  <si>
    <t>Paid</t>
  </si>
  <si>
    <t>Balance</t>
  </si>
  <si>
    <t>Amount (Foreign Currency)</t>
  </si>
  <si>
    <t>Currency: Currency Symbol</t>
  </si>
  <si>
    <t>Exchange Rate</t>
  </si>
  <si>
    <t>AP</t>
  </si>
  <si>
    <t>Open Balance AP 31/12/2021</t>
  </si>
  <si>
    <t>0.32154344</t>
  </si>
  <si>
    <t>SI22RA0000784</t>
  </si>
  <si>
    <t>iDigital - MBP X2 (Dima Solodukha + Joseph Seroussi)</t>
  </si>
  <si>
    <t>0.32133676</t>
  </si>
  <si>
    <t>Bill Credit</t>
  </si>
  <si>
    <t>Currency Revaluation</t>
  </si>
  <si>
    <t>REVIL-730</t>
  </si>
  <si>
    <t>1.0</t>
  </si>
  <si>
    <t>Journal</t>
  </si>
  <si>
    <t>JEIL-03297</t>
  </si>
  <si>
    <t>correcting Bill credit SI22RA0000784</t>
  </si>
  <si>
    <t>SI22RA0001361</t>
  </si>
  <si>
    <t>iDigital - MBP (Barak Saidoff) + It equipment</t>
  </si>
  <si>
    <t>0.31908105</t>
  </si>
  <si>
    <t>REVIL-1042</t>
  </si>
  <si>
    <t>REVIL-1043</t>
  </si>
  <si>
    <t>SI22RA0002143</t>
  </si>
  <si>
    <t>iDigital - Mac Mini + Magic Keyboared</t>
  </si>
  <si>
    <t>0.31298905</t>
  </si>
  <si>
    <t>Bill Payment</t>
  </si>
  <si>
    <t>REVIL-725</t>
  </si>
  <si>
    <t>REVIL-726</t>
  </si>
  <si>
    <t>SI22RA0003149</t>
  </si>
  <si>
    <t>iDigital -Type C adapter, Magic Trackpad, Magic Keyboard, USB charger</t>
  </si>
  <si>
    <t>0.31152648</t>
  </si>
  <si>
    <t>REVIL-720</t>
  </si>
  <si>
    <t>REVIL-1058</t>
  </si>
  <si>
    <t>REVIL-1059</t>
  </si>
  <si>
    <t>SI22RA0004210</t>
  </si>
  <si>
    <t>iDigital - IPAD PRO 256GB X2, Glass Screen, Ipad Pro X2</t>
  </si>
  <si>
    <t>0.3045067</t>
  </si>
  <si>
    <t>SI22RA0004249</t>
  </si>
  <si>
    <t>iDigital - MBP Pro  (Micael Jorje)</t>
  </si>
  <si>
    <t>0.30571691</t>
  </si>
  <si>
    <t>0.30422878</t>
  </si>
  <si>
    <t>REVIL-716</t>
  </si>
  <si>
    <t>REVIL-717</t>
  </si>
  <si>
    <t>REVIL-718</t>
  </si>
  <si>
    <t>REVIL-1060</t>
  </si>
  <si>
    <t>REVIL-1061</t>
  </si>
  <si>
    <t>REVIL-1075</t>
  </si>
  <si>
    <t>REVIL-1076</t>
  </si>
  <si>
    <t>SI22RA0006798</t>
  </si>
  <si>
    <t>iDigital - MBP 14.2 [Marina Anisimova]  Type C adapter X5, Magic Mouse</t>
  </si>
  <si>
    <t>0.293083</t>
  </si>
  <si>
    <t>REVIL-714</t>
  </si>
  <si>
    <t>SI22RA0007078</t>
  </si>
  <si>
    <t>iDigital - HyperJuice charger, USB C charge cable, Magic Keyboared</t>
  </si>
  <si>
    <t>0.297708</t>
  </si>
  <si>
    <t>REVIL-715</t>
  </si>
  <si>
    <t>REVIL-1090</t>
  </si>
  <si>
    <t>REVIL-1091</t>
  </si>
  <si>
    <t>0.288767</t>
  </si>
  <si>
    <t>REVIL-713</t>
  </si>
  <si>
    <t>SI22RA0008402</t>
  </si>
  <si>
    <t>iDigital - MBP 16.2 SG/16C GPU/16GB/512G-ISR [Andrew Vorobyov]</t>
  </si>
  <si>
    <t>0.290529</t>
  </si>
  <si>
    <t>REVIL-712</t>
  </si>
  <si>
    <t>0.289855</t>
  </si>
  <si>
    <t>REVIL-711</t>
  </si>
  <si>
    <t>REVIL-1104</t>
  </si>
  <si>
    <t>REVIL-1105</t>
  </si>
  <si>
    <t>REVIL-1131</t>
  </si>
  <si>
    <t>REVIL-1132</t>
  </si>
  <si>
    <t>SI22RA0009993</t>
  </si>
  <si>
    <t>iDigital - MBP 16.2 SG/16C GPU/16GB/512G-ISR [Jenny Ronen], Magic Mouse &amp; Keyboard</t>
  </si>
  <si>
    <t>0.302389</t>
  </si>
  <si>
    <t>SI22RA0010755</t>
  </si>
  <si>
    <t>iDigital - MBP 14.2 SL/8C CPU/14GB/512G-ISR , Magic Mouse &amp; Keyboard</t>
  </si>
  <si>
    <t>0.306843</t>
  </si>
  <si>
    <t>REVIL-1146</t>
  </si>
  <si>
    <t>0.297265</t>
  </si>
  <si>
    <t>REVIL-708</t>
  </si>
  <si>
    <t>REVIL-1147</t>
  </si>
  <si>
    <t>REVIL-1148</t>
  </si>
  <si>
    <t>REVIL-1149</t>
  </si>
  <si>
    <t>REVIL-1188</t>
  </si>
  <si>
    <t>REVIL-1189</t>
  </si>
  <si>
    <t>REVIL-1190</t>
  </si>
  <si>
    <t>REVIL-1191</t>
  </si>
  <si>
    <t>REVIL-728</t>
  </si>
  <si>
    <t>REVIL-2154</t>
  </si>
  <si>
    <t>REVIL-2155</t>
  </si>
  <si>
    <t>SI23RA0006889</t>
  </si>
  <si>
    <t>iDigital -MBP 16.2 SG/10C CPU/24C GPU/32GB/512G-M1Max 2021 + TYPE-C Multi-Adapter 4K Ethernet v2 SpaceGrey HK</t>
  </si>
  <si>
    <t>0.269034</t>
  </si>
  <si>
    <t>REVIL-1875</t>
  </si>
  <si>
    <t>0.272851</t>
  </si>
  <si>
    <t>REVIL-1874</t>
  </si>
  <si>
    <t>Total - iDigital Store LTD</t>
  </si>
  <si>
    <t>Total - Accounts Payable</t>
  </si>
  <si>
    <t>Total - AP</t>
  </si>
  <si>
    <t>O.B</t>
  </si>
  <si>
    <t>diff</t>
  </si>
  <si>
    <t>FX rate</t>
  </si>
  <si>
    <t>JEIL-03349</t>
  </si>
  <si>
    <t>Niv Sabag</t>
  </si>
  <si>
    <t>Shane Martin</t>
  </si>
  <si>
    <t>Christine Lowe</t>
  </si>
  <si>
    <t>Jason Hunter</t>
  </si>
  <si>
    <t>Michael Sabbah</t>
  </si>
  <si>
    <t>2023 grants</t>
  </si>
  <si>
    <t>Diff</t>
  </si>
  <si>
    <t>01/08/2023 from Carta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</si>
</sst>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3" formatCode="_ * #,##0.00_ ;_ * \-#,##0.00_ ;_ * &quot;-&quot;??_ ;_ @_ "/>
    <numFmt numFmtId="164" formatCode="_-* #,##0.00_-;\-* #,##0.00_-;_-* &quot;-&quot;??_-;_-@_-"/>
    <numFmt numFmtId="165" formatCode="#,##0.00_);\(#,##0.00\)"/>
    <numFmt numFmtId="166" formatCode="#,##0.00&quot;%&quot;_);\(#,##0.00\)&quot;%&quot;"/>
    <numFmt numFmtId="167" formatCode="_-* #,##0_-;\-* #,##0_-;_-* &quot;-&quot;??_-;_-@_-"/>
    <numFmt numFmtId="168" formatCode="&quot;$&quot;#,##0.00_);\(&quot;$&quot;#,##0.00\)"/>
    <numFmt numFmtId="169" formatCode="&quot;$&quot;#,##0_);[Red]\(&quot;$&quot;#,##0\)"/>
    <numFmt numFmtId="170" formatCode="_(* #,##0.00_);_(* \(#,##0.00\);_(* &quot;-&quot;??_);_(@_)"/>
    <numFmt numFmtId="171" formatCode="_(* #,##0_);_(* \(#,##0\);_(* &quot;-&quot;??_);_(@_)"/>
    <numFmt numFmtId="172" formatCode="_-[$$-409]* #,##0.000_ ;_-[$$-409]* \-#,##0.000\ ;_-[$$-409]* &quot;-&quot;??_ ;_-@_ "/>
    <numFmt numFmtId="173" formatCode="_-[$$-409]* #,##0.00_ ;_-[$$-409]* \-#,##0.00\ ;_-[$$-409]* &quot;-&quot;??_ ;_-@_ "/>
    <numFmt numFmtId="174" formatCode="_-[$$-409]* #,##0_ ;_-[$$-409]* \-#,##0\ ;_-[$$-409]* &quot;-&quot;??_ ;_-@_ "/>
    <numFmt numFmtId="175" formatCode="_-* #,##0.0_-;\-* #,##0.0_-;_-* &quot;-&quot;??_-;_-@_-"/>
    <numFmt numFmtId="176" formatCode="#,##0.0;\-#,##0.0"/>
    <numFmt numFmtId="177" formatCode="&quot;$&quot;#,##0_);\(&quot;$&quot;#,##0\)"/>
    <numFmt numFmtId="178" formatCode="_-* #,##0.0000_-;\-* #,##0.0000_-;_-* &quot;-&quot;??_-;_-@_-"/>
    <numFmt numFmtId="179" formatCode="#,###"/>
    <numFmt numFmtId="180" formatCode="mm\-dd\-yyyy"/>
    <numFmt numFmtId="181" formatCode="_-[$$]* #,##0.00_-;\-[$$]* #,##0.00_-;_-[$$]* &quot;-&quot;??_-;* @"/>
  </numFmts>
  <fonts count="75">
    <font>
      <sz val="8"/>
      <name val="Arial"/>
      <family val="2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b/>
      <sz val="12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10"/>
      <name val="Arial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name val="Arial"/>
      <family val="2"/>
      <scheme val="minor"/>
    </font>
    <font>
      <sz val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b/>
      <sz val="7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0"/>
      <color theme="4" tint="-0.249977111117893"/>
      <name val="Arial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0" tint="-0.249977111117893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 tint="-0.249977111117893"/>
      <name val="Arial"/>
      <family val="2"/>
    </font>
    <font>
      <b/>
      <sz val="8"/>
      <name val="Arial"/>
      <family val="2"/>
    </font>
    <font>
      <b/>
      <sz val="8"/>
      <color theme="0"/>
      <name val="Arial"/>
      <family val="2"/>
    </font>
    <font>
      <sz val="8"/>
      <color theme="0" tint="-0.249977111117893"/>
      <name val="Arial"/>
      <family val="2"/>
    </font>
    <font>
      <sz val="11"/>
      <color indexed="8"/>
      <name val="Arial"/>
      <family val="2"/>
      <scheme val="minor"/>
    </font>
    <font>
      <b/>
      <u/>
      <sz val="10"/>
      <name val="Arial"/>
      <family val="2"/>
    </font>
    <font>
      <sz val="9"/>
      <name val="Arial"/>
      <family val="2"/>
    </font>
    <font>
      <sz val="8"/>
      <color theme="0" tint="-0.499984740745262"/>
      <name val="Arial"/>
      <family val="2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name val="Times New Roman"/>
      <family val="1"/>
    </font>
    <font>
      <sz val="9"/>
      <color indexed="8"/>
      <name val="Times New Roman"/>
      <family val="1"/>
    </font>
    <font>
      <b/>
      <sz val="8"/>
      <color rgb="FFFF0000"/>
      <name val="Arial"/>
      <family val="2"/>
    </font>
    <font>
      <b/>
      <sz val="11"/>
      <color rgb="FFFF0000"/>
      <name val="Arial"/>
      <family val="2"/>
    </font>
    <font>
      <u/>
      <sz val="8"/>
      <color theme="10"/>
      <name val="Arial"/>
      <family val="2"/>
    </font>
    <font>
      <b/>
      <sz val="9"/>
      <color rgb="FF1F1F1F"/>
      <name val="Arial"/>
      <family val="2"/>
    </font>
    <font>
      <sz val="9"/>
      <color rgb="FF1F1F1F"/>
      <name val="Arial"/>
      <family val="2"/>
    </font>
    <font>
      <sz val="9"/>
      <color rgb="FF000000"/>
      <name val="Calibri"/>
      <family val="2"/>
    </font>
    <font>
      <sz val="8"/>
      <color theme="0" tint="-0.34998626667073579"/>
      <name val="Arial"/>
      <family val="2"/>
    </font>
    <font>
      <sz val="11"/>
      <color theme="0" tint="-0.34998626667073579"/>
      <name val="Arial"/>
      <family val="2"/>
    </font>
    <font>
      <sz val="9"/>
      <color rgb="FF333333"/>
      <name val="Arial"/>
      <family val="2"/>
    </font>
    <font>
      <sz val="11"/>
      <color rgb="FF535353"/>
      <name val="Arial"/>
      <family val="2"/>
    </font>
    <font>
      <sz val="11"/>
      <color rgb="FF131E29"/>
      <name val="Inherit"/>
    </font>
    <font>
      <sz val="11"/>
      <color rgb="FF131E29"/>
      <name val="Arial"/>
      <family val="2"/>
    </font>
    <font>
      <b/>
      <sz val="8"/>
      <color indexed="9"/>
      <name val="Arial"/>
      <family val="2"/>
    </font>
  </fonts>
  <fills count="5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0D0D0"/>
        <bgColor indexed="64"/>
      </patternFill>
    </fill>
    <fill>
      <patternFill patternType="solid">
        <fgColor rgb="FFD6A5A5"/>
        <bgColor indexed="64"/>
      </patternFill>
    </fill>
    <fill>
      <patternFill patternType="solid">
        <fgColor rgb="FFE2EAF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EC0F6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EBF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dotted">
        <color rgb="FFC0C0C0"/>
      </top>
      <bottom/>
      <diagonal/>
    </border>
    <border>
      <left/>
      <right/>
      <top style="dotted">
        <color rgb="FF969696"/>
      </top>
      <bottom/>
      <diagonal/>
    </border>
    <border>
      <left/>
      <right/>
      <top style="dotted">
        <color rgb="FFFFFFFF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888A85"/>
      </bottom>
      <diagonal/>
    </border>
    <border>
      <left/>
      <right/>
      <top style="thin">
        <color rgb="FFEEEEEC"/>
      </top>
      <bottom/>
      <diagonal/>
    </border>
    <border>
      <left/>
      <right/>
      <top style="dashed">
        <color rgb="FFCCCCCC"/>
      </top>
      <bottom/>
      <diagonal/>
    </border>
    <border>
      <left style="medium">
        <color rgb="FFE3E3E3"/>
      </left>
      <right style="medium">
        <color rgb="FFE3E3E3"/>
      </right>
      <top style="medium">
        <color rgb="FFE3E3E3"/>
      </top>
      <bottom style="medium">
        <color rgb="FFE3E3E3"/>
      </bottom>
      <diagonal/>
    </border>
  </borders>
  <cellStyleXfs count="81">
    <xf numFmtId="0" fontId="0" fillId="0" borderId="0"/>
    <xf numFmtId="164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2" borderId="0" applyNumberFormat="0" applyBorder="0" applyAlignment="0" applyProtection="0"/>
    <xf numFmtId="0" fontId="11" fillId="3" borderId="0" applyNumberFormat="0" applyBorder="0" applyAlignment="0" applyProtection="0"/>
    <xf numFmtId="0" fontId="12" fillId="4" borderId="0" applyNumberFormat="0" applyBorder="0" applyAlignment="0" applyProtection="0"/>
    <xf numFmtId="0" fontId="13" fillId="5" borderId="4" applyNumberFormat="0" applyAlignment="0" applyProtection="0"/>
    <xf numFmtId="0" fontId="14" fillId="6" borderId="5" applyNumberFormat="0" applyAlignment="0" applyProtection="0"/>
    <xf numFmtId="0" fontId="15" fillId="6" borderId="4" applyNumberFormat="0" applyAlignment="0" applyProtection="0"/>
    <xf numFmtId="0" fontId="16" fillId="0" borderId="6" applyNumberFormat="0" applyFill="0" applyAlignment="0" applyProtection="0"/>
    <xf numFmtId="0" fontId="17" fillId="7" borderId="7" applyNumberFormat="0" applyAlignment="0" applyProtection="0"/>
    <xf numFmtId="0" fontId="18" fillId="0" borderId="0" applyNumberFormat="0" applyFill="0" applyBorder="0" applyAlignment="0" applyProtection="0"/>
    <xf numFmtId="0" fontId="5" fillId="8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21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21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21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21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21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31" fillId="0" borderId="0"/>
    <xf numFmtId="0" fontId="40" fillId="0" borderId="0"/>
    <xf numFmtId="170" fontId="40" fillId="0" borderId="0" applyFont="0" applyFill="0" applyBorder="0" applyAlignment="0" applyProtection="0"/>
    <xf numFmtId="172" fontId="38" fillId="0" borderId="0"/>
    <xf numFmtId="0" fontId="4" fillId="0" borderId="0"/>
    <xf numFmtId="0" fontId="44" fillId="0" borderId="0"/>
    <xf numFmtId="43" fontId="44" fillId="0" borderId="0" applyFont="0" applyFill="0" applyBorder="0" applyAlignment="0" applyProtection="0"/>
    <xf numFmtId="0" fontId="44" fillId="0" borderId="0"/>
    <xf numFmtId="43" fontId="44" fillId="0" borderId="0" applyFont="0" applyFill="0" applyBorder="0" applyAlignment="0" applyProtection="0"/>
    <xf numFmtId="0" fontId="3" fillId="8" borderId="8" applyNumberFormat="0" applyFont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32" borderId="0" applyNumberFormat="0" applyBorder="0" applyAlignment="0" applyProtection="0"/>
    <xf numFmtId="164" fontId="3" fillId="0" borderId="0" applyFont="0" applyFill="0" applyBorder="0" applyAlignment="0" applyProtection="0"/>
    <xf numFmtId="164" fontId="40" fillId="0" borderId="0" applyFont="0" applyFill="0" applyBorder="0" applyAlignment="0" applyProtection="0"/>
    <xf numFmtId="0" fontId="38" fillId="0" borderId="0"/>
    <xf numFmtId="0" fontId="3" fillId="0" borderId="0"/>
    <xf numFmtId="9" fontId="40" fillId="0" borderId="0" applyFont="0" applyFill="0" applyBorder="0" applyAlignment="0" applyProtection="0"/>
    <xf numFmtId="172" fontId="38" fillId="0" borderId="0"/>
    <xf numFmtId="0" fontId="40" fillId="0" borderId="0"/>
    <xf numFmtId="0" fontId="53" fillId="0" borderId="0"/>
    <xf numFmtId="164" fontId="1" fillId="0" borderId="0" applyFont="0" applyFill="0" applyBorder="0" applyAlignment="0" applyProtection="0"/>
    <xf numFmtId="0" fontId="64" fillId="0" borderId="0" applyNumberFormat="0" applyFill="0" applyBorder="0" applyAlignment="0" applyProtection="0"/>
  </cellStyleXfs>
  <cellXfs count="338">
    <xf numFmtId="0" fontId="0" fillId="0" borderId="0" xfId="0"/>
    <xf numFmtId="0" fontId="24" fillId="33" borderId="0" xfId="0" applyFont="1" applyFill="1" applyAlignment="1">
      <alignment horizontal="left"/>
    </xf>
    <xf numFmtId="0" fontId="24" fillId="33" borderId="0" xfId="0" applyFont="1" applyFill="1" applyAlignment="1">
      <alignment horizontal="right"/>
    </xf>
    <xf numFmtId="0" fontId="25" fillId="0" borderId="0" xfId="0" applyFont="1" applyAlignment="1">
      <alignment horizontal="left" vertical="center"/>
    </xf>
    <xf numFmtId="0" fontId="26" fillId="0" borderId="0" xfId="0" applyFont="1" applyAlignment="1">
      <alignment horizontal="left" indent="1"/>
    </xf>
    <xf numFmtId="0" fontId="25" fillId="0" borderId="0" xfId="0" applyFont="1" applyAlignment="1">
      <alignment horizontal="left" indent="1"/>
    </xf>
    <xf numFmtId="0" fontId="26" fillId="0" borderId="0" xfId="0" applyFont="1" applyAlignment="1">
      <alignment horizontal="left" indent="2"/>
    </xf>
    <xf numFmtId="0" fontId="25" fillId="0" borderId="11" xfId="0" applyFont="1" applyBorder="1" applyAlignment="1">
      <alignment horizontal="left" vertical="center"/>
    </xf>
    <xf numFmtId="0" fontId="26" fillId="0" borderId="0" xfId="0" applyFont="1" applyAlignment="1">
      <alignment horizontal="left" indent="3"/>
    </xf>
    <xf numFmtId="0" fontId="28" fillId="0" borderId="0" xfId="0" applyFont="1"/>
    <xf numFmtId="0" fontId="29" fillId="0" borderId="0" xfId="0" applyFont="1"/>
    <xf numFmtId="0" fontId="22" fillId="0" borderId="0" xfId="0" applyFont="1"/>
    <xf numFmtId="0" fontId="23" fillId="0" borderId="0" xfId="0" applyFont="1"/>
    <xf numFmtId="167" fontId="0" fillId="0" borderId="0" xfId="1" applyNumberFormat="1" applyFont="1"/>
    <xf numFmtId="167" fontId="30" fillId="0" borderId="0" xfId="1" applyNumberFormat="1" applyFont="1" applyFill="1" applyAlignment="1">
      <alignment horizontal="right"/>
    </xf>
    <xf numFmtId="167" fontId="28" fillId="0" borderId="0" xfId="1" applyNumberFormat="1" applyFont="1"/>
    <xf numFmtId="167" fontId="29" fillId="0" borderId="0" xfId="1" applyNumberFormat="1" applyFont="1"/>
    <xf numFmtId="167" fontId="29" fillId="0" borderId="13" xfId="1" applyNumberFormat="1" applyFont="1" applyBorder="1"/>
    <xf numFmtId="167" fontId="28" fillId="0" borderId="13" xfId="1" applyNumberFormat="1" applyFont="1" applyBorder="1"/>
    <xf numFmtId="167" fontId="29" fillId="0" borderId="0" xfId="1" applyNumberFormat="1" applyFont="1" applyBorder="1"/>
    <xf numFmtId="167" fontId="28" fillId="0" borderId="0" xfId="1" applyNumberFormat="1" applyFont="1" applyBorder="1"/>
    <xf numFmtId="0" fontId="31" fillId="0" borderId="0" xfId="43"/>
    <xf numFmtId="168" fontId="33" fillId="0" borderId="0" xfId="43" applyNumberFormat="1" applyFont="1" applyAlignment="1">
      <alignment horizontal="right" vertical="center"/>
    </xf>
    <xf numFmtId="168" fontId="32" fillId="0" borderId="10" xfId="43" applyNumberFormat="1" applyFont="1" applyBorder="1" applyAlignment="1">
      <alignment horizontal="right" vertical="center"/>
    </xf>
    <xf numFmtId="0" fontId="32" fillId="0" borderId="10" xfId="43" applyFont="1" applyBorder="1" applyAlignment="1">
      <alignment horizontal="left" indent="1"/>
    </xf>
    <xf numFmtId="0" fontId="33" fillId="0" borderId="0" xfId="43" applyFont="1" applyAlignment="1">
      <alignment horizontal="left" indent="2"/>
    </xf>
    <xf numFmtId="168" fontId="32" fillId="0" borderId="0" xfId="43" applyNumberFormat="1" applyFont="1" applyAlignment="1">
      <alignment horizontal="right" vertical="center"/>
    </xf>
    <xf numFmtId="0" fontId="32" fillId="0" borderId="0" xfId="43" applyFont="1" applyAlignment="1">
      <alignment horizontal="left" indent="1"/>
    </xf>
    <xf numFmtId="0" fontId="32" fillId="0" borderId="0" xfId="43" applyFont="1" applyAlignment="1">
      <alignment horizontal="left" vertical="center"/>
    </xf>
    <xf numFmtId="0" fontId="32" fillId="0" borderId="10" xfId="43" applyFont="1" applyBorder="1" applyAlignment="1">
      <alignment horizontal="left" indent="2"/>
    </xf>
    <xf numFmtId="0" fontId="33" fillId="0" borderId="0" xfId="43" applyFont="1" applyAlignment="1">
      <alignment horizontal="left" indent="3"/>
    </xf>
    <xf numFmtId="0" fontId="32" fillId="0" borderId="0" xfId="43" applyFont="1" applyAlignment="1">
      <alignment horizontal="left" indent="2"/>
    </xf>
    <xf numFmtId="0" fontId="34" fillId="33" borderId="0" xfId="43" applyFont="1" applyFill="1" applyAlignment="1">
      <alignment horizontal="right"/>
    </xf>
    <xf numFmtId="0" fontId="34" fillId="33" borderId="0" xfId="43" applyFont="1" applyFill="1" applyAlignment="1">
      <alignment horizontal="left"/>
    </xf>
    <xf numFmtId="0" fontId="30" fillId="0" borderId="14" xfId="1" applyNumberFormat="1" applyFont="1" applyFill="1" applyBorder="1" applyAlignment="1">
      <alignment horizontal="center" vertical="center"/>
    </xf>
    <xf numFmtId="0" fontId="37" fillId="0" borderId="15" xfId="0" applyFont="1" applyBorder="1" applyAlignment="1">
      <alignment horizontal="center"/>
    </xf>
    <xf numFmtId="0" fontId="38" fillId="0" borderId="0" xfId="0" applyFont="1"/>
    <xf numFmtId="167" fontId="38" fillId="0" borderId="0" xfId="1" applyNumberFormat="1" applyFont="1"/>
    <xf numFmtId="0" fontId="36" fillId="0" borderId="0" xfId="43" applyFont="1"/>
    <xf numFmtId="0" fontId="35" fillId="0" borderId="0" xfId="43" applyFont="1"/>
    <xf numFmtId="0" fontId="37" fillId="0" borderId="0" xfId="0" applyFont="1" applyAlignment="1">
      <alignment horizontal="center"/>
    </xf>
    <xf numFmtId="0" fontId="30" fillId="0" borderId="0" xfId="1" applyNumberFormat="1" applyFont="1" applyFill="1" applyBorder="1" applyAlignment="1">
      <alignment horizontal="center" vertical="center"/>
    </xf>
    <xf numFmtId="167" fontId="30" fillId="0" borderId="0" xfId="1" applyNumberFormat="1" applyFont="1" applyFill="1" applyBorder="1" applyAlignment="1">
      <alignment horizontal="right"/>
    </xf>
    <xf numFmtId="167" fontId="38" fillId="0" borderId="0" xfId="1" applyNumberFormat="1" applyFont="1" applyBorder="1"/>
    <xf numFmtId="0" fontId="27" fillId="0" borderId="15" xfId="0" applyFont="1" applyBorder="1" applyAlignment="1">
      <alignment horizontal="center"/>
    </xf>
    <xf numFmtId="167" fontId="39" fillId="0" borderId="0" xfId="1" applyNumberFormat="1" applyFont="1"/>
    <xf numFmtId="0" fontId="39" fillId="0" borderId="0" xfId="0" applyFont="1"/>
    <xf numFmtId="0" fontId="31" fillId="38" borderId="0" xfId="43" applyFill="1"/>
    <xf numFmtId="4" fontId="0" fillId="0" borderId="0" xfId="0" applyNumberFormat="1"/>
    <xf numFmtId="168" fontId="31" fillId="0" borderId="0" xfId="43" applyNumberFormat="1"/>
    <xf numFmtId="0" fontId="41" fillId="0" borderId="0" xfId="44" applyFont="1" applyAlignment="1">
      <alignment horizontal="left" vertical="center" wrapText="1" indent="2"/>
    </xf>
    <xf numFmtId="0" fontId="41" fillId="0" borderId="0" xfId="44" applyFont="1" applyAlignment="1">
      <alignment horizontal="justify" vertical="center" wrapText="1"/>
    </xf>
    <xf numFmtId="0" fontId="41" fillId="0" borderId="0" xfId="44" applyFont="1" applyAlignment="1">
      <alignment horizontal="right" wrapText="1"/>
    </xf>
    <xf numFmtId="0" fontId="40" fillId="0" borderId="0" xfId="44"/>
    <xf numFmtId="0" fontId="41" fillId="0" borderId="17" xfId="44" applyFont="1" applyBorder="1" applyAlignment="1">
      <alignment horizontal="right" wrapText="1"/>
    </xf>
    <xf numFmtId="0" fontId="44" fillId="0" borderId="0" xfId="48"/>
    <xf numFmtId="0" fontId="45" fillId="40" borderId="18" xfId="48" applyFont="1" applyFill="1" applyBorder="1" applyAlignment="1">
      <alignment horizontal="center" vertical="center"/>
    </xf>
    <xf numFmtId="0" fontId="45" fillId="40" borderId="19" xfId="48" applyFont="1" applyFill="1" applyBorder="1" applyAlignment="1">
      <alignment horizontal="center" vertical="center"/>
    </xf>
    <xf numFmtId="0" fontId="45" fillId="40" borderId="20" xfId="48" applyFont="1" applyFill="1" applyBorder="1" applyAlignment="1">
      <alignment horizontal="center" vertical="center"/>
    </xf>
    <xf numFmtId="0" fontId="44" fillId="0" borderId="21" xfId="48" applyBorder="1" applyAlignment="1">
      <alignment horizontal="left"/>
    </xf>
    <xf numFmtId="43" fontId="44" fillId="0" borderId="0" xfId="49" applyFont="1" applyBorder="1" applyAlignment="1">
      <alignment horizontal="left"/>
    </xf>
    <xf numFmtId="43" fontId="44" fillId="0" borderId="22" xfId="49" applyFont="1" applyBorder="1"/>
    <xf numFmtId="43" fontId="44" fillId="0" borderId="0" xfId="49" applyFont="1" applyBorder="1"/>
    <xf numFmtId="43" fontId="44" fillId="0" borderId="22" xfId="49" applyFont="1" applyBorder="1" applyAlignment="1">
      <alignment horizontal="left"/>
    </xf>
    <xf numFmtId="0" fontId="45" fillId="40" borderId="23" xfId="48" applyFont="1" applyFill="1" applyBorder="1" applyAlignment="1">
      <alignment horizontal="center" vertical="center"/>
    </xf>
    <xf numFmtId="0" fontId="45" fillId="40" borderId="24" xfId="48" applyFont="1" applyFill="1" applyBorder="1" applyAlignment="1">
      <alignment horizontal="center" vertical="center"/>
    </xf>
    <xf numFmtId="0" fontId="45" fillId="40" borderId="25" xfId="48" applyFont="1" applyFill="1" applyBorder="1" applyAlignment="1">
      <alignment horizontal="center" vertical="center"/>
    </xf>
    <xf numFmtId="0" fontId="44" fillId="0" borderId="26" xfId="48" applyBorder="1" applyAlignment="1">
      <alignment horizontal="left"/>
    </xf>
    <xf numFmtId="43" fontId="44" fillId="0" borderId="14" xfId="49" applyFont="1" applyBorder="1"/>
    <xf numFmtId="43" fontId="44" fillId="0" borderId="27" xfId="49" applyFont="1" applyBorder="1" applyAlignment="1">
      <alignment horizontal="left"/>
    </xf>
    <xf numFmtId="0" fontId="44" fillId="0" borderId="0" xfId="50"/>
    <xf numFmtId="0" fontId="43" fillId="0" borderId="14" xfId="44" applyFont="1" applyBorder="1" applyAlignment="1">
      <alignment horizontal="right" wrapText="1"/>
    </xf>
    <xf numFmtId="167" fontId="46" fillId="0" borderId="0" xfId="1" applyNumberFormat="1" applyFont="1"/>
    <xf numFmtId="167" fontId="40" fillId="38" borderId="0" xfId="44" applyNumberFormat="1" applyFill="1"/>
    <xf numFmtId="167" fontId="29" fillId="0" borderId="14" xfId="1" applyNumberFormat="1" applyFont="1" applyBorder="1"/>
    <xf numFmtId="1" fontId="28" fillId="0" borderId="0" xfId="0" applyNumberFormat="1" applyFont="1"/>
    <xf numFmtId="167" fontId="28" fillId="0" borderId="14" xfId="1" applyNumberFormat="1" applyFont="1" applyBorder="1"/>
    <xf numFmtId="175" fontId="0" fillId="0" borderId="0" xfId="1" applyNumberFormat="1" applyFont="1"/>
    <xf numFmtId="175" fontId="26" fillId="0" borderId="0" xfId="1" applyNumberFormat="1" applyFont="1" applyAlignment="1">
      <alignment horizontal="right" vertical="center"/>
    </xf>
    <xf numFmtId="167" fontId="28" fillId="0" borderId="0" xfId="0" applyNumberFormat="1" applyFont="1"/>
    <xf numFmtId="0" fontId="29" fillId="39" borderId="29" xfId="0" applyFont="1" applyFill="1" applyBorder="1"/>
    <xf numFmtId="0" fontId="28" fillId="39" borderId="29" xfId="0" applyFont="1" applyFill="1" applyBorder="1"/>
    <xf numFmtId="0" fontId="0" fillId="39" borderId="29" xfId="0" applyFill="1" applyBorder="1"/>
    <xf numFmtId="167" fontId="49" fillId="0" borderId="0" xfId="1" applyNumberFormat="1" applyFont="1"/>
    <xf numFmtId="0" fontId="0" fillId="38" borderId="0" xfId="0" applyFill="1"/>
    <xf numFmtId="0" fontId="28" fillId="0" borderId="0" xfId="0" applyFont="1" applyAlignment="1">
      <alignment horizontal="center" wrapText="1"/>
    </xf>
    <xf numFmtId="4" fontId="31" fillId="0" borderId="0" xfId="43" applyNumberFormat="1"/>
    <xf numFmtId="0" fontId="50" fillId="0" borderId="0" xfId="0" applyFont="1"/>
    <xf numFmtId="168" fontId="25" fillId="0" borderId="0" xfId="0" applyNumberFormat="1" applyFont="1" applyAlignment="1">
      <alignment horizontal="right" vertical="center"/>
    </xf>
    <xf numFmtId="168" fontId="26" fillId="0" borderId="0" xfId="0" applyNumberFormat="1" applyFont="1" applyAlignment="1">
      <alignment horizontal="right" vertical="center"/>
    </xf>
    <xf numFmtId="168" fontId="25" fillId="0" borderId="10" xfId="0" applyNumberFormat="1" applyFont="1" applyBorder="1" applyAlignment="1">
      <alignment horizontal="right" vertical="center"/>
    </xf>
    <xf numFmtId="168" fontId="25" fillId="0" borderId="11" xfId="0" applyNumberFormat="1" applyFont="1" applyBorder="1" applyAlignment="1">
      <alignment horizontal="right" vertical="center"/>
    </xf>
    <xf numFmtId="0" fontId="38" fillId="38" borderId="0" xfId="0" applyFont="1" applyFill="1"/>
    <xf numFmtId="0" fontId="28" fillId="0" borderId="14" xfId="0" applyFont="1" applyBorder="1" applyAlignment="1">
      <alignment wrapText="1"/>
    </xf>
    <xf numFmtId="0" fontId="28" fillId="0" borderId="14" xfId="0" applyFont="1" applyBorder="1" applyAlignment="1">
      <alignment horizontal="center" wrapText="1"/>
    </xf>
    <xf numFmtId="0" fontId="25" fillId="0" borderId="0" xfId="0" applyFont="1" applyAlignment="1">
      <alignment horizontal="left" indent="2"/>
    </xf>
    <xf numFmtId="0" fontId="25" fillId="0" borderId="10" xfId="0" applyFont="1" applyBorder="1" applyAlignment="1">
      <alignment horizontal="left" indent="2"/>
    </xf>
    <xf numFmtId="0" fontId="25" fillId="0" borderId="10" xfId="0" applyFont="1" applyBorder="1" applyAlignment="1">
      <alignment horizontal="left" indent="1"/>
    </xf>
    <xf numFmtId="0" fontId="25" fillId="0" borderId="0" xfId="0" applyFont="1" applyAlignment="1">
      <alignment horizontal="left" indent="3"/>
    </xf>
    <xf numFmtId="0" fontId="26" fillId="0" borderId="0" xfId="0" applyFont="1" applyAlignment="1">
      <alignment horizontal="left" indent="4"/>
    </xf>
    <xf numFmtId="0" fontId="25" fillId="0" borderId="10" xfId="0" applyFont="1" applyBorder="1" applyAlignment="1">
      <alignment horizontal="left" indent="3"/>
    </xf>
    <xf numFmtId="0" fontId="25" fillId="0" borderId="10" xfId="0" applyFont="1" applyBorder="1" applyAlignment="1">
      <alignment horizontal="left" vertical="center"/>
    </xf>
    <xf numFmtId="177" fontId="25" fillId="0" borderId="0" xfId="0" applyNumberFormat="1" applyFont="1" applyAlignment="1">
      <alignment horizontal="right" vertical="center"/>
    </xf>
    <xf numFmtId="0" fontId="26" fillId="37" borderId="0" xfId="0" applyFont="1" applyFill="1" applyAlignment="1">
      <alignment horizontal="left" indent="1"/>
    </xf>
    <xf numFmtId="0" fontId="25" fillId="37" borderId="0" xfId="0" applyFont="1" applyFill="1" applyAlignment="1">
      <alignment horizontal="left" vertical="center"/>
    </xf>
    <xf numFmtId="0" fontId="25" fillId="37" borderId="11" xfId="0" applyFont="1" applyFill="1" applyBorder="1" applyAlignment="1">
      <alignment horizontal="left" vertical="center"/>
    </xf>
    <xf numFmtId="0" fontId="25" fillId="0" borderId="11" xfId="0" applyFont="1" applyBorder="1" applyAlignment="1">
      <alignment horizontal="left" indent="1"/>
    </xf>
    <xf numFmtId="177" fontId="26" fillId="37" borderId="0" xfId="0" applyNumberFormat="1" applyFont="1" applyFill="1" applyAlignment="1">
      <alignment horizontal="right" vertical="center"/>
    </xf>
    <xf numFmtId="177" fontId="25" fillId="37" borderId="0" xfId="0" applyNumberFormat="1" applyFont="1" applyFill="1" applyAlignment="1">
      <alignment horizontal="right" vertical="center"/>
    </xf>
    <xf numFmtId="0" fontId="0" fillId="37" borderId="0" xfId="0" applyFill="1"/>
    <xf numFmtId="176" fontId="26" fillId="0" borderId="0" xfId="0" applyNumberFormat="1" applyFont="1" applyAlignment="1">
      <alignment horizontal="right" vertical="center"/>
    </xf>
    <xf numFmtId="0" fontId="52" fillId="0" borderId="0" xfId="0" applyFont="1"/>
    <xf numFmtId="177" fontId="25" fillId="37" borderId="11" xfId="0" applyNumberFormat="1" applyFont="1" applyFill="1" applyBorder="1" applyAlignment="1">
      <alignment horizontal="right" vertical="center"/>
    </xf>
    <xf numFmtId="177" fontId="25" fillId="0" borderId="11" xfId="0" applyNumberFormat="1" applyFont="1" applyBorder="1" applyAlignment="1">
      <alignment horizontal="right" vertical="center"/>
    </xf>
    <xf numFmtId="177" fontId="26" fillId="0" borderId="0" xfId="0" applyNumberFormat="1" applyFont="1" applyAlignment="1">
      <alignment horizontal="right" vertical="center"/>
    </xf>
    <xf numFmtId="167" fontId="52" fillId="0" borderId="0" xfId="1" applyNumberFormat="1" applyFont="1"/>
    <xf numFmtId="167" fontId="0" fillId="0" borderId="13" xfId="1" applyNumberFormat="1" applyFont="1" applyBorder="1"/>
    <xf numFmtId="167" fontId="0" fillId="38" borderId="0" xfId="1" applyNumberFormat="1" applyFont="1" applyFill="1"/>
    <xf numFmtId="167" fontId="29" fillId="39" borderId="0" xfId="1" applyNumberFormat="1" applyFont="1" applyFill="1"/>
    <xf numFmtId="167" fontId="38" fillId="42" borderId="16" xfId="1" applyNumberFormat="1" applyFont="1" applyFill="1" applyBorder="1"/>
    <xf numFmtId="0" fontId="54" fillId="0" borderId="0" xfId="0" applyFont="1"/>
    <xf numFmtId="167" fontId="49" fillId="0" borderId="0" xfId="1" applyNumberFormat="1" applyFont="1" applyFill="1"/>
    <xf numFmtId="0" fontId="49" fillId="0" borderId="0" xfId="0" applyFont="1"/>
    <xf numFmtId="0" fontId="31" fillId="42" borderId="0" xfId="43" applyFill="1"/>
    <xf numFmtId="0" fontId="0" fillId="0" borderId="0" xfId="1" applyNumberFormat="1" applyFont="1"/>
    <xf numFmtId="0" fontId="55" fillId="0" borderId="0" xfId="0" applyFont="1"/>
    <xf numFmtId="0" fontId="0" fillId="39" borderId="0" xfId="0" applyFill="1"/>
    <xf numFmtId="167" fontId="50" fillId="39" borderId="0" xfId="1" applyNumberFormat="1" applyFont="1" applyFill="1"/>
    <xf numFmtId="167" fontId="50" fillId="39" borderId="13" xfId="1" applyNumberFormat="1" applyFont="1" applyFill="1" applyBorder="1"/>
    <xf numFmtId="14" fontId="50" fillId="0" borderId="13" xfId="0" applyNumberFormat="1" applyFont="1" applyBorder="1" applyAlignment="1">
      <alignment horizontal="center"/>
    </xf>
    <xf numFmtId="0" fontId="50" fillId="42" borderId="30" xfId="0" applyFont="1" applyFill="1" applyBorder="1" applyAlignment="1">
      <alignment horizontal="center"/>
    </xf>
    <xf numFmtId="0" fontId="50" fillId="0" borderId="31" xfId="0" applyFont="1" applyBorder="1" applyAlignment="1">
      <alignment horizontal="center"/>
    </xf>
    <xf numFmtId="0" fontId="50" fillId="42" borderId="32" xfId="0" applyFont="1" applyFill="1" applyBorder="1" applyAlignment="1">
      <alignment horizontal="center"/>
    </xf>
    <xf numFmtId="14" fontId="50" fillId="42" borderId="33" xfId="0" applyNumberFormat="1" applyFont="1" applyFill="1" applyBorder="1" applyAlignment="1">
      <alignment horizontal="center"/>
    </xf>
    <xf numFmtId="14" fontId="50" fillId="42" borderId="34" xfId="0" applyNumberFormat="1" applyFont="1" applyFill="1" applyBorder="1" applyAlignment="1">
      <alignment horizontal="center"/>
    </xf>
    <xf numFmtId="167" fontId="28" fillId="43" borderId="0" xfId="1" applyNumberFormat="1" applyFont="1" applyFill="1"/>
    <xf numFmtId="167" fontId="28" fillId="43" borderId="13" xfId="1" applyNumberFormat="1" applyFont="1" applyFill="1" applyBorder="1"/>
    <xf numFmtId="0" fontId="56" fillId="0" borderId="0" xfId="0" applyFont="1"/>
    <xf numFmtId="167" fontId="0" fillId="0" borderId="0" xfId="1" applyNumberFormat="1" applyFont="1" applyFill="1"/>
    <xf numFmtId="0" fontId="32" fillId="44" borderId="10" xfId="43" applyFont="1" applyFill="1" applyBorder="1" applyAlignment="1">
      <alignment horizontal="left" indent="1"/>
    </xf>
    <xf numFmtId="168" fontId="32" fillId="44" borderId="10" xfId="43" applyNumberFormat="1" applyFont="1" applyFill="1" applyBorder="1" applyAlignment="1">
      <alignment horizontal="right" vertical="center"/>
    </xf>
    <xf numFmtId="0" fontId="31" fillId="44" borderId="0" xfId="43" applyFill="1"/>
    <xf numFmtId="168" fontId="25" fillId="44" borderId="10" xfId="0" applyNumberFormat="1" applyFont="1" applyFill="1" applyBorder="1" applyAlignment="1">
      <alignment horizontal="right" vertical="center"/>
    </xf>
    <xf numFmtId="4" fontId="31" fillId="44" borderId="0" xfId="43" applyNumberFormat="1" applyFill="1"/>
    <xf numFmtId="17" fontId="42" fillId="39" borderId="35" xfId="0" applyNumberFormat="1" applyFont="1" applyFill="1" applyBorder="1" applyAlignment="1">
      <alignment horizontal="left" wrapText="1"/>
    </xf>
    <xf numFmtId="167" fontId="0" fillId="0" borderId="0" xfId="0" applyNumberFormat="1"/>
    <xf numFmtId="0" fontId="50" fillId="0" borderId="0" xfId="0" applyFont="1" applyAlignment="1">
      <alignment horizontal="left" wrapText="1"/>
    </xf>
    <xf numFmtId="167" fontId="50" fillId="38" borderId="0" xfId="1" applyNumberFormat="1" applyFont="1" applyFill="1"/>
    <xf numFmtId="167" fontId="50" fillId="0" borderId="13" xfId="1" applyNumberFormat="1" applyFont="1" applyBorder="1"/>
    <xf numFmtId="167" fontId="0" fillId="0" borderId="15" xfId="1" applyNumberFormat="1" applyFont="1" applyBorder="1"/>
    <xf numFmtId="0" fontId="0" fillId="45" borderId="0" xfId="0" applyFill="1"/>
    <xf numFmtId="167" fontId="0" fillId="37" borderId="0" xfId="1" applyNumberFormat="1" applyFont="1" applyFill="1"/>
    <xf numFmtId="167" fontId="0" fillId="37" borderId="13" xfId="1" applyNumberFormat="1" applyFont="1" applyFill="1" applyBorder="1"/>
    <xf numFmtId="167" fontId="50" fillId="37" borderId="0" xfId="1" applyNumberFormat="1" applyFont="1" applyFill="1"/>
    <xf numFmtId="167" fontId="50" fillId="37" borderId="13" xfId="1" applyNumberFormat="1" applyFont="1" applyFill="1" applyBorder="1"/>
    <xf numFmtId="167" fontId="50" fillId="46" borderId="0" xfId="1" applyNumberFormat="1" applyFont="1" applyFill="1"/>
    <xf numFmtId="167" fontId="50" fillId="45" borderId="0" xfId="1" applyNumberFormat="1" applyFont="1" applyFill="1"/>
    <xf numFmtId="167" fontId="50" fillId="44" borderId="0" xfId="1" applyNumberFormat="1" applyFont="1" applyFill="1"/>
    <xf numFmtId="167" fontId="50" fillId="47" borderId="0" xfId="1" applyNumberFormat="1" applyFont="1" applyFill="1"/>
    <xf numFmtId="167" fontId="56" fillId="0" borderId="0" xfId="0" applyNumberFormat="1" applyFont="1"/>
    <xf numFmtId="0" fontId="27" fillId="0" borderId="0" xfId="0" applyFont="1" applyAlignment="1">
      <alignment horizontal="center"/>
    </xf>
    <xf numFmtId="167" fontId="38" fillId="42" borderId="0" xfId="1" applyNumberFormat="1" applyFont="1" applyFill="1" applyBorder="1"/>
    <xf numFmtId="0" fontId="2" fillId="0" borderId="0" xfId="44" applyFont="1"/>
    <xf numFmtId="0" fontId="57" fillId="0" borderId="0" xfId="44" applyFont="1" applyAlignment="1">
      <alignment horizontal="left" vertical="center" wrapText="1" indent="2"/>
    </xf>
    <xf numFmtId="0" fontId="57" fillId="0" borderId="0" xfId="44" applyFont="1" applyAlignment="1">
      <alignment horizontal="right" wrapText="1"/>
    </xf>
    <xf numFmtId="0" fontId="57" fillId="0" borderId="17" xfId="44" applyFont="1" applyBorder="1" applyAlignment="1">
      <alignment horizontal="right" wrapText="1"/>
    </xf>
    <xf numFmtId="3" fontId="57" fillId="0" borderId="0" xfId="44" applyNumberFormat="1" applyFont="1" applyAlignment="1">
      <alignment horizontal="right" wrapText="1"/>
    </xf>
    <xf numFmtId="169" fontId="2" fillId="0" borderId="0" xfId="44" applyNumberFormat="1" applyFont="1" applyAlignment="1">
      <alignment horizontal="right" wrapText="1"/>
    </xf>
    <xf numFmtId="167" fontId="57" fillId="0" borderId="0" xfId="44" applyNumberFormat="1" applyFont="1" applyAlignment="1">
      <alignment horizontal="right" wrapText="1"/>
    </xf>
    <xf numFmtId="169" fontId="57" fillId="0" borderId="0" xfId="44" applyNumberFormat="1" applyFont="1" applyAlignment="1">
      <alignment horizontal="right" wrapText="1"/>
    </xf>
    <xf numFmtId="164" fontId="57" fillId="0" borderId="0" xfId="44" applyNumberFormat="1" applyFont="1" applyAlignment="1">
      <alignment horizontal="right" wrapText="1"/>
    </xf>
    <xf numFmtId="167" fontId="57" fillId="0" borderId="0" xfId="1" applyNumberFormat="1" applyFont="1" applyAlignment="1">
      <alignment horizontal="right" wrapText="1"/>
    </xf>
    <xf numFmtId="167" fontId="57" fillId="0" borderId="0" xfId="45" applyNumberFormat="1" applyFont="1" applyAlignment="1">
      <alignment horizontal="right" wrapText="1"/>
    </xf>
    <xf numFmtId="171" fontId="57" fillId="0" borderId="0" xfId="45" applyNumberFormat="1" applyFont="1" applyAlignment="1">
      <alignment horizontal="right" wrapText="1"/>
    </xf>
    <xf numFmtId="164" fontId="57" fillId="0" borderId="14" xfId="44" applyNumberFormat="1" applyFont="1" applyBorder="1" applyAlignment="1">
      <alignment horizontal="right" wrapText="1"/>
    </xf>
    <xf numFmtId="171" fontId="57" fillId="0" borderId="14" xfId="45" applyNumberFormat="1" applyFont="1" applyBorder="1" applyAlignment="1">
      <alignment horizontal="right" wrapText="1"/>
    </xf>
    <xf numFmtId="0" fontId="57" fillId="0" borderId="14" xfId="44" applyFont="1" applyBorder="1" applyAlignment="1">
      <alignment horizontal="right" wrapText="1"/>
    </xf>
    <xf numFmtId="167" fontId="57" fillId="0" borderId="14" xfId="44" applyNumberFormat="1" applyFont="1" applyBorder="1" applyAlignment="1">
      <alignment horizontal="right" wrapText="1"/>
    </xf>
    <xf numFmtId="173" fontId="57" fillId="0" borderId="14" xfId="44" applyNumberFormat="1" applyFont="1" applyBorder="1" applyAlignment="1">
      <alignment horizontal="right" wrapText="1"/>
    </xf>
    <xf numFmtId="167" fontId="57" fillId="38" borderId="14" xfId="44" applyNumberFormat="1" applyFont="1" applyFill="1" applyBorder="1" applyAlignment="1">
      <alignment horizontal="right" wrapText="1"/>
    </xf>
    <xf numFmtId="174" fontId="57" fillId="0" borderId="14" xfId="44" applyNumberFormat="1" applyFont="1" applyBorder="1" applyAlignment="1">
      <alignment horizontal="right" wrapText="1"/>
    </xf>
    <xf numFmtId="3" fontId="57" fillId="0" borderId="16" xfId="44" applyNumberFormat="1" applyFont="1" applyBorder="1" applyAlignment="1">
      <alignment horizontal="right" wrapText="1"/>
    </xf>
    <xf numFmtId="0" fontId="2" fillId="0" borderId="0" xfId="44" applyFont="1" applyAlignment="1">
      <alignment horizontal="right"/>
    </xf>
    <xf numFmtId="3" fontId="2" fillId="0" borderId="0" xfId="44" applyNumberFormat="1" applyFont="1" applyAlignment="1">
      <alignment horizontal="right"/>
    </xf>
    <xf numFmtId="171" fontId="59" fillId="0" borderId="0" xfId="45" applyNumberFormat="1" applyFont="1" applyAlignment="1">
      <alignment horizontal="right"/>
    </xf>
    <xf numFmtId="0" fontId="58" fillId="0" borderId="0" xfId="44" applyFont="1" applyAlignment="1">
      <alignment horizontal="left" vertical="center" wrapText="1" indent="2"/>
    </xf>
    <xf numFmtId="167" fontId="28" fillId="0" borderId="0" xfId="1" applyNumberFormat="1" applyFont="1" applyFill="1"/>
    <xf numFmtId="167" fontId="28" fillId="0" borderId="13" xfId="1" applyNumberFormat="1" applyFont="1" applyFill="1" applyBorder="1"/>
    <xf numFmtId="167" fontId="28" fillId="38" borderId="13" xfId="1" applyNumberFormat="1" applyFont="1" applyFill="1" applyBorder="1"/>
    <xf numFmtId="164" fontId="40" fillId="0" borderId="0" xfId="44" applyNumberFormat="1"/>
    <xf numFmtId="3" fontId="2" fillId="0" borderId="0" xfId="44" applyNumberFormat="1" applyFont="1"/>
    <xf numFmtId="171" fontId="2" fillId="0" borderId="0" xfId="44" applyNumberFormat="1" applyFont="1"/>
    <xf numFmtId="0" fontId="58" fillId="0" borderId="36" xfId="44" applyFont="1" applyBorder="1" applyAlignment="1">
      <alignment horizontal="center" vertical="center" wrapText="1"/>
    </xf>
    <xf numFmtId="0" fontId="58" fillId="0" borderId="36" xfId="44" applyFont="1" applyBorder="1" applyAlignment="1">
      <alignment horizontal="left" vertical="center" wrapText="1" indent="2"/>
    </xf>
    <xf numFmtId="0" fontId="41" fillId="0" borderId="36" xfId="44" applyFont="1" applyBorder="1" applyAlignment="1">
      <alignment horizontal="right" wrapText="1"/>
    </xf>
    <xf numFmtId="169" fontId="57" fillId="0" borderId="36" xfId="44" applyNumberFormat="1" applyFont="1" applyBorder="1" applyAlignment="1">
      <alignment horizontal="right" wrapText="1"/>
    </xf>
    <xf numFmtId="0" fontId="57" fillId="0" borderId="36" xfId="44" applyFont="1" applyBorder="1" applyAlignment="1">
      <alignment horizontal="right" wrapText="1"/>
    </xf>
    <xf numFmtId="169" fontId="57" fillId="0" borderId="37" xfId="44" applyNumberFormat="1" applyFont="1" applyBorder="1" applyAlignment="1">
      <alignment horizontal="right" wrapText="1"/>
    </xf>
    <xf numFmtId="171" fontId="57" fillId="0" borderId="36" xfId="45" applyNumberFormat="1" applyFont="1" applyBorder="1" applyAlignment="1">
      <alignment horizontal="right" wrapText="1"/>
    </xf>
    <xf numFmtId="171" fontId="57" fillId="0" borderId="37" xfId="45" applyNumberFormat="1" applyFont="1" applyBorder="1" applyAlignment="1">
      <alignment horizontal="right" wrapText="1"/>
    </xf>
    <xf numFmtId="171" fontId="57" fillId="0" borderId="38" xfId="45" applyNumberFormat="1" applyFont="1" applyBorder="1" applyAlignment="1">
      <alignment horizontal="right" wrapText="1"/>
    </xf>
    <xf numFmtId="0" fontId="2" fillId="0" borderId="36" xfId="44" applyFont="1" applyBorder="1" applyAlignment="1">
      <alignment horizontal="right"/>
    </xf>
    <xf numFmtId="3" fontId="2" fillId="0" borderId="36" xfId="44" applyNumberFormat="1" applyFont="1" applyBorder="1"/>
    <xf numFmtId="0" fontId="40" fillId="0" borderId="36" xfId="44" applyBorder="1"/>
    <xf numFmtId="171" fontId="40" fillId="0" borderId="36" xfId="44" applyNumberFormat="1" applyBorder="1"/>
    <xf numFmtId="167" fontId="40" fillId="0" borderId="36" xfId="1" applyNumberFormat="1" applyFont="1" applyBorder="1"/>
    <xf numFmtId="3" fontId="40" fillId="0" borderId="0" xfId="44" applyNumberFormat="1"/>
    <xf numFmtId="164" fontId="28" fillId="0" borderId="0" xfId="1" applyFont="1"/>
    <xf numFmtId="164" fontId="28" fillId="0" borderId="0" xfId="0" applyNumberFormat="1" applyFont="1"/>
    <xf numFmtId="0" fontId="26" fillId="38" borderId="0" xfId="0" applyFont="1" applyFill="1" applyAlignment="1">
      <alignment horizontal="left" vertical="center"/>
    </xf>
    <xf numFmtId="14" fontId="25" fillId="0" borderId="0" xfId="0" applyNumberFormat="1" applyFont="1" applyAlignment="1">
      <alignment horizontal="left" vertical="center"/>
    </xf>
    <xf numFmtId="14" fontId="25" fillId="0" borderId="10" xfId="0" applyNumberFormat="1" applyFont="1" applyBorder="1" applyAlignment="1">
      <alignment horizontal="left" vertical="center"/>
    </xf>
    <xf numFmtId="164" fontId="0" fillId="0" borderId="0" xfId="0" applyNumberFormat="1"/>
    <xf numFmtId="171" fontId="0" fillId="0" borderId="0" xfId="0" applyNumberFormat="1"/>
    <xf numFmtId="0" fontId="26" fillId="0" borderId="0" xfId="0" applyFont="1" applyAlignment="1">
      <alignment horizontal="left" vertical="center"/>
    </xf>
    <xf numFmtId="14" fontId="26" fillId="0" borderId="0" xfId="0" applyNumberFormat="1" applyFont="1" applyAlignment="1">
      <alignment horizontal="left" vertical="center"/>
    </xf>
    <xf numFmtId="171" fontId="60" fillId="38" borderId="0" xfId="79" applyNumberFormat="1" applyFont="1" applyFill="1" applyBorder="1" applyAlignment="1">
      <alignment horizontal="center"/>
    </xf>
    <xf numFmtId="0" fontId="41" fillId="38" borderId="0" xfId="0" applyFont="1" applyFill="1"/>
    <xf numFmtId="171" fontId="60" fillId="48" borderId="0" xfId="79" applyNumberFormat="1" applyFont="1" applyFill="1" applyBorder="1" applyAlignment="1">
      <alignment horizontal="center"/>
    </xf>
    <xf numFmtId="0" fontId="41" fillId="0" borderId="0" xfId="0" applyFont="1"/>
    <xf numFmtId="164" fontId="61" fillId="0" borderId="0" xfId="79" applyFont="1" applyFill="1" applyBorder="1" applyAlignment="1">
      <alignment horizontal="right" vertical="top"/>
    </xf>
    <xf numFmtId="164" fontId="61" fillId="38" borderId="0" xfId="79" applyFont="1" applyFill="1" applyBorder="1" applyAlignment="1">
      <alignment horizontal="right" vertical="top"/>
    </xf>
    <xf numFmtId="164" fontId="0" fillId="46" borderId="0" xfId="0" applyNumberFormat="1" applyFill="1"/>
    <xf numFmtId="0" fontId="62" fillId="0" borderId="0" xfId="0" applyFont="1"/>
    <xf numFmtId="0" fontId="64" fillId="0" borderId="0" xfId="80"/>
    <xf numFmtId="178" fontId="28" fillId="0" borderId="0" xfId="1" applyNumberFormat="1" applyFont="1"/>
    <xf numFmtId="167" fontId="28" fillId="49" borderId="0" xfId="1" applyNumberFormat="1" applyFont="1" applyFill="1"/>
    <xf numFmtId="0" fontId="0" fillId="0" borderId="39" xfId="0" applyBorder="1"/>
    <xf numFmtId="167" fontId="0" fillId="0" borderId="29" xfId="1" applyNumberFormat="1" applyFont="1" applyBorder="1"/>
    <xf numFmtId="0" fontId="0" fillId="0" borderId="29" xfId="0" applyBorder="1"/>
    <xf numFmtId="0" fontId="0" fillId="0" borderId="40" xfId="0" applyBorder="1"/>
    <xf numFmtId="0" fontId="50" fillId="39" borderId="0" xfId="0" applyFont="1" applyFill="1"/>
    <xf numFmtId="167" fontId="28" fillId="43" borderId="0" xfId="1" applyNumberFormat="1" applyFont="1" applyFill="1" applyBorder="1"/>
    <xf numFmtId="0" fontId="44" fillId="0" borderId="13" xfId="50" applyBorder="1"/>
    <xf numFmtId="0" fontId="45" fillId="0" borderId="0" xfId="50" applyFont="1"/>
    <xf numFmtId="0" fontId="44" fillId="0" borderId="15" xfId="50" applyBorder="1" applyAlignment="1">
      <alignment wrapText="1"/>
    </xf>
    <xf numFmtId="14" fontId="44" fillId="0" borderId="0" xfId="50" applyNumberFormat="1"/>
    <xf numFmtId="0" fontId="45" fillId="0" borderId="13" xfId="50" applyFont="1" applyBorder="1"/>
    <xf numFmtId="167" fontId="44" fillId="0" borderId="0" xfId="1" applyNumberFormat="1" applyFont="1"/>
    <xf numFmtId="173" fontId="44" fillId="0" borderId="0" xfId="50" applyNumberFormat="1"/>
    <xf numFmtId="0" fontId="44" fillId="50" borderId="15" xfId="50" applyFill="1" applyBorder="1"/>
    <xf numFmtId="167" fontId="44" fillId="0" borderId="13" xfId="1" applyNumberFormat="1" applyFont="1" applyBorder="1"/>
    <xf numFmtId="167" fontId="44" fillId="0" borderId="16" xfId="1" applyNumberFormat="1" applyFont="1" applyBorder="1"/>
    <xf numFmtId="43" fontId="44" fillId="0" borderId="13" xfId="50" applyNumberFormat="1" applyBorder="1"/>
    <xf numFmtId="43" fontId="44" fillId="0" borderId="16" xfId="50" applyNumberFormat="1" applyBorder="1"/>
    <xf numFmtId="43" fontId="44" fillId="0" borderId="0" xfId="50" applyNumberFormat="1"/>
    <xf numFmtId="167" fontId="44" fillId="0" borderId="0" xfId="1" applyNumberFormat="1" applyFont="1" applyBorder="1"/>
    <xf numFmtId="0" fontId="44" fillId="0" borderId="0" xfId="50" applyAlignment="1">
      <alignment horizontal="right"/>
    </xf>
    <xf numFmtId="164" fontId="44" fillId="0" borderId="30" xfId="50" applyNumberFormat="1" applyBorder="1"/>
    <xf numFmtId="164" fontId="44" fillId="0" borderId="32" xfId="50" applyNumberFormat="1" applyBorder="1"/>
    <xf numFmtId="164" fontId="44" fillId="0" borderId="36" xfId="50" applyNumberFormat="1" applyBorder="1"/>
    <xf numFmtId="164" fontId="44" fillId="0" borderId="41" xfId="50" applyNumberFormat="1" applyBorder="1"/>
    <xf numFmtId="0" fontId="44" fillId="0" borderId="33" xfId="50" applyBorder="1"/>
    <xf numFmtId="164" fontId="44" fillId="0" borderId="34" xfId="50" applyNumberFormat="1" applyBorder="1"/>
    <xf numFmtId="14" fontId="44" fillId="0" borderId="0" xfId="50" applyNumberFormat="1" applyAlignment="1">
      <alignment horizontal="right"/>
    </xf>
    <xf numFmtId="0" fontId="45" fillId="0" borderId="13" xfId="50" applyFont="1" applyBorder="1" applyAlignment="1">
      <alignment horizontal="center" vertical="center" wrapText="1"/>
    </xf>
    <xf numFmtId="0" fontId="45" fillId="0" borderId="13" xfId="50" applyFont="1" applyBorder="1" applyAlignment="1">
      <alignment wrapText="1"/>
    </xf>
    <xf numFmtId="0" fontId="45" fillId="0" borderId="13" xfId="50" applyFont="1" applyBorder="1" applyAlignment="1">
      <alignment horizontal="right"/>
    </xf>
    <xf numFmtId="0" fontId="65" fillId="51" borderId="0" xfId="0" applyFont="1" applyFill="1"/>
    <xf numFmtId="0" fontId="66" fillId="51" borderId="0" xfId="0" applyFont="1" applyFill="1"/>
    <xf numFmtId="0" fontId="67" fillId="0" borderId="0" xfId="50" applyFont="1"/>
    <xf numFmtId="0" fontId="65" fillId="51" borderId="42" xfId="0" applyFont="1" applyFill="1" applyBorder="1" applyAlignment="1">
      <alignment horizontal="left" vertical="center"/>
    </xf>
    <xf numFmtId="179" fontId="65" fillId="51" borderId="42" xfId="0" applyNumberFormat="1" applyFont="1" applyFill="1" applyBorder="1" applyAlignment="1">
      <alignment horizontal="left" vertical="center"/>
    </xf>
    <xf numFmtId="180" fontId="65" fillId="51" borderId="42" xfId="0" applyNumberFormat="1" applyFont="1" applyFill="1" applyBorder="1" applyAlignment="1">
      <alignment horizontal="left" vertical="center"/>
    </xf>
    <xf numFmtId="180" fontId="65" fillId="51" borderId="42" xfId="0" applyNumberFormat="1" applyFont="1" applyFill="1" applyBorder="1" applyAlignment="1">
      <alignment horizontal="center" vertical="center" wrapText="1"/>
    </xf>
    <xf numFmtId="0" fontId="65" fillId="51" borderId="42" xfId="0" applyFont="1" applyFill="1" applyBorder="1" applyAlignment="1">
      <alignment horizontal="left" vertical="center" wrapText="1"/>
    </xf>
    <xf numFmtId="181" fontId="65" fillId="51" borderId="42" xfId="0" applyNumberFormat="1" applyFont="1" applyFill="1" applyBorder="1" applyAlignment="1">
      <alignment horizontal="left" vertical="center" wrapText="1"/>
    </xf>
    <xf numFmtId="0" fontId="66" fillId="0" borderId="43" xfId="0" applyFont="1" applyBorder="1" applyAlignment="1">
      <alignment horizontal="left"/>
    </xf>
    <xf numFmtId="179" fontId="66" fillId="0" borderId="43" xfId="0" applyNumberFormat="1" applyFont="1" applyBorder="1" applyAlignment="1">
      <alignment horizontal="left"/>
    </xf>
    <xf numFmtId="180" fontId="66" fillId="0" borderId="43" xfId="0" applyNumberFormat="1" applyFont="1" applyBorder="1" applyAlignment="1">
      <alignment horizontal="left"/>
    </xf>
    <xf numFmtId="180" fontId="66" fillId="0" borderId="43" xfId="0" applyNumberFormat="1" applyFont="1" applyBorder="1" applyAlignment="1">
      <alignment horizontal="center" wrapText="1"/>
    </xf>
    <xf numFmtId="0" fontId="66" fillId="0" borderId="43" xfId="0" applyFont="1" applyBorder="1" applyAlignment="1">
      <alignment horizontal="left" wrapText="1"/>
    </xf>
    <xf numFmtId="181" fontId="66" fillId="0" borderId="43" xfId="0" applyNumberFormat="1" applyFont="1" applyBorder="1" applyAlignment="1">
      <alignment horizontal="left" vertical="center" wrapText="1"/>
    </xf>
    <xf numFmtId="167" fontId="0" fillId="52" borderId="0" xfId="1" applyNumberFormat="1" applyFont="1" applyFill="1"/>
    <xf numFmtId="167" fontId="0" fillId="0" borderId="13" xfId="1" applyNumberFormat="1" applyFont="1" applyFill="1" applyBorder="1"/>
    <xf numFmtId="167" fontId="68" fillId="0" borderId="0" xfId="0" applyNumberFormat="1" applyFont="1"/>
    <xf numFmtId="167" fontId="69" fillId="0" borderId="0" xfId="0" applyNumberFormat="1" applyFont="1"/>
    <xf numFmtId="1" fontId="68" fillId="0" borderId="0" xfId="0" applyNumberFormat="1" applyFont="1"/>
    <xf numFmtId="0" fontId="28" fillId="39" borderId="0" xfId="0" applyFont="1" applyFill="1"/>
    <xf numFmtId="0" fontId="29" fillId="39" borderId="0" xfId="0" applyFont="1" applyFill="1"/>
    <xf numFmtId="167" fontId="28" fillId="39" borderId="0" xfId="1" applyNumberFormat="1" applyFont="1" applyFill="1"/>
    <xf numFmtId="0" fontId="63" fillId="39" borderId="0" xfId="0" applyFont="1" applyFill="1"/>
    <xf numFmtId="0" fontId="44" fillId="0" borderId="28" xfId="50" applyBorder="1" applyAlignment="1">
      <alignment horizontal="left"/>
    </xf>
    <xf numFmtId="0" fontId="45" fillId="0" borderId="28" xfId="50" applyFont="1" applyBorder="1" applyAlignment="1">
      <alignment horizontal="center" vertical="center" wrapText="1"/>
    </xf>
    <xf numFmtId="0" fontId="44" fillId="0" borderId="28" xfId="50" applyBorder="1" applyAlignment="1">
      <alignment horizontal="left" vertical="center"/>
    </xf>
    <xf numFmtId="43" fontId="44" fillId="0" borderId="28" xfId="51" applyFont="1" applyFill="1" applyBorder="1" applyAlignment="1">
      <alignment horizontal="left"/>
    </xf>
    <xf numFmtId="0" fontId="70" fillId="0" borderId="0" xfId="0" applyFont="1"/>
    <xf numFmtId="4" fontId="26" fillId="0" borderId="0" xfId="0" applyNumberFormat="1" applyFont="1" applyAlignment="1">
      <alignment horizontal="right" vertical="center"/>
    </xf>
    <xf numFmtId="4" fontId="26" fillId="38" borderId="0" xfId="0" applyNumberFormat="1" applyFont="1" applyFill="1" applyAlignment="1">
      <alignment horizontal="right" vertical="center"/>
    </xf>
    <xf numFmtId="4" fontId="26" fillId="37" borderId="0" xfId="0" applyNumberFormat="1" applyFont="1" applyFill="1" applyAlignment="1">
      <alignment horizontal="right" vertical="center"/>
    </xf>
    <xf numFmtId="4" fontId="26" fillId="53" borderId="0" xfId="0" applyNumberFormat="1" applyFont="1" applyFill="1" applyAlignment="1">
      <alignment horizontal="right" vertical="center"/>
    </xf>
    <xf numFmtId="0" fontId="25" fillId="0" borderId="44" xfId="0" applyFont="1" applyBorder="1" applyAlignment="1">
      <alignment horizontal="left" indent="2"/>
    </xf>
    <xf numFmtId="0" fontId="25" fillId="0" borderId="44" xfId="0" applyFont="1" applyBorder="1" applyAlignment="1">
      <alignment horizontal="left" vertical="center"/>
    </xf>
    <xf numFmtId="14" fontId="25" fillId="0" borderId="44" xfId="0" applyNumberFormat="1" applyFont="1" applyBorder="1" applyAlignment="1">
      <alignment horizontal="left" vertical="center"/>
    </xf>
    <xf numFmtId="168" fontId="25" fillId="0" borderId="44" xfId="0" applyNumberFormat="1" applyFont="1" applyBorder="1" applyAlignment="1">
      <alignment horizontal="right" vertical="center"/>
    </xf>
    <xf numFmtId="4" fontId="25" fillId="0" borderId="44" xfId="0" applyNumberFormat="1" applyFont="1" applyBorder="1" applyAlignment="1">
      <alignment horizontal="right" vertical="center"/>
    </xf>
    <xf numFmtId="0" fontId="25" fillId="0" borderId="44" xfId="0" applyFont="1" applyBorder="1" applyAlignment="1">
      <alignment horizontal="left" indent="1"/>
    </xf>
    <xf numFmtId="4" fontId="0" fillId="37" borderId="0" xfId="0" applyNumberFormat="1" applyFill="1"/>
    <xf numFmtId="17" fontId="28" fillId="0" borderId="0" xfId="0" applyNumberFormat="1" applyFont="1"/>
    <xf numFmtId="0" fontId="71" fillId="0" borderId="0" xfId="0" applyFont="1"/>
    <xf numFmtId="0" fontId="72" fillId="54" borderId="45" xfId="0" applyFont="1" applyFill="1" applyBorder="1" applyAlignment="1">
      <alignment horizontal="right" vertical="center" wrapText="1" indent="1"/>
    </xf>
    <xf numFmtId="0" fontId="73" fillId="0" borderId="0" xfId="0" applyFont="1"/>
    <xf numFmtId="165" fontId="25" fillId="0" borderId="0" xfId="0" applyNumberFormat="1" applyFont="1" applyAlignment="1">
      <alignment horizontal="right" vertical="center"/>
    </xf>
    <xf numFmtId="165" fontId="26" fillId="0" borderId="0" xfId="0" applyNumberFormat="1" applyFont="1" applyAlignment="1">
      <alignment horizontal="right" vertical="center"/>
    </xf>
    <xf numFmtId="165" fontId="25" fillId="0" borderId="10" xfId="0" applyNumberFormat="1" applyFont="1" applyBorder="1" applyAlignment="1">
      <alignment horizontal="right" vertical="center"/>
    </xf>
    <xf numFmtId="165" fontId="25" fillId="0" borderId="11" xfId="0" applyNumberFormat="1" applyFont="1" applyBorder="1" applyAlignment="1">
      <alignment horizontal="right" vertical="center"/>
    </xf>
    <xf numFmtId="0" fontId="25" fillId="34" borderId="11" xfId="0" applyFont="1" applyFill="1" applyBorder="1" applyAlignment="1">
      <alignment horizontal="left" vertical="center"/>
    </xf>
    <xf numFmtId="165" fontId="25" fillId="34" borderId="11" xfId="0" applyNumberFormat="1" applyFont="1" applyFill="1" applyBorder="1" applyAlignment="1">
      <alignment horizontal="right" vertical="center"/>
    </xf>
    <xf numFmtId="0" fontId="25" fillId="35" borderId="0" xfId="0" applyFont="1" applyFill="1" applyAlignment="1">
      <alignment horizontal="left" vertical="center"/>
    </xf>
    <xf numFmtId="165" fontId="25" fillId="35" borderId="0" xfId="0" applyNumberFormat="1" applyFont="1" applyFill="1" applyAlignment="1">
      <alignment horizontal="right" vertical="center"/>
    </xf>
    <xf numFmtId="0" fontId="25" fillId="35" borderId="0" xfId="0" applyFont="1" applyFill="1" applyAlignment="1">
      <alignment horizontal="left" indent="1"/>
    </xf>
    <xf numFmtId="0" fontId="25" fillId="35" borderId="0" xfId="0" applyFont="1" applyFill="1" applyAlignment="1">
      <alignment horizontal="left" indent="2"/>
    </xf>
    <xf numFmtId="0" fontId="25" fillId="35" borderId="10" xfId="0" applyFont="1" applyFill="1" applyBorder="1" applyAlignment="1">
      <alignment horizontal="left" indent="2"/>
    </xf>
    <xf numFmtId="165" fontId="25" fillId="35" borderId="10" xfId="0" applyNumberFormat="1" applyFont="1" applyFill="1" applyBorder="1" applyAlignment="1">
      <alignment horizontal="right" vertical="center"/>
    </xf>
    <xf numFmtId="0" fontId="25" fillId="35" borderId="10" xfId="0" applyFont="1" applyFill="1" applyBorder="1" applyAlignment="1">
      <alignment horizontal="left" indent="1"/>
    </xf>
    <xf numFmtId="0" fontId="25" fillId="35" borderId="10" xfId="0" applyFont="1" applyFill="1" applyBorder="1" applyAlignment="1">
      <alignment horizontal="left" vertical="center"/>
    </xf>
    <xf numFmtId="0" fontId="74" fillId="36" borderId="12" xfId="0" applyFont="1" applyFill="1" applyBorder="1" applyAlignment="1">
      <alignment horizontal="left" vertical="center"/>
    </xf>
    <xf numFmtId="166" fontId="74" fillId="36" borderId="12" xfId="0" applyNumberFormat="1" applyFont="1" applyFill="1" applyBorder="1" applyAlignment="1">
      <alignment horizontal="right" vertical="center"/>
    </xf>
    <xf numFmtId="0" fontId="25" fillId="35" borderId="0" xfId="0" applyFont="1" applyFill="1" applyAlignment="1">
      <alignment horizontal="left" indent="3"/>
    </xf>
    <xf numFmtId="0" fontId="25" fillId="35" borderId="10" xfId="0" applyFont="1" applyFill="1" applyBorder="1" applyAlignment="1">
      <alignment horizontal="left" indent="3"/>
    </xf>
    <xf numFmtId="0" fontId="25" fillId="35" borderId="0" xfId="0" applyFont="1" applyFill="1" applyAlignment="1">
      <alignment horizontal="left" indent="4"/>
    </xf>
    <xf numFmtId="0" fontId="26" fillId="0" borderId="0" xfId="0" applyFont="1" applyAlignment="1">
      <alignment horizontal="left" indent="5"/>
    </xf>
    <xf numFmtId="0" fontId="25" fillId="35" borderId="10" xfId="0" applyFont="1" applyFill="1" applyBorder="1" applyAlignment="1">
      <alignment horizontal="left" indent="4"/>
    </xf>
    <xf numFmtId="0" fontId="25" fillId="35" borderId="11" xfId="0" applyFont="1" applyFill="1" applyBorder="1" applyAlignment="1">
      <alignment horizontal="left" vertical="center"/>
    </xf>
    <xf numFmtId="165" fontId="25" fillId="35" borderId="11" xfId="0" applyNumberFormat="1" applyFont="1" applyFill="1" applyBorder="1" applyAlignment="1">
      <alignment horizontal="right" vertical="center"/>
    </xf>
    <xf numFmtId="0" fontId="25" fillId="0" borderId="11" xfId="0" applyFont="1" applyBorder="1" applyAlignment="1">
      <alignment horizontal="left" indent="2"/>
    </xf>
    <xf numFmtId="0" fontId="50" fillId="0" borderId="0" xfId="0" applyFont="1" applyAlignment="1">
      <alignment horizontal="left" wrapText="1"/>
    </xf>
    <xf numFmtId="0" fontId="51" fillId="41" borderId="0" xfId="0" applyFont="1" applyFill="1" applyAlignment="1">
      <alignment horizontal="center"/>
    </xf>
    <xf numFmtId="167" fontId="0" fillId="0" borderId="0" xfId="1" applyNumberFormat="1" applyFont="1" applyAlignment="1">
      <alignment horizontal="center" wrapText="1"/>
    </xf>
    <xf numFmtId="0" fontId="41" fillId="0" borderId="0" xfId="44" applyFont="1" applyAlignment="1">
      <alignment horizontal="left" vertical="center" wrapText="1" indent="2"/>
    </xf>
    <xf numFmtId="0" fontId="41" fillId="0" borderId="0" xfId="44" applyFont="1" applyAlignment="1">
      <alignment horizontal="justify" vertical="center" wrapText="1"/>
    </xf>
    <xf numFmtId="0" fontId="29" fillId="0" borderId="0" xfId="0" applyFont="1" applyAlignment="1">
      <alignment horizontal="center"/>
    </xf>
    <xf numFmtId="0" fontId="39" fillId="0" borderId="14" xfId="0" applyFont="1" applyBorder="1" applyAlignment="1">
      <alignment horizontal="center"/>
    </xf>
    <xf numFmtId="0" fontId="44" fillId="0" borderId="13" xfId="50" applyBorder="1" applyAlignment="1">
      <alignment horizontal="center"/>
    </xf>
    <xf numFmtId="0" fontId="45" fillId="0" borderId="13" xfId="50" applyFont="1" applyBorder="1" applyAlignment="1">
      <alignment horizontal="center"/>
    </xf>
    <xf numFmtId="0" fontId="44" fillId="0" borderId="0" xfId="50" applyAlignment="1">
      <alignment horizontal="center" vertical="center"/>
    </xf>
    <xf numFmtId="0" fontId="23" fillId="0" borderId="0" xfId="0" applyFont="1" applyAlignment="1">
      <alignment horizontal="center"/>
    </xf>
    <xf numFmtId="0" fontId="22" fillId="0" borderId="0" xfId="0" applyFont="1" applyAlignment="1">
      <alignment horizontal="center"/>
    </xf>
  </cellXfs>
  <cellStyles count="81">
    <cellStyle name="$_Axxana  December 2008" xfId="46" xr:uid="{74B238C5-F0A6-499C-8C57-170721DE4972}"/>
    <cellStyle name="20% - Accent1" xfId="20" builtinId="30" customBuiltin="1"/>
    <cellStyle name="20% - Accent1 2" xfId="53" xr:uid="{274F888D-F85F-41AA-BDDF-9CCBA5BBC1B9}"/>
    <cellStyle name="20% - Accent2" xfId="24" builtinId="34" customBuiltin="1"/>
    <cellStyle name="20% - Accent2 2" xfId="56" xr:uid="{C13E7F3E-62ED-42B4-91A8-EFBCEBE8F2F0}"/>
    <cellStyle name="20% - Accent3" xfId="28" builtinId="38" customBuiltin="1"/>
    <cellStyle name="20% - Accent3 2" xfId="59" xr:uid="{8E847B84-E534-4236-8068-6F56FA7624DA}"/>
    <cellStyle name="20% - Accent4" xfId="32" builtinId="42" customBuiltin="1"/>
    <cellStyle name="20% - Accent4 2" xfId="62" xr:uid="{B5D16977-C69B-4E15-96BD-A720C6E8C2AF}"/>
    <cellStyle name="20% - Accent5" xfId="36" builtinId="46" customBuiltin="1"/>
    <cellStyle name="20% - Accent5 2" xfId="65" xr:uid="{2BCD2EA8-E88B-48F2-8B78-B80A964B6FD2}"/>
    <cellStyle name="20% - Accent6" xfId="40" builtinId="50" customBuiltin="1"/>
    <cellStyle name="20% - Accent6 2" xfId="68" xr:uid="{E6F3F1B1-8F6F-439E-933D-5D258AFEF459}"/>
    <cellStyle name="40% - Accent1" xfId="21" builtinId="31" customBuiltin="1"/>
    <cellStyle name="40% - Accent1 2" xfId="54" xr:uid="{16565FD4-6721-48E2-8ABC-D164CB5944A3}"/>
    <cellStyle name="40% - Accent2" xfId="25" builtinId="35" customBuiltin="1"/>
    <cellStyle name="40% - Accent2 2" xfId="57" xr:uid="{79769B1D-8AE8-454F-A6AF-BDBF5FA458FF}"/>
    <cellStyle name="40% - Accent3" xfId="29" builtinId="39" customBuiltin="1"/>
    <cellStyle name="40% - Accent3 2" xfId="60" xr:uid="{B7ECE2ED-294E-4957-8A67-B0A8C0ABACCC}"/>
    <cellStyle name="40% - Accent4" xfId="33" builtinId="43" customBuiltin="1"/>
    <cellStyle name="40% - Accent4 2" xfId="63" xr:uid="{CEFA1C45-B5D4-447E-856F-0CFE0A23E7AA}"/>
    <cellStyle name="40% - Accent5" xfId="37" builtinId="47" customBuiltin="1"/>
    <cellStyle name="40% - Accent5 2" xfId="66" xr:uid="{275A487A-F955-4EE9-8099-83FEAA925B03}"/>
    <cellStyle name="40% - Accent6" xfId="41" builtinId="51" customBuiltin="1"/>
    <cellStyle name="40% - Accent6 2" xfId="69" xr:uid="{DB632167-BB98-4693-9FCD-C74DB52D4FC6}"/>
    <cellStyle name="60% - Accent1" xfId="22" builtinId="32" customBuiltin="1"/>
    <cellStyle name="60% - Accent1 2" xfId="55" xr:uid="{52762974-F07A-4BE6-B482-DAD757CB51B7}"/>
    <cellStyle name="60% - Accent2" xfId="26" builtinId="36" customBuiltin="1"/>
    <cellStyle name="60% - Accent2 2" xfId="58" xr:uid="{31197338-BF38-49C6-9D7E-1DFB4B66D52A}"/>
    <cellStyle name="60% - Accent3" xfId="30" builtinId="40" customBuiltin="1"/>
    <cellStyle name="60% - Accent3 2" xfId="61" xr:uid="{699E7334-EB05-4702-8A3A-5CBF1AFCA18F}"/>
    <cellStyle name="60% - Accent4" xfId="34" builtinId="44" customBuiltin="1"/>
    <cellStyle name="60% - Accent4 2" xfId="64" xr:uid="{E270CE52-B961-434C-A33C-6E34AE3F3ED5}"/>
    <cellStyle name="60% - Accent5" xfId="38" builtinId="48" customBuiltin="1"/>
    <cellStyle name="60% - Accent5 2" xfId="67" xr:uid="{A756D289-D164-46B1-9E07-A59E756E21C1}"/>
    <cellStyle name="60% - Accent6" xfId="42" builtinId="52" customBuiltin="1"/>
    <cellStyle name="60% - Accent6 2" xfId="70" xr:uid="{BC28EB87-96A1-44D0-9FC3-4186E5AFE277}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Comma 10" xfId="76" xr:uid="{2EF15B8F-2593-4015-A458-65FB2F3C7B45}"/>
    <cellStyle name="Comma 2" xfId="45" xr:uid="{5F917ED9-A9BD-455F-9D24-F11E305CC729}"/>
    <cellStyle name="Comma 2 2" xfId="51" xr:uid="{0A8B5435-A0BA-4ED9-B187-783DC08AB359}"/>
    <cellStyle name="Comma 2 3" xfId="71" xr:uid="{949742E1-8254-407C-8DFC-5D2D3C562497}"/>
    <cellStyle name="Comma 3" xfId="49" xr:uid="{EC7395FC-8180-426E-9F28-DF43B232D5C4}"/>
    <cellStyle name="Comma 4" xfId="72" xr:uid="{269C8448-2BB6-483D-A1B8-54BBA686017F}"/>
    <cellStyle name="Comma 5" xfId="79" xr:uid="{6DF6602D-9C4B-414D-9093-8EA95B0AF030}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80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 customBuiltin="1"/>
    <cellStyle name="Normal 2" xfId="43" xr:uid="{F0859166-E9CD-4E5D-A048-7A06AB9C0D83}"/>
    <cellStyle name="Normal 2 2" xfId="50" xr:uid="{E6049C7B-EF2F-4B96-8F71-2B14CE3E4113}"/>
    <cellStyle name="Normal 2 3" xfId="78" xr:uid="{3E4175F3-9D05-4C09-84C8-169BCE509A4C}"/>
    <cellStyle name="Normal 3" xfId="44" xr:uid="{6EF14FE4-E1E2-4627-AE03-03A941F14647}"/>
    <cellStyle name="Normal 3 2" xfId="47" xr:uid="{A9AB160D-2251-44B5-98BA-7802819B85A0}"/>
    <cellStyle name="Normal 3 3" xfId="74" xr:uid="{3F2321CD-6A1C-4ADC-9D63-B49CEA0AB461}"/>
    <cellStyle name="Normal 31" xfId="73" xr:uid="{C4DEA490-A413-4094-B10F-0FFCFC333EBB}"/>
    <cellStyle name="Normal 36" xfId="77" xr:uid="{22994153-5D05-448B-942A-FE70C30ED8EE}"/>
    <cellStyle name="Normal 4" xfId="48" xr:uid="{A8F4E9FB-4F69-4AA5-BDDE-1D692EE3D182}"/>
    <cellStyle name="Note" xfId="16" builtinId="10" customBuiltin="1"/>
    <cellStyle name="Note 2" xfId="52" xr:uid="{43F4967D-8E3A-4012-B394-C78FF08DB23B}"/>
    <cellStyle name="Output" xfId="11" builtinId="21" customBuiltin="1"/>
    <cellStyle name="Percent 2" xfId="75" xr:uid="{1CB69751-69C3-41B5-9AF3-1A4B5673E444}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0</xdr:rowOff>
    </xdr:from>
    <xdr:to>
      <xdr:col>2</xdr:col>
      <xdr:colOff>41275</xdr:colOff>
      <xdr:row>3</xdr:row>
      <xdr:rowOff>125095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6C669-1169-43C1-A0EF-6012CA9E84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0"/>
          <a:ext cx="3327400" cy="698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3327400</xdr:colOff>
      <xdr:row>3</xdr:row>
      <xdr:rowOff>127000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EAE71E-B5B5-4FB9-9469-F5CD4BD4099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327400" cy="698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&#1489;&#1497;&#1511;&#1493;&#1512;&#1514;%202021\Cons.%20Dec-21%20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wematchlive-rd-ltd_2021-12-31_summary_cap_intermediate_cap_detailed_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ownloads\BalanceSheet-21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Index"/>
      <sheetName val="BS for MR"/>
      <sheetName val="P&amp;L for MC"/>
      <sheetName val="BS"/>
      <sheetName val="P&amp;L"/>
      <sheetName val="CF"/>
      <sheetName val="Change in Equity"/>
      <sheetName val="Allocation"/>
      <sheetName val="InterCompany"/>
      <sheetName val="Sheet3"/>
      <sheetName val="WRD LTD TB"/>
      <sheetName val="WRD LTD AJE"/>
      <sheetName val="WRD LTD SOLO"/>
      <sheetName val="WIR TB "/>
      <sheetName val="WIR AJE"/>
      <sheetName val="WIR SOLO"/>
      <sheetName val="WSF TB "/>
      <sheetName val="WSF AJE"/>
      <sheetName val="WSF Cons"/>
      <sheetName val="WEQD TB"/>
      <sheetName val="WEQD AJE"/>
      <sheetName val="WEQD CONS"/>
      <sheetName val="WTSE"/>
      <sheetName val="Sheet2"/>
      <sheetName val="שינויים בין ההרכבות"/>
    </sheetNames>
    <sheetDataSet>
      <sheetData sheetId="0"/>
      <sheetData sheetId="1"/>
      <sheetData sheetId="2"/>
      <sheetData sheetId="3"/>
      <sheetData sheetId="4">
        <row r="134">
          <cell r="O134">
            <v>9</v>
          </cell>
        </row>
      </sheetData>
      <sheetData sheetId="5"/>
      <sheetData sheetId="6">
        <row r="15">
          <cell r="D15"/>
        </row>
        <row r="35">
          <cell r="D35"/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 Cap Table"/>
      <sheetName val="Intermediate Cap Table"/>
      <sheetName val="Detailed Cap Table"/>
    </sheetNames>
    <sheetDataSet>
      <sheetData sheetId="0">
        <row r="12">
          <cell r="C12">
            <v>135651</v>
          </cell>
        </row>
        <row r="13">
          <cell r="C13">
            <v>62377</v>
          </cell>
        </row>
        <row r="14">
          <cell r="C14">
            <v>10977</v>
          </cell>
        </row>
        <row r="15">
          <cell r="C15">
            <v>305019</v>
          </cell>
        </row>
        <row r="16">
          <cell r="C16">
            <v>0</v>
          </cell>
        </row>
        <row r="17">
          <cell r="C17">
            <v>0</v>
          </cell>
        </row>
        <row r="18">
          <cell r="C18">
            <v>0</v>
          </cell>
        </row>
        <row r="19">
          <cell r="C19">
            <v>742985</v>
          </cell>
        </row>
        <row r="20">
          <cell r="C20">
            <v>39022</v>
          </cell>
        </row>
        <row r="21">
          <cell r="C21">
            <v>66478</v>
          </cell>
        </row>
        <row r="22">
          <cell r="C22">
            <v>119193</v>
          </cell>
        </row>
      </sheetData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Sheet"/>
    </sheetNames>
    <sheetDataSet>
      <sheetData sheetId="0">
        <row r="8">
          <cell r="A8" t="str">
            <v>Current Assets</v>
          </cell>
        </row>
        <row r="9">
          <cell r="A9" t="str">
            <v>Bank</v>
          </cell>
        </row>
        <row r="10">
          <cell r="A10" t="str">
            <v>10000 - Cash and Cash Equivalent (WRD-IL)</v>
          </cell>
        </row>
        <row r="11">
          <cell r="A11" t="str">
            <v>10001 - Bank Fibi 327492 NIS</v>
          </cell>
          <cell r="B11">
            <v>26151.22</v>
          </cell>
        </row>
        <row r="12">
          <cell r="A12" t="str">
            <v>10002 - Bank Hapoalim 120737 NIS</v>
          </cell>
          <cell r="B12">
            <v>344.4</v>
          </cell>
        </row>
        <row r="13">
          <cell r="A13" t="str">
            <v>10003 - Bank Hapoalim 120737 USD</v>
          </cell>
          <cell r="B13">
            <v>26906063.66</v>
          </cell>
        </row>
        <row r="14">
          <cell r="A14" t="str">
            <v>10004 - Bank Hapoalim 120737 GBP</v>
          </cell>
          <cell r="B14">
            <v>5309.75</v>
          </cell>
        </row>
        <row r="15">
          <cell r="A15" t="str">
            <v>10005 - Bank Hapoalim 120737 EUR</v>
          </cell>
          <cell r="B15">
            <v>367423.66</v>
          </cell>
        </row>
        <row r="16">
          <cell r="A16" t="str">
            <v>Total - 10000 - Cash and Cash Equivalent (WRD-IL)</v>
          </cell>
          <cell r="B16">
            <v>27305292.690000001</v>
          </cell>
        </row>
        <row r="17">
          <cell r="A17" t="str">
            <v>10100 - Cash and Cash Equivalent (WIR-IL)</v>
          </cell>
        </row>
        <row r="18">
          <cell r="A18" t="str">
            <v>10101 - Bank Hapoalim 120720 NIS</v>
          </cell>
          <cell r="B18">
            <v>156.37</v>
          </cell>
        </row>
        <row r="19">
          <cell r="A19" t="str">
            <v>Total - 10100 - Cash and Cash Equivalent (WIR-IL)</v>
          </cell>
          <cell r="B19">
            <v>156.37</v>
          </cell>
        </row>
        <row r="20">
          <cell r="A20" t="str">
            <v>10200 - Cash and Cash Equivalent (WSF-IL)</v>
          </cell>
        </row>
        <row r="21">
          <cell r="A21" t="str">
            <v>10201 - Bank Hapoalim 120729 NIS</v>
          </cell>
          <cell r="B21">
            <v>422.32</v>
          </cell>
        </row>
        <row r="22">
          <cell r="A22" t="str">
            <v>10202 - Bank Hapoalim 120729 USD</v>
          </cell>
          <cell r="B22">
            <v>24.67</v>
          </cell>
        </row>
        <row r="23">
          <cell r="A23" t="str">
            <v>10203 - Bank Hapoalim 120729 EUR</v>
          </cell>
          <cell r="B23">
            <v>346.29</v>
          </cell>
        </row>
        <row r="24">
          <cell r="A24" t="str">
            <v>Total - 10200 - Cash and Cash Equivalent (WSF-IL)</v>
          </cell>
          <cell r="B24">
            <v>793.28</v>
          </cell>
        </row>
        <row r="25">
          <cell r="A25" t="str">
            <v>10300 - Cash and Cash Equivalent (WEQD-IL)</v>
          </cell>
        </row>
        <row r="26">
          <cell r="A26" t="str">
            <v>10301 - Bank Hapoalim 120702 NIS</v>
          </cell>
          <cell r="B26">
            <v>3.88</v>
          </cell>
        </row>
        <row r="27">
          <cell r="A27" t="str">
            <v>10302 - Bank Hapoalim 120702 USD</v>
          </cell>
          <cell r="B27">
            <v>6563.41</v>
          </cell>
        </row>
        <row r="28">
          <cell r="A28" t="str">
            <v>Total - 10300 - Cash and Cash Equivalent (WEQD-IL)</v>
          </cell>
          <cell r="B28">
            <v>6567.29</v>
          </cell>
        </row>
        <row r="29">
          <cell r="A29" t="str">
            <v>10400 - Cash and Cash Equivalent (WSF-UK)</v>
          </cell>
        </row>
        <row r="30">
          <cell r="A30" t="str">
            <v>10401 - Bank Netwest 27557405 GBP</v>
          </cell>
          <cell r="B30">
            <v>25648.28</v>
          </cell>
        </row>
        <row r="31">
          <cell r="A31" t="str">
            <v>Total - 10400 - Cash and Cash Equivalent (WSF-UK)</v>
          </cell>
          <cell r="B31">
            <v>25648.28</v>
          </cell>
        </row>
        <row r="32">
          <cell r="A32" t="str">
            <v>10500 - Cash and Cash Equivalent (WTSE-FR)</v>
          </cell>
        </row>
        <row r="33">
          <cell r="A33" t="str">
            <v>10501 - Bank SG 20020671 EUR</v>
          </cell>
          <cell r="B33">
            <v>49912.93</v>
          </cell>
        </row>
        <row r="34">
          <cell r="A34" t="str">
            <v>Total - 10500 - Cash and Cash Equivalent (WTSE-FR)</v>
          </cell>
          <cell r="B34">
            <v>49912.93</v>
          </cell>
        </row>
        <row r="35">
          <cell r="A35" t="str">
            <v>11000 - Short-term Restricted cash</v>
          </cell>
        </row>
        <row r="36">
          <cell r="A36" t="str">
            <v>11001 - Bank Hapoalim Deposit NIS</v>
          </cell>
          <cell r="B36">
            <v>19293.46</v>
          </cell>
        </row>
        <row r="37">
          <cell r="A37" t="str">
            <v>11002 - Bank FIBI Deposit NIS</v>
          </cell>
          <cell r="B37">
            <v>3215.43</v>
          </cell>
        </row>
        <row r="38">
          <cell r="A38" t="str">
            <v>11003 - Bank FIBI Deposit EUR</v>
          </cell>
          <cell r="B38">
            <v>8556.41</v>
          </cell>
        </row>
        <row r="39">
          <cell r="A39" t="str">
            <v>Total - 11000 - Short-term Restricted cash</v>
          </cell>
          <cell r="B39">
            <v>31065.3</v>
          </cell>
        </row>
        <row r="40">
          <cell r="A40" t="str">
            <v>Total Bank</v>
          </cell>
          <cell r="B40">
            <v>27419436.140000004</v>
          </cell>
        </row>
        <row r="41">
          <cell r="A41" t="str">
            <v>Accounts Receivable</v>
          </cell>
        </row>
        <row r="42">
          <cell r="A42" t="str">
            <v>12000 - Accounts Receivable</v>
          </cell>
        </row>
        <row r="43">
          <cell r="A43" t="str">
            <v>12001 - Accounts Receivable</v>
          </cell>
          <cell r="B43">
            <v>867787</v>
          </cell>
        </row>
        <row r="44">
          <cell r="A44" t="str">
            <v>12002 - Accounts Receivable - Customers offset</v>
          </cell>
          <cell r="B44">
            <v>-43969.38</v>
          </cell>
        </row>
        <row r="45">
          <cell r="A45" t="str">
            <v>Total - 12000 - Accounts Receivable</v>
          </cell>
          <cell r="B45">
            <v>823817.62</v>
          </cell>
        </row>
        <row r="46">
          <cell r="A46" t="str">
            <v>Total Accounts Receivable</v>
          </cell>
          <cell r="B46">
            <v>823817.62</v>
          </cell>
        </row>
        <row r="47">
          <cell r="A47" t="str">
            <v>Other Current Asset</v>
          </cell>
        </row>
        <row r="48">
          <cell r="A48" t="str">
            <v>12004 - Unbilled Revenue</v>
          </cell>
          <cell r="B48">
            <v>192570.33</v>
          </cell>
        </row>
        <row r="49">
          <cell r="A49" t="str">
            <v>13000 - Prepaid Exp.</v>
          </cell>
        </row>
        <row r="50">
          <cell r="A50" t="str">
            <v>13001 - Prepaid Expenses</v>
          </cell>
          <cell r="B50">
            <v>37005.61</v>
          </cell>
        </row>
        <row r="51">
          <cell r="A51" t="str">
            <v>Total - 13000 - Prepaid Exp.</v>
          </cell>
          <cell r="B51">
            <v>37005.61</v>
          </cell>
        </row>
        <row r="52">
          <cell r="A52" t="str">
            <v>13009 - Government Institutions</v>
          </cell>
        </row>
        <row r="53">
          <cell r="A53" t="str">
            <v>13100 - VAT Assets</v>
          </cell>
        </row>
        <row r="54">
          <cell r="A54" t="str">
            <v>13102 - VAT on Purchases IL</v>
          </cell>
          <cell r="B54">
            <v>32.799999999999997</v>
          </cell>
        </row>
        <row r="55">
          <cell r="A55" t="str">
            <v>13103 - VAT Proforma IL</v>
          </cell>
          <cell r="B55">
            <v>80072.820000000007</v>
          </cell>
        </row>
        <row r="56">
          <cell r="A56" t="str">
            <v>13122 - VAT on FA Purchases FR</v>
          </cell>
          <cell r="B56">
            <v>5870.77</v>
          </cell>
        </row>
        <row r="57">
          <cell r="A57" t="str">
            <v>13123 - VAT on Purchases FR</v>
          </cell>
          <cell r="B57">
            <v>11696.16</v>
          </cell>
        </row>
        <row r="58">
          <cell r="A58" t="str">
            <v>13124 - VAT deductible on goods and services</v>
          </cell>
          <cell r="B58">
            <v>899.79</v>
          </cell>
        </row>
        <row r="59">
          <cell r="A59" t="str">
            <v>Total - 13100 - VAT Assets</v>
          </cell>
          <cell r="B59">
            <v>98572.340000000011</v>
          </cell>
        </row>
        <row r="60">
          <cell r="A60" t="str">
            <v>13300 - TAX Assets</v>
          </cell>
        </row>
        <row r="61">
          <cell r="A61" t="str">
            <v>13301 - Advances for Odfot</v>
          </cell>
          <cell r="B61">
            <v>17204.02</v>
          </cell>
        </row>
        <row r="62">
          <cell r="A62" t="str">
            <v>13302 - Reversal for Exceed expenses</v>
          </cell>
          <cell r="B62">
            <v>-17204.02</v>
          </cell>
        </row>
        <row r="63">
          <cell r="A63" t="str">
            <v>13303 - Tax Benefits</v>
          </cell>
          <cell r="B63">
            <v>76473.19</v>
          </cell>
        </row>
        <row r="64">
          <cell r="A64" t="str">
            <v>13304 - Other current tax asset</v>
          </cell>
          <cell r="B64">
            <v>3267.88</v>
          </cell>
        </row>
        <row r="65">
          <cell r="A65" t="str">
            <v>Total - 13300 - TAX Assets</v>
          </cell>
          <cell r="B65">
            <v>79741.070000000007</v>
          </cell>
        </row>
        <row r="66">
          <cell r="A66" t="str">
            <v>Total - 13009 - Government Institutions</v>
          </cell>
          <cell r="B66">
            <v>178313.41000000003</v>
          </cell>
        </row>
        <row r="67">
          <cell r="A67" t="str">
            <v>16000 - Other Current Asset</v>
          </cell>
        </row>
        <row r="68">
          <cell r="A68" t="str">
            <v>16001 - Rent deposit</v>
          </cell>
          <cell r="B68">
            <v>36888.949999999997</v>
          </cell>
        </row>
        <row r="69">
          <cell r="A69" t="str">
            <v>Total - 16000 - Other Current Asset</v>
          </cell>
          <cell r="B69">
            <v>36888.949999999997</v>
          </cell>
        </row>
        <row r="70">
          <cell r="A70" t="str">
            <v>16100 - other current asset</v>
          </cell>
          <cell r="B70">
            <v>693.74</v>
          </cell>
        </row>
        <row r="71">
          <cell r="A71" t="str">
            <v>17000 - Other long term assets</v>
          </cell>
        </row>
        <row r="72">
          <cell r="A72" t="str">
            <v>17002 - Employee Loans</v>
          </cell>
          <cell r="B72">
            <v>37427.660000000003</v>
          </cell>
        </row>
        <row r="73">
          <cell r="A73" t="str">
            <v>Total - 17000 - Other long term assets</v>
          </cell>
          <cell r="B73">
            <v>37427.660000000003</v>
          </cell>
        </row>
        <row r="74">
          <cell r="A74" t="str">
            <v>Total Other Current Asset</v>
          </cell>
          <cell r="B74">
            <v>482899.70000000007</v>
          </cell>
        </row>
        <row r="75">
          <cell r="A75" t="str">
            <v>Total Current Assets</v>
          </cell>
          <cell r="B75">
            <v>28726153.460000005</v>
          </cell>
        </row>
        <row r="76">
          <cell r="A76" t="str">
            <v>Fixed Assets</v>
          </cell>
        </row>
        <row r="77">
          <cell r="A77" t="str">
            <v>15000 - FA Cost</v>
          </cell>
        </row>
        <row r="78">
          <cell r="A78" t="str">
            <v>15001 - Cost - Computers &amp; Software</v>
          </cell>
          <cell r="B78">
            <v>114079.91</v>
          </cell>
        </row>
        <row r="79">
          <cell r="A79" t="str">
            <v>15002 - Cost - Leasehold Improvements</v>
          </cell>
          <cell r="B79">
            <v>2652.33</v>
          </cell>
        </row>
        <row r="80">
          <cell r="A80" t="str">
            <v>15003 - Cost - Furniture and Fixtures</v>
          </cell>
          <cell r="B80">
            <v>1906</v>
          </cell>
        </row>
        <row r="81">
          <cell r="A81" t="str">
            <v>15004 - Cost - Electronic equipment</v>
          </cell>
          <cell r="B81">
            <v>7892</v>
          </cell>
        </row>
        <row r="82">
          <cell r="A82" t="str">
            <v>Total - 15000 - FA Cost</v>
          </cell>
          <cell r="B82">
            <v>126530.24000000001</v>
          </cell>
        </row>
        <row r="83">
          <cell r="A83" t="str">
            <v>15100 - Accumulated Depr.</v>
          </cell>
        </row>
        <row r="84">
          <cell r="A84" t="str">
            <v>15101 - AD - Computers &amp; Software</v>
          </cell>
          <cell r="B84">
            <v>-42435.5</v>
          </cell>
        </row>
        <row r="85">
          <cell r="A85" t="str">
            <v>15102 - AD - Leasehold Improvements</v>
          </cell>
          <cell r="B85">
            <v>-2652</v>
          </cell>
        </row>
        <row r="86">
          <cell r="A86" t="str">
            <v>15103 - AD - Furniture and Fixtures</v>
          </cell>
          <cell r="B86">
            <v>-17152.53</v>
          </cell>
        </row>
        <row r="87">
          <cell r="A87" t="str">
            <v>15104 - AD - Electronic equipments</v>
          </cell>
          <cell r="B87">
            <v>-4074</v>
          </cell>
        </row>
        <row r="88">
          <cell r="A88" t="str">
            <v>Total - 15100 - Accumulated Depr.</v>
          </cell>
          <cell r="B88">
            <v>-66314.03</v>
          </cell>
        </row>
        <row r="89">
          <cell r="A89" t="str">
            <v>Total Fixed Assets</v>
          </cell>
          <cell r="B89">
            <v>60216.210000000006</v>
          </cell>
        </row>
        <row r="90">
          <cell r="A90" t="str">
            <v>Current Liabilities</v>
          </cell>
        </row>
        <row r="91">
          <cell r="A91" t="str">
            <v>Accounts Payable</v>
          </cell>
        </row>
        <row r="92">
          <cell r="A92" t="str">
            <v>20000 - AP</v>
          </cell>
        </row>
        <row r="93">
          <cell r="A93" t="str">
            <v>20001 - Accounts Payable</v>
          </cell>
          <cell r="B93">
            <v>119261.92</v>
          </cell>
        </row>
        <row r="94">
          <cell r="A94" t="str">
            <v>20003 - Fournisseurs</v>
          </cell>
          <cell r="B94">
            <v>-1702</v>
          </cell>
        </row>
        <row r="95">
          <cell r="A95" t="str">
            <v>Total - 20000 - AP</v>
          </cell>
          <cell r="B95">
            <v>117559.92</v>
          </cell>
        </row>
        <row r="96">
          <cell r="A96" t="str">
            <v>Total Accounts Payable</v>
          </cell>
          <cell r="B96">
            <v>117559.92</v>
          </cell>
        </row>
        <row r="97">
          <cell r="A97" t="str">
            <v>Credit Card</v>
          </cell>
        </row>
        <row r="98">
          <cell r="A98" t="str">
            <v>20100 - Credit Cards</v>
          </cell>
        </row>
        <row r="99">
          <cell r="A99" t="str">
            <v>20102 - BH CC 0070</v>
          </cell>
          <cell r="B99">
            <v>4663.59</v>
          </cell>
        </row>
        <row r="100">
          <cell r="A100" t="str">
            <v>20105 - FIBI CC 6491</v>
          </cell>
          <cell r="B100">
            <v>326.69</v>
          </cell>
        </row>
        <row r="101">
          <cell r="A101" t="str">
            <v>20106 - FIBI CC 7644</v>
          </cell>
          <cell r="B101">
            <v>1569.4</v>
          </cell>
        </row>
        <row r="102">
          <cell r="A102" t="str">
            <v>20110 - BH CC 7544 ILS</v>
          </cell>
          <cell r="B102">
            <v>4133.62</v>
          </cell>
        </row>
        <row r="103">
          <cell r="A103" t="str">
            <v>20111 - BH CC 0070 ILS</v>
          </cell>
          <cell r="B103">
            <v>627.14</v>
          </cell>
        </row>
        <row r="104">
          <cell r="A104" t="str">
            <v>20112 - BH CC 4700 ILS</v>
          </cell>
          <cell r="B104">
            <v>24.08</v>
          </cell>
        </row>
        <row r="105">
          <cell r="A105" t="str">
            <v>Total - 20100 - Credit Cards</v>
          </cell>
          <cell r="B105">
            <v>11344.519999999999</v>
          </cell>
        </row>
        <row r="106">
          <cell r="A106" t="str">
            <v>Total Credit Card</v>
          </cell>
          <cell r="B106">
            <v>11344.519999999999</v>
          </cell>
        </row>
        <row r="107">
          <cell r="A107" t="str">
            <v>Other Current Liability</v>
          </cell>
        </row>
        <row r="108">
          <cell r="A108" t="str">
            <v>20203 - Tax on Income</v>
          </cell>
          <cell r="B108">
            <v>31638.13</v>
          </cell>
        </row>
        <row r="109">
          <cell r="A109" t="str">
            <v>21000 - Payroll and related</v>
          </cell>
        </row>
        <row r="110">
          <cell r="A110" t="str">
            <v>21001 - Net Payroll</v>
          </cell>
          <cell r="B110">
            <v>178386.02</v>
          </cell>
        </row>
        <row r="111">
          <cell r="A111" t="str">
            <v>21002 - Accrued Vacation</v>
          </cell>
          <cell r="B111">
            <v>135418.63</v>
          </cell>
        </row>
        <row r="112">
          <cell r="A112" t="str">
            <v>21012 - Social security on Accrued Vacation</v>
          </cell>
          <cell r="B112">
            <v>7942.68</v>
          </cell>
        </row>
        <row r="113">
          <cell r="A113" t="str">
            <v>Total - 21000 - Payroll and related</v>
          </cell>
          <cell r="B113">
            <v>321747.33</v>
          </cell>
        </row>
        <row r="114">
          <cell r="A114" t="str">
            <v>21100 - Retirement Funds</v>
          </cell>
        </row>
        <row r="115">
          <cell r="A115" t="str">
            <v>21101 - Pension Contribution Liability</v>
          </cell>
          <cell r="B115">
            <v>37479.919999999998</v>
          </cell>
        </row>
        <row r="116">
          <cell r="A116" t="str">
            <v>21102 - Retirement Funds : Retirement Funds (Mosdot) - differential</v>
          </cell>
          <cell r="B116">
            <v>15776.9</v>
          </cell>
        </row>
        <row r="117">
          <cell r="A117" t="str">
            <v>21203 - Worker Disability Insurance</v>
          </cell>
          <cell r="B117">
            <v>472.02</v>
          </cell>
        </row>
        <row r="118">
          <cell r="A118" t="str">
            <v>22104 - National Insurance France I</v>
          </cell>
          <cell r="B118">
            <v>15387.24</v>
          </cell>
        </row>
        <row r="119">
          <cell r="A119" t="str">
            <v>Total - 21100 - Retirement Funds</v>
          </cell>
          <cell r="B119">
            <v>69116.08</v>
          </cell>
        </row>
        <row r="120">
          <cell r="A120" t="str">
            <v>22100 - Payroll institutions</v>
          </cell>
        </row>
        <row r="121">
          <cell r="A121" t="str">
            <v>22101 - Social Security</v>
          </cell>
          <cell r="B121">
            <v>41269.86</v>
          </cell>
        </row>
        <row r="122">
          <cell r="A122" t="str">
            <v>22102 - Payroll Taxes Payable</v>
          </cell>
          <cell r="B122">
            <v>63526.66</v>
          </cell>
        </row>
        <row r="123">
          <cell r="A123" t="str">
            <v>Total - 22100 - Payroll institutions</v>
          </cell>
          <cell r="B123">
            <v>104796.52</v>
          </cell>
        </row>
        <row r="124">
          <cell r="A124" t="str">
            <v>23000 - Accrued Expenses</v>
          </cell>
        </row>
        <row r="125">
          <cell r="A125" t="str">
            <v>23001 - Accrued Expenses &amp; Related</v>
          </cell>
          <cell r="B125">
            <v>171665.04</v>
          </cell>
        </row>
        <row r="126">
          <cell r="A126" t="str">
            <v>Total - 23000 - Accrued Expenses</v>
          </cell>
          <cell r="B126">
            <v>171665.04</v>
          </cell>
        </row>
        <row r="127">
          <cell r="A127" t="str">
            <v>23501 - Other Current Liability</v>
          </cell>
          <cell r="B127">
            <v>65419.27</v>
          </cell>
        </row>
        <row r="128">
          <cell r="A128" t="str">
            <v>26000 - Deffered Income</v>
          </cell>
        </row>
        <row r="129">
          <cell r="A129" t="str">
            <v>26001 - Deferred Revenues</v>
          </cell>
          <cell r="B129">
            <v>43970</v>
          </cell>
        </row>
        <row r="130">
          <cell r="A130" t="str">
            <v>26002 - Deffered revenues offset</v>
          </cell>
          <cell r="B130">
            <v>-43969.38</v>
          </cell>
        </row>
        <row r="131">
          <cell r="A131" t="str">
            <v>Total - 26000 - Deffered Income</v>
          </cell>
          <cell r="B131">
            <v>0.62000000000261934</v>
          </cell>
        </row>
        <row r="132">
          <cell r="A132" t="str">
            <v>27001 - Other non Current Liability</v>
          </cell>
          <cell r="B132">
            <v>393230.19</v>
          </cell>
        </row>
        <row r="133">
          <cell r="A133" t="str">
            <v>Total Other Current Liability</v>
          </cell>
          <cell r="B133">
            <v>1157613.1800000002</v>
          </cell>
        </row>
        <row r="134">
          <cell r="A134" t="str">
            <v>Total Liabilities</v>
          </cell>
          <cell r="B134">
            <v>1286517.6200000001</v>
          </cell>
        </row>
        <row r="135">
          <cell r="A135" t="str">
            <v>Current Assets Less Current Liabilities</v>
          </cell>
          <cell r="B135">
            <v>27439635.840000004</v>
          </cell>
        </row>
        <row r="136">
          <cell r="A136" t="str">
            <v>Total Assets Less Current Liabilities</v>
          </cell>
          <cell r="B136">
            <v>27499852.050000004</v>
          </cell>
        </row>
        <row r="137">
          <cell r="A137" t="str">
            <v>Total Assets Less Total Liabilities</v>
          </cell>
          <cell r="B137">
            <v>27499852.050000004</v>
          </cell>
        </row>
        <row r="138">
          <cell r="A138" t="str">
            <v>Capital and Reserves</v>
          </cell>
        </row>
        <row r="139">
          <cell r="A139" t="str">
            <v>Capital and Reserves</v>
          </cell>
        </row>
        <row r="140">
          <cell r="A140" t="str">
            <v>30000 - Preferred and Common Stock</v>
          </cell>
        </row>
        <row r="141">
          <cell r="A141" t="str">
            <v>30001 - Preferred &amp; Common Stock</v>
          </cell>
          <cell r="B141">
            <v>1661592.22</v>
          </cell>
        </row>
        <row r="142">
          <cell r="A142" t="str">
            <v>Total - 30000 - Preferred and Common Stock</v>
          </cell>
        </row>
        <row r="143">
          <cell r="A143" t="str">
            <v>31000 - APIC</v>
          </cell>
        </row>
        <row r="144">
          <cell r="A144" t="str">
            <v>31001 - Ordinary Shares - Series A</v>
          </cell>
          <cell r="B144">
            <v>1099977.5</v>
          </cell>
        </row>
        <row r="145">
          <cell r="A145" t="str">
            <v>31002 - Series A</v>
          </cell>
          <cell r="B145">
            <v>6911859.6200000001</v>
          </cell>
        </row>
        <row r="146">
          <cell r="A146" t="str">
            <v>31003 - Series B</v>
          </cell>
          <cell r="B146">
            <v>29463107.91</v>
          </cell>
        </row>
        <row r="147">
          <cell r="A147" t="str">
            <v>31005 - Stock Based Compensation</v>
          </cell>
          <cell r="B147">
            <v>1397190</v>
          </cell>
        </row>
        <row r="148">
          <cell r="A148" t="str">
            <v>31006 - Issuance Costs</v>
          </cell>
          <cell r="B148">
            <v>-595402</v>
          </cell>
        </row>
        <row r="149">
          <cell r="A149" t="str">
            <v>31007 - Warrants</v>
          </cell>
          <cell r="B149">
            <v>1922733.5</v>
          </cell>
        </row>
        <row r="150">
          <cell r="A150" t="str">
            <v>Total - 31000 - APIC</v>
          </cell>
        </row>
        <row r="151">
          <cell r="A151" t="str">
            <v>Total - Capital and Reserves</v>
          </cell>
          <cell r="B151">
            <v>0</v>
          </cell>
        </row>
        <row r="152">
          <cell r="A152" t="str">
            <v>Retained Earnings</v>
          </cell>
          <cell r="B152">
            <v>-11090757.92</v>
          </cell>
        </row>
        <row r="153">
          <cell r="A153" t="str">
            <v>Net Income</v>
          </cell>
          <cell r="B153">
            <v>-3270448.780000004</v>
          </cell>
        </row>
        <row r="154">
          <cell r="A154" t="str">
            <v>Total Capital and Reserves</v>
          </cell>
          <cell r="B154">
            <v>-14361206.700000003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5E172-62FC-4BC4-8DD5-ED8693F99030}">
  <sheetPr>
    <tabColor rgb="FF00B050"/>
  </sheetPr>
  <dimension ref="B1:AB70"/>
  <sheetViews>
    <sheetView workbookViewId="0">
      <selection activeCell="I21" sqref="I21"/>
    </sheetView>
  </sheetViews>
  <sheetFormatPr defaultRowHeight="10"/>
  <cols>
    <col min="3" max="3" width="44.77734375" bestFit="1" customWidth="1"/>
    <col min="4" max="4" width="13.109375" customWidth="1"/>
    <col min="5" max="5" width="13.33203125" bestFit="1" customWidth="1"/>
    <col min="6" max="6" width="14.77734375" customWidth="1"/>
    <col min="7" max="7" width="12.6640625" customWidth="1"/>
    <col min="8" max="8" width="15.77734375" bestFit="1" customWidth="1"/>
    <col min="9" max="9" width="13.6640625" bestFit="1" customWidth="1"/>
    <col min="10" max="10" width="15" bestFit="1" customWidth="1"/>
    <col min="11" max="11" width="13.33203125" bestFit="1" customWidth="1"/>
    <col min="12" max="12" width="15.33203125" bestFit="1" customWidth="1"/>
    <col min="13" max="13" width="15.33203125" customWidth="1"/>
    <col min="14" max="14" width="7.44140625" customWidth="1"/>
    <col min="15" max="15" width="15" bestFit="1" customWidth="1"/>
    <col min="16" max="16" width="10.109375" bestFit="1" customWidth="1"/>
    <col min="17" max="17" width="13.33203125" bestFit="1" customWidth="1"/>
  </cols>
  <sheetData>
    <row r="1" spans="2:28" ht="18">
      <c r="C1" s="12" t="s">
        <v>460</v>
      </c>
    </row>
    <row r="2" spans="2:28" ht="14">
      <c r="C2" s="10" t="s">
        <v>462</v>
      </c>
    </row>
    <row r="5" spans="2:28" ht="13">
      <c r="E5" s="35" t="s">
        <v>233</v>
      </c>
      <c r="F5" s="35" t="s">
        <v>234</v>
      </c>
      <c r="G5" s="35" t="s">
        <v>239</v>
      </c>
      <c r="H5" s="35" t="s">
        <v>235</v>
      </c>
      <c r="I5" s="35" t="s">
        <v>236</v>
      </c>
      <c r="J5" s="35" t="s">
        <v>237</v>
      </c>
      <c r="K5" s="35" t="s">
        <v>238</v>
      </c>
      <c r="L5" s="44" t="s">
        <v>432</v>
      </c>
      <c r="M5" s="160"/>
      <c r="N5" s="40" t="s">
        <v>638</v>
      </c>
      <c r="O5" s="35" t="s">
        <v>12</v>
      </c>
    </row>
    <row r="6" spans="2:28" ht="14.5" thickBot="1">
      <c r="E6" s="34" t="s">
        <v>461</v>
      </c>
      <c r="F6" s="34" t="s">
        <v>461</v>
      </c>
      <c r="G6" s="34" t="s">
        <v>461</v>
      </c>
      <c r="H6" s="34" t="s">
        <v>461</v>
      </c>
      <c r="I6" s="34" t="s">
        <v>461</v>
      </c>
      <c r="J6" s="34" t="s">
        <v>461</v>
      </c>
      <c r="K6" s="34" t="s">
        <v>461</v>
      </c>
      <c r="L6" s="34"/>
      <c r="M6" s="41"/>
      <c r="N6" s="41"/>
      <c r="O6" s="34" t="s">
        <v>461</v>
      </c>
      <c r="Q6" s="71" t="s">
        <v>515</v>
      </c>
      <c r="S6" s="16" t="s">
        <v>520</v>
      </c>
    </row>
    <row r="7" spans="2:28" ht="14">
      <c r="B7" s="125" t="s">
        <v>230</v>
      </c>
      <c r="Q7" s="14"/>
      <c r="R7" s="15"/>
    </row>
    <row r="8" spans="2:28" ht="14">
      <c r="C8" s="36" t="s">
        <v>435</v>
      </c>
      <c r="Q8" s="15">
        <f>+O8/1000</f>
        <v>0</v>
      </c>
      <c r="R8" s="15"/>
    </row>
    <row r="9" spans="2:28" ht="14">
      <c r="C9" s="36"/>
      <c r="D9" s="37"/>
      <c r="E9" s="37"/>
      <c r="F9" s="37"/>
      <c r="G9" s="37"/>
      <c r="H9" s="37"/>
      <c r="I9" s="37"/>
      <c r="J9" s="37"/>
      <c r="K9" s="37"/>
      <c r="L9" s="37"/>
      <c r="M9" s="37"/>
      <c r="N9" s="43"/>
      <c r="O9" s="37"/>
      <c r="P9" s="37"/>
      <c r="Q9" s="15"/>
      <c r="R9" s="15"/>
      <c r="S9" s="37"/>
      <c r="T9" s="37"/>
      <c r="U9" s="37"/>
      <c r="V9" s="36"/>
      <c r="W9" s="36"/>
      <c r="X9" s="36"/>
      <c r="Y9" s="36"/>
      <c r="Z9" s="36"/>
      <c r="AA9" s="36"/>
      <c r="AB9" s="36"/>
    </row>
    <row r="10" spans="2:28" ht="14">
      <c r="C10" s="36" t="s">
        <v>440</v>
      </c>
      <c r="D10" s="37"/>
      <c r="E10" s="15"/>
      <c r="F10" s="15"/>
      <c r="G10" s="15"/>
      <c r="H10" s="15"/>
      <c r="I10" s="15"/>
      <c r="J10" s="15"/>
      <c r="K10" s="15"/>
      <c r="L10" s="15"/>
      <c r="M10" s="15"/>
      <c r="N10" s="20"/>
      <c r="O10" s="15"/>
      <c r="P10" s="83"/>
      <c r="Q10" s="15">
        <f t="shared" ref="Q10:Q15" si="0">+O10/1000</f>
        <v>0</v>
      </c>
      <c r="R10" s="15"/>
      <c r="S10" s="37"/>
      <c r="T10" s="37"/>
      <c r="U10" s="37"/>
      <c r="V10" s="36"/>
      <c r="W10" s="36"/>
      <c r="X10" s="36"/>
      <c r="Y10" s="36"/>
      <c r="Z10" s="36"/>
      <c r="AA10" s="36"/>
      <c r="AB10" s="36"/>
    </row>
    <row r="11" spans="2:28" ht="14">
      <c r="B11">
        <v>10</v>
      </c>
      <c r="C11" s="36" t="s">
        <v>436</v>
      </c>
      <c r="E11" s="15">
        <f>+SUMIF('Full BS-USD'!$K:$K,B11,'Full BS-USD'!$C:$C)</f>
        <v>222640.47</v>
      </c>
      <c r="F11" s="15">
        <f>+SUMIF('Full BS-USD'!$K:$K,B11,'Full BS-USD'!$D:$D)</f>
        <v>20671.849999999999</v>
      </c>
      <c r="G11" s="15">
        <f>+SUMIF('Full BS-USD'!$K:$K,B11,'Full BS-USD'!$E:$E)</f>
        <v>21.81</v>
      </c>
      <c r="H11" s="15">
        <f>+SUMIF('Full BS-USD'!$K:$K,B11,'Full BS-USD'!$F:$F)</f>
        <v>476.55</v>
      </c>
      <c r="I11" s="15">
        <f>+SUMIF('Full BS-USD'!$K:$K,B11,'Full BS-USD'!$G:$G)</f>
        <v>671296.2</v>
      </c>
      <c r="J11" s="15">
        <f>+SUMIF('Full BS-USD'!$K:$K,B11,'Full BS-USD'!$H:$H)</f>
        <v>6448566.6499999994</v>
      </c>
      <c r="K11" s="15">
        <f>+SUMIF('Full BS-USD'!$K:$K,B11,'Full BS-USD'!$I:$I)</f>
        <v>294848.46999999997</v>
      </c>
      <c r="L11" s="15">
        <f>+SUMIF('Full BS-USD'!$K:$K,B11,'Full BS-USD'!$B:$B)</f>
        <v>0</v>
      </c>
      <c r="M11" s="15"/>
      <c r="N11" s="15"/>
      <c r="O11" s="15">
        <f>+SUMIF('Full BS-USD'!$K:$K,B11,'Full BS-USD'!$J:$J)</f>
        <v>7658521.9999999981</v>
      </c>
      <c r="P11" s="83">
        <f t="shared" ref="P11:P42" si="1">+O11-SUM(E11:L11)</f>
        <v>0</v>
      </c>
      <c r="Q11" s="135">
        <f>+ROUND((O11/1000),0)+1</f>
        <v>7660</v>
      </c>
      <c r="R11" s="15"/>
      <c r="S11" s="37"/>
      <c r="T11" s="37"/>
      <c r="U11" s="37"/>
      <c r="V11" s="36"/>
      <c r="W11" s="36"/>
      <c r="X11" s="36"/>
      <c r="Y11" s="36"/>
      <c r="Z11" s="36"/>
      <c r="AA11" s="36"/>
      <c r="AB11" s="36"/>
    </row>
    <row r="12" spans="2:28" ht="14">
      <c r="B12">
        <v>11</v>
      </c>
      <c r="C12" s="36" t="s">
        <v>437</v>
      </c>
      <c r="E12" s="15">
        <f>+SUMIF('Full BS-USD'!$K:$K,B12,'Full BS-USD'!$C:$C)</f>
        <v>0</v>
      </c>
      <c r="F12" s="15">
        <f>+SUMIF('Full BS-USD'!$K:$K,B12,'Full BS-USD'!$D:$D)</f>
        <v>0</v>
      </c>
      <c r="G12" s="15">
        <f>+SUMIF('Full BS-USD'!$K:$K,B12,'Full BS-USD'!$E:$E)</f>
        <v>0</v>
      </c>
      <c r="H12" s="15">
        <f>+SUMIF('Full BS-USD'!$K:$K,B12,'Full BS-USD'!$F:$F)</f>
        <v>0</v>
      </c>
      <c r="I12" s="15">
        <f>+SUMIF('Full BS-USD'!$K:$K,B12,'Full BS-USD'!$G:$G)</f>
        <v>0</v>
      </c>
      <c r="J12" s="15">
        <f>+SUMIF('Full BS-USD'!$K:$K,B12,'Full BS-USD'!$H:$H)</f>
        <v>11163410.68</v>
      </c>
      <c r="K12" s="15">
        <f>+SUMIF('Full BS-USD'!$K:$K,B12,'Full BS-USD'!$I:$I)</f>
        <v>0</v>
      </c>
      <c r="L12" s="15">
        <f>+SUMIF('Full BS-USD'!$K:$K,B12,'Full BS-USD'!$B:$B)</f>
        <v>0</v>
      </c>
      <c r="M12" s="15"/>
      <c r="N12" s="15"/>
      <c r="O12" s="15">
        <f>+SUMIF('Full BS-USD'!$K:$K,B12,'Full BS-USD'!$J:$J)</f>
        <v>11163410.68</v>
      </c>
      <c r="P12" s="83">
        <f>+O12-SUM(E12:L12)</f>
        <v>0</v>
      </c>
      <c r="Q12" s="135">
        <f>+ROUND((O12/1000),0)</f>
        <v>11163</v>
      </c>
      <c r="R12" s="15"/>
      <c r="S12" s="37"/>
      <c r="T12" s="37"/>
      <c r="U12" s="37"/>
      <c r="V12" s="36"/>
      <c r="W12" s="36"/>
      <c r="X12" s="36"/>
      <c r="Y12" s="36"/>
      <c r="Z12" s="36"/>
      <c r="AA12" s="36"/>
      <c r="AB12" s="36"/>
    </row>
    <row r="13" spans="2:28" ht="14">
      <c r="B13">
        <v>12</v>
      </c>
      <c r="C13" s="36" t="s">
        <v>438</v>
      </c>
      <c r="E13" s="15">
        <f>+SUMIF('Full BS-USD'!$K:$K,B13,'Full BS-USD'!$C:$C)</f>
        <v>0</v>
      </c>
      <c r="F13" s="15">
        <f>+SUMIF('Full BS-USD'!$K:$K,B13,'Full BS-USD'!$D:$D)</f>
        <v>0</v>
      </c>
      <c r="G13" s="15">
        <f>+SUMIF('Full BS-USD'!$K:$K,B13,'Full BS-USD'!$E:$E)</f>
        <v>0</v>
      </c>
      <c r="H13" s="15">
        <f>+SUMIF('Full BS-USD'!$K:$K,B13,'Full BS-USD'!$F:$F)</f>
        <v>0</v>
      </c>
      <c r="I13" s="15">
        <f>+SUMIF('Full BS-USD'!$K:$K,B13,'Full BS-USD'!$G:$G)</f>
        <v>0</v>
      </c>
      <c r="J13" s="15">
        <f>+SUMIF('Full BS-USD'!$K:$K,B13,'Full BS-USD'!$H:$H)</f>
        <v>2037911.91</v>
      </c>
      <c r="K13" s="15">
        <f>+SUMIF('Full BS-USD'!$K:$K,B13,'Full BS-USD'!$I:$I)</f>
        <v>28375.56</v>
      </c>
      <c r="L13" s="15">
        <f>+SUMIF('Full BS-USD'!$K:$K,B13,'Full BS-USD'!$B:$B)</f>
        <v>-28375.56</v>
      </c>
      <c r="M13" s="15"/>
      <c r="N13" s="15"/>
      <c r="O13" s="15">
        <f>+SUMIF('Full BS-USD'!$K:$K,B13,'Full BS-USD'!$J:$J)</f>
        <v>2037911.91</v>
      </c>
      <c r="P13" s="83">
        <f t="shared" si="1"/>
        <v>0</v>
      </c>
      <c r="Q13" s="135">
        <f>+ROUND((O13/1000),0)-1</f>
        <v>2037</v>
      </c>
      <c r="R13" s="15"/>
      <c r="S13" s="37">
        <f>+NOTES!B5</f>
        <v>3</v>
      </c>
      <c r="T13" s="37"/>
      <c r="U13" s="37"/>
      <c r="V13" s="36"/>
      <c r="W13" s="36"/>
      <c r="X13" s="36"/>
      <c r="Y13" s="36"/>
      <c r="Z13" s="36"/>
      <c r="AA13" s="36"/>
      <c r="AB13" s="36"/>
    </row>
    <row r="14" spans="2:28" ht="14">
      <c r="B14">
        <v>13</v>
      </c>
      <c r="C14" s="36" t="s">
        <v>439</v>
      </c>
      <c r="E14" s="18">
        <f>+SUMIF('Full BS-USD'!$K:$K,B14,'Full BS-USD'!$C:$C)</f>
        <v>754723.55</v>
      </c>
      <c r="F14" s="18">
        <f>+SUMIF('Full BS-USD'!$K:$K,B14,'Full BS-USD'!$D:$D)</f>
        <v>4129.04</v>
      </c>
      <c r="G14" s="18">
        <f>+SUMIF('Full BS-USD'!$K:$K,B14,'Full BS-USD'!$E:$E)</f>
        <v>491.94</v>
      </c>
      <c r="H14" s="18">
        <f>+SUMIF('Full BS-USD'!$K:$K,B14,'Full BS-USD'!$F:$F)</f>
        <v>48261.82</v>
      </c>
      <c r="I14" s="18">
        <f>+SUMIF('Full BS-USD'!$K:$K,B14,'Full BS-USD'!$G:$G)+1012</f>
        <v>2440456.9900000002</v>
      </c>
      <c r="J14" s="18">
        <f>+SUMIF('Full BS-USD'!$K:$K,B14,'Full BS-USD'!$H:$H)+1644</f>
        <v>4744524.13</v>
      </c>
      <c r="K14" s="18">
        <f>+SUMIF('Full BS-USD'!$K:$K,B14,'Full BS-USD'!$I:$I)</f>
        <v>939180.31</v>
      </c>
      <c r="L14" s="18">
        <f>+SUMIF('Full BS-USD'!$K:$K,B14,'Full BS-USD'!$B:$B)</f>
        <v>-8155804.9000000004</v>
      </c>
      <c r="M14" s="20"/>
      <c r="N14" s="15"/>
      <c r="O14" s="18">
        <f>+SUMIF('Full BS-USD'!$K:$K,B14,'Full BS-USD'!$J:$J)+2656</f>
        <v>775962.88000000035</v>
      </c>
      <c r="P14" s="83">
        <f>+O14-SUM(E14:L14)</f>
        <v>0</v>
      </c>
      <c r="Q14" s="136">
        <f t="shared" ref="Q14" si="2">+ROUND((O14/1000),0)</f>
        <v>776</v>
      </c>
      <c r="R14" s="15"/>
      <c r="S14" s="37">
        <f>+NOTES!B10</f>
        <v>4</v>
      </c>
      <c r="T14" s="37"/>
      <c r="U14" s="37"/>
      <c r="V14" s="36"/>
      <c r="W14" s="36"/>
      <c r="X14" s="36"/>
      <c r="Y14" s="36"/>
      <c r="Z14" s="36"/>
      <c r="AA14" s="36"/>
      <c r="AB14" s="36"/>
    </row>
    <row r="15" spans="2:28" ht="14"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43"/>
      <c r="O15" s="37"/>
      <c r="P15" s="83">
        <f t="shared" si="1"/>
        <v>0</v>
      </c>
      <c r="Q15" s="37">
        <f t="shared" si="0"/>
        <v>0</v>
      </c>
      <c r="R15" s="15"/>
      <c r="S15" s="37"/>
      <c r="T15" s="37"/>
      <c r="U15" s="37"/>
      <c r="V15" s="36"/>
      <c r="W15" s="36"/>
      <c r="X15" s="36"/>
      <c r="Y15" s="36"/>
      <c r="Z15" s="36"/>
      <c r="AA15" s="36"/>
      <c r="AB15" s="36"/>
    </row>
    <row r="16" spans="2:28" ht="14">
      <c r="C16" s="46" t="s">
        <v>441</v>
      </c>
      <c r="D16" s="37"/>
      <c r="E16" s="45">
        <f>+SUM(E11:E14)</f>
        <v>977364.02</v>
      </c>
      <c r="F16" s="45">
        <f t="shared" ref="F16:L16" si="3">+SUM(F11:F14)</f>
        <v>24800.89</v>
      </c>
      <c r="G16" s="45">
        <f t="shared" si="3"/>
        <v>513.75</v>
      </c>
      <c r="H16" s="45">
        <f t="shared" si="3"/>
        <v>48738.37</v>
      </c>
      <c r="I16" s="45">
        <f t="shared" si="3"/>
        <v>3111753.1900000004</v>
      </c>
      <c r="J16" s="45">
        <f t="shared" si="3"/>
        <v>24394413.369999997</v>
      </c>
      <c r="K16" s="45">
        <f t="shared" si="3"/>
        <v>1262404.3400000001</v>
      </c>
      <c r="L16" s="45">
        <f t="shared" si="3"/>
        <v>-8184180.46</v>
      </c>
      <c r="M16" s="45"/>
      <c r="N16" s="43"/>
      <c r="O16" s="45">
        <f>+SUM(O11:O14)</f>
        <v>21635807.469999999</v>
      </c>
      <c r="P16" s="83">
        <f t="shared" si="1"/>
        <v>0</v>
      </c>
      <c r="Q16" s="45">
        <f>+SUM(Q11:Q14)</f>
        <v>21636</v>
      </c>
      <c r="R16" s="15"/>
      <c r="S16" s="37"/>
      <c r="T16" s="37"/>
      <c r="U16" s="37"/>
      <c r="V16" s="36"/>
      <c r="W16" s="36"/>
      <c r="X16" s="36"/>
      <c r="Y16" s="36"/>
      <c r="Z16" s="36"/>
      <c r="AA16" s="36"/>
      <c r="AB16" s="36"/>
    </row>
    <row r="17" spans="2:28" ht="14">
      <c r="C17" s="36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43"/>
      <c r="O17" s="37"/>
      <c r="P17" s="83">
        <f t="shared" si="1"/>
        <v>0</v>
      </c>
      <c r="Q17" s="37">
        <f>+O17/1000</f>
        <v>0</v>
      </c>
      <c r="R17" s="15"/>
      <c r="S17" s="37"/>
      <c r="T17" s="37"/>
      <c r="U17" s="37"/>
      <c r="V17" s="36"/>
      <c r="W17" s="36"/>
      <c r="X17" s="36"/>
      <c r="Y17" s="36"/>
      <c r="Z17" s="36"/>
      <c r="AA17" s="36"/>
      <c r="AB17" s="36"/>
    </row>
    <row r="18" spans="2:28" ht="14">
      <c r="C18" s="36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43"/>
      <c r="O18" s="37"/>
      <c r="P18" s="83">
        <f t="shared" si="1"/>
        <v>0</v>
      </c>
      <c r="Q18" s="37"/>
      <c r="R18" s="15"/>
      <c r="S18" s="37"/>
      <c r="T18" s="37"/>
      <c r="U18" s="37"/>
      <c r="V18" s="36"/>
      <c r="W18" s="36"/>
      <c r="X18" s="36"/>
      <c r="Y18" s="36"/>
      <c r="Z18" s="36"/>
      <c r="AA18" s="36"/>
      <c r="AB18" s="36"/>
    </row>
    <row r="19" spans="2:28" ht="14">
      <c r="C19" s="36" t="s">
        <v>442</v>
      </c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43"/>
      <c r="O19" s="37"/>
      <c r="P19" s="83">
        <f t="shared" si="1"/>
        <v>0</v>
      </c>
      <c r="Q19" s="37"/>
      <c r="R19" s="15"/>
      <c r="S19" s="37"/>
      <c r="T19" s="37"/>
      <c r="U19" s="37"/>
      <c r="V19" s="36"/>
      <c r="W19" s="36"/>
      <c r="X19" s="36"/>
      <c r="Y19" s="36"/>
      <c r="Z19" s="36"/>
      <c r="AA19" s="36"/>
      <c r="AB19" s="36"/>
    </row>
    <row r="20" spans="2:28" ht="14">
      <c r="B20">
        <v>14</v>
      </c>
      <c r="C20" s="36" t="s">
        <v>443</v>
      </c>
      <c r="D20" s="37"/>
      <c r="E20" s="15">
        <f>+SUMIF('Full BS-USD'!$K:$K,B20,'Full BS-USD'!$C:$C)</f>
        <v>-2371.0500000000002</v>
      </c>
      <c r="F20" s="15">
        <f>+SUMIF('Full BS-USD'!$K:$K,B20,'Full BS-USD'!$D:$D)</f>
        <v>37427.660000000003</v>
      </c>
      <c r="G20" s="15">
        <f>+SUMIF('Full BS-USD'!$K:$K,B20,'Full BS-USD'!$E:$E)</f>
        <v>0</v>
      </c>
      <c r="H20" s="15">
        <f>+SUMIF('Full BS-USD'!$K:$K,B20,'Full BS-USD'!$F:$F)</f>
        <v>0</v>
      </c>
      <c r="I20" s="15">
        <f>+SUMIF('Full BS-USD'!$K:$K,B20,'Full BS-USD'!$G:$G)</f>
        <v>-3045.65</v>
      </c>
      <c r="J20" s="15">
        <f>+SUMIF('Full BS-USD'!$K:$K,B20,'Full BS-USD'!$H:$H)</f>
        <v>262306.48</v>
      </c>
      <c r="K20" s="15">
        <f>+SUMIF('Full BS-USD'!$K:$K,B20,'Full BS-USD'!$I:$I)</f>
        <v>-32.19</v>
      </c>
      <c r="L20" s="15">
        <f>+SUMIF('Full BS-USD'!$K:$K,B20,'Full BS-USD'!$B:$B)</f>
        <v>-261263.83</v>
      </c>
      <c r="M20" s="15"/>
      <c r="N20" s="15"/>
      <c r="O20" s="15">
        <f>+SUMIF('Full BS-USD'!$K:$K,B20,'Full BS-USD'!$J:$J)</f>
        <v>33021.420000000006</v>
      </c>
      <c r="P20" s="83">
        <f t="shared" si="1"/>
        <v>0</v>
      </c>
      <c r="Q20" s="232">
        <f>+ROUND((O20/1000),0)</f>
        <v>33</v>
      </c>
      <c r="R20" s="15"/>
      <c r="S20" s="37"/>
      <c r="T20" s="37"/>
      <c r="U20" s="37"/>
      <c r="V20" s="36"/>
      <c r="W20" s="36"/>
      <c r="X20" s="36"/>
      <c r="Y20" s="36"/>
      <c r="Z20" s="36"/>
      <c r="AA20" s="36"/>
      <c r="AB20" s="36"/>
    </row>
    <row r="21" spans="2:28" ht="14">
      <c r="B21">
        <v>15</v>
      </c>
      <c r="C21" s="36" t="s">
        <v>446</v>
      </c>
      <c r="D21" s="37"/>
      <c r="E21" s="18">
        <f>+SUMIF('Full BS-USD'!$K:$K,B21,'Full BS-USD'!$C:$C)</f>
        <v>1036.5100000000002</v>
      </c>
      <c r="F21" s="18">
        <f>+SUMIF('Full BS-USD'!$K:$K,B21,'Full BS-USD'!$D:$D)</f>
        <v>0</v>
      </c>
      <c r="G21" s="18">
        <f>+SUMIF('Full BS-USD'!$K:$K,B21,'Full BS-USD'!$E:$E)</f>
        <v>0</v>
      </c>
      <c r="H21" s="18">
        <f>+SUMIF('Full BS-USD'!$K:$K,B21,'Full BS-USD'!$F:$F)</f>
        <v>0</v>
      </c>
      <c r="I21" s="18">
        <f>+SUMIF('Full BS-USD'!$K:$K,B21,'Full BS-USD'!$G:$G)</f>
        <v>57330.94</v>
      </c>
      <c r="J21" s="18">
        <f>+SUMIF('Full BS-USD'!$K:$K,B21,'Full BS-USD'!$H:$H)</f>
        <v>56102.66</v>
      </c>
      <c r="K21" s="18">
        <f>+SUMIF('Full BS-USD'!$K:$K,B21,'Full BS-USD'!$I:$I)</f>
        <v>8608.31</v>
      </c>
      <c r="L21" s="18">
        <f>+SUMIF('Full BS-USD'!$K:$K,B21,'Full BS-USD'!$B:$B)</f>
        <v>0</v>
      </c>
      <c r="M21" s="20"/>
      <c r="N21" s="15"/>
      <c r="O21" s="18">
        <f>+SUMIF('Full BS-USD'!$K:$K,B21,'Full BS-USD'!$J:$J)</f>
        <v>123078.42000000001</v>
      </c>
      <c r="P21" s="83">
        <f t="shared" si="1"/>
        <v>0</v>
      </c>
      <c r="Q21" s="136">
        <f>+ROUND((O21/1000),0)</f>
        <v>123</v>
      </c>
      <c r="R21" s="15"/>
      <c r="S21" s="37">
        <v>5</v>
      </c>
      <c r="T21" s="37"/>
      <c r="U21" s="37"/>
      <c r="V21" s="36"/>
      <c r="W21" s="36"/>
      <c r="X21" s="36"/>
      <c r="Y21" s="36"/>
      <c r="Z21" s="36"/>
      <c r="AA21" s="36"/>
      <c r="AB21" s="36"/>
    </row>
    <row r="22" spans="2:28" ht="14">
      <c r="C22" s="36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43"/>
      <c r="O22" s="37"/>
      <c r="P22" s="83">
        <f t="shared" si="1"/>
        <v>0</v>
      </c>
      <c r="Q22" s="37"/>
      <c r="R22" s="15"/>
      <c r="S22" s="37"/>
      <c r="T22" s="37"/>
      <c r="U22" s="37"/>
      <c r="V22" s="36"/>
      <c r="W22" s="36"/>
      <c r="X22" s="36"/>
      <c r="Y22" s="36"/>
      <c r="Z22" s="36"/>
      <c r="AA22" s="36"/>
      <c r="AB22" s="36"/>
    </row>
    <row r="23" spans="2:28" ht="14">
      <c r="C23" s="36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43"/>
      <c r="O23" s="37"/>
      <c r="P23" s="83">
        <f t="shared" si="1"/>
        <v>0</v>
      </c>
      <c r="Q23" s="37"/>
      <c r="R23" s="15"/>
      <c r="S23" s="37"/>
      <c r="T23" s="37"/>
      <c r="U23" s="37"/>
      <c r="V23" s="36"/>
      <c r="W23" s="36"/>
      <c r="X23" s="36"/>
      <c r="Y23" s="36"/>
      <c r="Z23" s="36"/>
      <c r="AA23" s="36"/>
      <c r="AB23" s="36"/>
    </row>
    <row r="24" spans="2:28" ht="14">
      <c r="C24" s="46" t="s">
        <v>444</v>
      </c>
      <c r="D24" s="37"/>
      <c r="E24" s="45">
        <f>+E20+E21</f>
        <v>-1334.54</v>
      </c>
      <c r="F24" s="45">
        <f t="shared" ref="F24:O24" si="4">+F20+F21</f>
        <v>37427.660000000003</v>
      </c>
      <c r="G24" s="45">
        <f t="shared" si="4"/>
        <v>0</v>
      </c>
      <c r="H24" s="45">
        <f t="shared" si="4"/>
        <v>0</v>
      </c>
      <c r="I24" s="45">
        <f t="shared" si="4"/>
        <v>54285.29</v>
      </c>
      <c r="J24" s="45">
        <f>+J20+J21</f>
        <v>318409.14</v>
      </c>
      <c r="K24" s="45">
        <f t="shared" si="4"/>
        <v>8576.119999999999</v>
      </c>
      <c r="L24" s="45">
        <f t="shared" si="4"/>
        <v>-261263.83</v>
      </c>
      <c r="M24" s="45"/>
      <c r="N24" s="43"/>
      <c r="O24" s="45">
        <f t="shared" si="4"/>
        <v>156099.84000000003</v>
      </c>
      <c r="P24" s="83">
        <f t="shared" si="1"/>
        <v>0</v>
      </c>
      <c r="Q24" s="45">
        <f>+ROUND(O24/1000,0)</f>
        <v>156</v>
      </c>
      <c r="R24" s="15"/>
      <c r="S24" s="37"/>
      <c r="T24" s="37"/>
      <c r="U24" s="37"/>
      <c r="V24" s="36"/>
      <c r="W24" s="36"/>
      <c r="X24" s="36"/>
      <c r="Y24" s="36"/>
      <c r="Z24" s="36"/>
      <c r="AA24" s="36"/>
      <c r="AB24" s="36"/>
    </row>
    <row r="25" spans="2:28" ht="14">
      <c r="C25" s="36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43"/>
      <c r="O25" s="37"/>
      <c r="P25" s="83">
        <f t="shared" si="1"/>
        <v>0</v>
      </c>
      <c r="Q25" s="37"/>
      <c r="R25" s="15"/>
      <c r="S25" s="37"/>
      <c r="T25" s="37"/>
      <c r="U25" s="37"/>
      <c r="V25" s="36"/>
      <c r="W25" s="36"/>
      <c r="X25" s="36"/>
      <c r="Y25" s="36"/>
      <c r="Z25" s="36"/>
      <c r="AA25" s="36"/>
      <c r="AB25" s="36"/>
    </row>
    <row r="26" spans="2:28" ht="14">
      <c r="C26" s="36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43"/>
      <c r="O26" s="37"/>
      <c r="P26" s="83">
        <f t="shared" si="1"/>
        <v>0</v>
      </c>
      <c r="Q26" s="37"/>
      <c r="R26" s="15"/>
      <c r="S26" s="37"/>
      <c r="T26" s="37"/>
      <c r="U26" s="37"/>
      <c r="V26" s="36"/>
      <c r="W26" s="36"/>
      <c r="X26" s="36"/>
      <c r="Y26" s="36"/>
      <c r="Z26" s="36"/>
      <c r="AA26" s="36"/>
      <c r="AB26" s="36"/>
    </row>
    <row r="27" spans="2:28" ht="14.5" thickBot="1">
      <c r="C27" s="120" t="s">
        <v>445</v>
      </c>
      <c r="D27" s="37"/>
      <c r="E27" s="119">
        <f>+E24+E16</f>
        <v>976029.48</v>
      </c>
      <c r="F27" s="119">
        <f t="shared" ref="F27:K27" si="5">+F24+F16</f>
        <v>62228.55</v>
      </c>
      <c r="G27" s="119">
        <f t="shared" si="5"/>
        <v>513.75</v>
      </c>
      <c r="H27" s="119">
        <f t="shared" si="5"/>
        <v>48738.37</v>
      </c>
      <c r="I27" s="119">
        <f t="shared" si="5"/>
        <v>3166038.4800000004</v>
      </c>
      <c r="J27" s="119">
        <f t="shared" si="5"/>
        <v>24712822.509999998</v>
      </c>
      <c r="K27" s="119">
        <f t="shared" si="5"/>
        <v>1270980.4600000002</v>
      </c>
      <c r="L27" s="119">
        <f>+L24+L16</f>
        <v>-8445444.2899999991</v>
      </c>
      <c r="M27" s="161"/>
      <c r="N27" s="43"/>
      <c r="O27" s="119">
        <f>+O24+O16</f>
        <v>21791907.309999999</v>
      </c>
      <c r="P27" s="83">
        <f t="shared" si="1"/>
        <v>0</v>
      </c>
      <c r="Q27" s="119">
        <f>+Q24+Q16</f>
        <v>21792</v>
      </c>
      <c r="R27" s="15"/>
      <c r="S27" s="37"/>
      <c r="T27" s="37"/>
      <c r="U27" s="37"/>
      <c r="V27" s="36"/>
      <c r="W27" s="36"/>
      <c r="X27" s="36"/>
      <c r="Y27" s="36"/>
      <c r="Z27" s="36"/>
      <c r="AA27" s="36"/>
      <c r="AB27" s="36"/>
    </row>
    <row r="28" spans="2:28" ht="14.5" thickTop="1">
      <c r="C28" s="36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43"/>
      <c r="O28" s="37"/>
      <c r="P28" s="83"/>
      <c r="Q28" s="37"/>
      <c r="R28" s="15"/>
      <c r="S28" s="37"/>
      <c r="T28" s="37"/>
      <c r="U28" s="37"/>
      <c r="V28" s="36"/>
      <c r="W28" s="36"/>
      <c r="X28" s="36"/>
      <c r="Y28" s="36"/>
      <c r="Z28" s="36"/>
      <c r="AA28" s="36"/>
      <c r="AB28" s="36"/>
    </row>
    <row r="29" spans="2:28" ht="14">
      <c r="C29" s="36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3"/>
      <c r="O29" s="37"/>
      <c r="P29" s="83"/>
      <c r="Q29" s="37">
        <f>+O29/1000</f>
        <v>0</v>
      </c>
      <c r="R29" s="15"/>
      <c r="S29" s="37"/>
      <c r="T29" s="37"/>
      <c r="U29" s="37"/>
      <c r="V29" s="36"/>
      <c r="W29" s="36"/>
      <c r="X29" s="36"/>
      <c r="Y29" s="36"/>
      <c r="Z29" s="36"/>
      <c r="AA29" s="36"/>
      <c r="AB29" s="36"/>
    </row>
    <row r="30" spans="2:28" ht="14">
      <c r="C30" s="36" t="s">
        <v>447</v>
      </c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43"/>
      <c r="O30" s="37"/>
      <c r="P30" s="83"/>
      <c r="Q30" s="37"/>
      <c r="R30" s="15"/>
      <c r="S30" s="37"/>
      <c r="T30" s="37"/>
      <c r="U30" s="37"/>
      <c r="V30" s="36"/>
      <c r="W30" s="36"/>
      <c r="X30" s="36"/>
      <c r="Y30" s="36"/>
      <c r="Z30" s="36"/>
      <c r="AA30" s="36"/>
      <c r="AB30" s="36"/>
    </row>
    <row r="31" spans="2:28" ht="14">
      <c r="C31" s="36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43"/>
      <c r="O31" s="37"/>
      <c r="P31" s="83"/>
      <c r="Q31" s="37"/>
      <c r="R31" s="15"/>
      <c r="S31" s="37"/>
      <c r="T31" s="37"/>
      <c r="U31" s="37"/>
      <c r="V31" s="36"/>
      <c r="W31" s="36"/>
      <c r="X31" s="36"/>
      <c r="Y31" s="36"/>
      <c r="Z31" s="36"/>
      <c r="AA31" s="36"/>
      <c r="AB31" s="36"/>
    </row>
    <row r="32" spans="2:28" ht="18">
      <c r="C32" s="12" t="s">
        <v>448</v>
      </c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43"/>
      <c r="O32" s="37"/>
      <c r="P32" s="83"/>
      <c r="Q32" s="37"/>
      <c r="R32" s="15"/>
      <c r="S32" s="37"/>
      <c r="T32" s="37"/>
      <c r="U32" s="37"/>
      <c r="V32" s="36"/>
      <c r="W32" s="36"/>
      <c r="X32" s="36"/>
      <c r="Y32" s="36"/>
      <c r="Z32" s="36"/>
      <c r="AA32" s="36"/>
      <c r="AB32" s="36"/>
    </row>
    <row r="33" spans="2:28" ht="18">
      <c r="C33" s="12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43"/>
      <c r="O33" s="37"/>
      <c r="P33" s="83"/>
      <c r="Q33" s="37"/>
      <c r="R33" s="15"/>
      <c r="S33" s="37"/>
      <c r="T33" s="37"/>
      <c r="U33" s="37"/>
      <c r="V33" s="36"/>
      <c r="W33" s="36"/>
      <c r="X33" s="36"/>
      <c r="Y33" s="36"/>
      <c r="Z33" s="36"/>
      <c r="AA33" s="36"/>
      <c r="AB33" s="36"/>
    </row>
    <row r="34" spans="2:28" ht="14">
      <c r="B34">
        <v>16</v>
      </c>
      <c r="C34" s="36" t="s">
        <v>449</v>
      </c>
      <c r="D34" s="37"/>
      <c r="E34" s="226">
        <f>+SUMIF('Full BS-USD'!$K:$K,B34,'Full BS-USD'!$C:$C)</f>
        <v>37909.68</v>
      </c>
      <c r="F34" s="15">
        <f>+SUMIF('Full BS-USD'!$K:$K,B34,'Full BS-USD'!$D:$D)</f>
        <v>0</v>
      </c>
      <c r="G34" s="15">
        <f>+SUMIF('Full BS-USD'!$K:$K,B34,'Full BS-USD'!$E:$E)</f>
        <v>0</v>
      </c>
      <c r="H34" s="15">
        <f>+SUMIF('Full BS-USD'!$K:$K,B34,'Full BS-USD'!$F:$F)</f>
        <v>0</v>
      </c>
      <c r="I34" s="226">
        <f>+SUMIF('Full BS-USD'!$K:$K,B34,'Full BS-USD'!$G:$G)</f>
        <v>34022.449999999997</v>
      </c>
      <c r="J34" s="226">
        <f>+SUMIF('Full BS-USD'!$K:$K,B34,'Full BS-USD'!$H:$H)</f>
        <v>146906.29</v>
      </c>
      <c r="K34" s="226">
        <f>+SUMIF('Full BS-USD'!$K:$K,B34,'Full BS-USD'!$I:$I)</f>
        <v>11256.91</v>
      </c>
      <c r="L34" s="226">
        <f>+SUMIF('Full BS-USD'!$K:$K,B34,'Full BS-USD'!$B:$B)</f>
        <v>-28375.56</v>
      </c>
      <c r="M34" s="15"/>
      <c r="N34" s="15"/>
      <c r="O34" s="15">
        <f>+SUMIF('Full BS-USD'!$K:$K,B34,'Full BS-USD'!$J:$J)</f>
        <v>201719.77</v>
      </c>
      <c r="P34" s="83">
        <f>+O34-SUM(E34:L34)</f>
        <v>0</v>
      </c>
      <c r="Q34" s="232">
        <f>+ROUND((O34/1000),0)</f>
        <v>202</v>
      </c>
      <c r="R34" s="15"/>
      <c r="S34" s="37"/>
      <c r="T34" s="37"/>
      <c r="U34" s="37"/>
      <c r="V34" s="36"/>
      <c r="W34" s="36"/>
      <c r="X34" s="36"/>
      <c r="Y34" s="36"/>
      <c r="Z34" s="36"/>
      <c r="AA34" s="36"/>
      <c r="AB34" s="36"/>
    </row>
    <row r="35" spans="2:28" ht="14">
      <c r="B35">
        <v>17</v>
      </c>
      <c r="C35" s="36" t="s">
        <v>450</v>
      </c>
      <c r="D35" s="37"/>
      <c r="E35" s="18">
        <f>+SUMIF('Full BS-USD'!$K:$K,B35,'Full BS-USD'!$C:$C)</f>
        <v>878638.47</v>
      </c>
      <c r="F35" s="18">
        <f>+SUMIF('Full BS-USD'!$K:$K,B35,'Full BS-USD'!$D:$D)</f>
        <v>330.61</v>
      </c>
      <c r="G35" s="18">
        <f>+SUMIF('Full BS-USD'!$K:$K,B35,'Full BS-USD'!$E:$E)</f>
        <v>330.61</v>
      </c>
      <c r="H35" s="18">
        <f>+SUMIF('Full BS-USD'!$K:$K,B35,'Full BS-USD'!$F:$F)</f>
        <v>8607.33</v>
      </c>
      <c r="I35" s="18">
        <f>+SUMIF('Full BS-USD'!$K:$K,B35,'Full BS-USD'!$G:$G)</f>
        <v>2789090.48</v>
      </c>
      <c r="J35" s="18">
        <f>+SUMIF('Full BS-USD'!$K:$K,B35,'Full BS-USD'!$H:$H)</f>
        <v>4277166.95</v>
      </c>
      <c r="K35" s="18">
        <f>+SUMIF('Full BS-USD'!$K:$K,B35,'Full BS-USD'!$I:$I)</f>
        <v>993737.4</v>
      </c>
      <c r="L35" s="18">
        <f>+SUMIF('Full BS-USD'!$K:$K,B35,'Full BS-USD'!$B:$B)</f>
        <v>-8155804.9000000004</v>
      </c>
      <c r="M35" s="20"/>
      <c r="N35" s="15"/>
      <c r="O35" s="18">
        <f>+SUMIF('Full BS-USD'!$K:$K,B35,'Full BS-USD'!$J:$J)</f>
        <v>792096.9500000003</v>
      </c>
      <c r="P35" s="83">
        <f t="shared" si="1"/>
        <v>1.0477378964424133E-9</v>
      </c>
      <c r="Q35" s="136">
        <f>+ROUND((O35/1000),0)</f>
        <v>792</v>
      </c>
      <c r="S35" s="15">
        <f>+NOTES!B27</f>
        <v>6</v>
      </c>
      <c r="T35" s="37"/>
      <c r="U35" s="37"/>
      <c r="V35" s="36"/>
      <c r="W35" s="36"/>
      <c r="X35" s="36"/>
      <c r="Y35" s="36"/>
      <c r="Z35" s="36"/>
      <c r="AA35" s="36"/>
      <c r="AB35" s="36"/>
    </row>
    <row r="36" spans="2:28" ht="14">
      <c r="C36" s="36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83"/>
      <c r="Q36" s="37"/>
      <c r="R36" s="15"/>
      <c r="S36" s="37"/>
      <c r="T36" s="37"/>
      <c r="U36" s="37"/>
      <c r="V36" s="36"/>
      <c r="W36" s="36"/>
      <c r="X36" s="36"/>
      <c r="Y36" s="36"/>
      <c r="Z36" s="36"/>
      <c r="AA36" s="36"/>
      <c r="AB36" s="36"/>
    </row>
    <row r="37" spans="2:28" ht="14">
      <c r="C37" s="46" t="s">
        <v>458</v>
      </c>
      <c r="D37" s="37"/>
      <c r="E37" s="45">
        <f>+E35+E34</f>
        <v>916548.15</v>
      </c>
      <c r="F37" s="45">
        <f t="shared" ref="F37:O37" si="6">+F35+F34</f>
        <v>330.61</v>
      </c>
      <c r="G37" s="45">
        <f t="shared" si="6"/>
        <v>330.61</v>
      </c>
      <c r="H37" s="45">
        <f t="shared" si="6"/>
        <v>8607.33</v>
      </c>
      <c r="I37" s="45">
        <f t="shared" si="6"/>
        <v>2823112.93</v>
      </c>
      <c r="J37" s="45">
        <f t="shared" si="6"/>
        <v>4424073.24</v>
      </c>
      <c r="K37" s="45">
        <f t="shared" si="6"/>
        <v>1004994.31</v>
      </c>
      <c r="L37" s="45">
        <f t="shared" si="6"/>
        <v>-8184180.46</v>
      </c>
      <c r="M37" s="45"/>
      <c r="N37" s="45"/>
      <c r="O37" s="45">
        <f t="shared" si="6"/>
        <v>993816.72000000032</v>
      </c>
      <c r="P37" s="83">
        <f t="shared" si="1"/>
        <v>0</v>
      </c>
      <c r="Q37" s="45">
        <f>+Q35+Q34</f>
        <v>994</v>
      </c>
      <c r="R37" s="15"/>
      <c r="S37" s="37"/>
      <c r="T37" s="37"/>
      <c r="U37" s="37"/>
      <c r="V37" s="36"/>
      <c r="W37" s="36"/>
      <c r="X37" s="36"/>
      <c r="Y37" s="36"/>
      <c r="Z37" s="36"/>
      <c r="AA37" s="36"/>
      <c r="AB37" s="36"/>
    </row>
    <row r="38" spans="2:28" ht="14">
      <c r="C38" s="36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83"/>
      <c r="Q38" s="37"/>
      <c r="R38" s="15"/>
      <c r="S38" s="37"/>
      <c r="T38" s="37"/>
      <c r="U38" s="37"/>
      <c r="V38" s="36"/>
      <c r="W38" s="36"/>
      <c r="X38" s="36"/>
      <c r="Y38" s="36"/>
      <c r="Z38" s="36"/>
      <c r="AA38" s="36"/>
      <c r="AB38" s="36"/>
    </row>
    <row r="39" spans="2:28" ht="14">
      <c r="C39" s="36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83"/>
      <c r="Q39" s="37"/>
      <c r="R39" s="15"/>
      <c r="S39" s="37"/>
      <c r="T39" s="37"/>
      <c r="U39" s="37"/>
      <c r="V39" s="36"/>
      <c r="W39" s="36"/>
      <c r="X39" s="36"/>
      <c r="Y39" s="36"/>
      <c r="Z39" s="36"/>
      <c r="AA39" s="36"/>
      <c r="AB39" s="36"/>
    </row>
    <row r="40" spans="2:28" ht="18">
      <c r="C40" s="12" t="s">
        <v>600</v>
      </c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83"/>
      <c r="Q40" s="37"/>
      <c r="R40" s="15"/>
      <c r="S40" s="37"/>
      <c r="T40" s="37"/>
      <c r="U40" s="37"/>
      <c r="V40" s="36"/>
      <c r="W40" s="36"/>
      <c r="X40" s="36"/>
      <c r="Y40" s="36"/>
      <c r="Z40" s="36"/>
      <c r="AA40" s="36"/>
      <c r="AB40" s="36"/>
    </row>
    <row r="41" spans="2:28" ht="18">
      <c r="C41" s="12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83"/>
      <c r="Q41" s="37"/>
      <c r="R41" s="15"/>
      <c r="S41" s="37"/>
      <c r="T41" s="37"/>
      <c r="U41" s="37"/>
      <c r="V41" s="36"/>
      <c r="W41" s="36"/>
      <c r="X41" s="36"/>
      <c r="Y41" s="36"/>
      <c r="Z41" s="36"/>
      <c r="AA41" s="36"/>
      <c r="AB41" s="36"/>
    </row>
    <row r="42" spans="2:28" ht="14">
      <c r="B42">
        <v>18</v>
      </c>
      <c r="C42" s="46" t="s">
        <v>451</v>
      </c>
      <c r="D42" s="37"/>
      <c r="E42" s="45">
        <f>+SUMIF('Full BS-USD'!$K:$K,B42,'Full BS-USD'!$C:$C)</f>
        <v>0</v>
      </c>
      <c r="F42" s="45">
        <f>+SUMIF('Full BS-USD'!$K:$K,B42,'Full BS-USD'!$D:$D)</f>
        <v>0</v>
      </c>
      <c r="G42" s="45">
        <f>+SUMIF('Full BS-USD'!$K:$K,B42,'Full BS-USD'!$E:$E)</f>
        <v>261263.83</v>
      </c>
      <c r="H42" s="45">
        <f>+SUMIF('Full BS-USD'!$K:$K,B42,'Full BS-USD'!$F:$F)</f>
        <v>0</v>
      </c>
      <c r="I42" s="45">
        <f>+SUMIF('Full BS-USD'!$K:$K,B42,'Full BS-USD'!$G:$G)</f>
        <v>0</v>
      </c>
      <c r="J42" s="45">
        <f>+SUMIF('Full BS-USD'!$K:$K,B42,'Full BS-USD'!$H:$H)</f>
        <v>414497.66</v>
      </c>
      <c r="K42" s="45">
        <f>+SUMIF('Full BS-USD'!$K:$K,B42,'Full BS-USD'!$I:$I)</f>
        <v>49.23</v>
      </c>
      <c r="L42" s="45">
        <f>+SUMIF('Full BS-USD'!$K:$K,B42,'Full BS-USD'!$B:$B)</f>
        <v>-261263.83</v>
      </c>
      <c r="M42" s="45"/>
      <c r="N42" s="45"/>
      <c r="O42" s="45">
        <f>+SUMIF('Full BS-USD'!$K:$K,B42,'Full BS-USD'!$J:$J)</f>
        <v>414546.88999999996</v>
      </c>
      <c r="P42" s="83">
        <f t="shared" si="1"/>
        <v>0</v>
      </c>
      <c r="Q42" s="45">
        <f>+ROUND(O42/1000,0)-1</f>
        <v>414</v>
      </c>
      <c r="R42" s="15"/>
      <c r="S42" s="37"/>
      <c r="T42" s="37"/>
      <c r="U42" s="37"/>
      <c r="V42" s="36"/>
      <c r="W42" s="36"/>
      <c r="X42" s="36"/>
      <c r="Y42" s="36"/>
      <c r="Z42" s="36"/>
      <c r="AA42" s="36"/>
      <c r="AB42" s="36"/>
    </row>
    <row r="43" spans="2:28" ht="14">
      <c r="C43" s="36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83"/>
      <c r="Q43" s="37"/>
      <c r="R43" s="15"/>
      <c r="S43" s="37"/>
      <c r="T43" s="37"/>
      <c r="U43" s="37"/>
      <c r="V43" s="36"/>
      <c r="W43" s="36"/>
      <c r="X43" s="36"/>
      <c r="Y43" s="36"/>
      <c r="Z43" s="36"/>
      <c r="AA43" s="36"/>
      <c r="AB43" s="36"/>
    </row>
    <row r="44" spans="2:28" ht="14">
      <c r="C44" s="36" t="s">
        <v>452</v>
      </c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83"/>
      <c r="Q44" s="37"/>
      <c r="R44" s="15"/>
      <c r="S44" s="37"/>
      <c r="T44" s="37"/>
      <c r="U44" s="37"/>
      <c r="V44" s="36"/>
      <c r="W44" s="36"/>
      <c r="X44" s="36"/>
      <c r="Y44" s="36"/>
      <c r="Z44" s="36"/>
      <c r="AA44" s="36"/>
      <c r="AB44" s="36"/>
    </row>
    <row r="45" spans="2:28" ht="14">
      <c r="C45" s="36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83"/>
      <c r="Q45" s="37"/>
      <c r="R45" s="15"/>
      <c r="S45" s="37"/>
      <c r="T45" s="37"/>
      <c r="U45" s="37"/>
      <c r="V45" s="36"/>
      <c r="W45" s="36"/>
      <c r="X45" s="36"/>
      <c r="Y45" s="36"/>
      <c r="Z45" s="36"/>
      <c r="AA45" s="36"/>
      <c r="AB45" s="36"/>
    </row>
    <row r="46" spans="2:28" ht="14">
      <c r="B46">
        <v>19</v>
      </c>
      <c r="C46" s="36" t="s">
        <v>453</v>
      </c>
      <c r="D46" s="37"/>
      <c r="E46" s="15">
        <f>+SUMIF('Full BS-USD'!$K:$K,B46,'Full BS-USD'!$C:$C)</f>
        <v>0</v>
      </c>
      <c r="F46" s="15">
        <f>+SUMIF('Full BS-USD'!$K:$K,B46,'Full BS-USD'!$D:$D)</f>
        <v>600244.31000000006</v>
      </c>
      <c r="G46" s="15">
        <f>+SUMIF('Full BS-USD'!$K:$K,B46,'Full BS-USD'!$E:$E)</f>
        <v>27.32</v>
      </c>
      <c r="H46" s="15">
        <f>+SUMIF('Full BS-USD'!$K:$K,B46,'Full BS-USD'!$F:$F)</f>
        <v>1000280.62</v>
      </c>
      <c r="I46" s="15">
        <f>+SUMIF('Full BS-USD'!$K:$K,B46,'Full BS-USD'!$G:$G)</f>
        <v>0</v>
      </c>
      <c r="J46" s="15">
        <f>+SUMIF('Full BS-USD'!$K:$K,B46,'Full BS-USD'!$H:$H)</f>
        <v>40523528.359999992</v>
      </c>
      <c r="K46" s="15">
        <f>+SUMIF('Full BS-USD'!$K:$K,B46,'Full BS-USD'!$I:$I)</f>
        <v>1227</v>
      </c>
      <c r="L46" s="15">
        <f>+SUMIF('Full BS-USD'!$K:$K,B46,'Full BS-USD'!$B:$B)</f>
        <v>0</v>
      </c>
      <c r="M46" s="15"/>
      <c r="N46" s="15"/>
      <c r="O46" s="15">
        <f>+SUMIF('Full BS-USD'!$K:$K,B46,'Full BS-USD'!$J:$J)</f>
        <v>42125307.609999992</v>
      </c>
      <c r="P46" s="83">
        <f>+O46-SUM(E46:L46)</f>
        <v>0</v>
      </c>
      <c r="Q46" s="232">
        <f>+ROUND((O46/1000),0)+1</f>
        <v>42126</v>
      </c>
      <c r="R46" s="15"/>
      <c r="S46" s="37"/>
      <c r="T46" s="37"/>
      <c r="U46" s="37"/>
      <c r="V46" s="36"/>
      <c r="W46" s="36"/>
      <c r="X46" s="36"/>
      <c r="Y46" s="36"/>
      <c r="Z46" s="36"/>
      <c r="AA46" s="36"/>
      <c r="AB46" s="36"/>
    </row>
    <row r="47" spans="2:28" ht="14">
      <c r="B47">
        <v>20</v>
      </c>
      <c r="C47" s="36" t="s">
        <v>454</v>
      </c>
      <c r="D47" s="37"/>
      <c r="E47" s="15">
        <f>+SUMIF('Full BS-USD'!$K:$K,B47,'Full BS-USD'!$C:$C)</f>
        <v>0</v>
      </c>
      <c r="F47" s="15">
        <f>+SUMIF('Full BS-USD'!$K:$K,B47,'Full BS-USD'!$D:$D)</f>
        <v>0</v>
      </c>
      <c r="G47" s="15">
        <f>+SUMIF('Full BS-USD'!$K:$K,B47,'Full BS-USD'!$E:$E)</f>
        <v>0</v>
      </c>
      <c r="H47" s="15">
        <f>+SUMIF('Full BS-USD'!$K:$K,B47,'Full BS-USD'!$F:$F)</f>
        <v>0</v>
      </c>
      <c r="I47" s="15">
        <f>+SUMIF('Full BS-USD'!$K:$K,B47,'Full BS-USD'!$G:$G)</f>
        <v>0</v>
      </c>
      <c r="J47" s="15">
        <f>+SUMIF('Full BS-USD'!$K:$K,B47,'Full BS-USD'!$H:$H)</f>
        <v>0</v>
      </c>
      <c r="K47" s="15">
        <f>+SUMIF('Full BS-USD'!$K:$K,B47,'Full BS-USD'!$I:$I)</f>
        <v>0</v>
      </c>
      <c r="L47" s="15">
        <f>+SUMIF('Full BS-USD'!$K:$K,B47,'Full BS-USD'!$B:$B)</f>
        <v>0</v>
      </c>
      <c r="M47" s="15"/>
      <c r="N47" s="15"/>
      <c r="O47" s="15">
        <f>+SUMIF('Full BS-USD'!$K:$K,B47,'Full BS-USD'!$J:$J)</f>
        <v>0</v>
      </c>
      <c r="P47" s="83">
        <f>+O47-SUM(E47:L47)</f>
        <v>0</v>
      </c>
      <c r="Q47" s="232">
        <f>+ROUND((O47/1000),0)</f>
        <v>0</v>
      </c>
      <c r="R47" s="15"/>
      <c r="S47" s="37"/>
      <c r="T47" s="37"/>
      <c r="U47" s="37"/>
      <c r="V47" s="36"/>
      <c r="W47" s="36"/>
      <c r="X47" s="36"/>
      <c r="Y47" s="36"/>
      <c r="Z47" s="36"/>
      <c r="AA47" s="36"/>
      <c r="AB47" s="36"/>
    </row>
    <row r="48" spans="2:28" ht="14">
      <c r="B48">
        <v>21</v>
      </c>
      <c r="C48" s="36" t="s">
        <v>455</v>
      </c>
      <c r="D48" s="37"/>
      <c r="E48" s="18">
        <f>+SUMIF('Full BS-USD'!$K:$K,B48,'Full BS-USD'!$C:$C)</f>
        <v>59481.330000000075</v>
      </c>
      <c r="F48" s="18">
        <f>+SUMIF('Full BS-USD'!$K:$K,B48,'Full BS-USD'!$D:$D)</f>
        <v>-538346.37</v>
      </c>
      <c r="G48" s="18">
        <f>+SUMIF('Full BS-USD'!$K:$K,B48,'Full BS-USD'!$E:$E)</f>
        <v>-261108.01000000004</v>
      </c>
      <c r="H48" s="18">
        <f>+SUMIF('Full BS-USD'!$K:$K,B48,'Full BS-USD'!$F:$F)</f>
        <v>-960149.58000000007</v>
      </c>
      <c r="I48" s="18">
        <f>+SUMIF('Full BS-USD'!$K:$K,B48,'Full BS-USD'!$G:$G)</f>
        <v>342925.47000000102</v>
      </c>
      <c r="J48" s="18">
        <f>+SUMIF('Full BS-USD'!$K:$K,B48,'Full BS-USD'!$H:$H)</f>
        <v>-20649265.59</v>
      </c>
      <c r="K48" s="18">
        <f>+SUMIF('Full BS-USD'!$K:$K,B48,'Full BS-USD'!$I:$I)</f>
        <v>264709.91999999993</v>
      </c>
      <c r="L48" s="18">
        <f>+SUMIF('Full BS-USD'!$K:$K,B48,'Full BS-USD'!$B:$B)</f>
        <v>0</v>
      </c>
      <c r="M48" s="20"/>
      <c r="N48" s="15"/>
      <c r="O48" s="18">
        <f>+SUMIF('Full BS-USD'!$K:$K,B48,'Full BS-USD'!$J:$J)</f>
        <v>-21741752.829999998</v>
      </c>
      <c r="P48" s="83">
        <f>+O48-SUM(E48:L48)</f>
        <v>0</v>
      </c>
      <c r="Q48" s="136">
        <f>+ROUND((O48/1000),0)</f>
        <v>-21742</v>
      </c>
      <c r="R48" s="15"/>
      <c r="S48" s="37"/>
      <c r="T48" s="37"/>
      <c r="U48" s="37"/>
      <c r="V48" s="36"/>
      <c r="W48" s="36"/>
      <c r="X48" s="36"/>
      <c r="Y48" s="36"/>
      <c r="Z48" s="36"/>
      <c r="AA48" s="36"/>
      <c r="AB48" s="36"/>
    </row>
    <row r="49" spans="3:28" ht="14">
      <c r="C49" s="36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83"/>
      <c r="Q49" s="37"/>
      <c r="R49" s="15"/>
      <c r="S49" s="37"/>
      <c r="T49" s="37"/>
      <c r="U49" s="37"/>
      <c r="V49" s="36"/>
      <c r="W49" s="36"/>
      <c r="X49" s="36"/>
      <c r="Y49" s="36"/>
      <c r="Z49" s="36"/>
      <c r="AA49" s="36"/>
      <c r="AB49" s="36"/>
    </row>
    <row r="50" spans="3:28" ht="14">
      <c r="C50" s="120" t="s">
        <v>456</v>
      </c>
      <c r="D50" s="37"/>
      <c r="E50" s="118">
        <f>+SUM(E46:E48)</f>
        <v>59481.330000000075</v>
      </c>
      <c r="F50" s="118">
        <f t="shared" ref="F50:O50" si="7">+SUM(F46:F48)</f>
        <v>61897.940000000061</v>
      </c>
      <c r="G50" s="118">
        <f t="shared" si="7"/>
        <v>-261080.69000000003</v>
      </c>
      <c r="H50" s="118">
        <f t="shared" si="7"/>
        <v>40131.039999999921</v>
      </c>
      <c r="I50" s="118">
        <f t="shared" si="7"/>
        <v>342925.47000000102</v>
      </c>
      <c r="J50" s="118">
        <f t="shared" si="7"/>
        <v>19874262.769999992</v>
      </c>
      <c r="K50" s="118">
        <f t="shared" si="7"/>
        <v>265936.91999999993</v>
      </c>
      <c r="L50" s="118">
        <f t="shared" si="7"/>
        <v>0</v>
      </c>
      <c r="M50" s="118"/>
      <c r="N50" s="16"/>
      <c r="O50" s="118">
        <f t="shared" si="7"/>
        <v>20383554.779999994</v>
      </c>
      <c r="P50" s="83"/>
      <c r="Q50" s="118">
        <f>+SUM(Q46:Q48)</f>
        <v>20384</v>
      </c>
      <c r="R50" s="15"/>
      <c r="S50" s="37"/>
      <c r="T50" s="37"/>
      <c r="U50" s="37"/>
      <c r="V50" s="36"/>
      <c r="W50" s="36"/>
      <c r="X50" s="36"/>
      <c r="Y50" s="36"/>
      <c r="Z50" s="36"/>
      <c r="AA50" s="36"/>
      <c r="AB50" s="36"/>
    </row>
    <row r="51" spans="3:28" ht="14">
      <c r="C51" s="36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83"/>
      <c r="Q51" s="37"/>
      <c r="R51" s="15"/>
      <c r="S51" s="37"/>
      <c r="T51" s="37"/>
      <c r="U51" s="37"/>
      <c r="V51" s="36"/>
      <c r="W51" s="36"/>
      <c r="X51" s="36"/>
      <c r="Y51" s="36"/>
      <c r="Z51" s="36"/>
      <c r="AA51" s="36"/>
      <c r="AB51" s="36"/>
    </row>
    <row r="52" spans="3:28" ht="14.5" thickBot="1">
      <c r="C52" s="120" t="s">
        <v>457</v>
      </c>
      <c r="D52" s="37"/>
      <c r="E52" s="119">
        <f t="shared" ref="E52:L52" si="8">+E50+E42+E37</f>
        <v>976029.4800000001</v>
      </c>
      <c r="F52" s="119">
        <f t="shared" si="8"/>
        <v>62228.550000000061</v>
      </c>
      <c r="G52" s="119">
        <f t="shared" si="8"/>
        <v>513.74999999995578</v>
      </c>
      <c r="H52" s="119">
        <f t="shared" si="8"/>
        <v>48738.369999999923</v>
      </c>
      <c r="I52" s="119">
        <f t="shared" si="8"/>
        <v>3166038.4000000013</v>
      </c>
      <c r="J52" s="119">
        <f t="shared" si="8"/>
        <v>24712833.669999994</v>
      </c>
      <c r="K52" s="119">
        <f t="shared" si="8"/>
        <v>1270980.46</v>
      </c>
      <c r="L52" s="119">
        <f t="shared" si="8"/>
        <v>-8445444.2899999991</v>
      </c>
      <c r="M52" s="161"/>
      <c r="N52" s="37"/>
      <c r="O52" s="119">
        <f>+O50+O42+O37</f>
        <v>21791918.389999993</v>
      </c>
      <c r="P52" s="83"/>
      <c r="Q52" s="119">
        <f>+Q50+Q42+Q37</f>
        <v>21792</v>
      </c>
      <c r="R52" s="15"/>
      <c r="S52" s="37"/>
      <c r="T52" s="37"/>
      <c r="U52" s="37"/>
      <c r="V52" s="36"/>
      <c r="W52" s="36"/>
      <c r="X52" s="36"/>
      <c r="Y52" s="36"/>
      <c r="Z52" s="36"/>
      <c r="AA52" s="36"/>
      <c r="AB52" s="36"/>
    </row>
    <row r="53" spans="3:28" ht="14.5" thickTop="1">
      <c r="C53" s="36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83"/>
      <c r="Q53" s="37"/>
      <c r="R53" s="15"/>
      <c r="S53" s="37"/>
      <c r="T53" s="37"/>
      <c r="U53" s="37"/>
      <c r="V53" s="36"/>
      <c r="W53" s="36"/>
      <c r="X53" s="36"/>
      <c r="Y53" s="36"/>
      <c r="Z53" s="36"/>
      <c r="AA53" s="36"/>
      <c r="AB53" s="36"/>
    </row>
    <row r="54" spans="3:28" ht="14">
      <c r="C54" s="122" t="s">
        <v>601</v>
      </c>
      <c r="D54" s="37"/>
      <c r="E54" s="121">
        <f t="shared" ref="E54:L54" si="9">+E52-E27</f>
        <v>0</v>
      </c>
      <c r="F54" s="121">
        <f t="shared" si="9"/>
        <v>5.8207660913467407E-11</v>
      </c>
      <c r="G54" s="121">
        <f t="shared" si="9"/>
        <v>-4.4224179873708636E-11</v>
      </c>
      <c r="H54" s="121">
        <f t="shared" si="9"/>
        <v>-8.0035533756017685E-11</v>
      </c>
      <c r="I54" s="121">
        <f t="shared" si="9"/>
        <v>-7.9999999143183231E-2</v>
      </c>
      <c r="J54" s="121">
        <f t="shared" si="9"/>
        <v>11.159999996423721</v>
      </c>
      <c r="K54" s="121">
        <f t="shared" si="9"/>
        <v>0</v>
      </c>
      <c r="L54" s="121">
        <f t="shared" si="9"/>
        <v>0</v>
      </c>
      <c r="M54" s="121"/>
      <c r="N54" s="121"/>
      <c r="O54" s="121">
        <f>+O52-O27</f>
        <v>11.07999999448657</v>
      </c>
      <c r="P54" s="121"/>
      <c r="Q54" s="121">
        <f>+Q52-Q27</f>
        <v>0</v>
      </c>
      <c r="R54" s="15"/>
      <c r="S54" s="37"/>
      <c r="T54" s="37"/>
      <c r="U54" s="37"/>
      <c r="V54" s="36"/>
      <c r="W54" s="36"/>
      <c r="X54" s="36"/>
      <c r="Y54" s="36"/>
      <c r="Z54" s="36"/>
      <c r="AA54" s="36"/>
      <c r="AB54" s="36"/>
    </row>
    <row r="55" spans="3:28" ht="14">
      <c r="C55" s="36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83"/>
      <c r="Q55" s="15"/>
      <c r="R55" s="15"/>
      <c r="S55" s="37"/>
      <c r="T55" s="37"/>
      <c r="U55" s="37"/>
      <c r="V55" s="36"/>
      <c r="W55" s="36"/>
      <c r="X55" s="36"/>
      <c r="Y55" s="36"/>
      <c r="Z55" s="36"/>
      <c r="AA55" s="36"/>
      <c r="AB55" s="36"/>
    </row>
    <row r="56" spans="3:28" ht="14">
      <c r="C56" s="36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15"/>
      <c r="S56" s="37"/>
      <c r="T56" s="37"/>
      <c r="U56" s="37"/>
      <c r="V56" s="36"/>
      <c r="W56" s="36"/>
      <c r="X56" s="36"/>
      <c r="Y56" s="36"/>
      <c r="Z56" s="36"/>
      <c r="AA56" s="36"/>
      <c r="AB56" s="36"/>
    </row>
    <row r="57" spans="3:28" ht="14">
      <c r="C57" s="36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15"/>
      <c r="S57" s="37"/>
      <c r="T57" s="37"/>
      <c r="U57" s="37"/>
      <c r="V57" s="36"/>
      <c r="W57" s="36"/>
      <c r="X57" s="36"/>
      <c r="Y57" s="36"/>
      <c r="Z57" s="36"/>
      <c r="AA57" s="36"/>
      <c r="AB57" s="36"/>
    </row>
    <row r="58" spans="3:28" ht="14">
      <c r="C58" s="36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15"/>
      <c r="S58" s="37"/>
      <c r="T58" s="37"/>
      <c r="U58" s="37"/>
      <c r="V58" s="36"/>
      <c r="W58" s="36"/>
      <c r="X58" s="36"/>
      <c r="Y58" s="36"/>
      <c r="Z58" s="36"/>
      <c r="AA58" s="36"/>
      <c r="AB58" s="36"/>
    </row>
    <row r="59" spans="3:28" ht="14">
      <c r="C59" s="36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15"/>
      <c r="S59" s="37"/>
      <c r="T59" s="37"/>
      <c r="U59" s="37"/>
      <c r="V59" s="36"/>
      <c r="W59" s="36"/>
      <c r="X59" s="36"/>
      <c r="Y59" s="36"/>
      <c r="Z59" s="36"/>
      <c r="AA59" s="36"/>
      <c r="AB59" s="36"/>
    </row>
    <row r="60" spans="3:28" ht="14">
      <c r="C60" s="36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15"/>
      <c r="S60" s="37"/>
      <c r="T60" s="37"/>
      <c r="U60" s="37"/>
      <c r="V60" s="36"/>
      <c r="W60" s="36"/>
      <c r="X60" s="36"/>
      <c r="Y60" s="36"/>
      <c r="Z60" s="36"/>
      <c r="AA60" s="36"/>
      <c r="AB60" s="36"/>
    </row>
    <row r="61" spans="3:28" ht="14"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15"/>
      <c r="S61" s="36"/>
      <c r="T61" s="36"/>
      <c r="U61" s="36"/>
      <c r="V61" s="36"/>
      <c r="W61" s="36"/>
      <c r="X61" s="36"/>
      <c r="Y61" s="36"/>
      <c r="Z61" s="36"/>
      <c r="AA61" s="36"/>
      <c r="AB61" s="36"/>
    </row>
    <row r="62" spans="3:28" ht="14"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15"/>
      <c r="S62" s="36"/>
      <c r="T62" s="36"/>
      <c r="U62" s="36"/>
      <c r="V62" s="36"/>
      <c r="W62" s="36"/>
      <c r="X62" s="36"/>
      <c r="Y62" s="36"/>
      <c r="Z62" s="36"/>
      <c r="AA62" s="36"/>
      <c r="AB62" s="36"/>
    </row>
    <row r="63" spans="3:28" ht="14"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15"/>
      <c r="S63" s="36"/>
      <c r="T63" s="36"/>
      <c r="U63" s="36"/>
      <c r="V63" s="36"/>
      <c r="W63" s="36"/>
      <c r="X63" s="36"/>
      <c r="Y63" s="36"/>
      <c r="Z63" s="36"/>
      <c r="AA63" s="36"/>
      <c r="AB63" s="36"/>
    </row>
    <row r="64" spans="3:28" ht="12.5"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</row>
    <row r="65" spans="3:28" ht="12.5"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</row>
    <row r="66" spans="3:28" ht="12.5"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</row>
    <row r="67" spans="3:28" ht="12.5"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</row>
    <row r="68" spans="3:28" ht="12.5"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</row>
    <row r="69" spans="3:28" ht="12.5"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</row>
    <row r="70" spans="3:28" ht="12.5"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V465"/>
  <sheetViews>
    <sheetView workbookViewId="0">
      <selection activeCell="O27" sqref="O27:O29"/>
    </sheetView>
  </sheetViews>
  <sheetFormatPr defaultRowHeight="14"/>
  <cols>
    <col min="2" max="2" width="6" bestFit="1" customWidth="1"/>
    <col min="3" max="3" width="45.77734375" style="9" bestFit="1" customWidth="1"/>
    <col min="5" max="5" width="11.44140625" style="13" bestFit="1" customWidth="1"/>
    <col min="6" max="6" width="11" customWidth="1"/>
    <col min="7" max="7" width="13.44140625" customWidth="1"/>
    <col min="8" max="8" width="15.77734375" bestFit="1" customWidth="1"/>
    <col min="9" max="11" width="13.6640625" bestFit="1" customWidth="1"/>
    <col min="12" max="12" width="13.6640625" customWidth="1"/>
    <col min="13" max="13" width="15" bestFit="1" customWidth="1"/>
    <col min="14" max="16" width="10.109375" bestFit="1" customWidth="1"/>
    <col min="17" max="17" width="15" bestFit="1" customWidth="1"/>
  </cols>
  <sheetData>
    <row r="1" spans="1:22" ht="18">
      <c r="C1" s="12" t="s">
        <v>460</v>
      </c>
      <c r="E1"/>
    </row>
    <row r="2" spans="1:22">
      <c r="C2" s="10" t="s">
        <v>462</v>
      </c>
      <c r="E2"/>
    </row>
    <row r="3" spans="1:22">
      <c r="E3"/>
    </row>
    <row r="4" spans="1:22">
      <c r="E4"/>
    </row>
    <row r="5" spans="1:22">
      <c r="B5" t="s">
        <v>230</v>
      </c>
      <c r="E5" s="35" t="s">
        <v>233</v>
      </c>
      <c r="F5" s="35" t="s">
        <v>234</v>
      </c>
      <c r="G5" s="35" t="s">
        <v>239</v>
      </c>
      <c r="H5" s="35" t="s">
        <v>235</v>
      </c>
      <c r="I5" s="35" t="s">
        <v>236</v>
      </c>
      <c r="J5" s="35" t="s">
        <v>237</v>
      </c>
      <c r="K5" s="35" t="s">
        <v>238</v>
      </c>
      <c r="L5" s="40"/>
      <c r="M5" s="35" t="s">
        <v>12</v>
      </c>
    </row>
    <row r="6" spans="1:22" ht="14.5" thickBot="1">
      <c r="E6" s="34">
        <v>2022</v>
      </c>
      <c r="F6" s="34">
        <v>2022</v>
      </c>
      <c r="G6" s="34">
        <v>2022</v>
      </c>
      <c r="H6" s="34">
        <v>2022</v>
      </c>
      <c r="I6" s="34">
        <v>2022</v>
      </c>
      <c r="J6" s="34">
        <v>2022</v>
      </c>
      <c r="K6" s="34">
        <v>2022</v>
      </c>
      <c r="L6" s="41"/>
      <c r="M6" s="34">
        <v>2022</v>
      </c>
      <c r="N6" s="15"/>
      <c r="O6" s="71" t="s">
        <v>515</v>
      </c>
      <c r="Q6" s="16" t="s">
        <v>520</v>
      </c>
      <c r="R6" s="15"/>
      <c r="S6" s="15"/>
      <c r="T6" s="15"/>
      <c r="U6" s="15"/>
      <c r="V6" s="15"/>
    </row>
    <row r="7" spans="1:22">
      <c r="E7" s="14"/>
      <c r="F7" s="14"/>
      <c r="G7" s="14"/>
      <c r="H7" s="14"/>
      <c r="I7" s="14"/>
      <c r="J7" s="14"/>
      <c r="K7" s="14"/>
      <c r="L7" s="42"/>
      <c r="M7" s="14"/>
      <c r="N7" s="15"/>
      <c r="O7" s="14"/>
      <c r="P7" s="15"/>
      <c r="Q7" s="15"/>
      <c r="R7" s="15"/>
      <c r="S7" s="15"/>
      <c r="T7" s="15"/>
      <c r="U7" s="15"/>
      <c r="V7" s="15"/>
    </row>
    <row r="8" spans="1:22">
      <c r="B8">
        <v>1</v>
      </c>
      <c r="C8" s="10" t="s">
        <v>229</v>
      </c>
      <c r="E8" s="15">
        <f>+SUMIF('Full P&amp;L-USD'!$J:$J,B8,'Full P&amp;L-USD'!$B:$B)</f>
        <v>0</v>
      </c>
      <c r="F8" s="15">
        <f>+SUMIF('Full P&amp;L-USD'!$J:$J,B8,'Full P&amp;L-USD'!$C:$C)</f>
        <v>0</v>
      </c>
      <c r="G8" s="15">
        <f>+SUMIF('Full P&amp;L-USD'!$J:$J,B8,'Full P&amp;L-USD'!$D:$D)</f>
        <v>0</v>
      </c>
      <c r="H8" s="15">
        <f>+SUMIF('Full P&amp;L-USD'!$J:$J,B8,'Full P&amp;L-USD'!$E:$E)</f>
        <v>0</v>
      </c>
      <c r="I8" s="15">
        <f>+SUMIF('Full P&amp;L-USD'!$J:$J,B8,'Full P&amp;L-USD'!$F:$F)</f>
        <v>0</v>
      </c>
      <c r="J8" s="15">
        <f>+SUMIF('Full P&amp;L-USD'!$J:$J,B8,'Full P&amp;L-USD'!$G:$G)</f>
        <v>6849954.580000001</v>
      </c>
      <c r="K8" s="15">
        <f>+SUMIF('Full P&amp;L-USD'!$J:$J,B8,'Full P&amp;L-USD'!$H:$H)</f>
        <v>0</v>
      </c>
      <c r="L8" s="20"/>
      <c r="M8" s="15">
        <f>+SUMIF('Full P&amp;L-USD'!$J:$J,B8,'Full P&amp;L-USD'!$I:$I)</f>
        <v>6849954.580000001</v>
      </c>
      <c r="N8" s="72">
        <f t="shared" ref="N8:N31" si="0">+M8-SUM(E8:K8)</f>
        <v>0</v>
      </c>
      <c r="O8" s="15">
        <f>+ROUND(M8/1000,0)</f>
        <v>6850</v>
      </c>
      <c r="P8" s="15"/>
      <c r="Q8" s="15">
        <f>+NOTES!B50</f>
        <v>9</v>
      </c>
      <c r="R8" s="15"/>
      <c r="S8" s="15"/>
      <c r="T8" s="15"/>
      <c r="U8" s="15"/>
      <c r="V8" s="15"/>
    </row>
    <row r="9" spans="1:22">
      <c r="C9" s="10"/>
      <c r="E9" s="15"/>
      <c r="F9" s="15"/>
      <c r="G9" s="15"/>
      <c r="H9" s="15"/>
      <c r="I9" s="15"/>
      <c r="J9" s="15"/>
      <c r="K9" s="15"/>
      <c r="L9" s="20"/>
      <c r="M9" s="15"/>
      <c r="N9" s="72">
        <f t="shared" si="0"/>
        <v>0</v>
      </c>
      <c r="O9" s="15"/>
      <c r="P9" s="15"/>
      <c r="Q9" s="15"/>
      <c r="R9" s="15"/>
      <c r="S9" s="15"/>
      <c r="T9" s="15"/>
      <c r="U9" s="15"/>
      <c r="V9" s="15"/>
    </row>
    <row r="10" spans="1:22">
      <c r="B10">
        <v>2</v>
      </c>
      <c r="C10" s="10" t="s">
        <v>231</v>
      </c>
      <c r="E10" s="18">
        <f>+SUMIF('Full P&amp;L-USD'!$J:$J,B10,'Full P&amp;L-USD'!$B:$B)</f>
        <v>0</v>
      </c>
      <c r="F10" s="18">
        <f>+SUMIF('Full P&amp;L-USD'!$J:$J,B10,'Full P&amp;L-USD'!$C:$C)</f>
        <v>0</v>
      </c>
      <c r="G10" s="18">
        <f>+SUMIF('Full P&amp;L-USD'!$J:$J,B10,'Full P&amp;L-USD'!$D:$D)</f>
        <v>0</v>
      </c>
      <c r="H10" s="18">
        <f>+SUMIF('Full P&amp;L-USD'!$J:$J,B10,'Full P&amp;L-USD'!$E:$E)</f>
        <v>0</v>
      </c>
      <c r="I10" s="18">
        <f>+SUMIF('Full P&amp;L-USD'!$J:$J,B10,'Full P&amp;L-USD'!$F:$F)</f>
        <v>-69088.030000000013</v>
      </c>
      <c r="J10" s="18">
        <f>+SUMIF('Full P&amp;L-USD'!$J:$J,B10,'Full P&amp;L-USD'!$G:$G)</f>
        <v>-1758856.9900000002</v>
      </c>
      <c r="K10" s="18">
        <f>+SUMIF('Full P&amp;L-USD'!$J:$J,B10,'Full P&amp;L-USD'!$H:$H)</f>
        <v>-313932.24000000005</v>
      </c>
      <c r="L10" s="20"/>
      <c r="M10" s="18">
        <f>+SUMIF('Full P&amp;L-USD'!$J:$J,B10,'Full P&amp;L-USD'!$I:$I)</f>
        <v>-2141877.2599999998</v>
      </c>
      <c r="N10" s="72">
        <f>+M10-SUM(E10:K10)</f>
        <v>0</v>
      </c>
      <c r="O10" s="15">
        <f>+ROUND(M10/1000,0)</f>
        <v>-2142</v>
      </c>
      <c r="P10" s="15"/>
      <c r="Q10" s="15">
        <f>+NOTES!B59</f>
        <v>10</v>
      </c>
      <c r="R10" s="15"/>
      <c r="S10" s="15"/>
      <c r="T10" s="15"/>
      <c r="U10" s="15"/>
      <c r="V10" s="15"/>
    </row>
    <row r="11" spans="1:22">
      <c r="C11" s="10"/>
      <c r="E11" s="15"/>
      <c r="F11" s="15"/>
      <c r="G11" s="15"/>
      <c r="H11" s="15"/>
      <c r="I11" s="15"/>
      <c r="J11" s="15"/>
      <c r="K11" s="15"/>
      <c r="L11" s="20"/>
      <c r="M11" s="15"/>
      <c r="N11" s="72">
        <f t="shared" si="0"/>
        <v>0</v>
      </c>
      <c r="O11" s="15"/>
      <c r="P11" s="15"/>
      <c r="Q11" s="15"/>
      <c r="R11" s="15"/>
      <c r="S11" s="15"/>
      <c r="T11" s="15"/>
      <c r="U11" s="15"/>
      <c r="V11" s="15"/>
    </row>
    <row r="12" spans="1:22">
      <c r="B12">
        <v>3</v>
      </c>
      <c r="C12" s="10" t="s">
        <v>232</v>
      </c>
      <c r="E12" s="16">
        <f t="shared" ref="E12:K12" si="1">+E8+E10</f>
        <v>0</v>
      </c>
      <c r="F12" s="16">
        <f t="shared" si="1"/>
        <v>0</v>
      </c>
      <c r="G12" s="16">
        <f t="shared" si="1"/>
        <v>0</v>
      </c>
      <c r="H12" s="16">
        <f t="shared" si="1"/>
        <v>0</v>
      </c>
      <c r="I12" s="16">
        <f t="shared" si="1"/>
        <v>-69088.030000000013</v>
      </c>
      <c r="J12" s="16">
        <f t="shared" si="1"/>
        <v>5091097.5900000008</v>
      </c>
      <c r="K12" s="16">
        <f t="shared" si="1"/>
        <v>-313932.24000000005</v>
      </c>
      <c r="L12" s="19"/>
      <c r="M12" s="16">
        <f>+M8+M10</f>
        <v>4708077.3200000012</v>
      </c>
      <c r="N12" s="72">
        <f t="shared" si="0"/>
        <v>0</v>
      </c>
      <c r="O12" s="16">
        <f>+O8+O10</f>
        <v>4708</v>
      </c>
      <c r="P12" s="15"/>
      <c r="Q12" s="15"/>
      <c r="R12" s="15"/>
      <c r="S12" s="15"/>
      <c r="T12" s="15"/>
      <c r="U12" s="15"/>
      <c r="V12" s="15"/>
    </row>
    <row r="13" spans="1:22">
      <c r="A13" s="111"/>
      <c r="E13" s="15"/>
      <c r="F13" s="15"/>
      <c r="G13" s="15"/>
      <c r="H13" s="15"/>
      <c r="I13" s="15"/>
      <c r="J13" s="15"/>
      <c r="K13" s="15"/>
      <c r="L13" s="20"/>
      <c r="M13" s="15"/>
      <c r="N13" s="72">
        <f t="shared" si="0"/>
        <v>0</v>
      </c>
      <c r="O13" s="15"/>
      <c r="P13" s="15"/>
      <c r="Q13" s="15"/>
      <c r="R13" s="15"/>
      <c r="S13" s="15"/>
      <c r="T13" s="15"/>
      <c r="U13" s="15"/>
      <c r="V13" s="15"/>
    </row>
    <row r="14" spans="1:22">
      <c r="A14" s="111"/>
      <c r="C14" s="10" t="s">
        <v>240</v>
      </c>
      <c r="E14" s="19"/>
      <c r="F14" s="19"/>
      <c r="G14" s="19"/>
      <c r="H14" s="19"/>
      <c r="I14" s="19"/>
      <c r="J14" s="19"/>
      <c r="K14" s="19"/>
      <c r="L14" s="19"/>
      <c r="M14" s="19"/>
      <c r="N14" s="72">
        <f t="shared" si="0"/>
        <v>0</v>
      </c>
      <c r="O14" s="19"/>
      <c r="P14" s="15"/>
      <c r="Q14" s="15"/>
      <c r="R14" s="15"/>
      <c r="S14" s="15"/>
      <c r="T14" s="15"/>
      <c r="U14" s="15"/>
      <c r="V14" s="15"/>
    </row>
    <row r="15" spans="1:22">
      <c r="A15" s="111" t="s">
        <v>153</v>
      </c>
      <c r="B15">
        <v>4.0999999999999996</v>
      </c>
      <c r="C15" s="10" t="s">
        <v>99</v>
      </c>
      <c r="E15" s="20">
        <f>+SUMIF('Full P&amp;L-USD'!$J:$J,B15,'Full P&amp;L-USD'!$B:$B)</f>
        <v>96722.92</v>
      </c>
      <c r="F15" s="20">
        <f>+SUMIF('Full P&amp;L-USD'!$J:$J,B15,'Full P&amp;L-USD'!$C:$C)</f>
        <v>0</v>
      </c>
      <c r="G15" s="20">
        <f>+SUMIF('Full P&amp;L-USD'!$J:$J,B15,'Full P&amp;L-USD'!$D:$D)</f>
        <v>0</v>
      </c>
      <c r="H15" s="20">
        <f>+SUMIF('Full P&amp;L-USD'!$J:$J,B15,'Full P&amp;L-USD'!$E:$E)</f>
        <v>0</v>
      </c>
      <c r="I15" s="20">
        <f>+SUMIF('Full P&amp;L-USD'!$J:$J,B15,'Full P&amp;L-USD'!$F:$F)</f>
        <v>915306.07999999984</v>
      </c>
      <c r="J15" s="20">
        <f>+SUMIF('Full P&amp;L-USD'!$J:$J,B15,'Full P&amp;L-USD'!$G:$G)</f>
        <v>2942658.1099999994</v>
      </c>
      <c r="K15" s="20">
        <f>+SUMIF('Full P&amp;L-USD'!$J:$J,B15,'Full P&amp;L-USD'!$H:$H)</f>
        <v>482346.81000000006</v>
      </c>
      <c r="L15" s="20"/>
      <c r="M15" s="20">
        <f>+VLOOKUP(A15,'Full P&amp;L-USD'!$A:$I,9,0)+'Full P&amp;L-USD'!I126</f>
        <v>4437033.92</v>
      </c>
      <c r="N15" s="72">
        <f>+M15-SUM(E15:K15)</f>
        <v>0</v>
      </c>
      <c r="O15" s="15">
        <f>+ROUND(M15/1000,0)</f>
        <v>4437</v>
      </c>
      <c r="P15" s="15"/>
      <c r="Q15" s="15"/>
      <c r="R15" s="15"/>
      <c r="S15" s="15"/>
      <c r="T15" s="15"/>
      <c r="U15" s="15"/>
      <c r="V15" s="15"/>
    </row>
    <row r="16" spans="1:22">
      <c r="A16" s="111" t="s">
        <v>178</v>
      </c>
      <c r="B16">
        <v>4.2</v>
      </c>
      <c r="C16" s="10" t="s">
        <v>154</v>
      </c>
      <c r="E16" s="15">
        <f>+SUMIF('Full P&amp;L-USD'!$J:$J,B16,'Full P&amp;L-USD'!$B:$B)</f>
        <v>424507.61</v>
      </c>
      <c r="F16" s="15">
        <f>+SUMIF('Full P&amp;L-USD'!$J:$J,B16,'Full P&amp;L-USD'!$C:$C)</f>
        <v>0</v>
      </c>
      <c r="G16" s="15">
        <f>+SUMIF('Full P&amp;L-USD'!$J:$J,B16,'Full P&amp;L-USD'!$D:$D)</f>
        <v>0</v>
      </c>
      <c r="H16" s="15">
        <f>+SUMIF('Full P&amp;L-USD'!$J:$J,B16,'Full P&amp;L-USD'!$E:$E)</f>
        <v>0</v>
      </c>
      <c r="I16" s="15">
        <f>+SUMIF('Full P&amp;L-USD'!$J:$J,B16,'Full P&amp;L-USD'!$F:$F)</f>
        <v>2211092.0000000005</v>
      </c>
      <c r="J16" s="15">
        <f>+SUMIF('Full P&amp;L-USD'!$J:$J,B16,'Full P&amp;L-USD'!$G:$G)</f>
        <v>2086267.7199999997</v>
      </c>
      <c r="K16" s="15">
        <f>+SUMIF('Full P&amp;L-USD'!$J:$J,B16,'Full P&amp;L-USD'!$H:$H)</f>
        <v>113052.5</v>
      </c>
      <c r="L16" s="20"/>
      <c r="M16" s="20">
        <f>+VLOOKUP(A16,'Full P&amp;L-USD'!$A:$I,9,0)</f>
        <v>4834919.8299999991</v>
      </c>
      <c r="N16" s="72">
        <f>+M16-SUM(E16:K16)</f>
        <v>0</v>
      </c>
      <c r="O16" s="15">
        <f>+ROUND(M16/1000,0)</f>
        <v>4835</v>
      </c>
      <c r="P16" s="15"/>
      <c r="Q16" s="15"/>
      <c r="R16" s="15"/>
      <c r="S16" s="15"/>
      <c r="T16" s="15"/>
      <c r="U16" s="15"/>
      <c r="V16" s="15"/>
    </row>
    <row r="17" spans="1:22">
      <c r="A17" s="111" t="s">
        <v>202</v>
      </c>
      <c r="B17">
        <v>4.3</v>
      </c>
      <c r="C17" s="10" t="s">
        <v>179</v>
      </c>
      <c r="E17" s="18">
        <f>+SUMIF('Full P&amp;L-USD'!$J:$J,B17,'Full P&amp;L-USD'!$B:$B)</f>
        <v>334345.01999999996</v>
      </c>
      <c r="F17" s="18">
        <f>+SUMIF('Full P&amp;L-USD'!$J:$J,B17,'Full P&amp;L-USD'!$C:$C)</f>
        <v>353.51</v>
      </c>
      <c r="G17" s="18">
        <f>+SUMIF('Full P&amp;L-USD'!$J:$J,B17,'Full P&amp;L-USD'!$D:$D)</f>
        <v>353.51</v>
      </c>
      <c r="H17" s="18">
        <f>+SUMIF('Full P&amp;L-USD'!$J:$J,B17,'Full P&amp;L-USD'!$E:$E)</f>
        <v>353.51</v>
      </c>
      <c r="I17" s="18">
        <f>+SUMIF('Full P&amp;L-USD'!$J:$J,B17,'Full P&amp;L-USD'!$F:$F)</f>
        <v>722121.38</v>
      </c>
      <c r="J17" s="18">
        <f>+SUMIF('Full P&amp;L-USD'!$J:$J,B17,'Full P&amp;L-USD'!$G:$G)</f>
        <v>1893021.19</v>
      </c>
      <c r="K17" s="18">
        <f>+SUMIF('Full P&amp;L-USD'!$J:$J,B17,'Full P&amp;L-USD'!$H:$H)</f>
        <v>67638.42</v>
      </c>
      <c r="L17" s="20"/>
      <c r="M17" s="18">
        <f>+VLOOKUP(A17,'Full P&amp;L-USD'!$A:$I,9,0)</f>
        <v>3018181.1899999995</v>
      </c>
      <c r="N17" s="72">
        <f>+M17-SUM(E17:K17)+'Full P&amp;L-USD'!I798</f>
        <v>-5.5879390004065499E-10</v>
      </c>
      <c r="O17" s="18">
        <f>+ROUND(M17/1000,0)</f>
        <v>3018</v>
      </c>
      <c r="P17" s="15"/>
      <c r="Q17" s="15"/>
      <c r="R17" s="15"/>
      <c r="S17" s="15"/>
      <c r="T17" s="15"/>
      <c r="U17" s="15"/>
      <c r="V17" s="15"/>
    </row>
    <row r="18" spans="1:22">
      <c r="A18" s="111"/>
      <c r="C18" s="10"/>
      <c r="E18" s="15"/>
      <c r="F18" s="15"/>
      <c r="G18" s="15"/>
      <c r="H18" s="15"/>
      <c r="I18" s="15"/>
      <c r="J18" s="15"/>
      <c r="K18" s="15"/>
      <c r="L18" s="20"/>
      <c r="M18" s="15"/>
      <c r="N18" s="72">
        <f t="shared" si="0"/>
        <v>0</v>
      </c>
      <c r="O18" s="15"/>
      <c r="P18" s="15"/>
      <c r="Q18" s="15"/>
      <c r="R18" s="15"/>
      <c r="S18" s="15"/>
      <c r="T18" s="15"/>
      <c r="U18" s="15"/>
      <c r="V18" s="15"/>
    </row>
    <row r="19" spans="1:22">
      <c r="A19" s="111" t="s">
        <v>203</v>
      </c>
      <c r="B19">
        <v>4</v>
      </c>
      <c r="C19" s="10" t="s">
        <v>599</v>
      </c>
      <c r="E19" s="17">
        <f>+SUM(E15:E17)</f>
        <v>855575.54999999993</v>
      </c>
      <c r="F19" s="17">
        <f t="shared" ref="F19:K19" si="2">+SUM(F15:F17)</f>
        <v>353.51</v>
      </c>
      <c r="G19" s="17">
        <f t="shared" si="2"/>
        <v>353.51</v>
      </c>
      <c r="H19" s="17">
        <f t="shared" si="2"/>
        <v>353.51</v>
      </c>
      <c r="I19" s="17">
        <f t="shared" si="2"/>
        <v>3848519.46</v>
      </c>
      <c r="J19" s="17">
        <f t="shared" si="2"/>
        <v>6921947.0199999996</v>
      </c>
      <c r="K19" s="17">
        <f t="shared" si="2"/>
        <v>663037.7300000001</v>
      </c>
      <c r="L19" s="19"/>
      <c r="M19" s="17">
        <f>+VLOOKUP(A19,'Full P&amp;L-USD'!$A:$I,9,0)</f>
        <v>12290140.289999999</v>
      </c>
      <c r="N19" s="72">
        <f>+M19-SUM(E19:K19)</f>
        <v>0</v>
      </c>
      <c r="O19" s="17">
        <f>+SUM(O15:O17)</f>
        <v>12290</v>
      </c>
      <c r="P19" s="15"/>
      <c r="Q19" s="15"/>
      <c r="R19" s="15"/>
      <c r="S19" s="15"/>
      <c r="T19" s="15"/>
      <c r="U19" s="15"/>
      <c r="V19" s="15"/>
    </row>
    <row r="20" spans="1:22">
      <c r="E20" s="15"/>
      <c r="F20" s="15"/>
      <c r="G20" s="15"/>
      <c r="H20" s="15"/>
      <c r="I20" s="15"/>
      <c r="J20" s="15"/>
      <c r="K20" s="15"/>
      <c r="L20" s="20"/>
      <c r="M20" s="15"/>
      <c r="N20" s="72">
        <f t="shared" si="0"/>
        <v>0</v>
      </c>
      <c r="O20" s="15"/>
      <c r="P20" s="15"/>
      <c r="Q20" s="15"/>
      <c r="R20" s="15"/>
      <c r="S20" s="15"/>
      <c r="T20" s="15"/>
      <c r="U20" s="15"/>
      <c r="V20" s="15"/>
    </row>
    <row r="21" spans="1:22" ht="14.5" thickBot="1">
      <c r="C21" s="10" t="s">
        <v>518</v>
      </c>
      <c r="E21" s="74">
        <f>+E12-E19</f>
        <v>-855575.54999999993</v>
      </c>
      <c r="F21" s="74">
        <f t="shared" ref="F21:K21" si="3">+F12-F19</f>
        <v>-353.51</v>
      </c>
      <c r="G21" s="74">
        <f t="shared" si="3"/>
        <v>-353.51</v>
      </c>
      <c r="H21" s="74">
        <f t="shared" si="3"/>
        <v>-353.51</v>
      </c>
      <c r="I21" s="74">
        <f t="shared" si="3"/>
        <v>-3917607.4899999998</v>
      </c>
      <c r="J21" s="74">
        <f t="shared" si="3"/>
        <v>-1830849.4299999988</v>
      </c>
      <c r="K21" s="74">
        <f t="shared" si="3"/>
        <v>-976969.9700000002</v>
      </c>
      <c r="L21" s="20"/>
      <c r="M21" s="74">
        <f>+M12-M19</f>
        <v>-7582062.9699999979</v>
      </c>
      <c r="N21" s="72"/>
      <c r="O21" s="74">
        <f>+O12-O19</f>
        <v>-7582</v>
      </c>
      <c r="P21" s="15"/>
      <c r="Q21" s="15"/>
      <c r="R21" s="15"/>
      <c r="S21" s="15"/>
      <c r="T21" s="15"/>
      <c r="U21" s="15"/>
      <c r="V21" s="15"/>
    </row>
    <row r="22" spans="1:22">
      <c r="E22" s="15"/>
      <c r="F22" s="15"/>
      <c r="G22" s="15"/>
      <c r="H22" s="15"/>
      <c r="I22" s="15"/>
      <c r="J22" s="15"/>
      <c r="K22" s="15"/>
      <c r="L22" s="20"/>
      <c r="M22" s="15"/>
      <c r="N22" s="72"/>
      <c r="O22" s="15"/>
      <c r="P22" s="15"/>
      <c r="Q22" s="15"/>
      <c r="R22" s="15"/>
      <c r="S22" s="15"/>
      <c r="T22" s="15"/>
      <c r="U22" s="15"/>
      <c r="V22" s="15"/>
    </row>
    <row r="23" spans="1:22">
      <c r="B23">
        <v>5</v>
      </c>
      <c r="C23" s="10" t="s">
        <v>204</v>
      </c>
      <c r="E23" s="16">
        <f>+E12-E19</f>
        <v>-855575.54999999993</v>
      </c>
      <c r="F23" s="16">
        <f t="shared" ref="F23:K23" si="4">+F12-F19</f>
        <v>-353.51</v>
      </c>
      <c r="G23" s="16">
        <f t="shared" si="4"/>
        <v>-353.51</v>
      </c>
      <c r="H23" s="16">
        <f t="shared" si="4"/>
        <v>-353.51</v>
      </c>
      <c r="I23" s="16">
        <f t="shared" si="4"/>
        <v>-3917607.4899999998</v>
      </c>
      <c r="J23" s="16">
        <f t="shared" si="4"/>
        <v>-1830849.4299999988</v>
      </c>
      <c r="K23" s="16">
        <f t="shared" si="4"/>
        <v>-976969.9700000002</v>
      </c>
      <c r="L23" s="19"/>
      <c r="M23" s="16">
        <f>+M12-M19</f>
        <v>-7582062.9699999979</v>
      </c>
      <c r="N23" s="72">
        <f t="shared" si="0"/>
        <v>0</v>
      </c>
      <c r="O23" s="16">
        <f>+O12-O19</f>
        <v>-7582</v>
      </c>
      <c r="P23" s="15"/>
      <c r="Q23" s="15"/>
      <c r="R23" s="15"/>
      <c r="S23" s="15"/>
      <c r="T23" s="15"/>
      <c r="U23" s="15"/>
      <c r="V23" s="15"/>
    </row>
    <row r="24" spans="1:22">
      <c r="E24" s="15"/>
      <c r="F24" s="15"/>
      <c r="G24" s="15"/>
      <c r="H24" s="15"/>
      <c r="I24" s="15"/>
      <c r="J24" s="15"/>
      <c r="K24" s="15"/>
      <c r="L24" s="20"/>
      <c r="M24" s="15"/>
      <c r="N24" s="72">
        <f t="shared" si="0"/>
        <v>0</v>
      </c>
      <c r="O24" s="15"/>
      <c r="P24" s="15"/>
      <c r="Q24" s="15"/>
      <c r="R24" s="15"/>
      <c r="S24" s="15"/>
      <c r="T24" s="15"/>
      <c r="U24" s="15"/>
      <c r="V24" s="15"/>
    </row>
    <row r="25" spans="1:22">
      <c r="B25">
        <v>6</v>
      </c>
      <c r="C25" s="9" t="s">
        <v>519</v>
      </c>
      <c r="E25" s="18">
        <f>+SUMIF('Full P&amp;L-USD'!$J:$J,B25,'Full P&amp;L-USD'!$B:$B)</f>
        <v>186.03000000000003</v>
      </c>
      <c r="F25" s="18">
        <f>+SUMIF('Full P&amp;L-USD'!$J:$J,B25,'Full P&amp;L-USD'!$C:$C)</f>
        <v>-51.510000000000005</v>
      </c>
      <c r="G25" s="18">
        <f>+SUMIF('Full P&amp;L-USD'!$J:$J,B25,'Full P&amp;L-USD'!$D:$D)</f>
        <v>-111.66</v>
      </c>
      <c r="H25" s="18">
        <f>+SUMIF('Full P&amp;L-USD'!$J:$J,B25,'Full P&amp;L-USD'!$E:$E)</f>
        <v>221.47999999999996</v>
      </c>
      <c r="I25" s="18">
        <f>+SUMIF('Full P&amp;L-USD'!$J:$J,B25,'Full P&amp;L-USD'!$F:$F)</f>
        <v>-99081.950000000012</v>
      </c>
      <c r="J25" s="18">
        <f>+SUMIF('Full P&amp;L-USD'!$J:$J,B25,'Full P&amp;L-USD'!$G:$G)</f>
        <v>323867.05</v>
      </c>
      <c r="K25" s="18">
        <f>+SUMIF('Full P&amp;L-USD'!$J:$J,B25,'Full P&amp;L-USD'!$H:$H)</f>
        <v>-21418.02</v>
      </c>
      <c r="L25" s="20"/>
      <c r="M25" s="18">
        <f>+SUMIF('Full P&amp;L-USD'!$J:$J,B25,'Full P&amp;L-USD'!$I:$I)</f>
        <v>203611.41999999998</v>
      </c>
      <c r="N25" s="72">
        <f t="shared" si="0"/>
        <v>0</v>
      </c>
      <c r="O25" s="18">
        <f>+ROUND(M25/1000,0)</f>
        <v>204</v>
      </c>
      <c r="Q25" s="15">
        <f>+NOTES!B67</f>
        <v>11</v>
      </c>
      <c r="R25" s="15"/>
      <c r="S25" s="15"/>
      <c r="T25" s="15"/>
      <c r="U25" s="15"/>
      <c r="V25" s="15"/>
    </row>
    <row r="26" spans="1:22">
      <c r="C26" s="10"/>
      <c r="E26" s="15"/>
      <c r="F26" s="15"/>
      <c r="G26" s="15"/>
      <c r="H26" s="15"/>
      <c r="I26" s="15"/>
      <c r="J26" s="15"/>
      <c r="K26" s="15"/>
      <c r="L26" s="20"/>
      <c r="M26" s="15"/>
      <c r="N26" s="72">
        <f t="shared" si="0"/>
        <v>0</v>
      </c>
      <c r="O26" s="15"/>
      <c r="P26" s="15"/>
      <c r="Q26" s="15"/>
      <c r="R26" s="15"/>
      <c r="S26" s="15"/>
      <c r="T26" s="15"/>
      <c r="U26" s="15"/>
      <c r="V26" s="15"/>
    </row>
    <row r="27" spans="1:22">
      <c r="B27">
        <v>7</v>
      </c>
      <c r="C27" s="10" t="s">
        <v>241</v>
      </c>
      <c r="E27" s="16">
        <f>+E25+E23</f>
        <v>-855389.5199999999</v>
      </c>
      <c r="F27" s="16">
        <f t="shared" ref="F27:O27" si="5">+F25+F23</f>
        <v>-405.02</v>
      </c>
      <c r="G27" s="16">
        <f t="shared" si="5"/>
        <v>-465.16999999999996</v>
      </c>
      <c r="H27" s="16">
        <f t="shared" si="5"/>
        <v>-132.03000000000003</v>
      </c>
      <c r="I27" s="16">
        <f t="shared" si="5"/>
        <v>-4016689.44</v>
      </c>
      <c r="J27" s="16">
        <f t="shared" si="5"/>
        <v>-1506982.3799999987</v>
      </c>
      <c r="K27" s="16">
        <f t="shared" si="5"/>
        <v>-998387.99000000022</v>
      </c>
      <c r="L27" s="19"/>
      <c r="M27" s="16">
        <f t="shared" si="5"/>
        <v>-7378451.549999998</v>
      </c>
      <c r="N27" s="72">
        <f t="shared" si="0"/>
        <v>0</v>
      </c>
      <c r="O27" s="16">
        <f t="shared" si="5"/>
        <v>-7378</v>
      </c>
      <c r="P27" s="15"/>
      <c r="Q27" s="15"/>
      <c r="R27" s="15"/>
      <c r="S27" s="15"/>
      <c r="T27" s="15"/>
      <c r="U27" s="15"/>
      <c r="V27" s="15"/>
    </row>
    <row r="28" spans="1:22">
      <c r="E28" s="20"/>
      <c r="F28" s="20"/>
      <c r="G28" s="20"/>
      <c r="H28" s="20"/>
      <c r="I28" s="20"/>
      <c r="J28" s="20"/>
      <c r="K28" s="20"/>
      <c r="L28" s="20"/>
      <c r="M28" s="20"/>
      <c r="N28" s="72">
        <f t="shared" si="0"/>
        <v>0</v>
      </c>
      <c r="O28" s="20"/>
      <c r="P28" s="15"/>
      <c r="Q28" s="15"/>
      <c r="R28" s="15"/>
      <c r="S28" s="15"/>
      <c r="T28" s="15"/>
      <c r="U28" s="15"/>
      <c r="V28" s="15"/>
    </row>
    <row r="29" spans="1:22">
      <c r="B29">
        <v>8</v>
      </c>
      <c r="C29" s="9" t="s">
        <v>224</v>
      </c>
      <c r="E29" s="18">
        <f>+SUMIF('Full P&amp;L-USD'!$J:$J,B29,'Full P&amp;L-USD'!$B:$B)</f>
        <v>-15762.04</v>
      </c>
      <c r="F29" s="18">
        <f>+SUMIF('Full P&amp;L-USD'!$J:$J,B29,'Full P&amp;L-USD'!$C:$C)</f>
        <v>0</v>
      </c>
      <c r="G29" s="18">
        <f>+SUMIF('Full P&amp;L-USD'!$J:$J,B29,'Full P&amp;L-USD'!$D:$D)</f>
        <v>0</v>
      </c>
      <c r="H29" s="18">
        <f>+SUMIF('Full P&amp;L-USD'!$J:$J,B29,'Full P&amp;L-USD'!$E:$E)</f>
        <v>0</v>
      </c>
      <c r="I29" s="18">
        <f>+SUMIF('Full P&amp;L-USD'!$J:$J,B29,'Full P&amp;L-USD'!$F:$F)</f>
        <v>-63044.47</v>
      </c>
      <c r="J29" s="18">
        <f>+SUMIF('Full P&amp;L-USD'!$J:$J,B29,'Full P&amp;L-USD'!$G:$G)</f>
        <v>0</v>
      </c>
      <c r="K29" s="18">
        <f>+SUMIF('Full P&amp;L-USD'!$J:$J,B29,'Full P&amp;L-USD'!$H:$H)</f>
        <v>65201.39</v>
      </c>
      <c r="L29" s="20"/>
      <c r="M29" s="18">
        <f>+SUMIF('Full P&amp;L-USD'!$J:$J,B29,'Full P&amp;L-USD'!$I:$I)</f>
        <v>-13605.12000000001</v>
      </c>
      <c r="N29" s="72">
        <f t="shared" si="0"/>
        <v>0</v>
      </c>
      <c r="O29" s="18">
        <f>+ROUND(M29/1000,0)</f>
        <v>-14</v>
      </c>
      <c r="P29" s="15"/>
      <c r="Q29" s="15"/>
      <c r="R29" s="15"/>
      <c r="S29" s="15"/>
      <c r="T29" s="15"/>
      <c r="U29" s="15"/>
      <c r="V29" s="15"/>
    </row>
    <row r="30" spans="1:22">
      <c r="E30" s="15"/>
      <c r="F30" s="15"/>
      <c r="G30" s="15"/>
      <c r="H30" s="15"/>
      <c r="I30" s="15"/>
      <c r="J30" s="15"/>
      <c r="K30" s="15"/>
      <c r="L30" s="20"/>
      <c r="M30" s="15"/>
      <c r="N30" s="72">
        <f t="shared" si="0"/>
        <v>0</v>
      </c>
      <c r="O30" s="15"/>
      <c r="P30" s="15"/>
      <c r="Q30" s="15"/>
      <c r="R30" s="15"/>
      <c r="S30" s="15"/>
      <c r="T30" s="15"/>
      <c r="U30" s="15"/>
      <c r="V30" s="15"/>
    </row>
    <row r="31" spans="1:22">
      <c r="C31" s="9" t="s">
        <v>242</v>
      </c>
      <c r="E31" s="16">
        <f>+E27+E29</f>
        <v>-871151.55999999994</v>
      </c>
      <c r="F31" s="16">
        <f t="shared" ref="F31:M31" si="6">+F27+F29</f>
        <v>-405.02</v>
      </c>
      <c r="G31" s="16">
        <f t="shared" si="6"/>
        <v>-465.16999999999996</v>
      </c>
      <c r="H31" s="16">
        <f t="shared" si="6"/>
        <v>-132.03000000000003</v>
      </c>
      <c r="I31" s="16">
        <f t="shared" si="6"/>
        <v>-4079733.91</v>
      </c>
      <c r="J31" s="16">
        <f t="shared" si="6"/>
        <v>-1506982.3799999987</v>
      </c>
      <c r="K31" s="16">
        <f t="shared" si="6"/>
        <v>-933186.60000000021</v>
      </c>
      <c r="L31" s="19"/>
      <c r="M31" s="16">
        <f t="shared" si="6"/>
        <v>-7392056.6699999981</v>
      </c>
      <c r="N31" s="72">
        <f t="shared" si="0"/>
        <v>0</v>
      </c>
      <c r="O31" s="16">
        <f>+O27+O29</f>
        <v>-7392</v>
      </c>
      <c r="P31" s="15"/>
      <c r="Q31" s="15"/>
      <c r="R31" s="15"/>
      <c r="S31" s="15"/>
      <c r="T31" s="15"/>
      <c r="U31" s="15"/>
      <c r="V31" s="15"/>
    </row>
    <row r="32" spans="1:22">
      <c r="E32" s="15"/>
      <c r="F32" s="15"/>
      <c r="G32" s="15"/>
      <c r="H32" s="15"/>
      <c r="I32" s="15"/>
      <c r="J32" s="15"/>
      <c r="K32" s="15"/>
      <c r="L32" s="20"/>
      <c r="M32" s="15"/>
      <c r="N32" s="15"/>
      <c r="O32" s="14"/>
      <c r="P32" s="15"/>
      <c r="Q32" s="15"/>
      <c r="R32" s="15"/>
      <c r="S32" s="15"/>
      <c r="T32" s="15"/>
      <c r="U32" s="15"/>
      <c r="V32" s="15"/>
    </row>
    <row r="33" spans="5:22">
      <c r="E33" s="15"/>
      <c r="F33" s="15"/>
      <c r="G33" s="15"/>
      <c r="H33" s="15"/>
      <c r="I33" s="15"/>
      <c r="J33" s="15"/>
      <c r="K33" s="15"/>
      <c r="L33" s="20"/>
      <c r="M33" s="15"/>
      <c r="N33" s="15"/>
      <c r="O33" s="15"/>
      <c r="P33" s="15"/>
      <c r="Q33" s="15"/>
      <c r="R33" s="15"/>
      <c r="S33" s="15"/>
      <c r="T33" s="15"/>
      <c r="U33" s="15"/>
      <c r="V33" s="15"/>
    </row>
    <row r="34" spans="5:22">
      <c r="E34" s="15"/>
      <c r="F34" s="15"/>
      <c r="G34" s="15"/>
      <c r="H34" s="15"/>
      <c r="I34" s="15"/>
      <c r="J34" s="15"/>
      <c r="K34" s="15"/>
      <c r="L34" s="20"/>
      <c r="M34" s="15"/>
      <c r="N34" s="15"/>
      <c r="O34" s="15"/>
      <c r="P34" s="15"/>
      <c r="Q34" s="15"/>
      <c r="R34" s="15"/>
      <c r="S34" s="15"/>
      <c r="T34" s="15"/>
      <c r="U34" s="15"/>
      <c r="V34" s="15"/>
    </row>
    <row r="35" spans="5:22">
      <c r="E35" s="15"/>
      <c r="F35" s="15"/>
      <c r="G35" s="15"/>
      <c r="H35" s="15"/>
      <c r="I35" s="15"/>
      <c r="J35" s="15"/>
      <c r="K35" s="15"/>
      <c r="L35" s="20"/>
      <c r="M35" s="15"/>
      <c r="N35" s="15"/>
      <c r="O35" s="15"/>
      <c r="P35" s="15"/>
      <c r="Q35" s="15"/>
      <c r="R35" s="15"/>
      <c r="S35" s="15"/>
      <c r="T35" s="15"/>
      <c r="U35" s="15"/>
      <c r="V35" s="15"/>
    </row>
    <row r="36" spans="5:22">
      <c r="E36" s="15"/>
      <c r="F36" s="15"/>
      <c r="G36" s="15"/>
      <c r="H36" s="15"/>
      <c r="I36" s="15"/>
      <c r="J36" s="15"/>
      <c r="K36" s="15"/>
      <c r="L36" s="20"/>
      <c r="M36" s="15"/>
      <c r="N36" s="15"/>
      <c r="O36" s="15"/>
      <c r="P36" s="15"/>
      <c r="Q36" s="15"/>
      <c r="R36" s="15"/>
      <c r="S36" s="15"/>
      <c r="T36" s="15"/>
      <c r="U36" s="15"/>
      <c r="V36" s="15"/>
    </row>
    <row r="37" spans="5:22">
      <c r="E37" s="15"/>
      <c r="F37" s="15"/>
      <c r="G37" s="15"/>
      <c r="H37" s="15"/>
      <c r="I37" s="15"/>
      <c r="J37" s="15"/>
      <c r="K37" s="15"/>
      <c r="L37" s="20"/>
      <c r="M37" s="15"/>
      <c r="N37" s="15"/>
      <c r="O37" s="15"/>
      <c r="P37" s="15"/>
      <c r="Q37" s="15"/>
      <c r="R37" s="15"/>
      <c r="S37" s="15"/>
      <c r="T37" s="15"/>
      <c r="U37" s="15"/>
      <c r="V37" s="15"/>
    </row>
    <row r="38" spans="5:22"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</row>
    <row r="39" spans="5:22"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</row>
    <row r="40" spans="5:22"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</row>
    <row r="41" spans="5:22"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</row>
    <row r="42" spans="5:22"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</row>
    <row r="43" spans="5:22"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</row>
    <row r="44" spans="5:22"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  <row r="45" spans="5:22"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</row>
    <row r="46" spans="5:22"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</row>
    <row r="47" spans="5:22"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  <row r="48" spans="5:22"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</row>
    <row r="49" spans="5:22"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</row>
    <row r="50" spans="5:22"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</row>
    <row r="51" spans="5:22"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</row>
    <row r="52" spans="5:22"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</row>
    <row r="53" spans="5:22"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</row>
    <row r="54" spans="5:22"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  <row r="55" spans="5:22"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</row>
    <row r="56" spans="5:22"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</row>
    <row r="57" spans="5:22"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</row>
    <row r="58" spans="5:22"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</row>
    <row r="59" spans="5:22"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</row>
    <row r="60" spans="5:22"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</row>
    <row r="61" spans="5:22"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</row>
    <row r="62" spans="5:22"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</row>
    <row r="63" spans="5:22"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</row>
    <row r="64" spans="5:22"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</row>
    <row r="65" spans="5:22"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</row>
    <row r="66" spans="5:22"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  <row r="67" spans="5:22"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</row>
    <row r="68" spans="5:22"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</row>
    <row r="69" spans="5:22"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</row>
    <row r="70" spans="5:22"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</row>
    <row r="71" spans="5:22"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</row>
    <row r="72" spans="5:22"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  <row r="73" spans="5:22"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</row>
    <row r="74" spans="5:22"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</row>
    <row r="75" spans="5:22"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</row>
    <row r="76" spans="5:22"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</row>
    <row r="77" spans="5:22"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</row>
    <row r="78" spans="5:22"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</row>
    <row r="79" spans="5:22"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</row>
    <row r="80" spans="5:22"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</row>
    <row r="81" spans="5:22"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</row>
    <row r="82" spans="5:22"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</row>
    <row r="83" spans="5:22"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</row>
    <row r="84" spans="5:22"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</row>
    <row r="85" spans="5:22"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</row>
    <row r="86" spans="5:22"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</row>
    <row r="87" spans="5:22"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</row>
    <row r="88" spans="5:22"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</row>
    <row r="89" spans="5:22"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</row>
    <row r="90" spans="5:22"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</row>
    <row r="91" spans="5:22"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</row>
    <row r="92" spans="5:22"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</row>
    <row r="93" spans="5:22"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</row>
    <row r="94" spans="5:22"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  <row r="95" spans="5:22"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</row>
    <row r="96" spans="5:22"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</row>
    <row r="97" spans="5:22"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</row>
    <row r="98" spans="5:22"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</row>
    <row r="99" spans="5:22"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</row>
    <row r="100" spans="5:22"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</row>
    <row r="101" spans="5:22"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</row>
    <row r="102" spans="5:22"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</row>
    <row r="103" spans="5:22"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</row>
    <row r="104" spans="5:22"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</row>
    <row r="105" spans="5:22"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</row>
    <row r="106" spans="5:22"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</row>
    <row r="107" spans="5:22"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</row>
    <row r="108" spans="5:22"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</row>
    <row r="109" spans="5:22"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</row>
    <row r="110" spans="5:22"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</row>
    <row r="111" spans="5:22"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</row>
    <row r="112" spans="5:22"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</row>
    <row r="113" spans="5:22"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</row>
    <row r="114" spans="5:22"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</row>
    <row r="115" spans="5:22"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</row>
    <row r="116" spans="5:22"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</row>
    <row r="117" spans="5:22"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</row>
    <row r="118" spans="5:22"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</row>
    <row r="119" spans="5:22"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</row>
    <row r="120" spans="5:22"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</row>
    <row r="121" spans="5:22"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</row>
    <row r="122" spans="5:22"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</row>
    <row r="123" spans="5:22"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</row>
    <row r="124" spans="5:22"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</row>
    <row r="125" spans="5:22"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</row>
    <row r="126" spans="5:22"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</row>
    <row r="127" spans="5:22"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</row>
    <row r="128" spans="5:22"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</row>
    <row r="129" spans="5:22"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</row>
    <row r="130" spans="5:22"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</row>
    <row r="131" spans="5:22"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</row>
    <row r="132" spans="5:22"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</row>
    <row r="133" spans="5:22"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</row>
    <row r="134" spans="5:22"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</row>
    <row r="135" spans="5:22"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</row>
    <row r="136" spans="5:22"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</row>
    <row r="137" spans="5:22"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</row>
    <row r="138" spans="5:22"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</row>
    <row r="139" spans="5:22"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</row>
    <row r="140" spans="5:22"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</row>
    <row r="141" spans="5:22"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</row>
    <row r="142" spans="5:22"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</row>
    <row r="143" spans="5:22"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</row>
    <row r="144" spans="5:22"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</row>
    <row r="145" spans="5:22"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</row>
    <row r="146" spans="5:22"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</row>
    <row r="147" spans="5:22"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</row>
    <row r="148" spans="5:22"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</row>
    <row r="149" spans="5:22"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</row>
    <row r="150" spans="5:22"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</row>
    <row r="151" spans="5:22"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</row>
    <row r="152" spans="5:22"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</row>
    <row r="153" spans="5:22"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</row>
    <row r="154" spans="5:22"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</row>
    <row r="155" spans="5:22"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</row>
    <row r="156" spans="5:22"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</row>
    <row r="157" spans="5:22"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</row>
    <row r="158" spans="5:22"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</row>
    <row r="159" spans="5:22"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</row>
    <row r="160" spans="5:22"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</row>
    <row r="161" spans="5:22"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</row>
    <row r="162" spans="5:22"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</row>
    <row r="163" spans="5:22"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</row>
    <row r="164" spans="5:22"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</row>
    <row r="165" spans="5:22"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</row>
    <row r="166" spans="5:22"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</row>
    <row r="167" spans="5:22"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</row>
    <row r="168" spans="5:22"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</row>
    <row r="169" spans="5:22"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</row>
    <row r="170" spans="5:22"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</row>
    <row r="171" spans="5:22"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</row>
    <row r="172" spans="5:22"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</row>
    <row r="173" spans="5:22"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</row>
    <row r="174" spans="5:22"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</row>
    <row r="175" spans="5:22"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</row>
    <row r="176" spans="5:22"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</row>
    <row r="177" spans="5:22"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</row>
    <row r="178" spans="5:22"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</row>
    <row r="179" spans="5:22"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</row>
    <row r="180" spans="5:22"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</row>
    <row r="181" spans="5:22"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</row>
    <row r="182" spans="5:22"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</row>
    <row r="183" spans="5:22"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</row>
    <row r="184" spans="5:22"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</row>
    <row r="185" spans="5:22"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</row>
    <row r="186" spans="5:22"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</row>
    <row r="187" spans="5:22"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</row>
    <row r="188" spans="5:22"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</row>
    <row r="189" spans="5:22"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</row>
    <row r="190" spans="5:22"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</row>
    <row r="191" spans="5:22"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</row>
    <row r="192" spans="5:22"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</row>
    <row r="193" spans="5:22"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</row>
    <row r="194" spans="5:22"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</row>
    <row r="195" spans="5:22"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</row>
    <row r="196" spans="5:22"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</row>
    <row r="197" spans="5:22"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</row>
    <row r="198" spans="5:22"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</row>
    <row r="199" spans="5:22"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</row>
    <row r="200" spans="5:22"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</row>
    <row r="201" spans="5:22"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</row>
    <row r="202" spans="5:22"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</row>
    <row r="203" spans="5:22"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</row>
    <row r="204" spans="5:22"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</row>
    <row r="205" spans="5:22"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</row>
    <row r="206" spans="5:22"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</row>
    <row r="207" spans="5:22"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</row>
    <row r="208" spans="5:22"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</row>
    <row r="209" spans="5:22"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</row>
    <row r="210" spans="5:22"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</row>
    <row r="211" spans="5:22"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</row>
    <row r="212" spans="5:22"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</row>
    <row r="213" spans="5:22"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</row>
    <row r="214" spans="5:22"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</row>
    <row r="215" spans="5:22"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</row>
    <row r="216" spans="5:22"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</row>
    <row r="217" spans="5:22"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</row>
    <row r="218" spans="5:22"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</row>
    <row r="219" spans="5:22"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</row>
    <row r="220" spans="5:22"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</row>
    <row r="221" spans="5:22"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</row>
    <row r="222" spans="5:22"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</row>
    <row r="223" spans="5:22"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</row>
    <row r="224" spans="5:22"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</row>
    <row r="225" spans="5:22"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</row>
    <row r="226" spans="5:22"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</row>
    <row r="227" spans="5:22"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</row>
    <row r="228" spans="5:22"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</row>
    <row r="229" spans="5:22"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</row>
    <row r="230" spans="5:22"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</row>
    <row r="231" spans="5:22"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</row>
    <row r="232" spans="5:22"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</row>
    <row r="233" spans="5:22"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</row>
    <row r="234" spans="5:22"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</row>
    <row r="235" spans="5:22"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</row>
    <row r="236" spans="5:22"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</row>
    <row r="237" spans="5:22"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</row>
    <row r="238" spans="5:22"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</row>
    <row r="239" spans="5:22"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</row>
    <row r="240" spans="5:22"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</row>
    <row r="241" spans="5:22"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</row>
    <row r="242" spans="5:22"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</row>
    <row r="243" spans="5:22"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</row>
    <row r="244" spans="5:22"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</row>
    <row r="245" spans="5:22"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</row>
    <row r="246" spans="5:22"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</row>
    <row r="247" spans="5:22"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</row>
    <row r="248" spans="5:22"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</row>
    <row r="249" spans="5:22"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</row>
    <row r="250" spans="5:22"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</row>
    <row r="251" spans="5:22"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</row>
    <row r="252" spans="5:22"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</row>
    <row r="253" spans="5:22"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</row>
    <row r="254" spans="5:22"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</row>
    <row r="255" spans="5:22"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</row>
    <row r="256" spans="5:22"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</row>
    <row r="257" spans="5:22"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</row>
    <row r="258" spans="5:22"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</row>
    <row r="259" spans="5:22"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</row>
    <row r="260" spans="5:22"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</row>
    <row r="261" spans="5:22"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</row>
    <row r="262" spans="5:22"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</row>
    <row r="263" spans="5:22"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</row>
    <row r="264" spans="5:22"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</row>
    <row r="265" spans="5:22"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</row>
    <row r="266" spans="5:22"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</row>
    <row r="267" spans="5:22"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</row>
    <row r="268" spans="5:22"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</row>
    <row r="269" spans="5:22"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</row>
    <row r="270" spans="5:22"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</row>
    <row r="271" spans="5:22"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</row>
    <row r="272" spans="5:22"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</row>
    <row r="273" spans="5:22"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</row>
    <row r="274" spans="5:22"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</row>
    <row r="275" spans="5:22"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</row>
    <row r="276" spans="5:22"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</row>
    <row r="277" spans="5:22"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</row>
    <row r="278" spans="5:22"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</row>
    <row r="279" spans="5:22"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</row>
    <row r="280" spans="5:22"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</row>
    <row r="281" spans="5:22"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</row>
    <row r="282" spans="5:22"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</row>
    <row r="283" spans="5:22"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</row>
    <row r="284" spans="5:22"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</row>
    <row r="285" spans="5:22"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</row>
    <row r="286" spans="5:22"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</row>
    <row r="287" spans="5:22"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</row>
    <row r="288" spans="5:22"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</row>
    <row r="289" spans="5:22"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</row>
    <row r="290" spans="5:22"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</row>
    <row r="291" spans="5:22"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</row>
    <row r="292" spans="5:22"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</row>
    <row r="293" spans="5:22"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</row>
    <row r="294" spans="5:22"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</row>
    <row r="295" spans="5:22"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</row>
    <row r="296" spans="5:22"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</row>
    <row r="297" spans="5:22"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</row>
    <row r="298" spans="5:22"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</row>
    <row r="299" spans="5:22"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</row>
    <row r="300" spans="5:22"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</row>
    <row r="301" spans="5:22"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</row>
    <row r="302" spans="5:22"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</row>
    <row r="303" spans="5:22"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</row>
    <row r="304" spans="5:22"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</row>
    <row r="305" spans="5:22"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</row>
    <row r="306" spans="5:22"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</row>
    <row r="307" spans="5:22"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</row>
    <row r="308" spans="5:22"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</row>
    <row r="309" spans="5:22"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</row>
    <row r="310" spans="5:22"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</row>
    <row r="311" spans="5:22"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</row>
    <row r="312" spans="5:22"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</row>
    <row r="313" spans="5:22"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</row>
    <row r="314" spans="5:22"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</row>
    <row r="315" spans="5:22"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</row>
    <row r="316" spans="5:22"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</row>
    <row r="317" spans="5:22"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</row>
    <row r="318" spans="5:22"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</row>
    <row r="319" spans="5:22"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</row>
    <row r="320" spans="5:22"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</row>
    <row r="321" spans="5:22"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</row>
    <row r="322" spans="5:22"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</row>
    <row r="323" spans="5:22"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</row>
    <row r="324" spans="5:22"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</row>
    <row r="325" spans="5:22"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</row>
    <row r="326" spans="5:22"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</row>
    <row r="327" spans="5:22"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</row>
    <row r="328" spans="5:22"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</row>
    <row r="329" spans="5:22"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</row>
    <row r="330" spans="5:22"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</row>
    <row r="331" spans="5:22"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</row>
    <row r="332" spans="5:22"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</row>
    <row r="333" spans="5:22"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</row>
    <row r="334" spans="5:22"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</row>
    <row r="335" spans="5:22"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</row>
    <row r="336" spans="5:22"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</row>
    <row r="337" spans="5:22"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</row>
    <row r="338" spans="5:22"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</row>
    <row r="339" spans="5:22"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</row>
    <row r="340" spans="5:22"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</row>
    <row r="341" spans="5:22"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</row>
    <row r="342" spans="5:22"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</row>
    <row r="343" spans="5:22"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</row>
    <row r="344" spans="5:22"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</row>
    <row r="345" spans="5:22"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</row>
    <row r="346" spans="5:22"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</row>
    <row r="347" spans="5:22"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</row>
    <row r="348" spans="5:22"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</row>
    <row r="349" spans="5:22"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</row>
    <row r="350" spans="5:22"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</row>
    <row r="351" spans="5:22"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</row>
    <row r="352" spans="5:22"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</row>
    <row r="353" spans="5:22"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</row>
    <row r="354" spans="5:22"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</row>
    <row r="355" spans="5:22"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</row>
    <row r="356" spans="5:22"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</row>
    <row r="357" spans="5:22"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</row>
    <row r="358" spans="5:22"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</row>
    <row r="359" spans="5:22"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</row>
    <row r="360" spans="5:22"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</row>
    <row r="361" spans="5:22"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</row>
    <row r="362" spans="5:22"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</row>
    <row r="363" spans="5:22"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</row>
    <row r="364" spans="5:22"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</row>
    <row r="365" spans="5:22"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</row>
    <row r="366" spans="5:22"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</row>
    <row r="367" spans="5:22"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</row>
    <row r="368" spans="5:22"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</row>
    <row r="369" spans="5:22"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</row>
    <row r="370" spans="5:22"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</row>
    <row r="371" spans="5:22"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</row>
    <row r="372" spans="5:22"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</row>
    <row r="373" spans="5:22"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</row>
    <row r="374" spans="5:22"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</row>
    <row r="375" spans="5:22"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</row>
    <row r="376" spans="5:22"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</row>
    <row r="377" spans="5:22"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</row>
    <row r="378" spans="5:22"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</row>
    <row r="379" spans="5:22"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</row>
    <row r="380" spans="5:22"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</row>
    <row r="381" spans="5:22"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</row>
    <row r="382" spans="5:22"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</row>
    <row r="383" spans="5:22"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</row>
    <row r="384" spans="5:22"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</row>
    <row r="385" spans="5:22"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</row>
    <row r="386" spans="5:22"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</row>
    <row r="387" spans="5:22"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</row>
    <row r="388" spans="5:22"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</row>
    <row r="389" spans="5:22"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</row>
    <row r="390" spans="5:22"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</row>
    <row r="391" spans="5:22"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</row>
    <row r="392" spans="5:22"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</row>
    <row r="393" spans="5:22"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</row>
    <row r="394" spans="5:22"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</row>
    <row r="395" spans="5:22"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</row>
    <row r="396" spans="5:22"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</row>
    <row r="397" spans="5:22"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</row>
    <row r="398" spans="5:22"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</row>
    <row r="399" spans="5:22"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</row>
    <row r="400" spans="5:22"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</row>
    <row r="401" spans="5:22"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</row>
    <row r="402" spans="5:22"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</row>
    <row r="403" spans="5:22"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</row>
    <row r="404" spans="5:22"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</row>
    <row r="405" spans="5:22"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</row>
    <row r="406" spans="5:22"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</row>
    <row r="407" spans="5:22"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</row>
    <row r="408" spans="5:22"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</row>
    <row r="409" spans="5:22"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</row>
    <row r="410" spans="5:22"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</row>
    <row r="411" spans="5:22"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</row>
    <row r="412" spans="5:22"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</row>
    <row r="413" spans="5:22"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</row>
    <row r="414" spans="5:22"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</row>
    <row r="415" spans="5:22"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</row>
    <row r="416" spans="5:22"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</row>
    <row r="417" spans="5:22"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</row>
    <row r="418" spans="5:22"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</row>
    <row r="419" spans="5:22"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</row>
    <row r="420" spans="5:22"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</row>
    <row r="421" spans="5:22"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</row>
    <row r="422" spans="5:22"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</row>
    <row r="423" spans="5:22"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</row>
    <row r="424" spans="5:22"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</row>
    <row r="425" spans="5:22"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</row>
    <row r="426" spans="5:22"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</row>
    <row r="427" spans="5:22"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</row>
    <row r="428" spans="5:22"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</row>
    <row r="429" spans="5:22"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</row>
    <row r="430" spans="5:22"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</row>
    <row r="431" spans="5:22"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</row>
    <row r="432" spans="5:22"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</row>
    <row r="433" spans="5:22"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</row>
    <row r="434" spans="5:22"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</row>
    <row r="435" spans="5:22"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</row>
    <row r="436" spans="5:22"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</row>
    <row r="437" spans="5:22"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</row>
    <row r="438" spans="5:22"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</row>
    <row r="439" spans="5:22"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</row>
    <row r="440" spans="5:22"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</row>
    <row r="441" spans="5:22"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</row>
    <row r="442" spans="5:22"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</row>
    <row r="443" spans="5:22"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</row>
    <row r="444" spans="5:22"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</row>
    <row r="445" spans="5:22"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</row>
    <row r="446" spans="5:22"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</row>
    <row r="447" spans="5:22"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</row>
    <row r="448" spans="5:22"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</row>
    <row r="449" spans="5:22"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</row>
    <row r="450" spans="5:22"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</row>
    <row r="451" spans="5:22"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</row>
    <row r="452" spans="5:22"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</row>
    <row r="453" spans="5:22"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</row>
    <row r="454" spans="5:22"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</row>
    <row r="455" spans="5:22"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</row>
    <row r="456" spans="5:22"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</row>
    <row r="457" spans="5:22"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</row>
    <row r="458" spans="5:22"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</row>
    <row r="459" spans="5:22"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</row>
    <row r="460" spans="5:22"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</row>
    <row r="461" spans="5:22"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</row>
    <row r="462" spans="5:22"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</row>
    <row r="463" spans="5:22"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</row>
    <row r="464" spans="5:22"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</row>
    <row r="465" spans="5:22"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4383BC-8F28-4156-96E8-B6462696C284}">
  <sheetPr>
    <tabColor rgb="FF00B050"/>
  </sheetPr>
  <dimension ref="A4:M103"/>
  <sheetViews>
    <sheetView topLeftCell="C65" zoomScale="130" zoomScaleNormal="130" workbookViewId="0">
      <selection activeCell="I99" sqref="I99"/>
    </sheetView>
  </sheetViews>
  <sheetFormatPr defaultRowHeight="10"/>
  <cols>
    <col min="1" max="1" width="56.77734375" customWidth="1"/>
    <col min="2" max="2" width="14.44140625" bestFit="1" customWidth="1"/>
    <col min="3" max="3" width="32.77734375" customWidth="1"/>
    <col min="4" max="4" width="17.44140625" customWidth="1"/>
    <col min="5" max="5" width="15.33203125" customWidth="1"/>
    <col min="6" max="6" width="16" customWidth="1"/>
    <col min="7" max="7" width="15.44140625" bestFit="1" customWidth="1"/>
    <col min="8" max="8" width="18.109375" bestFit="1" customWidth="1"/>
    <col min="9" max="9" width="15.33203125" bestFit="1" customWidth="1"/>
    <col min="10" max="10" width="18.77734375" bestFit="1" customWidth="1"/>
    <col min="12" max="12" width="9.44140625" bestFit="1" customWidth="1"/>
  </cols>
  <sheetData>
    <row r="4" spans="1:3" ht="10.5">
      <c r="A4" s="87" t="s">
        <v>603</v>
      </c>
      <c r="B4" t="s">
        <v>604</v>
      </c>
    </row>
    <row r="5" spans="1:3" ht="13.5" thickBot="1">
      <c r="C5" s="144" t="s">
        <v>631</v>
      </c>
    </row>
    <row r="7" spans="1:3">
      <c r="C7" t="s">
        <v>605</v>
      </c>
    </row>
    <row r="9" spans="1:3" ht="10.5">
      <c r="A9" s="87" t="s">
        <v>606</v>
      </c>
      <c r="B9" t="s">
        <v>604</v>
      </c>
      <c r="C9" s="13">
        <f>-E96</f>
        <v>-7392</v>
      </c>
    </row>
    <row r="10" spans="1:3">
      <c r="C10" s="13"/>
    </row>
    <row r="11" spans="1:3">
      <c r="A11" s="326" t="s">
        <v>607</v>
      </c>
      <c r="B11" t="s">
        <v>604</v>
      </c>
      <c r="C11" s="13"/>
    </row>
    <row r="12" spans="1:3">
      <c r="A12" s="326"/>
      <c r="C12" s="13"/>
    </row>
    <row r="13" spans="1:3" ht="10.5">
      <c r="A13" s="146"/>
      <c r="C13" s="13"/>
    </row>
    <row r="14" spans="1:3">
      <c r="A14" t="s">
        <v>608</v>
      </c>
      <c r="B14" t="s">
        <v>604</v>
      </c>
      <c r="C14" s="13">
        <f>-E83</f>
        <v>29.55433</v>
      </c>
    </row>
    <row r="15" spans="1:3">
      <c r="A15" t="s">
        <v>609</v>
      </c>
      <c r="B15" t="s">
        <v>604</v>
      </c>
      <c r="C15" s="13">
        <f>-E93</f>
        <v>258.13699999999994</v>
      </c>
    </row>
    <row r="16" spans="1:3">
      <c r="A16" t="s">
        <v>610</v>
      </c>
      <c r="C16" s="13">
        <f>-E82</f>
        <v>4.4279999999999973</v>
      </c>
    </row>
    <row r="17" spans="1:3">
      <c r="A17" t="s">
        <v>611</v>
      </c>
      <c r="C17" s="13">
        <f>-E89</f>
        <v>20.769999999999982</v>
      </c>
    </row>
    <row r="18" spans="1:3">
      <c r="C18" s="13"/>
    </row>
    <row r="19" spans="1:3">
      <c r="A19" t="s">
        <v>612</v>
      </c>
      <c r="C19" s="13">
        <f>-E88</f>
        <v>0</v>
      </c>
    </row>
    <row r="20" spans="1:3">
      <c r="C20" s="13"/>
    </row>
    <row r="21" spans="1:3">
      <c r="A21" t="s">
        <v>613</v>
      </c>
      <c r="B21" t="s">
        <v>604</v>
      </c>
      <c r="C21" s="13"/>
    </row>
    <row r="22" spans="1:3">
      <c r="A22" t="s">
        <v>614</v>
      </c>
      <c r="B22" t="s">
        <v>604</v>
      </c>
      <c r="C22" s="13">
        <f>-E80</f>
        <v>-1020.612</v>
      </c>
    </row>
    <row r="23" spans="1:3">
      <c r="A23" t="s">
        <v>615</v>
      </c>
      <c r="B23" t="s">
        <v>604</v>
      </c>
      <c r="C23" s="13">
        <f>-E81</f>
        <v>-523.09799999999996</v>
      </c>
    </row>
    <row r="24" spans="1:3">
      <c r="A24" t="s">
        <v>616</v>
      </c>
      <c r="B24" t="s">
        <v>604</v>
      </c>
      <c r="C24" s="13">
        <f>-E84</f>
        <v>70</v>
      </c>
    </row>
    <row r="25" spans="1:3">
      <c r="A25" t="s">
        <v>450</v>
      </c>
      <c r="B25" t="s">
        <v>604</v>
      </c>
      <c r="C25" s="13">
        <f>-E85</f>
        <v>27.616999999999962</v>
      </c>
    </row>
    <row r="26" spans="1:3">
      <c r="A26" t="s">
        <v>617</v>
      </c>
      <c r="C26" s="13">
        <f>-E86</f>
        <v>1E-3</v>
      </c>
    </row>
    <row r="27" spans="1:3">
      <c r="B27" t="s">
        <v>604</v>
      </c>
      <c r="C27" s="13"/>
    </row>
    <row r="28" spans="1:3" ht="10.5">
      <c r="A28" s="87" t="s">
        <v>618</v>
      </c>
      <c r="B28" t="s">
        <v>604</v>
      </c>
      <c r="C28" s="148">
        <f>SUM(C9:C27)</f>
        <v>-8525.2026700000006</v>
      </c>
    </row>
    <row r="29" spans="1:3">
      <c r="B29" t="s">
        <v>604</v>
      </c>
      <c r="C29" s="13"/>
    </row>
    <row r="30" spans="1:3" ht="10.5">
      <c r="A30" s="87" t="s">
        <v>619</v>
      </c>
      <c r="B30" t="s">
        <v>604</v>
      </c>
      <c r="C30" s="13"/>
    </row>
    <row r="31" spans="1:3">
      <c r="B31" t="s">
        <v>604</v>
      </c>
      <c r="C31" s="13"/>
    </row>
    <row r="32" spans="1:3">
      <c r="A32" t="s">
        <v>620</v>
      </c>
      <c r="C32" s="13">
        <f>-F79-284</f>
        <v>-11415.934999999999</v>
      </c>
    </row>
    <row r="33" spans="1:3">
      <c r="A33" t="s">
        <v>621</v>
      </c>
      <c r="B33" t="s">
        <v>604</v>
      </c>
      <c r="C33" s="13">
        <f>-F83</f>
        <v>-92.415999999999997</v>
      </c>
    </row>
    <row r="34" spans="1:3">
      <c r="B34" t="s">
        <v>604</v>
      </c>
      <c r="C34" s="13"/>
    </row>
    <row r="35" spans="1:3" ht="10.5">
      <c r="A35" t="s">
        <v>622</v>
      </c>
      <c r="B35" t="s">
        <v>604</v>
      </c>
      <c r="C35" s="148">
        <f>-F97</f>
        <v>-11224.350999999999</v>
      </c>
    </row>
    <row r="36" spans="1:3">
      <c r="B36" t="s">
        <v>604</v>
      </c>
      <c r="C36" s="13"/>
    </row>
    <row r="37" spans="1:3" ht="10.5">
      <c r="A37" s="87" t="s">
        <v>623</v>
      </c>
      <c r="B37" t="s">
        <v>604</v>
      </c>
      <c r="C37" s="13"/>
    </row>
    <row r="38" spans="1:3">
      <c r="B38" t="s">
        <v>604</v>
      </c>
      <c r="C38" s="13"/>
    </row>
    <row r="39" spans="1:3">
      <c r="A39" t="s">
        <v>624</v>
      </c>
      <c r="C39" s="13">
        <v>0</v>
      </c>
    </row>
    <row r="40" spans="1:3">
      <c r="A40" t="s">
        <v>637</v>
      </c>
      <c r="C40" s="13">
        <f>-G91</f>
        <v>7</v>
      </c>
    </row>
    <row r="41" spans="1:3">
      <c r="A41" t="s">
        <v>625</v>
      </c>
      <c r="C41" s="13"/>
    </row>
    <row r="42" spans="1:3">
      <c r="A42" t="s">
        <v>626</v>
      </c>
      <c r="B42" t="s">
        <v>604</v>
      </c>
      <c r="C42" s="138"/>
    </row>
    <row r="43" spans="1:3">
      <c r="B43" t="s">
        <v>604</v>
      </c>
      <c r="C43" s="13"/>
    </row>
    <row r="44" spans="1:3" ht="10.5">
      <c r="A44" s="87" t="s">
        <v>627</v>
      </c>
      <c r="B44" t="s">
        <v>604</v>
      </c>
      <c r="C44" s="148">
        <f>+C42+C41+C39+C40</f>
        <v>7</v>
      </c>
    </row>
    <row r="45" spans="1:3">
      <c r="B45" t="s">
        <v>604</v>
      </c>
      <c r="C45" s="13"/>
    </row>
    <row r="46" spans="1:3">
      <c r="A46" t="s">
        <v>628</v>
      </c>
      <c r="B46" t="s">
        <v>604</v>
      </c>
      <c r="C46" s="13">
        <f>+C44+C28+C35</f>
        <v>-19742.553670000001</v>
      </c>
    </row>
    <row r="47" spans="1:3">
      <c r="A47" t="s">
        <v>629</v>
      </c>
      <c r="B47" t="s">
        <v>604</v>
      </c>
      <c r="C47" s="13">
        <f>+D78</f>
        <v>27403</v>
      </c>
    </row>
    <row r="48" spans="1:3">
      <c r="B48" t="s">
        <v>604</v>
      </c>
      <c r="C48" s="13"/>
    </row>
    <row r="49" spans="1:5">
      <c r="A49" t="s">
        <v>630</v>
      </c>
      <c r="B49" t="s">
        <v>604</v>
      </c>
      <c r="C49" s="13">
        <f>+C46+C47</f>
        <v>7660.4463299999989</v>
      </c>
      <c r="D49" s="159">
        <f>+J78</f>
        <v>7660</v>
      </c>
      <c r="E49" s="159">
        <f>+C49-D49</f>
        <v>0.44632999999885214</v>
      </c>
    </row>
    <row r="50" spans="1:5">
      <c r="C50" s="13"/>
    </row>
    <row r="51" spans="1:5">
      <c r="C51" s="13"/>
    </row>
    <row r="52" spans="1:5">
      <c r="C52" s="13"/>
    </row>
    <row r="53" spans="1:5">
      <c r="C53" s="13"/>
    </row>
    <row r="54" spans="1:5" ht="10.5" thickBot="1">
      <c r="C54" s="138"/>
    </row>
    <row r="55" spans="1:5" ht="10.5" thickBot="1">
      <c r="B55" s="227"/>
      <c r="C55" s="228"/>
      <c r="D55" s="229"/>
      <c r="E55" s="230" t="s">
        <v>720</v>
      </c>
    </row>
    <row r="56" spans="1:5">
      <c r="C56" s="13"/>
      <c r="E56" t="s">
        <v>636</v>
      </c>
    </row>
    <row r="57" spans="1:5">
      <c r="C57" s="13"/>
    </row>
    <row r="58" spans="1:5">
      <c r="C58" s="13"/>
    </row>
    <row r="59" spans="1:5">
      <c r="C59" s="13"/>
    </row>
    <row r="60" spans="1:5">
      <c r="C60" s="13"/>
    </row>
    <row r="61" spans="1:5">
      <c r="C61" s="13"/>
    </row>
    <row r="62" spans="1:5">
      <c r="C62" s="13"/>
    </row>
    <row r="63" spans="1:5">
      <c r="C63" s="13"/>
    </row>
    <row r="71" spans="2:13" ht="10.5">
      <c r="F71" s="327" t="s">
        <v>483</v>
      </c>
      <c r="G71" s="327"/>
    </row>
    <row r="75" spans="2:13" ht="10.5">
      <c r="D75" s="130" t="s">
        <v>484</v>
      </c>
      <c r="E75" s="131" t="s">
        <v>485</v>
      </c>
      <c r="F75" s="131" t="s">
        <v>485</v>
      </c>
      <c r="G75" s="131" t="s">
        <v>485</v>
      </c>
      <c r="H75" s="131"/>
      <c r="I75" s="131"/>
      <c r="J75" s="132" t="s">
        <v>484</v>
      </c>
      <c r="K75" s="87"/>
    </row>
    <row r="76" spans="2:13" ht="10.5">
      <c r="D76" s="133">
        <v>44561</v>
      </c>
      <c r="E76" s="129" t="s">
        <v>486</v>
      </c>
      <c r="F76" s="129" t="s">
        <v>487</v>
      </c>
      <c r="G76" s="129" t="s">
        <v>488</v>
      </c>
      <c r="H76" s="129" t="s">
        <v>489</v>
      </c>
      <c r="I76" s="129" t="s">
        <v>490</v>
      </c>
      <c r="J76" s="134">
        <v>44926</v>
      </c>
      <c r="L76" t="s">
        <v>491</v>
      </c>
    </row>
    <row r="77" spans="2:13" ht="10.5">
      <c r="D77" s="231"/>
      <c r="J77" s="126"/>
    </row>
    <row r="78" spans="2:13" ht="10.5">
      <c r="B78" s="137">
        <v>10</v>
      </c>
      <c r="C78" t="s">
        <v>579</v>
      </c>
      <c r="D78" s="127">
        <f>27403</f>
        <v>27403</v>
      </c>
      <c r="E78" s="13"/>
      <c r="F78" s="13"/>
      <c r="G78" s="13"/>
      <c r="H78" s="13"/>
      <c r="I78" s="13">
        <f>J78-D78-E78</f>
        <v>-19743</v>
      </c>
      <c r="J78" s="127">
        <f>+'BS USD'!Q11</f>
        <v>7660</v>
      </c>
      <c r="K78" s="13">
        <f>+J78-'BS USD'!$Q11</f>
        <v>0</v>
      </c>
      <c r="L78" s="115">
        <f t="shared" ref="L78:L98" si="0">SUM(D78:I78)-J78</f>
        <v>0</v>
      </c>
      <c r="M78" s="13"/>
    </row>
    <row r="79" spans="2:13" ht="10.5">
      <c r="B79" s="137">
        <v>11</v>
      </c>
      <c r="C79" t="s">
        <v>580</v>
      </c>
      <c r="D79" s="127">
        <v>31.065000000000001</v>
      </c>
      <c r="E79" s="13"/>
      <c r="F79" s="13">
        <f>J79-D79</f>
        <v>11131.934999999999</v>
      </c>
      <c r="G79" s="13"/>
      <c r="H79" s="13"/>
      <c r="I79" s="13"/>
      <c r="J79" s="127">
        <f>+'BS USD'!Q12</f>
        <v>11163</v>
      </c>
      <c r="K79" s="13">
        <f>+J79-'BS USD'!$Q12</f>
        <v>0</v>
      </c>
      <c r="L79" s="115">
        <f t="shared" si="0"/>
        <v>0</v>
      </c>
      <c r="M79" s="13"/>
    </row>
    <row r="80" spans="2:13" ht="10.5">
      <c r="B80" s="137">
        <v>12</v>
      </c>
      <c r="C80" t="s">
        <v>581</v>
      </c>
      <c r="D80" s="127">
        <v>1016.388</v>
      </c>
      <c r="E80" s="13">
        <f>J80-D80</f>
        <v>1020.612</v>
      </c>
      <c r="F80" s="13"/>
      <c r="G80" s="13"/>
      <c r="H80" s="13"/>
      <c r="I80" s="13"/>
      <c r="J80" s="127">
        <f>+'BS USD'!Q13</f>
        <v>2037</v>
      </c>
      <c r="K80" s="13">
        <f>+J80-'BS USD'!$Q13</f>
        <v>0</v>
      </c>
      <c r="L80" s="115">
        <f t="shared" si="0"/>
        <v>0</v>
      </c>
      <c r="M80" s="13"/>
    </row>
    <row r="81" spans="1:13" ht="10.5">
      <c r="B81" s="137">
        <v>13</v>
      </c>
      <c r="C81" t="s">
        <v>582</v>
      </c>
      <c r="D81" s="127">
        <v>252.90199999999999</v>
      </c>
      <c r="E81" s="13">
        <f>J81-D81</f>
        <v>523.09799999999996</v>
      </c>
      <c r="F81" s="13"/>
      <c r="G81" s="13"/>
      <c r="H81" s="13"/>
      <c r="I81" s="13"/>
      <c r="J81" s="127">
        <f>+'BS USD'!Q14</f>
        <v>776</v>
      </c>
      <c r="K81" s="13">
        <f>+J81-'BS USD'!$Q14</f>
        <v>0</v>
      </c>
      <c r="L81" s="115">
        <f t="shared" si="0"/>
        <v>0</v>
      </c>
      <c r="M81" s="13"/>
    </row>
    <row r="82" spans="1:13" ht="10.5">
      <c r="B82" s="137">
        <v>14</v>
      </c>
      <c r="C82" t="s">
        <v>583</v>
      </c>
      <c r="D82" s="127">
        <v>37.427999999999997</v>
      </c>
      <c r="E82" s="13">
        <f>J82-D82</f>
        <v>-4.4279999999999973</v>
      </c>
      <c r="F82" s="13"/>
      <c r="G82" s="13"/>
      <c r="H82" s="13"/>
      <c r="I82" s="13"/>
      <c r="J82" s="127">
        <f>+'BS USD'!Q20</f>
        <v>33</v>
      </c>
      <c r="K82" s="13">
        <f>+J82-'BS USD'!$Q20</f>
        <v>0</v>
      </c>
      <c r="L82" s="115">
        <f t="shared" si="0"/>
        <v>0</v>
      </c>
      <c r="M82" s="13"/>
    </row>
    <row r="83" spans="1:13" ht="10.5">
      <c r="B83" s="137">
        <v>15</v>
      </c>
      <c r="C83" t="s">
        <v>584</v>
      </c>
      <c r="D83" s="127">
        <v>60.216000000000001</v>
      </c>
      <c r="E83" s="273">
        <f>-(26238+1110.97+2205.36)/1000</f>
        <v>-29.55433</v>
      </c>
      <c r="F83" s="273">
        <f>(68134+17016+7266)/1000</f>
        <v>92.415999999999997</v>
      </c>
      <c r="G83" s="13"/>
      <c r="H83" s="13"/>
      <c r="I83" s="13"/>
      <c r="J83" s="127">
        <f>+'BS USD'!Q21</f>
        <v>123</v>
      </c>
      <c r="K83" s="13">
        <f>+J83-'BS USD'!$Q21</f>
        <v>0</v>
      </c>
      <c r="L83" s="115">
        <f t="shared" si="0"/>
        <v>7.7669999999997685E-2</v>
      </c>
      <c r="M83" s="13"/>
    </row>
    <row r="84" spans="1:13" ht="10.5">
      <c r="A84" t="s">
        <v>635</v>
      </c>
      <c r="B84" s="137">
        <v>16</v>
      </c>
      <c r="C84" t="s">
        <v>585</v>
      </c>
      <c r="D84" s="127">
        <v>-132</v>
      </c>
      <c r="E84" s="13">
        <f t="shared" ref="E84:E88" si="1">J84-D84</f>
        <v>-70</v>
      </c>
      <c r="F84" s="13"/>
      <c r="G84" s="13"/>
      <c r="H84" s="13"/>
      <c r="I84" s="13"/>
      <c r="J84" s="127">
        <f>-'BS USD'!Q34</f>
        <v>-202</v>
      </c>
      <c r="K84" s="13">
        <f>+J84+'BS USD'!$Q34</f>
        <v>0</v>
      </c>
      <c r="L84" s="115">
        <f t="shared" si="0"/>
        <v>0</v>
      </c>
      <c r="M84" s="13"/>
    </row>
    <row r="85" spans="1:13" ht="10.5">
      <c r="B85" s="137">
        <v>17</v>
      </c>
      <c r="C85" t="s">
        <v>586</v>
      </c>
      <c r="D85" s="127">
        <v>-764.38300000000004</v>
      </c>
      <c r="E85" s="13">
        <f>J85-D85</f>
        <v>-27.616999999999962</v>
      </c>
      <c r="F85" s="13"/>
      <c r="G85" s="13"/>
      <c r="H85" s="13"/>
      <c r="I85" s="13"/>
      <c r="J85" s="127">
        <f>-'BS USD'!Q35</f>
        <v>-792</v>
      </c>
      <c r="K85" s="13">
        <f>+J85+'BS USD'!$Q35</f>
        <v>0</v>
      </c>
      <c r="L85" s="115">
        <f t="shared" si="0"/>
        <v>0</v>
      </c>
      <c r="M85" s="13"/>
    </row>
    <row r="86" spans="1:13" ht="10.5">
      <c r="B86" s="137">
        <v>17.399999999999999</v>
      </c>
      <c r="C86" t="s">
        <v>587</v>
      </c>
      <c r="D86" s="127">
        <v>1E-3</v>
      </c>
      <c r="E86" s="13">
        <f t="shared" si="1"/>
        <v>-1E-3</v>
      </c>
      <c r="F86" s="13"/>
      <c r="G86" s="13"/>
      <c r="H86" s="13"/>
      <c r="I86" s="13"/>
      <c r="J86" s="127"/>
      <c r="K86" s="13"/>
      <c r="L86" s="115">
        <f t="shared" si="0"/>
        <v>0</v>
      </c>
      <c r="M86" s="13"/>
    </row>
    <row r="87" spans="1:13" ht="10.5">
      <c r="B87" s="137"/>
      <c r="C87" t="s">
        <v>588</v>
      </c>
      <c r="D87" s="127">
        <v>0</v>
      </c>
      <c r="E87" s="13">
        <f t="shared" si="1"/>
        <v>0</v>
      </c>
      <c r="F87" s="13"/>
      <c r="G87" s="13"/>
      <c r="H87" s="13"/>
      <c r="I87" s="13"/>
      <c r="J87" s="127">
        <f>+ROUND(SUMIF('BS USD'!$B$7:$B$54,B87,'BS USD'!$Q$7:$Q$54),0)</f>
        <v>0</v>
      </c>
      <c r="K87" s="13"/>
      <c r="L87" s="115">
        <f t="shared" si="0"/>
        <v>0</v>
      </c>
      <c r="M87" s="13"/>
    </row>
    <row r="88" spans="1:13" ht="10.5">
      <c r="B88" s="137"/>
      <c r="C88" t="s">
        <v>589</v>
      </c>
      <c r="D88" s="127">
        <v>0</v>
      </c>
      <c r="E88" s="13">
        <f t="shared" si="1"/>
        <v>0</v>
      </c>
      <c r="F88" s="13"/>
      <c r="G88" s="138"/>
      <c r="H88" s="138"/>
      <c r="I88" s="13"/>
      <c r="J88" s="127">
        <f>+ROUND(SUMIF('BS USD'!$B$7:$B$54,B88,'BS USD'!$Q$7:$Q$54),0)</f>
        <v>0</v>
      </c>
      <c r="K88" s="13"/>
      <c r="L88" s="115">
        <f t="shared" si="0"/>
        <v>0</v>
      </c>
      <c r="M88" s="13"/>
    </row>
    <row r="89" spans="1:13" ht="10.5">
      <c r="B89" s="137">
        <v>18</v>
      </c>
      <c r="C89" t="s">
        <v>590</v>
      </c>
      <c r="D89" s="127">
        <v>-393.23</v>
      </c>
      <c r="E89" s="13">
        <f>J89-D89</f>
        <v>-20.769999999999982</v>
      </c>
      <c r="F89" s="13"/>
      <c r="G89" s="138"/>
      <c r="H89" s="138"/>
      <c r="I89" s="13"/>
      <c r="J89" s="127">
        <f>-'BS USD'!Q42</f>
        <v>-414</v>
      </c>
      <c r="K89" s="13">
        <f>+J89+'BS USD'!Q42</f>
        <v>0</v>
      </c>
      <c r="L89" s="115">
        <f t="shared" si="0"/>
        <v>0</v>
      </c>
      <c r="M89" s="13"/>
    </row>
    <row r="90" spans="1:13" ht="10.5">
      <c r="B90" s="137"/>
      <c r="C90" t="s">
        <v>591</v>
      </c>
      <c r="D90" s="127">
        <v>0</v>
      </c>
      <c r="E90" s="13"/>
      <c r="F90" s="13"/>
      <c r="G90" s="138"/>
      <c r="H90" s="138"/>
      <c r="I90" s="13"/>
      <c r="J90" s="127">
        <f>+ROUND(SUMIF('BS USD'!$B$7:$B$54,B90,'BS USD'!$Q$7:$Q$54),0)</f>
        <v>0</v>
      </c>
      <c r="K90" s="328" t="s">
        <v>258</v>
      </c>
      <c r="L90" s="115">
        <f t="shared" si="0"/>
        <v>0</v>
      </c>
      <c r="M90" s="13"/>
    </row>
    <row r="91" spans="1:13" ht="10.5">
      <c r="B91" s="137"/>
      <c r="C91" t="s">
        <v>632</v>
      </c>
      <c r="D91" s="127">
        <v>0</v>
      </c>
      <c r="E91" s="13"/>
      <c r="F91" s="13"/>
      <c r="G91" s="273">
        <v>-7</v>
      </c>
      <c r="H91" s="138"/>
      <c r="I91" s="13"/>
      <c r="J91" s="158">
        <f>+G91-D91</f>
        <v>-7</v>
      </c>
      <c r="K91" s="328"/>
      <c r="L91" s="115">
        <f t="shared" si="0"/>
        <v>0</v>
      </c>
      <c r="M91" s="13"/>
    </row>
    <row r="92" spans="1:13" ht="10.5">
      <c r="B92" s="137">
        <v>19.100000000000001</v>
      </c>
      <c r="C92" t="s">
        <v>592</v>
      </c>
      <c r="D92" s="155">
        <v>-31125</v>
      </c>
      <c r="E92" s="13"/>
      <c r="F92" s="13"/>
      <c r="G92" s="138">
        <f>+J92-D92</f>
        <v>0.29400000000168802</v>
      </c>
      <c r="H92" s="138"/>
      <c r="I92" s="13"/>
      <c r="J92" s="155">
        <f>-ROUND(SUMIF('Full BS-USD'!K:K,B92,'Full BS-USD'!J:J),0)/1000</f>
        <v>-31124.705999999998</v>
      </c>
      <c r="K92" s="328"/>
      <c r="L92" s="115">
        <f t="shared" si="0"/>
        <v>0</v>
      </c>
      <c r="M92" s="13"/>
    </row>
    <row r="93" spans="1:13" ht="10.5">
      <c r="B93" s="137">
        <v>19.2</v>
      </c>
      <c r="C93" t="s">
        <v>593</v>
      </c>
      <c r="D93" s="156">
        <v>-1397</v>
      </c>
      <c r="E93" s="138">
        <f>J93-D93-1</f>
        <v>-258.13699999999994</v>
      </c>
      <c r="F93" s="13"/>
      <c r="G93" s="13"/>
      <c r="H93" s="13"/>
      <c r="I93" s="13"/>
      <c r="J93" s="156">
        <f>-ROUND(SUMIF('Full BS-USD'!K:K,B93,'Full BS-USD'!J:J),0)/1000</f>
        <v>-1654.1369999999999</v>
      </c>
      <c r="K93" s="328"/>
      <c r="L93" s="115">
        <f t="shared" si="0"/>
        <v>-1</v>
      </c>
      <c r="M93" s="124">
        <v>31005</v>
      </c>
    </row>
    <row r="94" spans="1:13" ht="10.5">
      <c r="B94" s="137">
        <v>19.3</v>
      </c>
      <c r="C94" t="s">
        <v>594</v>
      </c>
      <c r="D94" s="157">
        <v>-9339</v>
      </c>
      <c r="E94" s="13"/>
      <c r="F94" s="13"/>
      <c r="G94" s="13"/>
      <c r="H94" s="138"/>
      <c r="I94" s="13"/>
      <c r="J94" s="157">
        <f>-ROUND(SUMIF('Full BS-USD'!K:K,B94,'Full BS-USD'!J:J),0)/1000+7</f>
        <v>-9339.4639999999999</v>
      </c>
      <c r="K94" s="328"/>
      <c r="L94" s="115"/>
      <c r="M94" s="13"/>
    </row>
    <row r="95" spans="1:13" ht="10.5">
      <c r="B95" s="111"/>
      <c r="C95" t="s">
        <v>244</v>
      </c>
      <c r="D95" s="153">
        <f>11079+3271</f>
        <v>14350</v>
      </c>
      <c r="E95" s="138"/>
      <c r="F95" s="138"/>
      <c r="G95" s="138"/>
      <c r="H95" s="138"/>
      <c r="I95" s="138"/>
      <c r="J95" s="153">
        <f>-ROUND(SUMIF('Full BS-USD'!A:A,C95,'Full BS-USD'!J:J),0)/1000</f>
        <v>14349.72</v>
      </c>
      <c r="K95" s="328"/>
      <c r="L95" s="115"/>
      <c r="M95" s="13"/>
    </row>
    <row r="96" spans="1:13" ht="10.5">
      <c r="C96" t="s">
        <v>595</v>
      </c>
      <c r="D96" s="128"/>
      <c r="E96" s="274">
        <f>+J96</f>
        <v>7392</v>
      </c>
      <c r="F96" s="274"/>
      <c r="G96" s="116"/>
      <c r="H96" s="116"/>
      <c r="I96" s="116"/>
      <c r="J96" s="154">
        <f>-'P&amp;L'!O31</f>
        <v>7392</v>
      </c>
      <c r="K96" s="328"/>
      <c r="L96" s="115">
        <f>SUM(D96:I96)-J96</f>
        <v>0</v>
      </c>
      <c r="M96" s="13"/>
    </row>
    <row r="97" spans="3:13">
      <c r="D97" s="13"/>
      <c r="E97" s="149">
        <f>SUM(E78:E96)</f>
        <v>8525.2026700000006</v>
      </c>
      <c r="F97" s="149">
        <f>SUM(F77:F96)</f>
        <v>11224.350999999999</v>
      </c>
      <c r="G97" s="149">
        <f>SUM(G77:G96)</f>
        <v>-6.705999999998312</v>
      </c>
      <c r="H97" s="13"/>
      <c r="I97" s="149">
        <f>SUM(I78:I96)</f>
        <v>-19743</v>
      </c>
      <c r="J97" s="13">
        <f>SUM(J78:J96)</f>
        <v>0.41299999999864667</v>
      </c>
      <c r="K97" s="13"/>
      <c r="L97" s="115">
        <f>SUM(D97:I97)-J97</f>
        <v>-0.56532999999581079</v>
      </c>
      <c r="M97" s="13"/>
    </row>
    <row r="98" spans="3:13">
      <c r="C98" t="s">
        <v>491</v>
      </c>
      <c r="D98" s="115">
        <f>SUM(D78:D97)</f>
        <v>0.38699999999516876</v>
      </c>
      <c r="F98" s="115"/>
      <c r="G98" s="115"/>
      <c r="H98" s="115"/>
      <c r="J98" s="115"/>
      <c r="K98" s="115"/>
      <c r="L98" s="115">
        <f t="shared" si="0"/>
        <v>0.38699999999516876</v>
      </c>
      <c r="M98" s="13"/>
    </row>
    <row r="99" spans="3:13">
      <c r="D99" s="13"/>
      <c r="E99" s="13">
        <f>+E97+C28</f>
        <v>0</v>
      </c>
      <c r="F99" s="13"/>
      <c r="G99" s="13"/>
      <c r="H99" s="13"/>
      <c r="I99" s="13"/>
      <c r="J99" s="13"/>
      <c r="K99" s="13"/>
      <c r="L99" s="115"/>
      <c r="M99" s="13"/>
    </row>
    <row r="100" spans="3:13"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spans="3:13">
      <c r="D101" s="13"/>
      <c r="E101" s="13"/>
      <c r="F101" s="13"/>
      <c r="G101" s="13"/>
      <c r="H101" s="13"/>
      <c r="I101" s="13"/>
      <c r="J101" s="13">
        <f>9339+J94</f>
        <v>-0.46399999999994179</v>
      </c>
      <c r="K101" s="13"/>
      <c r="L101" s="13"/>
      <c r="M101" s="13"/>
    </row>
    <row r="102" spans="3:13">
      <c r="G102" s="145"/>
    </row>
    <row r="103" spans="3:13">
      <c r="G103" s="145"/>
    </row>
  </sheetData>
  <mergeCells count="3">
    <mergeCell ref="A11:A12"/>
    <mergeCell ref="F71:G71"/>
    <mergeCell ref="K90:K96"/>
  </mergeCell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A707E-D936-4B8D-98E7-34158C5B6805}">
  <sheetPr>
    <tabColor rgb="FF00B050"/>
  </sheetPr>
  <dimension ref="B3:T33"/>
  <sheetViews>
    <sheetView workbookViewId="0">
      <selection activeCell="R18" sqref="R18:R22"/>
    </sheetView>
  </sheetViews>
  <sheetFormatPr defaultColWidth="14.109375" defaultRowHeight="14"/>
  <cols>
    <col min="1" max="1" width="14.109375" style="53"/>
    <col min="2" max="2" width="28.6640625" style="53" customWidth="1"/>
    <col min="3" max="4" width="14.109375" style="53"/>
    <col min="5" max="5" width="2.109375" style="53" customWidth="1"/>
    <col min="6" max="6" width="14.109375" style="53"/>
    <col min="7" max="7" width="2.109375" style="53" customWidth="1"/>
    <col min="8" max="8" width="14.109375" style="53"/>
    <col min="9" max="9" width="2.109375" style="53" customWidth="1"/>
    <col min="10" max="10" width="14.109375" style="53"/>
    <col min="11" max="11" width="2.109375" style="53" customWidth="1"/>
    <col min="12" max="12" width="16.109375" style="53" customWidth="1"/>
    <col min="13" max="13" width="2.109375" style="53" customWidth="1"/>
    <col min="14" max="14" width="20.44140625" style="53" customWidth="1"/>
    <col min="15" max="15" width="2.109375" style="53" customWidth="1"/>
    <col min="16" max="16" width="16.77734375" style="53" customWidth="1"/>
    <col min="17" max="17" width="2.109375" style="53" customWidth="1"/>
    <col min="18" max="18" width="21.109375" style="203" customWidth="1"/>
    <col min="19" max="16384" width="14.109375" style="53"/>
  </cols>
  <sheetData>
    <row r="3" spans="2:20" ht="41.25" customHeight="1">
      <c r="B3" s="329"/>
      <c r="C3" s="330"/>
      <c r="D3" s="185" t="s">
        <v>591</v>
      </c>
      <c r="E3" s="185"/>
      <c r="F3" s="185"/>
      <c r="G3" s="185"/>
      <c r="H3" s="185" t="s">
        <v>464</v>
      </c>
      <c r="I3" s="185"/>
      <c r="J3" s="185"/>
      <c r="K3" s="185"/>
      <c r="L3" s="185" t="s">
        <v>465</v>
      </c>
      <c r="M3" s="185"/>
      <c r="N3" s="185" t="s">
        <v>466</v>
      </c>
      <c r="O3" s="185"/>
      <c r="P3" s="185" t="s">
        <v>467</v>
      </c>
      <c r="Q3" s="185"/>
      <c r="R3" s="192" t="s">
        <v>468</v>
      </c>
    </row>
    <row r="4" spans="2:20">
      <c r="B4" s="329"/>
      <c r="C4" s="330"/>
      <c r="D4" s="185"/>
      <c r="E4" s="185"/>
      <c r="F4" s="185"/>
      <c r="G4" s="185"/>
      <c r="H4" s="185"/>
      <c r="I4" s="185"/>
      <c r="J4" s="185"/>
      <c r="K4" s="185"/>
      <c r="L4" s="185" t="s">
        <v>469</v>
      </c>
      <c r="M4" s="185"/>
      <c r="N4" s="185"/>
      <c r="O4" s="185"/>
      <c r="P4" s="185"/>
      <c r="Q4" s="185"/>
      <c r="R4" s="193"/>
    </row>
    <row r="5" spans="2:20" ht="14.5" thickBot="1">
      <c r="B5" s="50"/>
      <c r="C5" s="51"/>
      <c r="D5" s="185" t="s">
        <v>470</v>
      </c>
      <c r="E5" s="185"/>
      <c r="F5" s="185" t="s">
        <v>14</v>
      </c>
      <c r="G5" s="185"/>
      <c r="H5" s="185" t="s">
        <v>470</v>
      </c>
      <c r="I5" s="185"/>
      <c r="J5" s="185" t="s">
        <v>14</v>
      </c>
      <c r="K5" s="185"/>
      <c r="L5" s="185" t="s">
        <v>471</v>
      </c>
      <c r="M5" s="185"/>
      <c r="N5" s="185" t="s">
        <v>472</v>
      </c>
      <c r="O5" s="185"/>
      <c r="P5" s="185" t="s">
        <v>473</v>
      </c>
      <c r="Q5" s="185"/>
      <c r="R5" s="193" t="s">
        <v>474</v>
      </c>
    </row>
    <row r="6" spans="2:20">
      <c r="B6" s="50"/>
      <c r="C6" s="51"/>
      <c r="D6" s="52"/>
      <c r="E6" s="52"/>
      <c r="F6" s="54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194"/>
    </row>
    <row r="7" spans="2:20" ht="25">
      <c r="B7" s="163" t="s">
        <v>492</v>
      </c>
      <c r="C7" s="51"/>
      <c r="D7" s="166">
        <v>1401739</v>
      </c>
      <c r="E7" s="164"/>
      <c r="F7" s="167">
        <v>4</v>
      </c>
      <c r="G7" s="164"/>
      <c r="H7" s="168">
        <v>198028</v>
      </c>
      <c r="I7" s="164"/>
      <c r="J7" s="164" t="s">
        <v>648</v>
      </c>
      <c r="K7" s="164"/>
      <c r="L7" s="169">
        <v>12952</v>
      </c>
      <c r="M7" s="164"/>
      <c r="N7" s="164">
        <v>-50</v>
      </c>
      <c r="O7" s="164"/>
      <c r="P7" s="169">
        <v>-10806</v>
      </c>
      <c r="Q7" s="164"/>
      <c r="R7" s="195">
        <f>+P7+F7+L7+N7</f>
        <v>2100</v>
      </c>
    </row>
    <row r="8" spans="2:20">
      <c r="B8" s="50"/>
      <c r="C8" s="51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96"/>
    </row>
    <row r="9" spans="2:20" ht="25">
      <c r="B9" s="163" t="s">
        <v>476</v>
      </c>
      <c r="C9" s="51"/>
      <c r="D9" s="170">
        <v>0</v>
      </c>
      <c r="E9" s="164"/>
      <c r="F9" s="170">
        <v>0</v>
      </c>
      <c r="G9" s="164"/>
      <c r="H9" s="170">
        <v>0</v>
      </c>
      <c r="I9" s="164"/>
      <c r="J9" s="170">
        <v>0</v>
      </c>
      <c r="K9" s="164"/>
      <c r="L9" s="170">
        <v>0</v>
      </c>
      <c r="M9" s="164"/>
      <c r="N9" s="170">
        <v>0</v>
      </c>
      <c r="O9" s="164"/>
      <c r="P9" s="166">
        <v>-3272</v>
      </c>
      <c r="Q9" s="164"/>
      <c r="R9" s="195">
        <f>+P9+F9+L9+J9</f>
        <v>-3272</v>
      </c>
    </row>
    <row r="10" spans="2:20">
      <c r="B10" s="163" t="s">
        <v>514</v>
      </c>
      <c r="C10" s="51"/>
      <c r="D10" s="170"/>
      <c r="E10" s="164"/>
      <c r="F10" s="170"/>
      <c r="G10" s="164"/>
      <c r="H10" s="170"/>
      <c r="I10" s="164"/>
      <c r="J10" s="170"/>
      <c r="K10" s="164"/>
      <c r="L10" s="170"/>
      <c r="M10" s="164"/>
      <c r="N10" s="164">
        <v>50</v>
      </c>
      <c r="O10" s="164"/>
      <c r="P10" s="166"/>
      <c r="Q10" s="164"/>
      <c r="R10" s="195">
        <f>+P10+F10+L10+J10+N10</f>
        <v>50</v>
      </c>
    </row>
    <row r="11" spans="2:20" ht="25">
      <c r="B11" s="163" t="s">
        <v>477</v>
      </c>
      <c r="C11" s="51"/>
      <c r="D11" s="170">
        <v>0</v>
      </c>
      <c r="E11" s="164"/>
      <c r="F11" s="170">
        <v>0</v>
      </c>
      <c r="G11" s="164"/>
      <c r="H11" s="170">
        <v>0</v>
      </c>
      <c r="I11" s="164"/>
      <c r="J11" s="170">
        <v>0</v>
      </c>
      <c r="K11" s="164"/>
      <c r="L11" s="171">
        <v>565</v>
      </c>
      <c r="M11" s="164"/>
      <c r="N11" s="170">
        <v>0</v>
      </c>
      <c r="O11" s="164"/>
      <c r="P11" s="170">
        <v>0</v>
      </c>
      <c r="Q11" s="164"/>
      <c r="R11" s="195">
        <f>+P11+F11+L11+J11</f>
        <v>565</v>
      </c>
      <c r="T11"/>
    </row>
    <row r="12" spans="2:20">
      <c r="B12" s="163" t="s">
        <v>480</v>
      </c>
      <c r="C12" s="51"/>
      <c r="D12" s="170"/>
      <c r="E12" s="164"/>
      <c r="F12" s="170"/>
      <c r="G12" s="164"/>
      <c r="H12" s="168">
        <v>315996</v>
      </c>
      <c r="I12" s="164"/>
      <c r="J12" s="170">
        <v>1</v>
      </c>
      <c r="K12" s="164"/>
      <c r="L12" s="171">
        <v>3124</v>
      </c>
      <c r="M12" s="164"/>
      <c r="N12" s="170"/>
      <c r="O12" s="164"/>
      <c r="P12" s="170"/>
      <c r="Q12" s="164"/>
      <c r="R12" s="195">
        <f>+P12+F12+L12+J12</f>
        <v>3125</v>
      </c>
    </row>
    <row r="13" spans="2:20">
      <c r="B13" s="163" t="s">
        <v>479</v>
      </c>
      <c r="C13" s="51"/>
      <c r="D13" s="170">
        <v>0</v>
      </c>
      <c r="E13" s="164"/>
      <c r="F13" s="170">
        <v>0</v>
      </c>
      <c r="G13" s="164"/>
      <c r="H13" s="172">
        <v>105500</v>
      </c>
      <c r="I13" s="164"/>
      <c r="J13" s="164">
        <v>1</v>
      </c>
      <c r="K13" s="164"/>
      <c r="L13" s="173">
        <f>[1]CF!D35+[1]CF!D15-1</f>
        <v>-1</v>
      </c>
      <c r="M13" s="164"/>
      <c r="N13" s="164" t="s">
        <v>475</v>
      </c>
      <c r="O13" s="164"/>
      <c r="P13" s="170">
        <v>0</v>
      </c>
      <c r="Q13" s="164"/>
      <c r="R13" s="195">
        <f>+P13+F13+L13+J13</f>
        <v>0</v>
      </c>
    </row>
    <row r="14" spans="2:20" ht="38" thickBot="1">
      <c r="B14" s="163" t="s">
        <v>481</v>
      </c>
      <c r="C14" s="51"/>
      <c r="D14" s="170">
        <v>0</v>
      </c>
      <c r="E14" s="164"/>
      <c r="F14" s="174">
        <v>0</v>
      </c>
      <c r="G14" s="164"/>
      <c r="H14" s="175">
        <f>570204+293045</f>
        <v>863249</v>
      </c>
      <c r="I14" s="164"/>
      <c r="J14" s="176">
        <v>3</v>
      </c>
      <c r="K14" s="164"/>
      <c r="L14" s="175">
        <v>24940</v>
      </c>
      <c r="M14" s="164"/>
      <c r="N14" s="174"/>
      <c r="O14" s="164"/>
      <c r="P14" s="174">
        <v>0</v>
      </c>
      <c r="Q14" s="164"/>
      <c r="R14" s="197">
        <f>+P14+J14+L14+N14</f>
        <v>24943</v>
      </c>
    </row>
    <row r="15" spans="2:20">
      <c r="B15" s="163"/>
      <c r="C15" s="51"/>
      <c r="D15" s="165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96"/>
    </row>
    <row r="16" spans="2:20" ht="25.5" thickBot="1">
      <c r="B16" s="163" t="s">
        <v>482</v>
      </c>
      <c r="C16" s="51"/>
      <c r="D16" s="177">
        <f>SUM(D7:D15)</f>
        <v>1401739</v>
      </c>
      <c r="E16" s="164"/>
      <c r="F16" s="178">
        <f>SUM(F7:F15)</f>
        <v>4</v>
      </c>
      <c r="G16" s="164"/>
      <c r="H16" s="179">
        <f>SUM(H7:H15)</f>
        <v>1482773</v>
      </c>
      <c r="I16" s="164"/>
      <c r="J16" s="178">
        <f>SUM(J7:J15)</f>
        <v>5</v>
      </c>
      <c r="K16" s="164"/>
      <c r="L16" s="180">
        <f>SUM(L7:L15)</f>
        <v>41580</v>
      </c>
      <c r="M16" s="164"/>
      <c r="N16" s="177">
        <f>SUM(N7:N15)</f>
        <v>0</v>
      </c>
      <c r="O16" s="164"/>
      <c r="P16" s="180">
        <f>SUM(P7:P15)</f>
        <v>-14078</v>
      </c>
      <c r="Q16" s="164"/>
      <c r="R16" s="197">
        <f>+P16+F16+L16+N16+J16</f>
        <v>27511</v>
      </c>
    </row>
    <row r="17" spans="2:18">
      <c r="B17" s="163"/>
      <c r="C17" s="51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96"/>
    </row>
    <row r="18" spans="2:18" ht="25">
      <c r="B18" s="163" t="s">
        <v>476</v>
      </c>
      <c r="C18" s="51"/>
      <c r="D18" s="170">
        <v>0</v>
      </c>
      <c r="E18" s="164"/>
      <c r="F18" s="170">
        <v>0</v>
      </c>
      <c r="G18" s="164"/>
      <c r="H18" s="170">
        <v>0</v>
      </c>
      <c r="I18" s="164"/>
      <c r="J18" s="170">
        <v>0</v>
      </c>
      <c r="K18" s="164"/>
      <c r="L18" s="170">
        <v>0</v>
      </c>
      <c r="M18" s="164"/>
      <c r="N18" s="170">
        <v>0</v>
      </c>
      <c r="O18" s="164"/>
      <c r="P18" s="166">
        <f>+'P&amp;L'!O31</f>
        <v>-7392</v>
      </c>
      <c r="Q18" s="164"/>
      <c r="R18" s="198">
        <f>SUM(J18:P18,F18)</f>
        <v>-7392</v>
      </c>
    </row>
    <row r="19" spans="2:18" ht="25">
      <c r="B19" s="163" t="s">
        <v>649</v>
      </c>
      <c r="C19" s="51"/>
      <c r="D19" s="164">
        <v>800</v>
      </c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98">
        <f>SUM(J19:P19,F19)</f>
        <v>0</v>
      </c>
    </row>
    <row r="20" spans="2:18" ht="25">
      <c r="B20" s="163" t="s">
        <v>477</v>
      </c>
      <c r="C20" s="51"/>
      <c r="D20" s="164">
        <f>584+1216</f>
        <v>1800</v>
      </c>
      <c r="E20" s="164"/>
      <c r="F20" s="164"/>
      <c r="G20" s="164"/>
      <c r="H20" s="164"/>
      <c r="I20" s="164"/>
      <c r="J20" s="164"/>
      <c r="K20" s="164"/>
      <c r="L20" s="173">
        <f>-CF!E93+7</f>
        <v>265.13699999999994</v>
      </c>
      <c r="M20" s="164"/>
      <c r="N20" s="164"/>
      <c r="O20" s="164"/>
      <c r="P20" s="164"/>
      <c r="Q20" s="164"/>
      <c r="R20" s="198">
        <f>SUM(J20:P20,F20)</f>
        <v>265.13699999999994</v>
      </c>
    </row>
    <row r="21" spans="2:18">
      <c r="B21" s="163" t="s">
        <v>479</v>
      </c>
      <c r="C21" s="51"/>
      <c r="D21" s="164"/>
      <c r="E21" s="164"/>
      <c r="F21" s="164"/>
      <c r="G21" s="164"/>
      <c r="H21" s="173"/>
      <c r="I21" s="164"/>
      <c r="J21" s="164"/>
      <c r="K21" s="164"/>
      <c r="L21" s="173"/>
      <c r="M21" s="164"/>
      <c r="N21" s="164"/>
      <c r="O21" s="164"/>
      <c r="P21" s="164"/>
      <c r="Q21" s="164"/>
      <c r="R21" s="198">
        <f>SUM(J21:P21,F21)</f>
        <v>0</v>
      </c>
    </row>
    <row r="22" spans="2:18">
      <c r="B22" s="163" t="s">
        <v>480</v>
      </c>
      <c r="C22" s="51"/>
      <c r="D22" s="164"/>
      <c r="E22" s="164"/>
      <c r="F22" s="164"/>
      <c r="G22" s="164"/>
      <c r="H22" s="173">
        <v>127247</v>
      </c>
      <c r="I22" s="164"/>
      <c r="J22" s="164" t="s">
        <v>648</v>
      </c>
      <c r="K22" s="164"/>
      <c r="L22" s="173"/>
      <c r="M22" s="164"/>
      <c r="N22" s="164"/>
      <c r="O22" s="164"/>
      <c r="P22" s="164"/>
      <c r="Q22" s="164"/>
      <c r="R22" s="198">
        <f>SUM(J22:P22,F22)</f>
        <v>0</v>
      </c>
    </row>
    <row r="23" spans="2:18" ht="37.5">
      <c r="B23" s="163" t="s">
        <v>478</v>
      </c>
      <c r="C23" s="51"/>
      <c r="D23" s="164"/>
      <c r="E23" s="164"/>
      <c r="F23" s="164"/>
      <c r="G23" s="164"/>
      <c r="I23" s="164"/>
      <c r="J23" s="164"/>
      <c r="K23" s="164"/>
      <c r="L23" s="173"/>
      <c r="M23" s="164"/>
      <c r="N23" s="164"/>
      <c r="O23" s="164"/>
      <c r="P23" s="164"/>
      <c r="Q23" s="164"/>
      <c r="R23" s="195"/>
    </row>
    <row r="24" spans="2:18" ht="38" thickBot="1">
      <c r="B24" s="163" t="s">
        <v>516</v>
      </c>
      <c r="C24" s="51"/>
      <c r="D24" s="177"/>
      <c r="E24" s="164"/>
      <c r="F24" s="174">
        <v>0</v>
      </c>
      <c r="G24" s="164"/>
      <c r="H24" s="175"/>
      <c r="I24" s="164"/>
      <c r="J24" s="176"/>
      <c r="K24" s="164"/>
      <c r="L24" s="175"/>
      <c r="M24" s="164"/>
      <c r="N24" s="174"/>
      <c r="O24" s="164"/>
      <c r="P24" s="174">
        <v>0</v>
      </c>
      <c r="Q24" s="164"/>
      <c r="R24" s="199">
        <f>SUM(J24:P24,F24)</f>
        <v>0</v>
      </c>
    </row>
    <row r="25" spans="2:18">
      <c r="B25" s="163"/>
      <c r="C25" s="51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96"/>
    </row>
    <row r="26" spans="2:18" ht="25.5" thickBot="1">
      <c r="B26" s="163" t="s">
        <v>517</v>
      </c>
      <c r="C26" s="51"/>
      <c r="D26" s="181">
        <f>SUM(D16:D24)</f>
        <v>1404339</v>
      </c>
      <c r="E26" s="164"/>
      <c r="F26" s="178">
        <f>SUM(F16:F24)</f>
        <v>4</v>
      </c>
      <c r="G26" s="164"/>
      <c r="H26" s="181">
        <f>SUM(H16:H24)</f>
        <v>1610020</v>
      </c>
      <c r="I26" s="164"/>
      <c r="J26" s="181">
        <f>SUM(J16:J24)</f>
        <v>5</v>
      </c>
      <c r="K26" s="164"/>
      <c r="L26" s="181">
        <f>SUM(L16:L24)</f>
        <v>41845.137000000002</v>
      </c>
      <c r="M26" s="164"/>
      <c r="N26" s="181">
        <f>SUM(N16:N24)</f>
        <v>0</v>
      </c>
      <c r="O26" s="164"/>
      <c r="P26" s="181">
        <f>SUM(P16:P24)</f>
        <v>-21470</v>
      </c>
      <c r="Q26" s="164"/>
      <c r="R26" s="200">
        <f>+R16+R18+R20</f>
        <v>20384.136999999999</v>
      </c>
    </row>
    <row r="27" spans="2:18" ht="14.5" thickTop="1">
      <c r="D27" s="182"/>
      <c r="E27" s="182"/>
      <c r="F27" s="182"/>
      <c r="G27" s="182"/>
      <c r="H27" s="182"/>
      <c r="I27" s="182"/>
      <c r="J27" s="183"/>
      <c r="K27" s="182"/>
      <c r="L27" s="184"/>
      <c r="M27" s="182"/>
      <c r="N27" s="182"/>
      <c r="O27" s="182"/>
      <c r="P27" s="183"/>
      <c r="Q27" s="182"/>
      <c r="R27" s="201"/>
    </row>
    <row r="28" spans="2:18">
      <c r="D28" s="190">
        <f>+D16+D19+D20-D26</f>
        <v>0</v>
      </c>
      <c r="E28" s="162"/>
      <c r="F28" s="162"/>
      <c r="G28" s="162"/>
      <c r="H28" s="191">
        <f>+H16+H22-H26</f>
        <v>0</v>
      </c>
      <c r="I28" s="162"/>
      <c r="J28" s="162"/>
      <c r="K28" s="162"/>
      <c r="L28" s="191">
        <f>+L16+L20-L26</f>
        <v>0</v>
      </c>
      <c r="M28" s="162"/>
      <c r="N28" s="162"/>
      <c r="O28" s="162"/>
      <c r="P28" s="190">
        <f>+P16+P18-P26</f>
        <v>0</v>
      </c>
      <c r="Q28" s="190">
        <f>+Q16+Q18-Q26</f>
        <v>0</v>
      </c>
      <c r="R28" s="202"/>
    </row>
    <row r="29" spans="2:18">
      <c r="R29" s="205">
        <f>+'BS USD'!Q50-R26</f>
        <v>-0.13699999999880674</v>
      </c>
    </row>
    <row r="30" spans="2:18">
      <c r="D30" s="189"/>
      <c r="R30" s="204"/>
    </row>
    <row r="33" spans="12:16">
      <c r="L33" s="206"/>
      <c r="P33" s="206"/>
    </row>
  </sheetData>
  <mergeCells count="2">
    <mergeCell ref="B3:B4"/>
    <mergeCell ref="C3:C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478FE-0C27-46AB-B486-CFDE72708DEE}">
  <sheetPr>
    <tabColor theme="4" tint="0.59999389629810485"/>
  </sheetPr>
  <dimension ref="B5:T39"/>
  <sheetViews>
    <sheetView topLeftCell="A21" workbookViewId="0">
      <selection activeCell="F55" sqref="F55"/>
    </sheetView>
  </sheetViews>
  <sheetFormatPr defaultColWidth="9.33203125" defaultRowHeight="14"/>
  <cols>
    <col min="1" max="2" width="9.33203125" style="9"/>
    <col min="3" max="3" width="3" style="9" bestFit="1" customWidth="1"/>
    <col min="4" max="4" width="23.109375" style="9" bestFit="1" customWidth="1"/>
    <col min="5" max="5" width="10.109375" style="15" bestFit="1" customWidth="1"/>
    <col min="6" max="6" width="13.6640625" style="9" bestFit="1" customWidth="1"/>
    <col min="7" max="7" width="20.77734375" style="9" customWidth="1"/>
    <col min="8" max="8" width="9.33203125" style="9"/>
    <col min="9" max="13" width="12.109375" style="9" bestFit="1" customWidth="1"/>
    <col min="14" max="18" width="9.33203125" style="9"/>
    <col min="19" max="19" width="36.33203125" style="9" customWidth="1"/>
    <col min="20" max="20" width="13.6640625" style="9" bestFit="1" customWidth="1"/>
    <col min="21" max="16384" width="9.33203125" style="9"/>
  </cols>
  <sheetData>
    <row r="5" spans="2:8" s="278" customFormat="1">
      <c r="B5" s="278">
        <v>1</v>
      </c>
      <c r="D5" s="279" t="s">
        <v>644</v>
      </c>
      <c r="E5" s="280"/>
      <c r="G5" s="279" t="s">
        <v>639</v>
      </c>
    </row>
    <row r="7" spans="2:8">
      <c r="D7" s="10"/>
    </row>
    <row r="9" spans="2:8">
      <c r="C9" s="9" t="s">
        <v>640</v>
      </c>
      <c r="D9" s="9" t="s">
        <v>641</v>
      </c>
      <c r="E9" s="15">
        <v>47763.9</v>
      </c>
    </row>
    <row r="10" spans="2:8">
      <c r="C10" s="9" t="s">
        <v>642</v>
      </c>
      <c r="D10" s="9" t="s">
        <v>643</v>
      </c>
      <c r="E10" s="15">
        <v>47763.9</v>
      </c>
    </row>
    <row r="14" spans="2:8" s="278" customFormat="1">
      <c r="B14" s="278">
        <v>2</v>
      </c>
      <c r="D14" s="279" t="s">
        <v>650</v>
      </c>
      <c r="E14" s="280"/>
      <c r="G14" s="279" t="s">
        <v>718</v>
      </c>
      <c r="H14" s="281" t="str">
        <f>+'AP correction OB'!H2</f>
        <v>A</v>
      </c>
    </row>
    <row r="16" spans="2:8">
      <c r="F16" s="10" t="s">
        <v>462</v>
      </c>
      <c r="G16" s="10" t="s">
        <v>716</v>
      </c>
    </row>
    <row r="17" spans="3:20">
      <c r="C17" s="9" t="s">
        <v>640</v>
      </c>
      <c r="D17" s="9" t="s">
        <v>717</v>
      </c>
      <c r="F17" s="207">
        <v>14237.25</v>
      </c>
      <c r="G17" s="15">
        <f>+F17/0.32154341</f>
        <v>44277.847274182983</v>
      </c>
      <c r="I17" s="9" t="s">
        <v>739</v>
      </c>
    </row>
    <row r="18" spans="3:20">
      <c r="C18" s="9" t="s">
        <v>642</v>
      </c>
      <c r="D18" s="9" t="s">
        <v>244</v>
      </c>
      <c r="F18" s="208">
        <f>+F17</f>
        <v>14237.25</v>
      </c>
      <c r="G18" s="15">
        <f>+F18/0.32154341</f>
        <v>44277.847274182983</v>
      </c>
    </row>
    <row r="19" spans="3:20">
      <c r="F19" s="208"/>
      <c r="G19" s="225"/>
    </row>
    <row r="20" spans="3:20">
      <c r="F20" s="208"/>
      <c r="G20" s="225"/>
    </row>
    <row r="21" spans="3:20">
      <c r="D21" s="10" t="s">
        <v>718</v>
      </c>
      <c r="E21" s="15" t="s">
        <v>740</v>
      </c>
      <c r="G21" s="10" t="s">
        <v>738</v>
      </c>
      <c r="R21"/>
      <c r="S21"/>
      <c r="T21"/>
    </row>
    <row r="22" spans="3:20">
      <c r="F22" s="10" t="s">
        <v>462</v>
      </c>
      <c r="G22" s="10" t="s">
        <v>716</v>
      </c>
      <c r="R22"/>
      <c r="S22"/>
      <c r="T22"/>
    </row>
    <row r="23" spans="3:20">
      <c r="C23" s="9" t="s">
        <v>640</v>
      </c>
      <c r="D23" s="9" t="s">
        <v>244</v>
      </c>
      <c r="F23" s="208">
        <f>+F24+F25</f>
        <v>2750.4</v>
      </c>
      <c r="G23" s="15">
        <f>+F23/0.32154341</f>
        <v>8553.7439563759071</v>
      </c>
      <c r="R23"/>
      <c r="S23"/>
      <c r="T23"/>
    </row>
    <row r="24" spans="3:20">
      <c r="C24" s="9" t="s">
        <v>642</v>
      </c>
      <c r="D24" s="9" t="s">
        <v>714</v>
      </c>
      <c r="F24" s="207">
        <v>652.27</v>
      </c>
      <c r="G24" s="15">
        <f>+F24/0.32154341</f>
        <v>2028.5596896543457</v>
      </c>
      <c r="R24"/>
      <c r="S24"/>
      <c r="T24"/>
    </row>
    <row r="25" spans="3:20">
      <c r="C25" s="9" t="s">
        <v>642</v>
      </c>
      <c r="D25" s="9" t="s">
        <v>652</v>
      </c>
      <c r="F25" s="207">
        <v>2098.13</v>
      </c>
      <c r="G25" s="15">
        <f>+F25/0.32154341</f>
        <v>6525.1842667215615</v>
      </c>
      <c r="J25" s="224"/>
      <c r="K25" s="207"/>
      <c r="L25" s="224"/>
      <c r="M25" s="207"/>
      <c r="R25"/>
      <c r="S25"/>
      <c r="T25"/>
    </row>
    <row r="26" spans="3:20">
      <c r="F26" s="208"/>
      <c r="R26"/>
      <c r="S26"/>
      <c r="T26"/>
    </row>
    <row r="27" spans="3:20">
      <c r="F27" s="208"/>
      <c r="R27"/>
      <c r="S27"/>
      <c r="T27"/>
    </row>
    <row r="28" spans="3:20">
      <c r="F28" s="10" t="s">
        <v>462</v>
      </c>
      <c r="G28" s="10" t="s">
        <v>716</v>
      </c>
      <c r="H28" s="10" t="s">
        <v>876</v>
      </c>
      <c r="R28"/>
      <c r="S28"/>
      <c r="T28"/>
    </row>
    <row r="29" spans="3:20">
      <c r="C29" s="9" t="s">
        <v>640</v>
      </c>
      <c r="D29" s="9" t="s">
        <v>765</v>
      </c>
      <c r="F29" s="207"/>
      <c r="G29" s="15">
        <v>2855</v>
      </c>
      <c r="I29" s="9" t="s">
        <v>766</v>
      </c>
      <c r="L29" s="9" t="s">
        <v>875</v>
      </c>
      <c r="M29" s="286">
        <v>0.26342131605289498</v>
      </c>
      <c r="R29"/>
      <c r="S29"/>
      <c r="T29"/>
    </row>
    <row r="30" spans="3:20">
      <c r="C30" s="9" t="s">
        <v>642</v>
      </c>
      <c r="D30" s="9">
        <v>67301</v>
      </c>
      <c r="F30" s="208"/>
      <c r="G30" s="15">
        <f>+G29</f>
        <v>2855</v>
      </c>
      <c r="R30"/>
      <c r="S30"/>
      <c r="T30"/>
    </row>
    <row r="31" spans="3:20">
      <c r="F31" s="208"/>
      <c r="R31"/>
      <c r="S31"/>
      <c r="T31"/>
    </row>
    <row r="32" spans="3:20">
      <c r="F32" s="208"/>
      <c r="R32"/>
      <c r="S32"/>
      <c r="T32"/>
    </row>
    <row r="33" spans="2:20">
      <c r="T33" s="15"/>
    </row>
    <row r="34" spans="2:20">
      <c r="T34" s="15"/>
    </row>
    <row r="35" spans="2:20" s="278" customFormat="1">
      <c r="B35" s="278">
        <v>3</v>
      </c>
      <c r="D35" s="279" t="s">
        <v>761</v>
      </c>
      <c r="E35" s="280"/>
      <c r="G35" s="279" t="s">
        <v>762</v>
      </c>
      <c r="T35" s="280"/>
    </row>
    <row r="36" spans="2:20">
      <c r="G36" s="10" t="s">
        <v>716</v>
      </c>
      <c r="T36" s="15"/>
    </row>
    <row r="37" spans="2:20">
      <c r="C37" s="9" t="s">
        <v>640</v>
      </c>
      <c r="D37" s="9" t="s">
        <v>764</v>
      </c>
      <c r="G37" s="15">
        <v>53520</v>
      </c>
      <c r="T37" s="15"/>
    </row>
    <row r="38" spans="2:20">
      <c r="C38" s="9" t="s">
        <v>642</v>
      </c>
      <c r="D38" s="9" t="s">
        <v>763</v>
      </c>
      <c r="G38" s="15">
        <f>+G37</f>
        <v>53520</v>
      </c>
      <c r="T38" s="15"/>
    </row>
    <row r="39" spans="2:20">
      <c r="T39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BBC652-B4B8-4277-9BDC-E2723988BBD2}">
  <dimension ref="B2:AE168"/>
  <sheetViews>
    <sheetView topLeftCell="A35" zoomScale="130" zoomScaleNormal="130" workbookViewId="0">
      <selection activeCell="D70" sqref="D70"/>
    </sheetView>
  </sheetViews>
  <sheetFormatPr defaultRowHeight="10"/>
  <cols>
    <col min="4" max="4" width="51.44140625" bestFit="1" customWidth="1"/>
    <col min="5" max="5" width="14" bestFit="1" customWidth="1"/>
    <col min="6" max="6" width="17" bestFit="1" customWidth="1"/>
    <col min="7" max="7" width="11.77734375" bestFit="1" customWidth="1"/>
    <col min="10" max="11" width="13.6640625" bestFit="1" customWidth="1"/>
    <col min="13" max="13" width="13.33203125" customWidth="1"/>
    <col min="14" max="14" width="44" bestFit="1" customWidth="1"/>
    <col min="15" max="15" width="13.6640625" customWidth="1"/>
    <col min="16" max="16" width="13.77734375" customWidth="1"/>
  </cols>
  <sheetData>
    <row r="2" spans="2:31" ht="14.5" thickBot="1">
      <c r="B2" s="10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</row>
    <row r="3" spans="2:31" s="82" customFormat="1" ht="14.5" thickBot="1">
      <c r="B3" s="80"/>
      <c r="C3" s="81"/>
      <c r="D3" s="81" t="s">
        <v>533</v>
      </c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</row>
    <row r="4" spans="2:31" ht="14"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</row>
    <row r="5" spans="2:31" ht="14">
      <c r="B5" s="10">
        <v>3</v>
      </c>
      <c r="C5" s="9"/>
      <c r="D5" s="9" t="s">
        <v>534</v>
      </c>
      <c r="E5" s="15">
        <f>+SUMIF('Full BS-USD'!$K$9:$K$201,F5,'Full BS-USD'!$J$9:$J$201)/1000-1</f>
        <v>1582.7381799999998</v>
      </c>
      <c r="F5" s="9">
        <v>12.1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</row>
    <row r="6" spans="2:31" ht="14.5" thickBot="1">
      <c r="B6" s="10"/>
      <c r="C6" s="9"/>
      <c r="D6" s="9" t="s">
        <v>535</v>
      </c>
      <c r="E6" s="76">
        <f>SUMIF('Full BS-USD'!$K$9:$K$201,F6,'Full BS-USD'!$J$9:$J$201)/1000-E5-2</f>
        <v>453.17372999999998</v>
      </c>
      <c r="F6" s="9">
        <v>12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</row>
    <row r="7" spans="2:31" ht="14">
      <c r="B7" s="10"/>
      <c r="C7" s="9"/>
      <c r="D7" s="9"/>
      <c r="E7" s="79">
        <f>SUM(E5:E6)</f>
        <v>2035.9119099999998</v>
      </c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</row>
    <row r="8" spans="2:31" ht="14">
      <c r="E8" s="275">
        <f>+E7-'BS USD'!Q13</f>
        <v>-1.088090000000193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</row>
    <row r="9" spans="2:31" ht="14"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</row>
    <row r="10" spans="2:31" ht="14">
      <c r="B10" s="10">
        <v>4</v>
      </c>
      <c r="C10" s="9"/>
      <c r="D10" s="9" t="s">
        <v>536</v>
      </c>
      <c r="E10" s="15">
        <f>+SUMIF('Full BS-USD'!$K$9:$K$201,F10,'Full BS-USD'!$J$9:$J$201)/1000</f>
        <v>404.47205999999994</v>
      </c>
      <c r="F10" s="9">
        <v>13.1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</row>
    <row r="11" spans="2:31" ht="14">
      <c r="B11" s="10"/>
      <c r="C11" s="9"/>
      <c r="D11" s="9" t="s">
        <v>537</v>
      </c>
      <c r="E11" s="15">
        <f>+SUMIF('Full BS-USD'!$K$9:$K$201,F11,'Full BS-USD'!$J$9:$J$201)/1000</f>
        <v>197.99699000000001</v>
      </c>
      <c r="F11" s="9">
        <v>13.2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</row>
    <row r="12" spans="2:31" ht="14.5" thickBot="1">
      <c r="B12" s="10"/>
      <c r="C12" s="9"/>
      <c r="D12" s="9" t="s">
        <v>538</v>
      </c>
      <c r="E12" s="76">
        <f>SUMIF('Full BS-USD'!$K$9:$K$201,F12,'Full BS-USD'!$J$9:$J$201)/1000-E11-E10-'Full BS-USD'!J143/1000</f>
        <v>173.5049200000004</v>
      </c>
      <c r="F12" s="9">
        <v>13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</row>
    <row r="13" spans="2:31" ht="14">
      <c r="B13" s="10"/>
      <c r="D13" s="9"/>
      <c r="E13" s="79">
        <f>SUM(E10:E12)</f>
        <v>775.97397000000035</v>
      </c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</row>
    <row r="14" spans="2:31" ht="14">
      <c r="B14" s="10"/>
      <c r="E14" s="275">
        <f>+E13-'BS USD'!Q14</f>
        <v>-2.6029999999650499E-2</v>
      </c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spans="2:31" ht="14">
      <c r="B15" s="10">
        <v>5</v>
      </c>
      <c r="D15" s="9" t="s">
        <v>539</v>
      </c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</row>
    <row r="16" spans="2:31" ht="14">
      <c r="B16" s="10"/>
      <c r="D16" s="9" t="s">
        <v>540</v>
      </c>
      <c r="E16" s="15">
        <f>+SUMIF('Full BS-USD'!$K$9:$K$201,F16,'Full BS-USD'!$J$9:$J$201)/1000</f>
        <v>197.37263000000002</v>
      </c>
      <c r="F16" s="9">
        <v>15.1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</row>
    <row r="17" spans="2:31" ht="14">
      <c r="B17" s="10"/>
      <c r="D17" s="9" t="s">
        <v>541</v>
      </c>
      <c r="E17" s="15">
        <f>+SUMIF('Full BS-USD'!$K$9:$K$201,F17,'Full BS-USD'!$J$9:$J$201)/1000</f>
        <v>18.921979999999998</v>
      </c>
      <c r="F17" s="9">
        <v>15.2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</row>
    <row r="18" spans="2:31" ht="14.5" thickBot="1">
      <c r="B18" s="10"/>
      <c r="D18" s="9" t="s">
        <v>542</v>
      </c>
      <c r="E18" s="76">
        <f>SUMIF('Full BS-USD'!$K$9:$K$201,F18,'Full BS-USD'!$J$9:$J$201)/1000</f>
        <v>2.6523300000000001</v>
      </c>
      <c r="F18" s="9">
        <v>15.3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</row>
    <row r="19" spans="2:31" ht="14">
      <c r="B19" s="10"/>
      <c r="E19" s="79">
        <f>SUM(E16:E18)</f>
        <v>218.94694000000001</v>
      </c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</row>
    <row r="20" spans="2:31" ht="14">
      <c r="B20" s="10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</row>
    <row r="21" spans="2:31" ht="14">
      <c r="B21" s="10"/>
      <c r="D21" s="9" t="s">
        <v>543</v>
      </c>
      <c r="E21" s="15">
        <f>SUMIF('Full BS-USD'!$K$9:$K$201,F21,'Full BS-USD'!$J$9:$J$201)/1000</f>
        <v>-95.86851999999999</v>
      </c>
      <c r="F21" s="9">
        <v>15.4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</row>
    <row r="22" spans="2:31" ht="14">
      <c r="B22" s="10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</row>
    <row r="23" spans="2:31" ht="14">
      <c r="B23" s="10"/>
      <c r="D23" s="9" t="s">
        <v>544</v>
      </c>
      <c r="E23" s="15">
        <f>+E19+E21</f>
        <v>123.07842000000002</v>
      </c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</row>
    <row r="24" spans="2:31" ht="14">
      <c r="B24" s="10"/>
      <c r="D24" s="9"/>
      <c r="E24" s="275">
        <f>+E23-'BS USD'!Q21</f>
        <v>7.8420000000022583E-2</v>
      </c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</row>
    <row r="25" spans="2:31" ht="14">
      <c r="B25" s="10"/>
      <c r="D25" s="9"/>
      <c r="E25" s="15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</row>
    <row r="26" spans="2:31" ht="14">
      <c r="B26" s="10"/>
      <c r="D26" s="9"/>
      <c r="E26" s="15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</row>
    <row r="27" spans="2:31" ht="14">
      <c r="B27" s="10">
        <v>6</v>
      </c>
      <c r="C27" s="9"/>
      <c r="D27" s="9" t="s">
        <v>545</v>
      </c>
      <c r="E27" s="15">
        <f>+SUMIF('Full BS-USD'!$K$9:$K$201,F27,'Full BS-USD'!$J$9:$J$201)/1000</f>
        <v>542.77518999999995</v>
      </c>
      <c r="F27" s="9">
        <v>17.100000000000001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</row>
    <row r="28" spans="2:31" ht="14">
      <c r="B28" s="10"/>
      <c r="C28" s="9"/>
      <c r="D28" s="9" t="s">
        <v>547</v>
      </c>
      <c r="E28" s="15">
        <f>+SUMIF('Full BS-USD'!$K$9:$K$201,F28,'Full BS-USD'!$J$9:$J$201)/1000</f>
        <v>136.42016000000001</v>
      </c>
      <c r="F28" s="9">
        <v>17.2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</row>
    <row r="29" spans="2:31" ht="14.5" thickBot="1">
      <c r="B29" s="10"/>
      <c r="C29" s="9"/>
      <c r="D29" s="9" t="s">
        <v>546</v>
      </c>
      <c r="E29" s="76">
        <f>+SUMIF('Full BS-USD'!$K$9:$K$201,F29,'Full BS-USD'!$J$9:$J$201)/1000-E28-E27</f>
        <v>112.90160000000037</v>
      </c>
      <c r="F29" s="9">
        <v>17</v>
      </c>
      <c r="G29" s="92" t="s">
        <v>645</v>
      </c>
      <c r="H29" s="36"/>
      <c r="I29" s="36"/>
      <c r="J29" s="36"/>
      <c r="K29" s="36"/>
      <c r="L29" s="36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</row>
    <row r="30" spans="2:31" ht="14">
      <c r="B30" s="10"/>
      <c r="D30" s="9"/>
      <c r="E30" s="79">
        <f>SUM(E27:E29)</f>
        <v>792.09695000000033</v>
      </c>
      <c r="F30" s="9"/>
      <c r="G30" s="9"/>
      <c r="H30" s="9"/>
      <c r="I30" s="9"/>
      <c r="J30" s="9"/>
      <c r="K30" s="9"/>
      <c r="L30" s="9"/>
      <c r="N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</row>
    <row r="31" spans="2:31" ht="14">
      <c r="B31" s="10"/>
      <c r="E31" s="275">
        <f>+E30-'BS USD'!Q35</f>
        <v>9.6950000000333603E-2</v>
      </c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</row>
    <row r="32" spans="2:31" ht="14">
      <c r="B32" s="10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</row>
    <row r="33" spans="2:31" ht="14">
      <c r="B33" s="10">
        <v>8</v>
      </c>
      <c r="D33" s="9" t="s">
        <v>549</v>
      </c>
      <c r="F33" s="9"/>
      <c r="G33" s="9"/>
      <c r="H33" s="9"/>
      <c r="I33" s="9"/>
      <c r="J33" s="9"/>
      <c r="K33" s="9"/>
      <c r="L33" s="9"/>
      <c r="M33" s="9"/>
      <c r="N33" s="9"/>
      <c r="O33" s="9" t="s">
        <v>557</v>
      </c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</row>
    <row r="34" spans="2:31" ht="14">
      <c r="F34" s="9"/>
      <c r="G34" s="9"/>
      <c r="H34" s="9"/>
      <c r="I34" s="9"/>
      <c r="J34" s="9"/>
      <c r="K34" s="9"/>
      <c r="L34" s="9"/>
      <c r="M34" s="9"/>
      <c r="N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</row>
    <row r="35" spans="2:31" ht="14">
      <c r="B35" s="10"/>
      <c r="G35" s="9"/>
      <c r="H35" s="9"/>
      <c r="I35" s="9"/>
      <c r="J35" s="9"/>
      <c r="K35" s="9"/>
      <c r="L35" s="9"/>
      <c r="M35" s="9"/>
      <c r="N35" s="9"/>
      <c r="O35" s="331">
        <v>2022</v>
      </c>
      <c r="P35" s="331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</row>
    <row r="36" spans="2:31" ht="56.5" thickBot="1">
      <c r="B36" s="10"/>
      <c r="E36" s="9" t="s">
        <v>555</v>
      </c>
      <c r="F36" s="85" t="s">
        <v>556</v>
      </c>
      <c r="G36" s="9"/>
      <c r="H36" s="9"/>
      <c r="I36" s="9"/>
      <c r="J36" s="9" t="s">
        <v>555</v>
      </c>
      <c r="K36" s="85" t="s">
        <v>556</v>
      </c>
      <c r="L36" s="9"/>
      <c r="M36" s="9"/>
      <c r="N36" s="9"/>
      <c r="O36" s="94" t="s">
        <v>558</v>
      </c>
      <c r="P36" s="93" t="s">
        <v>559</v>
      </c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</row>
    <row r="37" spans="2:31" ht="14.5" thickBot="1">
      <c r="B37" s="10"/>
      <c r="E37" s="332" t="s">
        <v>554</v>
      </c>
      <c r="F37" s="332"/>
      <c r="G37" s="9"/>
      <c r="H37" s="9"/>
      <c r="I37" s="9"/>
      <c r="J37" s="332" t="s">
        <v>646</v>
      </c>
      <c r="K37" s="332"/>
      <c r="L37" s="9"/>
      <c r="M37" s="9"/>
      <c r="N37" s="9" t="s">
        <v>560</v>
      </c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</row>
    <row r="38" spans="2:31" ht="14">
      <c r="B38" s="10"/>
      <c r="D38" s="9" t="s">
        <v>550</v>
      </c>
      <c r="E38" s="186">
        <v>3074000</v>
      </c>
      <c r="F38" s="186">
        <v>1223458</v>
      </c>
      <c r="G38" s="9"/>
      <c r="H38" s="9"/>
      <c r="I38" s="9"/>
      <c r="J38" s="186">
        <v>3074000</v>
      </c>
      <c r="K38" s="186">
        <v>1220858</v>
      </c>
      <c r="L38" s="9"/>
      <c r="M38" s="9"/>
      <c r="N38" s="9" t="s">
        <v>508</v>
      </c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</row>
    <row r="39" spans="2:31" ht="14">
      <c r="B39" s="10"/>
      <c r="D39" s="9" t="s">
        <v>551</v>
      </c>
      <c r="E39" s="186">
        <v>205000</v>
      </c>
      <c r="F39" s="186">
        <v>180881</v>
      </c>
      <c r="G39" s="9"/>
      <c r="H39" s="9"/>
      <c r="I39" s="9"/>
      <c r="J39" s="186">
        <v>205000</v>
      </c>
      <c r="K39" s="186">
        <v>180881</v>
      </c>
      <c r="L39" s="9"/>
      <c r="M39" s="9"/>
      <c r="N39" s="9" t="s">
        <v>561</v>
      </c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</row>
    <row r="40" spans="2:31" ht="14">
      <c r="B40" s="10"/>
      <c r="C40" s="9"/>
      <c r="D40" s="9" t="s">
        <v>552</v>
      </c>
      <c r="E40" s="186">
        <v>651000</v>
      </c>
      <c r="F40" s="186">
        <v>641271</v>
      </c>
      <c r="G40" s="9"/>
      <c r="H40" s="9"/>
      <c r="I40" s="9"/>
      <c r="J40" s="186">
        <v>651000</v>
      </c>
      <c r="K40" s="186">
        <v>514024</v>
      </c>
      <c r="L40" s="9"/>
      <c r="M40" s="9"/>
      <c r="N40" s="9" t="s">
        <v>562</v>
      </c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</row>
    <row r="41" spans="2:31" ht="14">
      <c r="B41" s="10"/>
      <c r="C41" s="9"/>
      <c r="D41" s="9" t="s">
        <v>553</v>
      </c>
      <c r="E41" s="187">
        <v>1070000</v>
      </c>
      <c r="F41" s="187">
        <v>967678</v>
      </c>
      <c r="G41" s="79">
        <f>+K41</f>
        <v>968749</v>
      </c>
      <c r="H41" s="79">
        <f>+F41-G41</f>
        <v>-1071</v>
      </c>
      <c r="I41" s="79"/>
      <c r="J41" s="187">
        <v>1070000</v>
      </c>
      <c r="K41" s="188">
        <v>968749</v>
      </c>
      <c r="L41" s="7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</row>
    <row r="42" spans="2:31" ht="14">
      <c r="B42" s="10"/>
      <c r="C42" s="9"/>
      <c r="D42" s="9"/>
      <c r="E42" s="186">
        <f>SUM(E38:E41)</f>
        <v>5000000</v>
      </c>
      <c r="F42" s="186">
        <f>SUM(F38:F41)</f>
        <v>3013288</v>
      </c>
      <c r="G42" s="9"/>
      <c r="H42" s="9"/>
      <c r="I42" s="9"/>
      <c r="J42" s="186">
        <f>SUM(J38:J41)</f>
        <v>5000000</v>
      </c>
      <c r="K42" s="186">
        <f>SUM(K38:K41)</f>
        <v>2884512</v>
      </c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</row>
    <row r="43" spans="2:31" ht="14">
      <c r="B43" s="10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</row>
    <row r="44" spans="2:31" ht="14">
      <c r="B44" s="10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</row>
    <row r="45" spans="2:31" ht="14">
      <c r="B45" s="10"/>
      <c r="C45" s="9"/>
      <c r="D45" s="9"/>
      <c r="E45" s="9"/>
      <c r="F45" s="9"/>
      <c r="G45" s="9"/>
      <c r="H45" s="9"/>
      <c r="I45" s="9"/>
      <c r="J45" s="9"/>
      <c r="K45" s="9" t="s">
        <v>647</v>
      </c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</row>
    <row r="46" spans="2:31" ht="14">
      <c r="B46" s="10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</row>
    <row r="47" spans="2:31" ht="14.5" thickBot="1">
      <c r="B47" s="10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</row>
    <row r="48" spans="2:31" s="82" customFormat="1" ht="14.5" thickBot="1">
      <c r="B48" s="80"/>
      <c r="C48" s="81"/>
      <c r="D48" s="81" t="s">
        <v>532</v>
      </c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</row>
    <row r="49" spans="2:31" ht="14">
      <c r="B49" s="10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</row>
    <row r="50" spans="2:31" ht="14">
      <c r="B50" s="10">
        <v>9</v>
      </c>
      <c r="C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</row>
    <row r="51" spans="2:31" ht="14">
      <c r="B51" s="10"/>
      <c r="C51" s="9"/>
      <c r="D51" s="9" t="s">
        <v>524</v>
      </c>
      <c r="E51" s="15">
        <v>5884</v>
      </c>
      <c r="F51" s="9" t="s">
        <v>526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</row>
    <row r="52" spans="2:31" ht="14.5" thickBot="1">
      <c r="B52" s="10"/>
      <c r="C52" s="9"/>
      <c r="D52" s="9" t="s">
        <v>525</v>
      </c>
      <c r="E52" s="76">
        <f>965+97</f>
        <v>1062</v>
      </c>
      <c r="F52" s="9" t="s">
        <v>526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</row>
    <row r="53" spans="2:31" ht="14">
      <c r="B53" s="10"/>
      <c r="C53" s="9"/>
      <c r="D53" s="9"/>
      <c r="E53" s="79">
        <f>SUM(E51:E52)</f>
        <v>6946</v>
      </c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</row>
    <row r="54" spans="2:31" ht="14">
      <c r="B54" s="10"/>
      <c r="C54" s="9"/>
      <c r="D54" s="9"/>
      <c r="E54" s="15">
        <f>+'P&amp;L'!O8</f>
        <v>6850</v>
      </c>
      <c r="F54" s="9" t="s">
        <v>527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</row>
    <row r="55" spans="2:31" ht="14">
      <c r="B55" s="10"/>
      <c r="C55" s="9"/>
      <c r="D55" s="9"/>
      <c r="E55" s="276">
        <f>+E53-E54</f>
        <v>96</v>
      </c>
      <c r="F55" s="9" t="s">
        <v>528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</row>
    <row r="56" spans="2:31" ht="14">
      <c r="B56" s="10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</row>
    <row r="57" spans="2:31" ht="14"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</row>
    <row r="58" spans="2:31" ht="14"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</row>
    <row r="59" spans="2:31" ht="14">
      <c r="B59" s="10">
        <v>10</v>
      </c>
      <c r="C59" s="9"/>
      <c r="D59" s="9" t="s">
        <v>529</v>
      </c>
      <c r="E59" s="15">
        <f>-SUMIF('Full P&amp;L-USD'!$J$8:$J$808,F59,'Full P&amp;L-USD'!$I$8:$I$808)/1000+1</f>
        <v>903.61397000000011</v>
      </c>
      <c r="F59" s="9">
        <v>2.1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</row>
    <row r="60" spans="2:31" ht="14.5" thickBot="1">
      <c r="B60" s="10"/>
      <c r="C60" s="9"/>
      <c r="D60" s="9" t="s">
        <v>530</v>
      </c>
      <c r="E60" s="76">
        <f>-SUMIF('Full P&amp;L-USD'!$J$8:$J$808,F60,'Full P&amp;L-USD'!$I$8:$I$808)/1000+1</f>
        <v>1238.8132899999998</v>
      </c>
      <c r="F60" s="9">
        <v>2.2000000000000002</v>
      </c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</row>
    <row r="61" spans="2:31" ht="14">
      <c r="B61" s="10"/>
      <c r="C61" s="9"/>
      <c r="D61" s="9"/>
      <c r="E61" s="79">
        <f>SUM(E59:E60)</f>
        <v>2142.4272599999999</v>
      </c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</row>
    <row r="62" spans="2:31" ht="14">
      <c r="E62" s="277">
        <f>+E61+'P&amp;L'!O10</f>
        <v>0.42725999999993292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</row>
    <row r="63" spans="2:31" ht="14"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</row>
    <row r="64" spans="2:31" ht="14"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</row>
    <row r="65" spans="2:31" ht="14"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</row>
    <row r="66" spans="2:31" ht="14"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</row>
    <row r="67" spans="2:31" ht="14">
      <c r="B67" s="10">
        <v>11</v>
      </c>
      <c r="C67" s="9"/>
      <c r="D67" s="9" t="s">
        <v>521</v>
      </c>
      <c r="E67" s="15">
        <f>+SUMIF('Full P&amp;L-USD'!$J$8:$J$826,F67,'Full P&amp;L-USD'!$I$8:$I$826)/1000</f>
        <v>65.471499999999992</v>
      </c>
      <c r="F67" s="9">
        <v>6.1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</row>
    <row r="68" spans="2:31" ht="14">
      <c r="B68" s="9"/>
      <c r="C68" s="9"/>
      <c r="D68" s="9" t="s">
        <v>522</v>
      </c>
      <c r="E68" s="15">
        <f>+SUMIF('Full P&amp;L-USD'!$J$8:$J$826,F68,'Full P&amp;L-USD'!$I$8:$I$826)/1000</f>
        <v>48.154050000000012</v>
      </c>
      <c r="F68" s="9">
        <v>6.2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</row>
    <row r="69" spans="2:31" ht="14">
      <c r="B69" s="9"/>
      <c r="C69" s="9"/>
      <c r="D69" s="9" t="s">
        <v>523</v>
      </c>
      <c r="E69" s="15">
        <f>+SUMIF('Full P&amp;L-USD'!$J$8:$J$826,F69,'Full P&amp;L-USD'!$I$8:$I$826)/1000</f>
        <v>0</v>
      </c>
      <c r="F69" s="9">
        <v>6.3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</row>
    <row r="70" spans="2:31" ht="14.5" thickBot="1">
      <c r="B70" s="9"/>
      <c r="C70" s="9"/>
      <c r="D70" s="9" t="s">
        <v>760</v>
      </c>
      <c r="E70" s="76">
        <f>-SUMIF('Full P&amp;L-USD'!$J$8:$J$808,F70,'Full P&amp;L-USD'!$I$8:$I$808)/1000</f>
        <v>-317.23696999999999</v>
      </c>
      <c r="F70" s="9">
        <v>6.4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</row>
    <row r="71" spans="2:31" ht="14">
      <c r="B71" s="9"/>
      <c r="C71" s="9"/>
      <c r="D71" s="9"/>
      <c r="E71" s="75">
        <f>SUM(E67:E70)</f>
        <v>-203.61141999999998</v>
      </c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</row>
    <row r="72" spans="2:31" ht="14">
      <c r="B72" s="9"/>
      <c r="C72" s="9"/>
      <c r="D72" s="9"/>
      <c r="E72" s="277">
        <f>+E71+'P&amp;L'!O25</f>
        <v>0.3885800000000188</v>
      </c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</row>
    <row r="73" spans="2:31" ht="14">
      <c r="B73" s="9"/>
      <c r="C73" s="9"/>
      <c r="D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</row>
    <row r="74" spans="2:31" ht="14"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</row>
    <row r="75" spans="2:31" ht="14"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</row>
    <row r="76" spans="2:31" ht="14"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</row>
    <row r="77" spans="2:31" ht="14"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</row>
    <row r="78" spans="2:31" ht="14"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</row>
    <row r="79" spans="2:31" ht="14"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</row>
    <row r="80" spans="2:31" ht="14"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</row>
    <row r="81" spans="2:31" ht="14"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</row>
    <row r="82" spans="2:31" ht="14"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</row>
    <row r="83" spans="2:31" ht="14"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</row>
    <row r="84" spans="2:31" ht="14"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</row>
    <row r="85" spans="2:31" ht="14"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</row>
    <row r="86" spans="2:31" ht="14"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</row>
    <row r="87" spans="2:31" ht="14"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</row>
    <row r="88" spans="2:31" ht="14"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</row>
    <row r="89" spans="2:31" ht="14"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</row>
    <row r="90" spans="2:31" ht="14"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</row>
    <row r="91" spans="2:31" ht="14"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</row>
    <row r="92" spans="2:31" ht="14"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</row>
    <row r="93" spans="2:31" ht="14"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</row>
    <row r="94" spans="2:31" ht="14"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</row>
    <row r="95" spans="2:31" ht="14"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</row>
    <row r="96" spans="2:31" ht="14"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</row>
    <row r="97" spans="2:31" ht="14"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</row>
    <row r="98" spans="2:31" ht="14"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</row>
    <row r="99" spans="2:31" ht="14"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</row>
    <row r="100" spans="2:31" ht="14"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</row>
    <row r="101" spans="2:31" ht="14"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</row>
    <row r="102" spans="2:31" ht="14"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</row>
    <row r="103" spans="2:31" ht="14"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</row>
    <row r="104" spans="2:31" ht="14"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</row>
    <row r="105" spans="2:31" ht="14"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</row>
    <row r="106" spans="2:31" ht="14"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</row>
    <row r="107" spans="2:31" ht="14"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</row>
    <row r="108" spans="2:31" ht="14"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</row>
    <row r="109" spans="2:31" ht="14"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</row>
    <row r="110" spans="2:31" ht="14"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</row>
    <row r="111" spans="2:31" ht="14"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</row>
    <row r="112" spans="2:31" ht="14"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</row>
    <row r="113" spans="2:31" ht="14"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</row>
    <row r="114" spans="2:31" ht="14"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</row>
    <row r="115" spans="2:31" ht="14"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</row>
    <row r="116" spans="2:31" ht="14"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</row>
    <row r="117" spans="2:31" ht="14"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</row>
    <row r="118" spans="2:31" ht="14"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</row>
    <row r="119" spans="2:31" ht="14"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</row>
    <row r="120" spans="2:31" ht="14"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</row>
    <row r="121" spans="2:31" ht="14"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</row>
    <row r="122" spans="2:31" ht="14"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</row>
    <row r="123" spans="2:31" ht="14"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</row>
    <row r="124" spans="2:31" ht="14"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</row>
    <row r="125" spans="2:31" ht="14"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</row>
    <row r="126" spans="2:31" ht="14"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</row>
    <row r="127" spans="2:31" ht="14"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</row>
    <row r="128" spans="2:31" ht="14"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</row>
    <row r="129" spans="2:31" ht="14"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</row>
    <row r="130" spans="2:31" ht="14"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</row>
    <row r="131" spans="2:31" ht="14"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</row>
    <row r="132" spans="2:31" ht="14"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</row>
    <row r="133" spans="2:31" ht="14"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</row>
    <row r="134" spans="2:31" ht="14"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</row>
    <row r="135" spans="2:31" ht="14"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</row>
    <row r="136" spans="2:31" ht="14"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</row>
    <row r="137" spans="2:31" ht="14"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</row>
    <row r="138" spans="2:31" ht="14"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</row>
    <row r="139" spans="2:31" ht="14"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</row>
    <row r="140" spans="2:31" ht="14"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</row>
    <row r="141" spans="2:31" ht="14"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</row>
    <row r="142" spans="2:31" ht="14"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</row>
    <row r="143" spans="2:31" ht="14"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</row>
    <row r="144" spans="2:31" ht="14"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</row>
    <row r="145" spans="2:31" ht="14"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</row>
    <row r="146" spans="2:31" ht="14"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</row>
    <row r="147" spans="2:31" ht="14"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</row>
    <row r="148" spans="2:31" ht="14"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</row>
    <row r="149" spans="2:31" ht="14"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</row>
    <row r="150" spans="2:31" ht="14"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</row>
    <row r="151" spans="2:31" ht="14"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</row>
    <row r="152" spans="2:31" ht="14"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</row>
    <row r="153" spans="2:31" ht="14"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</row>
    <row r="154" spans="2:31" ht="14"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</row>
    <row r="155" spans="2:31" ht="14"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</row>
    <row r="156" spans="2:31" ht="14"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</row>
    <row r="157" spans="2:31" ht="14"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</row>
    <row r="158" spans="2:31" ht="14"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</row>
    <row r="159" spans="2:31" ht="14"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</row>
    <row r="160" spans="2:31" ht="14"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</row>
    <row r="161" spans="2:31" ht="14"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</row>
    <row r="162" spans="2:31" ht="14"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</row>
    <row r="163" spans="2:31" ht="14"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</row>
    <row r="164" spans="2:31" ht="14"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</row>
    <row r="165" spans="2:31" ht="14"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</row>
    <row r="166" spans="2:31" ht="14"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</row>
    <row r="167" spans="2:31" ht="14"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</row>
    <row r="168" spans="2:31" ht="14"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</row>
  </sheetData>
  <mergeCells count="3">
    <mergeCell ref="O35:P35"/>
    <mergeCell ref="E37:F37"/>
    <mergeCell ref="J37:K3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1ED06-5B39-4691-BEA6-8AE6DBC276B6}">
  <dimension ref="A5:U71"/>
  <sheetViews>
    <sheetView topLeftCell="A28" zoomScale="130" zoomScaleNormal="130" workbookViewId="0">
      <selection activeCell="D61" sqref="D61"/>
    </sheetView>
  </sheetViews>
  <sheetFormatPr defaultColWidth="9.33203125" defaultRowHeight="14.5"/>
  <cols>
    <col min="1" max="1" width="39.6640625" style="70" bestFit="1" customWidth="1"/>
    <col min="2" max="2" width="18.33203125" style="70" bestFit="1" customWidth="1"/>
    <col min="3" max="3" width="20.44140625" style="70" bestFit="1" customWidth="1"/>
    <col min="4" max="6" width="20.6640625" style="70" customWidth="1"/>
    <col min="7" max="7" width="13.44140625" style="70" customWidth="1"/>
    <col min="8" max="10" width="9.33203125" style="70"/>
    <col min="11" max="11" width="13" style="70" bestFit="1" customWidth="1"/>
    <col min="12" max="12" width="12.44140625" style="70" customWidth="1"/>
    <col min="13" max="14" width="9.33203125" style="70"/>
    <col min="15" max="15" width="9.44140625" style="70" bestFit="1" customWidth="1"/>
    <col min="16" max="17" width="15.44140625" style="70" bestFit="1" customWidth="1"/>
    <col min="18" max="18" width="9.33203125" style="70"/>
    <col min="19" max="19" width="11.109375" style="70" bestFit="1" customWidth="1"/>
    <col min="20" max="20" width="15.109375" style="70" bestFit="1" customWidth="1"/>
    <col min="21" max="16384" width="9.33203125" style="70"/>
  </cols>
  <sheetData>
    <row r="5" spans="1:6" ht="43.5">
      <c r="A5" s="282"/>
      <c r="B5" s="283" t="s">
        <v>502</v>
      </c>
      <c r="C5" s="283" t="s">
        <v>503</v>
      </c>
      <c r="D5" s="283" t="s">
        <v>504</v>
      </c>
      <c r="E5" s="283" t="s">
        <v>505</v>
      </c>
      <c r="F5" s="283" t="s">
        <v>506</v>
      </c>
    </row>
    <row r="6" spans="1:6">
      <c r="A6" s="284" t="s">
        <v>507</v>
      </c>
      <c r="B6" s="285">
        <v>146702</v>
      </c>
      <c r="C6" s="285">
        <v>8.4313219568521447</v>
      </c>
      <c r="D6" s="282"/>
      <c r="E6" s="282"/>
      <c r="F6" s="285">
        <v>3604274.2062858772</v>
      </c>
    </row>
    <row r="7" spans="1:6">
      <c r="A7" s="284" t="s">
        <v>508</v>
      </c>
      <c r="B7" s="285">
        <v>23750</v>
      </c>
      <c r="C7" s="285">
        <v>21.18</v>
      </c>
      <c r="D7" s="282"/>
      <c r="E7" s="282"/>
      <c r="F7" s="282"/>
    </row>
    <row r="8" spans="1:6">
      <c r="A8" s="284" t="s">
        <v>509</v>
      </c>
      <c r="B8" s="285">
        <v>-2600</v>
      </c>
      <c r="C8" s="285">
        <v>4.3474828950532274</v>
      </c>
      <c r="D8" s="285">
        <v>4.3474828950532274</v>
      </c>
      <c r="E8" s="282"/>
      <c r="F8" s="282"/>
    </row>
    <row r="9" spans="1:6">
      <c r="A9" s="284" t="s">
        <v>510</v>
      </c>
      <c r="B9" s="285">
        <v>-5752</v>
      </c>
      <c r="C9" s="285">
        <v>13.903859527121002</v>
      </c>
      <c r="D9" s="282"/>
      <c r="E9" s="282"/>
      <c r="F9" s="282"/>
    </row>
    <row r="10" spans="1:6">
      <c r="A10" s="284" t="s">
        <v>511</v>
      </c>
      <c r="B10" s="285">
        <v>-765</v>
      </c>
      <c r="C10" s="285">
        <v>12.5</v>
      </c>
      <c r="D10" s="282"/>
      <c r="E10" s="282"/>
      <c r="F10" s="282"/>
    </row>
    <row r="11" spans="1:6">
      <c r="A11" s="284" t="s">
        <v>512</v>
      </c>
      <c r="B11" s="285">
        <v>161335</v>
      </c>
      <c r="C11" s="285">
        <v>10.159456027439706</v>
      </c>
      <c r="D11" s="282"/>
      <c r="E11" s="285">
        <v>7.7855858340657642</v>
      </c>
      <c r="F11" s="285">
        <v>3684979.1618130151</v>
      </c>
    </row>
    <row r="12" spans="1:6">
      <c r="A12" s="284" t="s">
        <v>513</v>
      </c>
      <c r="B12" s="285">
        <v>89352</v>
      </c>
      <c r="C12" s="285">
        <v>4.993528502563028</v>
      </c>
      <c r="D12" s="282"/>
      <c r="E12" s="285">
        <v>6.9678835078341841</v>
      </c>
      <c r="F12" s="285">
        <v>2502434.2412389885</v>
      </c>
    </row>
    <row r="15" spans="1:6" s="240" customFormat="1"/>
    <row r="18" spans="1:21">
      <c r="B18" s="333">
        <v>2022</v>
      </c>
      <c r="C18" s="333"/>
      <c r="K18"/>
      <c r="L18"/>
      <c r="M18"/>
      <c r="N18"/>
      <c r="O18"/>
      <c r="P18"/>
      <c r="Q18"/>
      <c r="R18"/>
      <c r="S18"/>
    </row>
    <row r="19" spans="1:21" ht="29">
      <c r="B19" s="235" t="s">
        <v>725</v>
      </c>
      <c r="C19" s="235" t="s">
        <v>726</v>
      </c>
      <c r="E19" s="247" t="s">
        <v>741</v>
      </c>
      <c r="K19"/>
      <c r="L19"/>
      <c r="M19"/>
      <c r="N19"/>
      <c r="O19"/>
      <c r="P19"/>
      <c r="Q19"/>
      <c r="R19"/>
      <c r="S19"/>
    </row>
    <row r="20" spans="1:21">
      <c r="A20" s="234" t="s">
        <v>560</v>
      </c>
      <c r="B20" s="238">
        <v>105702</v>
      </c>
      <c r="C20" s="70">
        <v>5.47</v>
      </c>
      <c r="E20" s="248">
        <f>+B20/B22</f>
        <v>0.8165343138769583</v>
      </c>
      <c r="F20" s="249">
        <f>+C20*E20</f>
        <v>4.4664426969069613</v>
      </c>
      <c r="K20"/>
      <c r="L20" t="s">
        <v>758</v>
      </c>
      <c r="M20"/>
      <c r="N20"/>
      <c r="O20"/>
      <c r="P20"/>
      <c r="Q20"/>
      <c r="R20"/>
      <c r="S20"/>
    </row>
    <row r="21" spans="1:21">
      <c r="A21" s="234" t="s">
        <v>508</v>
      </c>
      <c r="B21" s="241">
        <f>+B7</f>
        <v>23750</v>
      </c>
      <c r="C21" s="243">
        <f>+C7</f>
        <v>21.18</v>
      </c>
      <c r="E21" s="250">
        <f>+B21/B22</f>
        <v>0.18346568612304173</v>
      </c>
      <c r="F21" s="251">
        <f>+E21*C21</f>
        <v>3.8858032320860239</v>
      </c>
      <c r="K21"/>
      <c r="L21" s="258" t="s">
        <v>742</v>
      </c>
      <c r="M21" s="259"/>
      <c r="N21" s="259"/>
      <c r="O21" s="259"/>
      <c r="P21" s="259"/>
      <c r="Q21" s="259"/>
      <c r="R21" s="259"/>
      <c r="S21" s="259"/>
      <c r="T21" s="259"/>
      <c r="U21" s="260"/>
    </row>
    <row r="22" spans="1:21">
      <c r="A22" s="234" t="s">
        <v>561</v>
      </c>
      <c r="B22" s="238">
        <f>+B21+B20</f>
        <v>129452</v>
      </c>
      <c r="C22" s="70">
        <v>8.35</v>
      </c>
      <c r="D22" s="70" t="s">
        <v>741</v>
      </c>
      <c r="E22" s="252"/>
      <c r="F22" s="253">
        <f>+F21+F20</f>
        <v>8.3522459289929856</v>
      </c>
      <c r="K22"/>
      <c r="L22" s="259" t="s">
        <v>743</v>
      </c>
      <c r="M22" s="259"/>
      <c r="N22" s="259"/>
      <c r="O22" s="259"/>
      <c r="P22" s="259"/>
      <c r="Q22" s="259"/>
      <c r="R22" s="259"/>
      <c r="S22" s="259"/>
      <c r="T22" s="259"/>
      <c r="U22" s="260"/>
    </row>
    <row r="23" spans="1:21" ht="15" thickBot="1">
      <c r="A23" s="234" t="s">
        <v>724</v>
      </c>
      <c r="B23" s="242">
        <f>+B12</f>
        <v>89352</v>
      </c>
      <c r="C23" s="244">
        <f>+C12</f>
        <v>4.993528502563028</v>
      </c>
      <c r="K23"/>
      <c r="L23" s="259"/>
      <c r="M23" s="259"/>
      <c r="N23" s="259"/>
      <c r="O23" s="259"/>
      <c r="P23" s="259"/>
      <c r="Q23" s="259"/>
      <c r="R23" s="259"/>
      <c r="S23" s="259"/>
      <c r="T23" s="259"/>
      <c r="U23" s="260"/>
    </row>
    <row r="24" spans="1:21" ht="47" thickTop="1" thickBot="1">
      <c r="L24" s="261" t="s">
        <v>744</v>
      </c>
      <c r="M24" s="261" t="s">
        <v>745</v>
      </c>
      <c r="N24" s="261" t="s">
        <v>746</v>
      </c>
      <c r="O24" s="262" t="s">
        <v>747</v>
      </c>
      <c r="P24" s="263" t="s">
        <v>748</v>
      </c>
      <c r="Q24" s="264" t="s">
        <v>749</v>
      </c>
      <c r="R24" s="265" t="s">
        <v>750</v>
      </c>
      <c r="S24" s="266" t="s">
        <v>751</v>
      </c>
      <c r="T24" s="266" t="s">
        <v>752</v>
      </c>
      <c r="U24" s="260"/>
    </row>
    <row r="25" spans="1:21">
      <c r="L25" s="267" t="s">
        <v>753</v>
      </c>
      <c r="M25" s="267" t="s">
        <v>754</v>
      </c>
      <c r="N25" s="267"/>
      <c r="O25" s="268">
        <v>1216</v>
      </c>
      <c r="P25" s="269">
        <v>43586</v>
      </c>
      <c r="Q25" s="270">
        <v>44650</v>
      </c>
      <c r="R25" s="271"/>
      <c r="S25" s="272">
        <v>2.7829999999999999E-3</v>
      </c>
      <c r="T25" s="272">
        <f>O25*S25</f>
        <v>3.384128</v>
      </c>
      <c r="U25" s="260"/>
    </row>
    <row r="26" spans="1:21">
      <c r="L26" s="267" t="s">
        <v>755</v>
      </c>
      <c r="M26" s="267" t="s">
        <v>756</v>
      </c>
      <c r="N26" s="267"/>
      <c r="O26" s="268">
        <v>800</v>
      </c>
      <c r="P26" s="269">
        <v>43952</v>
      </c>
      <c r="Q26" s="270">
        <v>44921</v>
      </c>
      <c r="R26" s="271"/>
      <c r="S26" s="272">
        <v>5</v>
      </c>
      <c r="T26" s="272">
        <f>O26*S26</f>
        <v>4000</v>
      </c>
      <c r="U26" s="260"/>
    </row>
    <row r="27" spans="1:21">
      <c r="L27" s="267" t="s">
        <v>757</v>
      </c>
      <c r="M27" s="267" t="s">
        <v>754</v>
      </c>
      <c r="N27" s="267"/>
      <c r="O27" s="268">
        <v>584</v>
      </c>
      <c r="P27" s="269">
        <v>44317</v>
      </c>
      <c r="Q27" s="270">
        <v>44650</v>
      </c>
      <c r="R27" s="271"/>
      <c r="S27" s="272">
        <v>12.5</v>
      </c>
      <c r="T27" s="272">
        <f>O27*S27</f>
        <v>7300</v>
      </c>
      <c r="U27" s="260"/>
    </row>
    <row r="28" spans="1:21" ht="46.5" customHeight="1">
      <c r="A28" s="257" t="s">
        <v>727</v>
      </c>
      <c r="B28" s="255" t="s">
        <v>729</v>
      </c>
      <c r="C28" s="255" t="s">
        <v>728</v>
      </c>
      <c r="D28" s="256" t="s">
        <v>730</v>
      </c>
      <c r="E28" s="237" t="s">
        <v>731</v>
      </c>
      <c r="F28" s="256" t="s">
        <v>732</v>
      </c>
      <c r="G28" s="256" t="s">
        <v>733</v>
      </c>
    </row>
    <row r="29" spans="1:21">
      <c r="A29" s="236">
        <v>43647</v>
      </c>
      <c r="B29" s="238">
        <v>14900</v>
      </c>
      <c r="C29" s="238">
        <f>+O25</f>
        <v>1216</v>
      </c>
      <c r="D29" s="238">
        <f>+C29+B29</f>
        <v>16116</v>
      </c>
      <c r="E29" s="239">
        <v>1E-3</v>
      </c>
      <c r="F29" s="238">
        <v>7450</v>
      </c>
      <c r="G29" s="236">
        <f>+A29+365*10+3</f>
        <v>47300</v>
      </c>
    </row>
    <row r="30" spans="1:21">
      <c r="A30" s="236">
        <v>43952</v>
      </c>
      <c r="B30" s="238">
        <v>9500</v>
      </c>
      <c r="C30" s="238">
        <f>+O26</f>
        <v>800</v>
      </c>
      <c r="D30" s="238"/>
      <c r="E30" s="239">
        <v>5</v>
      </c>
      <c r="F30" s="238"/>
      <c r="G30" s="236">
        <f>+A30+365*10+2</f>
        <v>47604</v>
      </c>
    </row>
    <row r="31" spans="1:21">
      <c r="A31" s="236">
        <v>44317</v>
      </c>
      <c r="B31" s="238">
        <v>300</v>
      </c>
      <c r="C31" s="238">
        <f>+O27</f>
        <v>584</v>
      </c>
      <c r="D31" s="238">
        <f>+C31+B31</f>
        <v>884</v>
      </c>
      <c r="E31" s="239">
        <v>12.5</v>
      </c>
      <c r="F31" s="238">
        <v>100</v>
      </c>
      <c r="G31" s="236">
        <f>+A31+365*10+2</f>
        <v>47969</v>
      </c>
    </row>
    <row r="32" spans="1:21">
      <c r="A32" s="254" t="s">
        <v>735</v>
      </c>
      <c r="B32" s="238">
        <v>11800</v>
      </c>
      <c r="C32" s="70" t="s">
        <v>475</v>
      </c>
      <c r="E32" s="245">
        <f>+C7</f>
        <v>21.18</v>
      </c>
      <c r="F32" s="245">
        <f>+F33</f>
        <v>89352</v>
      </c>
      <c r="G32" s="236">
        <f>+A32+365*10+3</f>
        <v>48335</v>
      </c>
    </row>
    <row r="33" spans="1:12">
      <c r="A33" s="254" t="s">
        <v>736</v>
      </c>
      <c r="B33" s="238">
        <v>11950</v>
      </c>
      <c r="C33" s="70" t="s">
        <v>475</v>
      </c>
      <c r="D33" s="238">
        <f>+B11</f>
        <v>161335</v>
      </c>
      <c r="E33" s="245">
        <f>+E32</f>
        <v>21.18</v>
      </c>
      <c r="F33" s="245">
        <f>+B12</f>
        <v>89352</v>
      </c>
      <c r="G33" s="236">
        <f>+A33+365*10+3</f>
        <v>48479</v>
      </c>
    </row>
    <row r="34" spans="1:12">
      <c r="A34" s="254"/>
      <c r="B34" s="238"/>
      <c r="D34" s="238"/>
      <c r="E34" s="245"/>
      <c r="F34" s="245"/>
      <c r="G34" s="236"/>
    </row>
    <row r="35" spans="1:12">
      <c r="A35" s="254"/>
      <c r="B35" s="238"/>
      <c r="D35" s="238"/>
      <c r="E35" s="245"/>
      <c r="F35" s="245"/>
      <c r="G35" s="236"/>
    </row>
    <row r="36" spans="1:12">
      <c r="A36" s="254"/>
      <c r="B36" s="238"/>
      <c r="D36" s="238"/>
      <c r="E36" s="245"/>
      <c r="F36" s="245"/>
      <c r="G36" s="236"/>
    </row>
    <row r="37" spans="1:12">
      <c r="A37" s="254"/>
      <c r="B37" s="238"/>
      <c r="D37" s="238"/>
      <c r="E37" s="245"/>
      <c r="F37" s="245"/>
      <c r="G37" s="236"/>
    </row>
    <row r="39" spans="1:12">
      <c r="E39" s="334" t="s">
        <v>734</v>
      </c>
      <c r="F39" s="334"/>
    </row>
    <row r="40" spans="1:12">
      <c r="E40" s="237">
        <v>2022</v>
      </c>
      <c r="F40" s="237">
        <v>2021</v>
      </c>
      <c r="L40" s="238"/>
    </row>
    <row r="41" spans="1:12">
      <c r="D41" s="70" t="s">
        <v>737</v>
      </c>
      <c r="E41" s="70">
        <v>0</v>
      </c>
      <c r="F41" s="70">
        <v>5</v>
      </c>
      <c r="J41" s="70" t="s">
        <v>737</v>
      </c>
      <c r="L41" s="246">
        <v>-1450</v>
      </c>
    </row>
    <row r="42" spans="1:12">
      <c r="D42" s="70" t="s">
        <v>99</v>
      </c>
      <c r="E42" s="70">
        <v>80</v>
      </c>
      <c r="F42" s="70">
        <v>134</v>
      </c>
      <c r="J42" s="335" t="s">
        <v>99</v>
      </c>
      <c r="K42" s="70" t="s">
        <v>100</v>
      </c>
      <c r="L42" s="246">
        <v>60098</v>
      </c>
    </row>
    <row r="43" spans="1:12">
      <c r="D43" s="70" t="s">
        <v>154</v>
      </c>
      <c r="E43" s="70">
        <v>51</v>
      </c>
      <c r="F43" s="70">
        <v>125</v>
      </c>
      <c r="J43" s="335"/>
      <c r="K43" s="70" t="s">
        <v>142</v>
      </c>
      <c r="L43" s="246">
        <v>19839</v>
      </c>
    </row>
    <row r="44" spans="1:12">
      <c r="D44" s="70" t="s">
        <v>179</v>
      </c>
      <c r="E44" s="233">
        <v>131</v>
      </c>
      <c r="F44" s="233">
        <v>301</v>
      </c>
      <c r="J44" s="335" t="s">
        <v>154</v>
      </c>
      <c r="K44" s="70" t="s">
        <v>155</v>
      </c>
      <c r="L44" s="246">
        <v>63820</v>
      </c>
    </row>
    <row r="45" spans="1:12">
      <c r="E45" s="70">
        <f>SUM(E41:E44)</f>
        <v>262</v>
      </c>
      <c r="F45" s="70">
        <f>SUM(F41:F44)</f>
        <v>565</v>
      </c>
      <c r="J45" s="335"/>
      <c r="K45" s="70" t="s">
        <v>171</v>
      </c>
      <c r="L45" s="246">
        <v>-13087</v>
      </c>
    </row>
    <row r="46" spans="1:12">
      <c r="J46" s="70" t="s">
        <v>179</v>
      </c>
      <c r="L46" s="241">
        <f>97986+19940+1135+12277</f>
        <v>131338</v>
      </c>
    </row>
    <row r="47" spans="1:12">
      <c r="L47" s="238">
        <f>SUM(L41:L46)</f>
        <v>260558</v>
      </c>
    </row>
    <row r="48" spans="1:12">
      <c r="L48" s="238"/>
    </row>
    <row r="49" spans="2:12">
      <c r="L49" s="238"/>
    </row>
    <row r="50" spans="2:12">
      <c r="L50" s="238"/>
    </row>
    <row r="51" spans="2:12">
      <c r="L51" s="238"/>
    </row>
    <row r="52" spans="2:12">
      <c r="L52" s="238"/>
    </row>
    <row r="53" spans="2:12">
      <c r="B53" s="298" t="s">
        <v>884</v>
      </c>
      <c r="C53" s="15">
        <v>66288</v>
      </c>
    </row>
    <row r="54" spans="2:12" ht="15" thickBot="1">
      <c r="B54" s="299" t="s">
        <v>877</v>
      </c>
      <c r="C54" s="15">
        <v>-800</v>
      </c>
    </row>
    <row r="55" spans="2:12" ht="15" thickBot="1">
      <c r="B55" s="300" t="s">
        <v>878</v>
      </c>
      <c r="C55" s="15">
        <v>-2000</v>
      </c>
    </row>
    <row r="56" spans="2:12" ht="15" thickBot="1">
      <c r="B56" s="300" t="s">
        <v>879</v>
      </c>
      <c r="C56" s="15">
        <v>-1000</v>
      </c>
    </row>
    <row r="57" spans="2:12">
      <c r="B57" s="301" t="s">
        <v>880</v>
      </c>
      <c r="C57" s="15">
        <v>-750</v>
      </c>
    </row>
    <row r="58" spans="2:12">
      <c r="B58" s="301" t="s">
        <v>880</v>
      </c>
      <c r="C58" s="15">
        <v>-1500</v>
      </c>
    </row>
    <row r="59" spans="2:12" ht="15" thickBot="1">
      <c r="B59" s="301" t="s">
        <v>878</v>
      </c>
      <c r="C59" s="15">
        <v>-2000</v>
      </c>
    </row>
    <row r="60" spans="2:12" ht="28.5" thickBot="1">
      <c r="B60" s="300" t="s">
        <v>881</v>
      </c>
      <c r="C60" s="15">
        <v>-1100</v>
      </c>
    </row>
    <row r="61" spans="2:12">
      <c r="B61" s="9" t="s">
        <v>882</v>
      </c>
      <c r="C61" s="15">
        <v>5000</v>
      </c>
    </row>
    <row r="62" spans="2:12" ht="15" thickBot="1">
      <c r="B62" s="301" t="s">
        <v>881</v>
      </c>
      <c r="C62" s="15">
        <v>-11000</v>
      </c>
    </row>
    <row r="63" spans="2:12" ht="15" thickBot="1">
      <c r="B63" s="300" t="s">
        <v>754</v>
      </c>
      <c r="C63" s="15">
        <v>1216</v>
      </c>
    </row>
    <row r="64" spans="2:12">
      <c r="B64" s="301" t="s">
        <v>756</v>
      </c>
      <c r="C64" s="18">
        <v>800</v>
      </c>
    </row>
    <row r="65" spans="2:3">
      <c r="B65" s="9"/>
      <c r="C65" s="15">
        <f>SUM(C53:C64)</f>
        <v>53154</v>
      </c>
    </row>
    <row r="66" spans="2:3">
      <c r="B66" s="9"/>
      <c r="C66" s="15"/>
    </row>
    <row r="67" spans="2:3">
      <c r="B67" s="278"/>
      <c r="C67" s="280"/>
    </row>
    <row r="68" spans="2:3">
      <c r="B68" s="9"/>
      <c r="C68" s="15"/>
    </row>
    <row r="69" spans="2:3">
      <c r="B69" s="9"/>
      <c r="C69" s="15">
        <v>53144</v>
      </c>
    </row>
    <row r="70" spans="2:3">
      <c r="B70" s="9" t="s">
        <v>883</v>
      </c>
      <c r="C70" s="15">
        <f>+C65-C69</f>
        <v>10</v>
      </c>
    </row>
    <row r="71" spans="2:3">
      <c r="B71" s="9"/>
      <c r="C71" s="15"/>
    </row>
  </sheetData>
  <mergeCells count="4">
    <mergeCell ref="B18:C18"/>
    <mergeCell ref="E39:F39"/>
    <mergeCell ref="J42:J43"/>
    <mergeCell ref="J44:J45"/>
  </mergeCell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CE1BF-40FC-4937-BB1C-2D520A65A21B}">
  <dimension ref="A4:C14"/>
  <sheetViews>
    <sheetView workbookViewId="0">
      <selection activeCell="B19" sqref="B19"/>
    </sheetView>
  </sheetViews>
  <sheetFormatPr defaultColWidth="9.33203125" defaultRowHeight="14.5"/>
  <cols>
    <col min="1" max="1" width="76.77734375" style="55" bestFit="1" customWidth="1"/>
    <col min="2" max="3" width="12.77734375" style="55" bestFit="1" customWidth="1"/>
    <col min="4" max="16384" width="9.33203125" style="55"/>
  </cols>
  <sheetData>
    <row r="4" spans="1:3" ht="15" thickBot="1"/>
    <row r="5" spans="1:3">
      <c r="A5" s="56" t="s">
        <v>493</v>
      </c>
      <c r="B5" s="57" t="s">
        <v>494</v>
      </c>
      <c r="C5" s="58" t="s">
        <v>495</v>
      </c>
    </row>
    <row r="6" spans="1:3">
      <c r="A6" s="59" t="s">
        <v>496</v>
      </c>
      <c r="B6" s="60">
        <v>440195.55776300002</v>
      </c>
      <c r="C6" s="61"/>
    </row>
    <row r="7" spans="1:3">
      <c r="A7" s="59" t="s">
        <v>723</v>
      </c>
      <c r="B7" s="62"/>
      <c r="C7" s="63">
        <v>440195.55776300002</v>
      </c>
    </row>
    <row r="8" spans="1:3">
      <c r="A8" s="64" t="s">
        <v>497</v>
      </c>
      <c r="B8" s="65" t="s">
        <v>494</v>
      </c>
      <c r="C8" s="66" t="s">
        <v>495</v>
      </c>
    </row>
    <row r="9" spans="1:3">
      <c r="A9" s="59" t="s">
        <v>723</v>
      </c>
      <c r="B9" s="60">
        <v>40288.685816999998</v>
      </c>
      <c r="C9" s="61"/>
    </row>
    <row r="10" spans="1:3">
      <c r="A10" s="59" t="s">
        <v>498</v>
      </c>
      <c r="B10" s="60">
        <v>11312.16</v>
      </c>
      <c r="C10" s="61"/>
    </row>
    <row r="11" spans="1:3">
      <c r="A11" s="59" t="s">
        <v>499</v>
      </c>
      <c r="B11" s="62"/>
      <c r="C11" s="63">
        <v>51600.845817000001</v>
      </c>
    </row>
    <row r="12" spans="1:3">
      <c r="A12" s="64" t="s">
        <v>500</v>
      </c>
      <c r="B12" s="65" t="s">
        <v>494</v>
      </c>
      <c r="C12" s="66" t="s">
        <v>495</v>
      </c>
    </row>
    <row r="13" spans="1:3">
      <c r="A13" s="59" t="s">
        <v>723</v>
      </c>
      <c r="B13" s="60">
        <v>4466.7838529999999</v>
      </c>
      <c r="C13" s="61"/>
    </row>
    <row r="14" spans="1:3" ht="15" thickBot="1">
      <c r="A14" s="67" t="s">
        <v>501</v>
      </c>
      <c r="B14" s="68"/>
      <c r="C14" s="69">
        <v>4466.7838529999999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78D47-5022-4924-9D56-680BD6970417}">
  <sheetPr>
    <tabColor theme="4" tint="-0.249977111117893"/>
  </sheetPr>
  <dimension ref="A1:M202"/>
  <sheetViews>
    <sheetView tabSelected="1" topLeftCell="A27" workbookViewId="0">
      <selection activeCell="H120" sqref="H120"/>
    </sheetView>
  </sheetViews>
  <sheetFormatPr defaultColWidth="9.33203125" defaultRowHeight="10"/>
  <cols>
    <col min="1" max="1" width="61.6640625" style="21" bestFit="1" customWidth="1"/>
    <col min="2" max="2" width="14.109375" style="21" bestFit="1" customWidth="1"/>
    <col min="3" max="3" width="27.77734375" style="21" bestFit="1" customWidth="1"/>
    <col min="4" max="4" width="17.6640625" style="21" bestFit="1" customWidth="1"/>
    <col min="5" max="5" width="24.33203125" style="21" bestFit="1" customWidth="1"/>
    <col min="6" max="6" width="35.44140625" style="21" bestFit="1" customWidth="1"/>
    <col min="7" max="7" width="31.44140625" style="21" bestFit="1" customWidth="1"/>
    <col min="8" max="8" width="21.109375" style="21" bestFit="1" customWidth="1"/>
    <col min="9" max="9" width="31.6640625" style="21" bestFit="1" customWidth="1"/>
    <col min="10" max="10" width="15.109375" style="21" bestFit="1" customWidth="1"/>
    <col min="11" max="11" width="6" style="21" bestFit="1" customWidth="1"/>
    <col min="12" max="12" width="21" style="21" bestFit="1" customWidth="1"/>
    <col min="13" max="13" width="16.109375" style="21" customWidth="1"/>
    <col min="14" max="16384" width="9.33203125" style="21"/>
  </cols>
  <sheetData>
    <row r="1" spans="1:13" ht="15.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3" ht="15.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3" spans="1:13" ht="18">
      <c r="A3" s="39" t="s">
        <v>434</v>
      </c>
      <c r="B3" s="39"/>
      <c r="C3" s="39"/>
      <c r="D3" s="39"/>
      <c r="E3" s="39"/>
      <c r="F3" s="39"/>
      <c r="G3" s="39"/>
      <c r="H3" s="39"/>
      <c r="I3" s="39"/>
      <c r="J3" s="39"/>
    </row>
    <row r="4" spans="1:13" ht="18">
      <c r="A4" s="39" t="s">
        <v>433</v>
      </c>
      <c r="B4" s="39"/>
      <c r="C4" s="39"/>
      <c r="D4" s="39"/>
      <c r="E4" s="39"/>
      <c r="F4" s="39"/>
      <c r="G4" s="39"/>
      <c r="H4" s="39"/>
      <c r="I4" s="39"/>
      <c r="J4" s="39"/>
    </row>
    <row r="5" spans="1:13" ht="18">
      <c r="A5" s="39" t="s">
        <v>4</v>
      </c>
      <c r="B5" s="39"/>
      <c r="C5" s="39"/>
      <c r="D5" s="39"/>
      <c r="E5" s="39"/>
      <c r="F5" s="39"/>
      <c r="G5" s="39"/>
      <c r="H5" s="39"/>
      <c r="I5" s="39"/>
      <c r="J5" s="39"/>
    </row>
    <row r="6" spans="1:13" ht="18">
      <c r="A6" s="39" t="s">
        <v>4</v>
      </c>
      <c r="B6" s="39"/>
      <c r="C6" s="39"/>
      <c r="D6" s="39"/>
      <c r="E6" s="39"/>
      <c r="F6" s="39"/>
      <c r="G6" s="39"/>
      <c r="H6" s="39"/>
      <c r="I6" s="39"/>
      <c r="J6" s="39"/>
    </row>
    <row r="7" spans="1:13">
      <c r="A7" s="1" t="s">
        <v>5</v>
      </c>
      <c r="B7" s="2" t="s">
        <v>432</v>
      </c>
      <c r="C7" s="2" t="s">
        <v>6</v>
      </c>
      <c r="D7" s="2" t="s">
        <v>7</v>
      </c>
      <c r="E7" s="2" t="s">
        <v>8</v>
      </c>
      <c r="F7" s="2" t="s">
        <v>9</v>
      </c>
      <c r="G7" s="2" t="s">
        <v>721</v>
      </c>
      <c r="H7" s="2" t="s">
        <v>0</v>
      </c>
      <c r="I7" s="2" t="s">
        <v>11</v>
      </c>
      <c r="J7" s="2" t="s">
        <v>12</v>
      </c>
      <c r="K7" s="21" t="s">
        <v>230</v>
      </c>
    </row>
    <row r="8" spans="1:13">
      <c r="A8" s="1" t="s">
        <v>13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  <c r="J8" s="2" t="s">
        <v>14</v>
      </c>
    </row>
    <row r="9" spans="1:13" ht="10.5">
      <c r="A9" s="3" t="s">
        <v>431</v>
      </c>
      <c r="B9" s="88"/>
      <c r="C9" s="88"/>
      <c r="D9" s="88"/>
      <c r="E9" s="88"/>
      <c r="F9" s="88"/>
      <c r="G9" s="88"/>
      <c r="H9" s="88"/>
      <c r="I9" s="88"/>
      <c r="J9" s="88"/>
    </row>
    <row r="10" spans="1:13" ht="10.5">
      <c r="A10" s="5" t="s">
        <v>430</v>
      </c>
      <c r="B10" s="88"/>
      <c r="C10" s="88"/>
      <c r="D10" s="88"/>
      <c r="E10" s="88"/>
      <c r="F10" s="88"/>
      <c r="G10" s="88"/>
      <c r="H10" s="88"/>
      <c r="I10" s="88"/>
      <c r="J10" s="88"/>
    </row>
    <row r="11" spans="1:13" ht="10.5">
      <c r="A11" s="95" t="s">
        <v>429</v>
      </c>
      <c r="B11" s="88"/>
      <c r="C11" s="88"/>
      <c r="D11" s="88"/>
      <c r="E11" s="88"/>
      <c r="F11" s="88"/>
      <c r="G11" s="88"/>
      <c r="H11" s="88"/>
      <c r="I11" s="88"/>
      <c r="J11" s="88"/>
    </row>
    <row r="12" spans="1:13">
      <c r="A12" s="8" t="s">
        <v>428</v>
      </c>
      <c r="B12" s="89">
        <v>0</v>
      </c>
      <c r="C12" s="89">
        <v>0</v>
      </c>
      <c r="D12" s="89">
        <v>0</v>
      </c>
      <c r="E12" s="89">
        <v>0</v>
      </c>
      <c r="F12" s="89">
        <v>0</v>
      </c>
      <c r="G12" s="89">
        <v>0</v>
      </c>
      <c r="H12" s="89">
        <v>98942.75</v>
      </c>
      <c r="I12" s="89">
        <v>0</v>
      </c>
      <c r="J12" s="89">
        <f>SUM(B12:I12)</f>
        <v>98942.75</v>
      </c>
      <c r="L12" s="89"/>
      <c r="M12" s="86"/>
    </row>
    <row r="13" spans="1:13">
      <c r="A13" s="8" t="s">
        <v>427</v>
      </c>
      <c r="B13" s="89">
        <v>0</v>
      </c>
      <c r="C13" s="89">
        <v>0</v>
      </c>
      <c r="D13" s="89">
        <v>0</v>
      </c>
      <c r="E13" s="89">
        <v>0</v>
      </c>
      <c r="F13" s="89">
        <v>0</v>
      </c>
      <c r="G13" s="89">
        <v>0</v>
      </c>
      <c r="H13" s="89">
        <v>184405.88</v>
      </c>
      <c r="I13" s="89">
        <v>0</v>
      </c>
      <c r="J13" s="89">
        <f>SUM(B13:I13)</f>
        <v>184405.88</v>
      </c>
      <c r="L13" s="89"/>
      <c r="M13" s="86"/>
    </row>
    <row r="14" spans="1:13">
      <c r="A14" s="8" t="s">
        <v>426</v>
      </c>
      <c r="B14" s="89">
        <v>0</v>
      </c>
      <c r="C14" s="89">
        <v>0</v>
      </c>
      <c r="D14" s="89">
        <v>0</v>
      </c>
      <c r="E14" s="89">
        <v>0</v>
      </c>
      <c r="F14" s="89">
        <v>0</v>
      </c>
      <c r="G14" s="89">
        <v>0</v>
      </c>
      <c r="H14" s="89">
        <v>6136719.3300000001</v>
      </c>
      <c r="I14" s="89">
        <v>0</v>
      </c>
      <c r="J14" s="89">
        <f>SUM(B14:I14)</f>
        <v>6136719.3300000001</v>
      </c>
      <c r="L14" s="89"/>
      <c r="M14" s="86"/>
    </row>
    <row r="15" spans="1:13">
      <c r="A15" s="8" t="s">
        <v>425</v>
      </c>
      <c r="B15" s="89">
        <v>0</v>
      </c>
      <c r="C15" s="89">
        <v>0</v>
      </c>
      <c r="D15" s="89">
        <v>0</v>
      </c>
      <c r="E15" s="89">
        <v>0</v>
      </c>
      <c r="F15" s="89">
        <v>0</v>
      </c>
      <c r="G15" s="89">
        <v>0</v>
      </c>
      <c r="H15" s="89">
        <v>11685.56</v>
      </c>
      <c r="I15" s="89">
        <v>0</v>
      </c>
      <c r="J15" s="89">
        <f>SUM(B15:I15)</f>
        <v>11685.56</v>
      </c>
      <c r="L15" s="89"/>
      <c r="M15" s="86"/>
    </row>
    <row r="16" spans="1:13">
      <c r="A16" s="8" t="s">
        <v>424</v>
      </c>
      <c r="B16" s="89">
        <v>0</v>
      </c>
      <c r="C16" s="89">
        <v>0</v>
      </c>
      <c r="D16" s="89">
        <v>0</v>
      </c>
      <c r="E16" s="89">
        <v>0</v>
      </c>
      <c r="F16" s="89">
        <v>0</v>
      </c>
      <c r="G16" s="89">
        <v>0</v>
      </c>
      <c r="H16" s="89">
        <v>16813.13</v>
      </c>
      <c r="I16" s="89">
        <v>0</v>
      </c>
      <c r="J16" s="89">
        <f>SUM(B16:I16)</f>
        <v>16813.13</v>
      </c>
      <c r="L16" s="89"/>
      <c r="M16" s="86"/>
    </row>
    <row r="17" spans="1:13" ht="10.5">
      <c r="A17" s="96" t="s">
        <v>423</v>
      </c>
      <c r="B17" s="90">
        <f t="shared" ref="B17:J17" si="0">SUM(B12:B16)</f>
        <v>0</v>
      </c>
      <c r="C17" s="90">
        <f t="shared" si="0"/>
        <v>0</v>
      </c>
      <c r="D17" s="90">
        <f t="shared" si="0"/>
        <v>0</v>
      </c>
      <c r="E17" s="90">
        <f t="shared" si="0"/>
        <v>0</v>
      </c>
      <c r="F17" s="90">
        <f t="shared" si="0"/>
        <v>0</v>
      </c>
      <c r="G17" s="90">
        <f t="shared" si="0"/>
        <v>0</v>
      </c>
      <c r="H17" s="90">
        <f t="shared" si="0"/>
        <v>6448566.6499999994</v>
      </c>
      <c r="I17" s="90">
        <f t="shared" si="0"/>
        <v>0</v>
      </c>
      <c r="J17" s="90">
        <f t="shared" si="0"/>
        <v>6448566.6499999994</v>
      </c>
      <c r="K17" s="21">
        <v>10</v>
      </c>
      <c r="L17" s="90"/>
      <c r="M17" s="86"/>
    </row>
    <row r="18" spans="1:13">
      <c r="A18" s="6" t="s">
        <v>422</v>
      </c>
      <c r="B18" s="89">
        <v>0</v>
      </c>
      <c r="C18" s="89">
        <v>0</v>
      </c>
      <c r="D18" s="89">
        <v>0</v>
      </c>
      <c r="E18" s="89">
        <v>0</v>
      </c>
      <c r="F18" s="89">
        <v>0</v>
      </c>
      <c r="G18" s="89">
        <v>-0.01</v>
      </c>
      <c r="H18" s="89">
        <v>0</v>
      </c>
      <c r="I18" s="89">
        <v>0</v>
      </c>
      <c r="J18" s="89">
        <f>SUM(B18:I18)</f>
        <v>-0.01</v>
      </c>
      <c r="L18" s="89"/>
      <c r="M18" s="86"/>
    </row>
    <row r="19" spans="1:13" ht="10.5">
      <c r="A19" s="95" t="s">
        <v>421</v>
      </c>
      <c r="B19" s="88"/>
      <c r="C19" s="88"/>
      <c r="D19" s="88"/>
      <c r="E19" s="88"/>
      <c r="F19" s="88"/>
      <c r="G19" s="88"/>
      <c r="H19" s="88"/>
      <c r="I19" s="88"/>
      <c r="J19" s="88"/>
      <c r="L19" s="88"/>
      <c r="M19" s="86"/>
    </row>
    <row r="20" spans="1:13">
      <c r="A20" s="8" t="s">
        <v>420</v>
      </c>
      <c r="B20" s="89">
        <v>0</v>
      </c>
      <c r="C20" s="89">
        <v>0</v>
      </c>
      <c r="D20" s="89">
        <v>0</v>
      </c>
      <c r="E20" s="89">
        <v>21.81</v>
      </c>
      <c r="F20" s="89">
        <v>0</v>
      </c>
      <c r="G20" s="89">
        <v>0</v>
      </c>
      <c r="H20" s="89">
        <v>0</v>
      </c>
      <c r="I20" s="89">
        <v>0</v>
      </c>
      <c r="J20" s="89">
        <f>SUM(B20:I20)</f>
        <v>21.81</v>
      </c>
      <c r="L20" s="89"/>
      <c r="M20" s="86"/>
    </row>
    <row r="21" spans="1:13" ht="10.5">
      <c r="A21" s="96" t="s">
        <v>419</v>
      </c>
      <c r="B21" s="90">
        <f t="shared" ref="B21:J21" si="1">SUM(B20)</f>
        <v>0</v>
      </c>
      <c r="C21" s="90">
        <f t="shared" si="1"/>
        <v>0</v>
      </c>
      <c r="D21" s="90">
        <f t="shared" si="1"/>
        <v>0</v>
      </c>
      <c r="E21" s="90">
        <f t="shared" si="1"/>
        <v>21.81</v>
      </c>
      <c r="F21" s="90">
        <f t="shared" si="1"/>
        <v>0</v>
      </c>
      <c r="G21" s="90">
        <f t="shared" si="1"/>
        <v>0</v>
      </c>
      <c r="H21" s="90">
        <f t="shared" si="1"/>
        <v>0</v>
      </c>
      <c r="I21" s="90">
        <f t="shared" si="1"/>
        <v>0</v>
      </c>
      <c r="J21" s="90">
        <f t="shared" si="1"/>
        <v>21.81</v>
      </c>
      <c r="K21" s="21">
        <v>10</v>
      </c>
      <c r="L21" s="90"/>
      <c r="M21" s="86"/>
    </row>
    <row r="22" spans="1:13" ht="10.5">
      <c r="A22" s="95" t="s">
        <v>418</v>
      </c>
      <c r="B22" s="88"/>
      <c r="C22" s="88"/>
      <c r="D22" s="88"/>
      <c r="E22" s="88"/>
      <c r="F22" s="88"/>
      <c r="G22" s="88"/>
      <c r="H22" s="88"/>
      <c r="I22" s="88"/>
      <c r="J22" s="88"/>
      <c r="L22" s="88"/>
      <c r="M22" s="86"/>
    </row>
    <row r="23" spans="1:13">
      <c r="A23" s="8" t="s">
        <v>417</v>
      </c>
      <c r="B23" s="89">
        <v>0</v>
      </c>
      <c r="C23" s="89">
        <v>0</v>
      </c>
      <c r="D23" s="89">
        <v>0</v>
      </c>
      <c r="E23" s="89">
        <v>0</v>
      </c>
      <c r="F23" s="89">
        <v>124.45</v>
      </c>
      <c r="G23" s="89">
        <v>0</v>
      </c>
      <c r="H23" s="89">
        <v>0</v>
      </c>
      <c r="I23" s="89">
        <v>0</v>
      </c>
      <c r="J23" s="89">
        <f>SUM(B23:I23)</f>
        <v>124.45</v>
      </c>
      <c r="L23" s="89"/>
      <c r="M23" s="86"/>
    </row>
    <row r="24" spans="1:13">
      <c r="A24" s="8" t="s">
        <v>416</v>
      </c>
      <c r="B24" s="89">
        <v>0</v>
      </c>
      <c r="C24" s="89">
        <v>0</v>
      </c>
      <c r="D24" s="89">
        <v>0</v>
      </c>
      <c r="E24" s="89">
        <v>0</v>
      </c>
      <c r="F24" s="89">
        <v>24.67</v>
      </c>
      <c r="G24" s="89">
        <v>0</v>
      </c>
      <c r="H24" s="89">
        <v>0</v>
      </c>
      <c r="I24" s="89">
        <v>0</v>
      </c>
      <c r="J24" s="89">
        <f>SUM(B24:I24)</f>
        <v>24.67</v>
      </c>
      <c r="L24" s="89"/>
      <c r="M24" s="86"/>
    </row>
    <row r="25" spans="1:13">
      <c r="A25" s="8" t="s">
        <v>415</v>
      </c>
      <c r="B25" s="89">
        <v>0</v>
      </c>
      <c r="C25" s="89">
        <v>0</v>
      </c>
      <c r="D25" s="89">
        <v>0</v>
      </c>
      <c r="E25" s="89">
        <v>0</v>
      </c>
      <c r="F25" s="89">
        <v>327.43</v>
      </c>
      <c r="G25" s="89">
        <v>0</v>
      </c>
      <c r="H25" s="89">
        <v>0</v>
      </c>
      <c r="I25" s="89">
        <v>0</v>
      </c>
      <c r="J25" s="89">
        <f>SUM(B25:I25)</f>
        <v>327.43</v>
      </c>
      <c r="L25" s="89"/>
      <c r="M25" s="86"/>
    </row>
    <row r="26" spans="1:13" ht="10.5">
      <c r="A26" s="96" t="s">
        <v>414</v>
      </c>
      <c r="B26" s="90">
        <f t="shared" ref="B26:J26" si="2">SUM(B23:B25)</f>
        <v>0</v>
      </c>
      <c r="C26" s="90">
        <f t="shared" si="2"/>
        <v>0</v>
      </c>
      <c r="D26" s="90">
        <f t="shared" si="2"/>
        <v>0</v>
      </c>
      <c r="E26" s="90">
        <f t="shared" si="2"/>
        <v>0</v>
      </c>
      <c r="F26" s="90">
        <f t="shared" si="2"/>
        <v>476.55</v>
      </c>
      <c r="G26" s="90">
        <f t="shared" si="2"/>
        <v>0</v>
      </c>
      <c r="H26" s="90">
        <f t="shared" si="2"/>
        <v>0</v>
      </c>
      <c r="I26" s="90">
        <f t="shared" si="2"/>
        <v>0</v>
      </c>
      <c r="J26" s="90">
        <f t="shared" si="2"/>
        <v>476.55</v>
      </c>
      <c r="K26" s="21">
        <v>10</v>
      </c>
      <c r="L26" s="90"/>
      <c r="M26" s="86"/>
    </row>
    <row r="27" spans="1:13" ht="10.5">
      <c r="A27" s="95" t="s">
        <v>413</v>
      </c>
      <c r="B27" s="88"/>
      <c r="C27" s="88"/>
      <c r="D27" s="88"/>
      <c r="E27" s="88"/>
      <c r="F27" s="88"/>
      <c r="G27" s="88"/>
      <c r="H27" s="88"/>
      <c r="I27" s="88"/>
      <c r="J27" s="88"/>
      <c r="L27" s="88"/>
      <c r="M27" s="86"/>
    </row>
    <row r="28" spans="1:13">
      <c r="A28" s="8" t="s">
        <v>412</v>
      </c>
      <c r="B28" s="89">
        <v>0</v>
      </c>
      <c r="C28" s="89">
        <v>0</v>
      </c>
      <c r="D28" s="89">
        <v>-3.42</v>
      </c>
      <c r="E28" s="89">
        <v>0</v>
      </c>
      <c r="F28" s="89">
        <v>0</v>
      </c>
      <c r="G28" s="89">
        <v>0</v>
      </c>
      <c r="H28" s="89">
        <v>0</v>
      </c>
      <c r="I28" s="89">
        <v>0</v>
      </c>
      <c r="J28" s="89">
        <f>SUM(B28:I28)</f>
        <v>-3.42</v>
      </c>
      <c r="L28" s="89"/>
      <c r="M28" s="86"/>
    </row>
    <row r="29" spans="1:13">
      <c r="A29" s="8" t="s">
        <v>411</v>
      </c>
      <c r="B29" s="89">
        <v>0</v>
      </c>
      <c r="C29" s="89">
        <v>0</v>
      </c>
      <c r="D29" s="89">
        <v>6438.02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f>SUM(B29:I29)</f>
        <v>6438.02</v>
      </c>
      <c r="L29" s="89"/>
      <c r="M29" s="86"/>
    </row>
    <row r="30" spans="1:13">
      <c r="A30" s="8" t="s">
        <v>719</v>
      </c>
      <c r="B30" s="89">
        <v>0</v>
      </c>
      <c r="C30" s="89">
        <v>0</v>
      </c>
      <c r="D30" s="89">
        <v>14237.25</v>
      </c>
      <c r="E30" s="89">
        <v>0</v>
      </c>
      <c r="F30" s="89">
        <v>0</v>
      </c>
      <c r="G30" s="89">
        <v>0</v>
      </c>
      <c r="H30" s="89">
        <v>0</v>
      </c>
      <c r="I30" s="89">
        <v>0</v>
      </c>
      <c r="J30" s="89">
        <f>SUM(B30:I30)</f>
        <v>14237.25</v>
      </c>
      <c r="L30" s="89"/>
      <c r="M30" s="86"/>
    </row>
    <row r="31" spans="1:13" ht="10.5">
      <c r="A31" s="96" t="s">
        <v>410</v>
      </c>
      <c r="B31" s="90">
        <f t="shared" ref="B31:J31" si="3">SUM(B28:B30)</f>
        <v>0</v>
      </c>
      <c r="C31" s="90">
        <f t="shared" si="3"/>
        <v>0</v>
      </c>
      <c r="D31" s="90">
        <f t="shared" si="3"/>
        <v>20671.849999999999</v>
      </c>
      <c r="E31" s="90">
        <f t="shared" si="3"/>
        <v>0</v>
      </c>
      <c r="F31" s="90">
        <f t="shared" si="3"/>
        <v>0</v>
      </c>
      <c r="G31" s="90">
        <f t="shared" si="3"/>
        <v>0</v>
      </c>
      <c r="H31" s="90">
        <f t="shared" si="3"/>
        <v>0</v>
      </c>
      <c r="I31" s="90">
        <f t="shared" si="3"/>
        <v>0</v>
      </c>
      <c r="J31" s="90">
        <f t="shared" si="3"/>
        <v>20671.849999999999</v>
      </c>
      <c r="K31" s="21">
        <v>10</v>
      </c>
      <c r="L31" s="90"/>
      <c r="M31" s="86"/>
    </row>
    <row r="32" spans="1:13" ht="10.5">
      <c r="A32" s="95" t="s">
        <v>409</v>
      </c>
      <c r="B32" s="88"/>
      <c r="C32" s="88"/>
      <c r="D32" s="88"/>
      <c r="E32" s="88"/>
      <c r="F32" s="88"/>
      <c r="G32" s="88"/>
      <c r="H32" s="88"/>
      <c r="I32" s="88"/>
      <c r="J32" s="88"/>
      <c r="L32" s="88"/>
      <c r="M32" s="86"/>
    </row>
    <row r="33" spans="1:13">
      <c r="A33" s="8" t="s">
        <v>408</v>
      </c>
      <c r="B33" s="89">
        <v>0</v>
      </c>
      <c r="C33" s="89">
        <v>0</v>
      </c>
      <c r="D33" s="89">
        <v>0</v>
      </c>
      <c r="E33" s="89">
        <v>0</v>
      </c>
      <c r="F33" s="89">
        <v>0</v>
      </c>
      <c r="G33" s="89">
        <v>671296.2</v>
      </c>
      <c r="H33" s="89">
        <v>0</v>
      </c>
      <c r="I33" s="89">
        <v>0</v>
      </c>
      <c r="J33" s="89">
        <f>SUM(B33:I33)</f>
        <v>671296.2</v>
      </c>
      <c r="L33" s="89"/>
      <c r="M33" s="86"/>
    </row>
    <row r="34" spans="1:13" ht="10.5">
      <c r="A34" s="96" t="s">
        <v>407</v>
      </c>
      <c r="B34" s="90">
        <f t="shared" ref="B34:J34" si="4">SUM(B33)</f>
        <v>0</v>
      </c>
      <c r="C34" s="90">
        <f t="shared" si="4"/>
        <v>0</v>
      </c>
      <c r="D34" s="90">
        <f t="shared" si="4"/>
        <v>0</v>
      </c>
      <c r="E34" s="90">
        <f t="shared" si="4"/>
        <v>0</v>
      </c>
      <c r="F34" s="90">
        <f t="shared" si="4"/>
        <v>0</v>
      </c>
      <c r="G34" s="90">
        <f t="shared" si="4"/>
        <v>671296.2</v>
      </c>
      <c r="H34" s="90">
        <f t="shared" si="4"/>
        <v>0</v>
      </c>
      <c r="I34" s="90">
        <f t="shared" si="4"/>
        <v>0</v>
      </c>
      <c r="J34" s="90">
        <f t="shared" si="4"/>
        <v>671296.2</v>
      </c>
      <c r="K34" s="21">
        <v>10</v>
      </c>
      <c r="L34" s="90"/>
      <c r="M34" s="86"/>
    </row>
    <row r="35" spans="1:13" ht="10.5">
      <c r="A35" s="95" t="s">
        <v>406</v>
      </c>
      <c r="B35" s="88"/>
      <c r="C35" s="88"/>
      <c r="D35" s="88"/>
      <c r="E35" s="88"/>
      <c r="F35" s="88"/>
      <c r="G35" s="88"/>
      <c r="H35" s="88"/>
      <c r="I35" s="88"/>
      <c r="J35" s="88"/>
      <c r="L35" s="88"/>
      <c r="M35" s="86"/>
    </row>
    <row r="36" spans="1:13">
      <c r="A36" s="8" t="s">
        <v>405</v>
      </c>
      <c r="B36" s="89">
        <v>0</v>
      </c>
      <c r="C36" s="89">
        <v>0</v>
      </c>
      <c r="D36" s="89">
        <v>0</v>
      </c>
      <c r="E36" s="89">
        <v>0</v>
      </c>
      <c r="F36" s="89">
        <v>0</v>
      </c>
      <c r="G36" s="89">
        <v>0</v>
      </c>
      <c r="H36" s="89">
        <v>0</v>
      </c>
      <c r="I36" s="89">
        <v>294848.46999999997</v>
      </c>
      <c r="J36" s="89">
        <f>SUM(B36:I36)</f>
        <v>294848.46999999997</v>
      </c>
      <c r="L36" s="89"/>
      <c r="M36" s="86"/>
    </row>
    <row r="37" spans="1:13" ht="10.5">
      <c r="A37" s="96" t="s">
        <v>404</v>
      </c>
      <c r="B37" s="90">
        <f t="shared" ref="B37:J37" si="5">SUM(B36)</f>
        <v>0</v>
      </c>
      <c r="C37" s="90">
        <f t="shared" si="5"/>
        <v>0</v>
      </c>
      <c r="D37" s="90">
        <f t="shared" si="5"/>
        <v>0</v>
      </c>
      <c r="E37" s="90">
        <f t="shared" si="5"/>
        <v>0</v>
      </c>
      <c r="F37" s="90">
        <f t="shared" si="5"/>
        <v>0</v>
      </c>
      <c r="G37" s="90">
        <f t="shared" si="5"/>
        <v>0</v>
      </c>
      <c r="H37" s="90">
        <f t="shared" si="5"/>
        <v>0</v>
      </c>
      <c r="I37" s="90">
        <f t="shared" si="5"/>
        <v>294848.46999999997</v>
      </c>
      <c r="J37" s="90">
        <f t="shared" si="5"/>
        <v>294848.46999999997</v>
      </c>
      <c r="K37" s="21">
        <v>10</v>
      </c>
      <c r="L37" s="90"/>
      <c r="M37" s="86"/>
    </row>
    <row r="38" spans="1:13" ht="10.5">
      <c r="A38" s="95" t="s">
        <v>403</v>
      </c>
      <c r="B38" s="88"/>
      <c r="C38" s="88"/>
      <c r="D38" s="88"/>
      <c r="E38" s="88"/>
      <c r="F38" s="88"/>
      <c r="G38" s="88"/>
      <c r="H38" s="88"/>
      <c r="I38" s="88"/>
      <c r="J38" s="88"/>
      <c r="L38" s="88"/>
      <c r="M38" s="86"/>
    </row>
    <row r="39" spans="1:13">
      <c r="A39" s="8" t="s">
        <v>402</v>
      </c>
      <c r="B39" s="89">
        <v>0</v>
      </c>
      <c r="C39" s="89">
        <v>180344.74</v>
      </c>
      <c r="D39" s="89">
        <v>0</v>
      </c>
      <c r="E39" s="89">
        <v>0</v>
      </c>
      <c r="F39" s="89">
        <v>0</v>
      </c>
      <c r="G39" s="89">
        <v>0</v>
      </c>
      <c r="H39" s="89">
        <v>0</v>
      </c>
      <c r="I39" s="89">
        <v>0</v>
      </c>
      <c r="J39" s="89">
        <f>SUM(B39:I39)</f>
        <v>180344.74</v>
      </c>
      <c r="L39" s="89"/>
      <c r="M39" s="86"/>
    </row>
    <row r="40" spans="1:13">
      <c r="A40" s="8" t="s">
        <v>401</v>
      </c>
      <c r="B40" s="89">
        <v>0</v>
      </c>
      <c r="C40" s="89">
        <v>42295.73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f>SUM(B40:I40)</f>
        <v>42295.73</v>
      </c>
      <c r="L40" s="89"/>
      <c r="M40" s="86"/>
    </row>
    <row r="41" spans="1:13" ht="10.5">
      <c r="A41" s="96" t="s">
        <v>400</v>
      </c>
      <c r="B41" s="90">
        <f t="shared" ref="B41:J41" si="6">SUM(B39:B40)</f>
        <v>0</v>
      </c>
      <c r="C41" s="90">
        <f t="shared" si="6"/>
        <v>222640.47</v>
      </c>
      <c r="D41" s="90">
        <f t="shared" si="6"/>
        <v>0</v>
      </c>
      <c r="E41" s="90">
        <f t="shared" si="6"/>
        <v>0</v>
      </c>
      <c r="F41" s="90">
        <f t="shared" si="6"/>
        <v>0</v>
      </c>
      <c r="G41" s="90">
        <f t="shared" si="6"/>
        <v>0</v>
      </c>
      <c r="H41" s="90">
        <f t="shared" si="6"/>
        <v>0</v>
      </c>
      <c r="I41" s="90">
        <f t="shared" si="6"/>
        <v>0</v>
      </c>
      <c r="J41" s="90">
        <f t="shared" si="6"/>
        <v>222640.47</v>
      </c>
      <c r="K41" s="21">
        <v>10</v>
      </c>
      <c r="L41" s="90"/>
      <c r="M41" s="86"/>
    </row>
    <row r="42" spans="1:13" ht="10.5">
      <c r="A42" s="95" t="s">
        <v>399</v>
      </c>
      <c r="B42" s="88"/>
      <c r="C42" s="88"/>
      <c r="D42" s="88"/>
      <c r="E42" s="88"/>
      <c r="F42" s="88"/>
      <c r="G42" s="88"/>
      <c r="H42" s="88"/>
      <c r="I42" s="88"/>
      <c r="J42" s="88"/>
      <c r="L42" s="88"/>
      <c r="M42" s="86"/>
    </row>
    <row r="43" spans="1:13">
      <c r="A43" s="8" t="s">
        <v>398</v>
      </c>
      <c r="B43" s="89">
        <v>0</v>
      </c>
      <c r="C43" s="89">
        <v>0</v>
      </c>
      <c r="D43" s="89">
        <v>0</v>
      </c>
      <c r="E43" s="89">
        <v>0</v>
      </c>
      <c r="F43" s="89">
        <v>0</v>
      </c>
      <c r="G43" s="89">
        <v>0</v>
      </c>
      <c r="H43" s="89">
        <v>17108.38</v>
      </c>
      <c r="I43" s="89">
        <v>0</v>
      </c>
      <c r="J43" s="89">
        <f>SUM(B43:I43)</f>
        <v>17108.38</v>
      </c>
      <c r="L43" s="89"/>
      <c r="M43" s="86"/>
    </row>
    <row r="44" spans="1:13">
      <c r="A44" s="8" t="s">
        <v>397</v>
      </c>
      <c r="B44" s="89">
        <v>0</v>
      </c>
      <c r="C44" s="89">
        <v>0</v>
      </c>
      <c r="D44" s="89">
        <v>0</v>
      </c>
      <c r="E44" s="89">
        <v>0</v>
      </c>
      <c r="F44" s="89">
        <v>0</v>
      </c>
      <c r="G44" s="89">
        <v>0</v>
      </c>
      <c r="H44" s="89">
        <v>2860.69</v>
      </c>
      <c r="I44" s="89">
        <v>0</v>
      </c>
      <c r="J44" s="89">
        <f>SUM(B44:I44)</f>
        <v>2860.69</v>
      </c>
      <c r="L44" s="89"/>
      <c r="M44" s="86"/>
    </row>
    <row r="45" spans="1:13">
      <c r="A45" s="8" t="s">
        <v>396</v>
      </c>
      <c r="B45" s="89">
        <v>0</v>
      </c>
      <c r="C45" s="89">
        <v>0</v>
      </c>
      <c r="D45" s="89">
        <v>0</v>
      </c>
      <c r="E45" s="89">
        <v>0</v>
      </c>
      <c r="F45" s="89">
        <v>0</v>
      </c>
      <c r="G45" s="89">
        <v>0</v>
      </c>
      <c r="H45" s="89">
        <v>8090.49</v>
      </c>
      <c r="I45" s="89">
        <v>0</v>
      </c>
      <c r="J45" s="89">
        <f>SUM(B45:I45)</f>
        <v>8090.49</v>
      </c>
      <c r="L45" s="89"/>
      <c r="M45" s="86"/>
    </row>
    <row r="46" spans="1:13" ht="10.5">
      <c r="A46" s="96" t="s">
        <v>395</v>
      </c>
      <c r="B46" s="90">
        <f t="shared" ref="B46:J46" si="7">SUM(B43:B45)</f>
        <v>0</v>
      </c>
      <c r="C46" s="90">
        <f t="shared" si="7"/>
        <v>0</v>
      </c>
      <c r="D46" s="90">
        <f t="shared" si="7"/>
        <v>0</v>
      </c>
      <c r="E46" s="90">
        <f t="shared" si="7"/>
        <v>0</v>
      </c>
      <c r="F46" s="90">
        <f t="shared" si="7"/>
        <v>0</v>
      </c>
      <c r="G46" s="90">
        <f t="shared" si="7"/>
        <v>0</v>
      </c>
      <c r="H46" s="90">
        <f t="shared" si="7"/>
        <v>28059.559999999998</v>
      </c>
      <c r="I46" s="90">
        <f t="shared" si="7"/>
        <v>0</v>
      </c>
      <c r="J46" s="90">
        <f t="shared" si="7"/>
        <v>28059.559999999998</v>
      </c>
      <c r="K46" s="21">
        <v>11</v>
      </c>
      <c r="L46" s="90"/>
      <c r="M46" s="86"/>
    </row>
    <row r="47" spans="1:13" ht="10.5">
      <c r="A47" s="95" t="s">
        <v>394</v>
      </c>
      <c r="B47" s="88"/>
      <c r="C47" s="88"/>
      <c r="D47" s="88"/>
      <c r="E47" s="88"/>
      <c r="F47" s="88"/>
      <c r="G47" s="88"/>
      <c r="H47" s="88"/>
      <c r="I47" s="88"/>
      <c r="J47" s="88"/>
      <c r="L47" s="88"/>
      <c r="M47" s="86"/>
    </row>
    <row r="48" spans="1:13">
      <c r="A48" s="8" t="s">
        <v>393</v>
      </c>
      <c r="B48" s="89">
        <v>0</v>
      </c>
      <c r="C48" s="89">
        <v>0</v>
      </c>
      <c r="D48" s="89">
        <v>0</v>
      </c>
      <c r="E48" s="89">
        <v>0</v>
      </c>
      <c r="F48" s="89">
        <v>0</v>
      </c>
      <c r="G48" s="89">
        <v>0</v>
      </c>
      <c r="H48" s="89">
        <v>11135351.119999999</v>
      </c>
      <c r="I48" s="89">
        <v>0</v>
      </c>
      <c r="J48" s="89">
        <f>SUM(B48:I48)</f>
        <v>11135351.119999999</v>
      </c>
      <c r="K48" s="21">
        <v>11</v>
      </c>
      <c r="L48" s="89"/>
      <c r="M48" s="86"/>
    </row>
    <row r="49" spans="1:13" ht="10.5">
      <c r="A49" s="96" t="s">
        <v>392</v>
      </c>
      <c r="B49" s="90">
        <f t="shared" ref="B49:J49" si="8">SUM(B48)</f>
        <v>0</v>
      </c>
      <c r="C49" s="90">
        <f t="shared" si="8"/>
        <v>0</v>
      </c>
      <c r="D49" s="90">
        <f t="shared" si="8"/>
        <v>0</v>
      </c>
      <c r="E49" s="90">
        <f t="shared" si="8"/>
        <v>0</v>
      </c>
      <c r="F49" s="90">
        <f t="shared" si="8"/>
        <v>0</v>
      </c>
      <c r="G49" s="90">
        <f t="shared" si="8"/>
        <v>0</v>
      </c>
      <c r="H49" s="90">
        <f t="shared" si="8"/>
        <v>11135351.119999999</v>
      </c>
      <c r="I49" s="90">
        <f t="shared" si="8"/>
        <v>0</v>
      </c>
      <c r="J49" s="90">
        <f t="shared" si="8"/>
        <v>11135351.119999999</v>
      </c>
      <c r="L49" s="90"/>
      <c r="M49" s="86"/>
    </row>
    <row r="50" spans="1:13" ht="10.5">
      <c r="A50" s="97" t="s">
        <v>391</v>
      </c>
      <c r="B50" s="90">
        <f t="shared" ref="B50:J50" si="9">SUM(B17:B18,B21,B26,B31,B34,B37,B41,B46,B49)</f>
        <v>0</v>
      </c>
      <c r="C50" s="90">
        <f t="shared" si="9"/>
        <v>222640.47</v>
      </c>
      <c r="D50" s="90">
        <f t="shared" si="9"/>
        <v>20671.849999999999</v>
      </c>
      <c r="E50" s="90">
        <f t="shared" si="9"/>
        <v>21.81</v>
      </c>
      <c r="F50" s="90">
        <f t="shared" si="9"/>
        <v>476.55</v>
      </c>
      <c r="G50" s="90">
        <f t="shared" si="9"/>
        <v>671296.19</v>
      </c>
      <c r="H50" s="90">
        <f t="shared" si="9"/>
        <v>17611977.329999998</v>
      </c>
      <c r="I50" s="90">
        <f t="shared" si="9"/>
        <v>294848.46999999997</v>
      </c>
      <c r="J50" s="90">
        <f t="shared" si="9"/>
        <v>18821932.669999998</v>
      </c>
      <c r="L50" s="90"/>
      <c r="M50" s="86"/>
    </row>
    <row r="51" spans="1:13" ht="10.5">
      <c r="A51" s="5" t="s">
        <v>390</v>
      </c>
      <c r="B51" s="88"/>
      <c r="C51" s="88"/>
      <c r="D51" s="88"/>
      <c r="E51" s="88"/>
      <c r="F51" s="88"/>
      <c r="G51" s="88"/>
      <c r="H51" s="88"/>
      <c r="I51" s="88"/>
      <c r="J51" s="88"/>
      <c r="L51" s="88"/>
      <c r="M51" s="86"/>
    </row>
    <row r="52" spans="1:13" ht="10.5">
      <c r="A52" s="95" t="s">
        <v>389</v>
      </c>
      <c r="B52" s="88"/>
      <c r="C52" s="88"/>
      <c r="D52" s="88"/>
      <c r="E52" s="88"/>
      <c r="F52" s="88"/>
      <c r="G52" s="88"/>
      <c r="H52" s="88"/>
      <c r="I52" s="88"/>
      <c r="J52" s="88"/>
      <c r="L52" s="88"/>
      <c r="M52" s="86"/>
    </row>
    <row r="53" spans="1:13">
      <c r="A53" s="8" t="s">
        <v>388</v>
      </c>
      <c r="B53" s="89">
        <v>0</v>
      </c>
      <c r="C53" s="89">
        <v>0</v>
      </c>
      <c r="D53" s="89">
        <v>0</v>
      </c>
      <c r="E53" s="89">
        <v>0</v>
      </c>
      <c r="F53" s="89">
        <v>0</v>
      </c>
      <c r="G53" s="89">
        <v>0</v>
      </c>
      <c r="H53" s="89">
        <v>1631201.18</v>
      </c>
      <c r="I53" s="89">
        <v>0</v>
      </c>
      <c r="J53" s="89">
        <f>SUM(B53:I53)</f>
        <v>1631201.18</v>
      </c>
      <c r="L53" s="89"/>
      <c r="M53" s="86"/>
    </row>
    <row r="54" spans="1:13">
      <c r="A54" s="8" t="s">
        <v>387</v>
      </c>
      <c r="B54" s="89">
        <v>0</v>
      </c>
      <c r="C54" s="89">
        <v>0</v>
      </c>
      <c r="D54" s="89">
        <v>0</v>
      </c>
      <c r="E54" s="89">
        <v>0</v>
      </c>
      <c r="F54" s="89">
        <v>0</v>
      </c>
      <c r="G54" s="89">
        <v>0</v>
      </c>
      <c r="H54" s="89">
        <v>-47463</v>
      </c>
      <c r="I54" s="89">
        <v>0</v>
      </c>
      <c r="J54" s="89">
        <f>SUM(B54:I54)</f>
        <v>-47463</v>
      </c>
      <c r="L54" s="89"/>
      <c r="M54" s="86"/>
    </row>
    <row r="55" spans="1:13" ht="10.5">
      <c r="A55" s="96" t="s">
        <v>386</v>
      </c>
      <c r="B55" s="90">
        <f t="shared" ref="B55:J55" si="10">SUM(B53:B54)</f>
        <v>0</v>
      </c>
      <c r="C55" s="90">
        <f t="shared" si="10"/>
        <v>0</v>
      </c>
      <c r="D55" s="90">
        <f t="shared" si="10"/>
        <v>0</v>
      </c>
      <c r="E55" s="90">
        <f t="shared" si="10"/>
        <v>0</v>
      </c>
      <c r="F55" s="90">
        <f t="shared" si="10"/>
        <v>0</v>
      </c>
      <c r="G55" s="90">
        <f t="shared" si="10"/>
        <v>0</v>
      </c>
      <c r="H55" s="90">
        <f t="shared" si="10"/>
        <v>1583738.18</v>
      </c>
      <c r="I55" s="90">
        <f t="shared" si="10"/>
        <v>0</v>
      </c>
      <c r="J55" s="90">
        <f t="shared" si="10"/>
        <v>1583738.18</v>
      </c>
      <c r="K55" s="21">
        <v>12.1</v>
      </c>
      <c r="L55" s="90"/>
      <c r="M55" s="86"/>
    </row>
    <row r="56" spans="1:13" ht="10.5">
      <c r="A56" s="95" t="s">
        <v>385</v>
      </c>
      <c r="B56" s="88"/>
      <c r="C56" s="88"/>
      <c r="D56" s="88"/>
      <c r="E56" s="88"/>
      <c r="F56" s="88"/>
      <c r="G56" s="88"/>
      <c r="H56" s="88"/>
      <c r="I56" s="88"/>
      <c r="J56" s="88"/>
      <c r="L56" s="88"/>
      <c r="M56" s="86"/>
    </row>
    <row r="57" spans="1:13">
      <c r="A57" s="8" t="s">
        <v>384</v>
      </c>
      <c r="B57" s="89">
        <v>-28375.56</v>
      </c>
      <c r="C57" s="89">
        <v>0</v>
      </c>
      <c r="D57" s="89">
        <v>0</v>
      </c>
      <c r="E57" s="89">
        <v>0</v>
      </c>
      <c r="F57" s="89">
        <v>0</v>
      </c>
      <c r="G57" s="89">
        <v>0</v>
      </c>
      <c r="H57" s="89">
        <v>0</v>
      </c>
      <c r="I57" s="89">
        <v>28375.56</v>
      </c>
      <c r="J57" s="89">
        <f>SUM(B57:I57)</f>
        <v>0</v>
      </c>
      <c r="L57" s="89"/>
      <c r="M57" s="86"/>
    </row>
    <row r="58" spans="1:13" ht="10.5">
      <c r="A58" s="96" t="s">
        <v>383</v>
      </c>
      <c r="B58" s="90">
        <f t="shared" ref="B58:J58" si="11">SUM(B57)</f>
        <v>-28375.56</v>
      </c>
      <c r="C58" s="90">
        <f t="shared" si="11"/>
        <v>0</v>
      </c>
      <c r="D58" s="90">
        <f t="shared" si="11"/>
        <v>0</v>
      </c>
      <c r="E58" s="90">
        <f t="shared" si="11"/>
        <v>0</v>
      </c>
      <c r="F58" s="90">
        <f t="shared" si="11"/>
        <v>0</v>
      </c>
      <c r="G58" s="90">
        <f t="shared" si="11"/>
        <v>0</v>
      </c>
      <c r="H58" s="90">
        <f t="shared" si="11"/>
        <v>0</v>
      </c>
      <c r="I58" s="90">
        <f t="shared" si="11"/>
        <v>28375.56</v>
      </c>
      <c r="J58" s="90">
        <f t="shared" si="11"/>
        <v>0</v>
      </c>
      <c r="K58" s="21">
        <v>12.1</v>
      </c>
      <c r="L58" s="90"/>
      <c r="M58" s="86"/>
    </row>
    <row r="59" spans="1:13" ht="10.5">
      <c r="A59" s="97" t="s">
        <v>382</v>
      </c>
      <c r="B59" s="90">
        <f t="shared" ref="B59:J59" si="12">SUM(B55,B58)</f>
        <v>-28375.56</v>
      </c>
      <c r="C59" s="90">
        <f t="shared" si="12"/>
        <v>0</v>
      </c>
      <c r="D59" s="90">
        <f t="shared" si="12"/>
        <v>0</v>
      </c>
      <c r="E59" s="90">
        <f t="shared" si="12"/>
        <v>0</v>
      </c>
      <c r="F59" s="90">
        <f t="shared" si="12"/>
        <v>0</v>
      </c>
      <c r="G59" s="90">
        <f t="shared" si="12"/>
        <v>0</v>
      </c>
      <c r="H59" s="90">
        <f t="shared" si="12"/>
        <v>1583738.18</v>
      </c>
      <c r="I59" s="90">
        <f t="shared" si="12"/>
        <v>28375.56</v>
      </c>
      <c r="J59" s="90">
        <f t="shared" si="12"/>
        <v>1583738.18</v>
      </c>
      <c r="K59" s="21">
        <v>12</v>
      </c>
      <c r="L59" s="90"/>
      <c r="M59" s="86"/>
    </row>
    <row r="60" spans="1:13" ht="10.5">
      <c r="A60" s="5" t="s">
        <v>381</v>
      </c>
      <c r="B60" s="88"/>
      <c r="C60" s="88"/>
      <c r="D60" s="88"/>
      <c r="E60" s="88"/>
      <c r="F60" s="88"/>
      <c r="G60" s="88"/>
      <c r="H60" s="88"/>
      <c r="I60" s="88"/>
      <c r="J60" s="88"/>
      <c r="L60" s="88"/>
      <c r="M60" s="86"/>
    </row>
    <row r="61" spans="1:13">
      <c r="A61" s="6" t="s">
        <v>722</v>
      </c>
      <c r="B61" s="89">
        <v>0</v>
      </c>
      <c r="C61" s="89">
        <v>0</v>
      </c>
      <c r="D61" s="89">
        <v>0</v>
      </c>
      <c r="E61" s="89">
        <v>0</v>
      </c>
      <c r="F61" s="89">
        <v>0</v>
      </c>
      <c r="G61" s="89">
        <v>0</v>
      </c>
      <c r="H61" s="89">
        <v>126335.77</v>
      </c>
      <c r="I61" s="89">
        <v>0</v>
      </c>
      <c r="J61" s="89">
        <f>SUM(B61:I61)</f>
        <v>126335.77</v>
      </c>
      <c r="L61" s="89"/>
      <c r="M61" s="86"/>
    </row>
    <row r="62" spans="1:13" ht="10.5">
      <c r="A62" s="97" t="s">
        <v>380</v>
      </c>
      <c r="B62" s="90">
        <f t="shared" ref="B62:J62" si="13">SUM(B61)</f>
        <v>0</v>
      </c>
      <c r="C62" s="90">
        <f t="shared" si="13"/>
        <v>0</v>
      </c>
      <c r="D62" s="90">
        <f t="shared" si="13"/>
        <v>0</v>
      </c>
      <c r="E62" s="90">
        <f t="shared" si="13"/>
        <v>0</v>
      </c>
      <c r="F62" s="90">
        <f t="shared" si="13"/>
        <v>0</v>
      </c>
      <c r="G62" s="90">
        <f t="shared" si="13"/>
        <v>0</v>
      </c>
      <c r="H62" s="90">
        <f t="shared" si="13"/>
        <v>126335.77</v>
      </c>
      <c r="I62" s="90">
        <f t="shared" si="13"/>
        <v>0</v>
      </c>
      <c r="J62" s="90">
        <f t="shared" si="13"/>
        <v>126335.77</v>
      </c>
      <c r="K62" s="21">
        <v>12</v>
      </c>
      <c r="L62" s="90"/>
      <c r="M62" s="86"/>
    </row>
    <row r="63" spans="1:13" ht="10.5">
      <c r="A63" s="5" t="s">
        <v>379</v>
      </c>
      <c r="B63" s="88"/>
      <c r="C63" s="88"/>
      <c r="D63" s="88"/>
      <c r="E63" s="88"/>
      <c r="F63" s="88"/>
      <c r="G63" s="88"/>
      <c r="H63" s="88"/>
      <c r="I63" s="88"/>
      <c r="J63" s="88"/>
      <c r="L63" s="88"/>
      <c r="M63" s="86"/>
    </row>
    <row r="64" spans="1:13">
      <c r="A64" s="6" t="s">
        <v>378</v>
      </c>
      <c r="B64" s="89">
        <v>0</v>
      </c>
      <c r="C64" s="89">
        <v>0</v>
      </c>
      <c r="D64" s="89">
        <v>0</v>
      </c>
      <c r="E64" s="89">
        <v>0</v>
      </c>
      <c r="F64" s="89">
        <v>0</v>
      </c>
      <c r="G64" s="89">
        <v>0</v>
      </c>
      <c r="H64" s="89">
        <v>327837.96000000002</v>
      </c>
      <c r="I64" s="89">
        <v>0</v>
      </c>
      <c r="J64" s="89">
        <f>SUM(B64:I64)</f>
        <v>327837.96000000002</v>
      </c>
      <c r="K64" s="21">
        <v>12</v>
      </c>
      <c r="L64" s="89"/>
      <c r="M64" s="86"/>
    </row>
    <row r="65" spans="1:13" ht="10.5">
      <c r="A65" s="95" t="s">
        <v>377</v>
      </c>
      <c r="B65" s="88"/>
      <c r="C65" s="88"/>
      <c r="D65" s="88"/>
      <c r="E65" s="88"/>
      <c r="F65" s="88"/>
      <c r="G65" s="88"/>
      <c r="H65" s="88"/>
      <c r="I65" s="88"/>
      <c r="J65" s="88"/>
      <c r="L65" s="88"/>
      <c r="M65" s="86"/>
    </row>
    <row r="66" spans="1:13">
      <c r="A66" s="8" t="s">
        <v>376</v>
      </c>
      <c r="B66" s="89">
        <v>-5003503.8499999996</v>
      </c>
      <c r="C66" s="89">
        <v>0</v>
      </c>
      <c r="D66" s="89">
        <v>0</v>
      </c>
      <c r="E66" s="89">
        <v>0</v>
      </c>
      <c r="F66" s="89">
        <v>0</v>
      </c>
      <c r="G66" s="89">
        <v>2284953.2400000002</v>
      </c>
      <c r="H66" s="89">
        <v>2718550.61</v>
      </c>
      <c r="I66" s="89">
        <v>0</v>
      </c>
      <c r="J66" s="89">
        <f>SUM(B66:I66)</f>
        <v>4.6566128730773926E-10</v>
      </c>
      <c r="L66" s="89"/>
      <c r="M66" s="86"/>
    </row>
    <row r="67" spans="1:13">
      <c r="A67" s="8" t="s">
        <v>375</v>
      </c>
      <c r="B67" s="89">
        <v>-1664719.22</v>
      </c>
      <c r="C67" s="89">
        <v>0</v>
      </c>
      <c r="D67" s="89">
        <v>0</v>
      </c>
      <c r="E67" s="89">
        <v>0</v>
      </c>
      <c r="F67" s="89">
        <v>0</v>
      </c>
      <c r="G67" s="89">
        <v>0</v>
      </c>
      <c r="H67" s="89">
        <v>865505.1</v>
      </c>
      <c r="I67" s="89">
        <v>799214.12</v>
      </c>
      <c r="J67" s="89">
        <f>SUM(B67:I67)</f>
        <v>0</v>
      </c>
      <c r="L67" s="89"/>
      <c r="M67" s="86"/>
    </row>
    <row r="68" spans="1:13">
      <c r="A68" s="8" t="s">
        <v>374</v>
      </c>
      <c r="B68" s="89">
        <v>-49169.73</v>
      </c>
      <c r="C68" s="89">
        <v>0</v>
      </c>
      <c r="D68" s="89">
        <v>0</v>
      </c>
      <c r="E68" s="89">
        <v>0</v>
      </c>
      <c r="F68" s="89">
        <v>48177.9</v>
      </c>
      <c r="G68" s="89">
        <v>0</v>
      </c>
      <c r="H68" s="89">
        <v>991.83</v>
      </c>
      <c r="I68" s="89">
        <v>0</v>
      </c>
      <c r="J68" s="89">
        <f>SUM(B68:I68)</f>
        <v>-1.7053025658242404E-12</v>
      </c>
      <c r="L68" s="89"/>
      <c r="M68" s="86"/>
    </row>
    <row r="69" spans="1:13">
      <c r="A69" s="8" t="s">
        <v>373</v>
      </c>
      <c r="B69" s="89">
        <v>-4459</v>
      </c>
      <c r="C69" s="89">
        <v>0</v>
      </c>
      <c r="D69" s="89">
        <v>4459</v>
      </c>
      <c r="E69" s="89">
        <v>0</v>
      </c>
      <c r="F69" s="89">
        <v>0</v>
      </c>
      <c r="G69" s="89">
        <v>0</v>
      </c>
      <c r="H69" s="89">
        <v>0</v>
      </c>
      <c r="I69" s="89">
        <v>0</v>
      </c>
      <c r="J69" s="89">
        <f>SUM(B69:I69)</f>
        <v>0</v>
      </c>
      <c r="L69" s="89"/>
      <c r="M69" s="86"/>
    </row>
    <row r="70" spans="1:13">
      <c r="A70" s="8" t="s">
        <v>372</v>
      </c>
      <c r="B70" s="89">
        <v>-1433953.1</v>
      </c>
      <c r="C70" s="89">
        <v>574641.37</v>
      </c>
      <c r="D70" s="89">
        <v>0</v>
      </c>
      <c r="E70" s="89">
        <v>0</v>
      </c>
      <c r="F70" s="89">
        <v>0</v>
      </c>
      <c r="G70" s="89">
        <v>15878.25</v>
      </c>
      <c r="H70" s="89">
        <v>843433.48</v>
      </c>
      <c r="I70" s="89">
        <v>0</v>
      </c>
      <c r="J70" s="89">
        <f>SUM(B70:I70)</f>
        <v>-1.1641532182693481E-10</v>
      </c>
      <c r="L70" s="89"/>
      <c r="M70" s="86"/>
    </row>
    <row r="71" spans="1:13" ht="10.5">
      <c r="A71" s="96" t="s">
        <v>371</v>
      </c>
      <c r="B71" s="90">
        <f t="shared" ref="B71:J71" si="14">SUM(B66:B70)</f>
        <v>-8155804.9000000004</v>
      </c>
      <c r="C71" s="90">
        <f t="shared" si="14"/>
        <v>574641.37</v>
      </c>
      <c r="D71" s="90">
        <f t="shared" si="14"/>
        <v>4459</v>
      </c>
      <c r="E71" s="90">
        <f t="shared" si="14"/>
        <v>0</v>
      </c>
      <c r="F71" s="90">
        <f t="shared" si="14"/>
        <v>48177.9</v>
      </c>
      <c r="G71" s="90">
        <f t="shared" si="14"/>
        <v>2300831.4900000002</v>
      </c>
      <c r="H71" s="90">
        <f t="shared" si="14"/>
        <v>4428481.0199999996</v>
      </c>
      <c r="I71" s="90">
        <f t="shared" si="14"/>
        <v>799214.12</v>
      </c>
      <c r="J71" s="90">
        <f t="shared" si="14"/>
        <v>3.475406629149802E-10</v>
      </c>
      <c r="K71" s="21">
        <v>13</v>
      </c>
      <c r="L71" s="90"/>
      <c r="M71" s="86"/>
    </row>
    <row r="72" spans="1:13" ht="10.5">
      <c r="A72" s="95" t="s">
        <v>370</v>
      </c>
      <c r="B72" s="88"/>
      <c r="C72" s="88"/>
      <c r="D72" s="88"/>
      <c r="E72" s="88"/>
      <c r="F72" s="88"/>
      <c r="G72" s="88"/>
      <c r="H72" s="88"/>
      <c r="I72" s="88"/>
      <c r="J72" s="88"/>
      <c r="L72" s="88"/>
      <c r="M72" s="86"/>
    </row>
    <row r="73" spans="1:13">
      <c r="A73" s="8" t="s">
        <v>369</v>
      </c>
      <c r="B73" s="89">
        <v>0</v>
      </c>
      <c r="C73" s="89">
        <v>143307.18</v>
      </c>
      <c r="D73" s="89">
        <v>0</v>
      </c>
      <c r="E73" s="89">
        <v>0</v>
      </c>
      <c r="F73" s="89">
        <v>0</v>
      </c>
      <c r="G73" s="89">
        <v>15354.25</v>
      </c>
      <c r="H73" s="89">
        <v>130211.74</v>
      </c>
      <c r="I73" s="89">
        <v>4547.0600000000004</v>
      </c>
      <c r="J73" s="89">
        <f>SUM(B73:I73)</f>
        <v>293420.23</v>
      </c>
      <c r="K73" s="21">
        <v>13.1</v>
      </c>
      <c r="L73" s="89"/>
      <c r="M73" s="86"/>
    </row>
    <row r="74" spans="1:13">
      <c r="A74" s="8" t="s">
        <v>368</v>
      </c>
      <c r="B74" s="89">
        <v>0</v>
      </c>
      <c r="C74" s="89">
        <v>0</v>
      </c>
      <c r="D74" s="89">
        <v>0</v>
      </c>
      <c r="E74" s="89">
        <v>0</v>
      </c>
      <c r="F74" s="89">
        <v>0</v>
      </c>
      <c r="G74" s="89">
        <v>11711.35</v>
      </c>
      <c r="H74" s="89">
        <v>0</v>
      </c>
      <c r="I74" s="89">
        <v>0</v>
      </c>
      <c r="J74" s="89">
        <f>SUM(B74:I74)</f>
        <v>11711.35</v>
      </c>
      <c r="K74" s="21">
        <v>13.1</v>
      </c>
      <c r="L74" s="89"/>
      <c r="M74" s="86"/>
    </row>
    <row r="75" spans="1:13">
      <c r="A75" s="8" t="s">
        <v>367</v>
      </c>
      <c r="B75" s="89">
        <v>0</v>
      </c>
      <c r="C75" s="89">
        <v>0</v>
      </c>
      <c r="D75" s="89">
        <v>0</v>
      </c>
      <c r="E75" s="89">
        <v>0</v>
      </c>
      <c r="F75" s="89">
        <v>0</v>
      </c>
      <c r="G75" s="89">
        <v>0</v>
      </c>
      <c r="H75" s="89">
        <v>99340.479999999996</v>
      </c>
      <c r="I75" s="89">
        <v>0</v>
      </c>
      <c r="J75" s="89">
        <f>SUM(B75:I75)</f>
        <v>99340.479999999996</v>
      </c>
      <c r="K75" s="21">
        <v>13.1</v>
      </c>
      <c r="L75" s="89"/>
      <c r="M75" s="86"/>
    </row>
    <row r="76" spans="1:13" ht="10.5">
      <c r="A76" s="96" t="s">
        <v>366</v>
      </c>
      <c r="B76" s="90">
        <f t="shared" ref="B76:J76" si="15">SUM(B73:B75)</f>
        <v>0</v>
      </c>
      <c r="C76" s="90">
        <f t="shared" si="15"/>
        <v>143307.18</v>
      </c>
      <c r="D76" s="90">
        <f t="shared" si="15"/>
        <v>0</v>
      </c>
      <c r="E76" s="90">
        <f t="shared" si="15"/>
        <v>0</v>
      </c>
      <c r="F76" s="90">
        <f t="shared" si="15"/>
        <v>0</v>
      </c>
      <c r="G76" s="90">
        <f t="shared" si="15"/>
        <v>27065.599999999999</v>
      </c>
      <c r="H76" s="90">
        <f t="shared" si="15"/>
        <v>229552.22</v>
      </c>
      <c r="I76" s="90">
        <f t="shared" si="15"/>
        <v>4547.0600000000004</v>
      </c>
      <c r="J76" s="90">
        <f t="shared" si="15"/>
        <v>404472.05999999994</v>
      </c>
      <c r="K76" s="21">
        <v>13</v>
      </c>
      <c r="L76" s="90"/>
      <c r="M76" s="86"/>
    </row>
    <row r="77" spans="1:13" ht="10.5">
      <c r="A77" s="95" t="s">
        <v>365</v>
      </c>
      <c r="B77" s="88"/>
      <c r="C77" s="88"/>
      <c r="D77" s="88"/>
      <c r="E77" s="88"/>
      <c r="F77" s="88"/>
      <c r="G77" s="88"/>
      <c r="H77" s="88"/>
      <c r="I77" s="88"/>
      <c r="J77" s="88"/>
      <c r="L77" s="88"/>
      <c r="M77" s="86"/>
    </row>
    <row r="78" spans="1:13" ht="10.5">
      <c r="A78" s="98" t="s">
        <v>364</v>
      </c>
      <c r="B78" s="88"/>
      <c r="C78" s="88"/>
      <c r="D78" s="88"/>
      <c r="E78" s="88"/>
      <c r="F78" s="88"/>
      <c r="G78" s="88"/>
      <c r="H78" s="88"/>
      <c r="I78" s="88"/>
      <c r="J78" s="88"/>
      <c r="L78" s="88"/>
      <c r="M78" s="86"/>
    </row>
    <row r="79" spans="1:13">
      <c r="A79" s="99" t="s">
        <v>363</v>
      </c>
      <c r="B79" s="89">
        <v>0</v>
      </c>
      <c r="C79" s="89">
        <v>0</v>
      </c>
      <c r="D79" s="89">
        <v>0</v>
      </c>
      <c r="E79" s="89">
        <v>0</v>
      </c>
      <c r="F79" s="89">
        <v>0</v>
      </c>
      <c r="G79" s="89">
        <v>0</v>
      </c>
      <c r="H79" s="89">
        <v>49.25</v>
      </c>
      <c r="I79" s="89">
        <v>0</v>
      </c>
      <c r="J79" s="89">
        <f t="shared" ref="J79:J86" si="16">SUM(B79:I79)</f>
        <v>49.25</v>
      </c>
      <c r="L79" s="89"/>
      <c r="M79" s="86"/>
    </row>
    <row r="80" spans="1:13">
      <c r="A80" s="99" t="s">
        <v>362</v>
      </c>
      <c r="B80" s="89">
        <v>0</v>
      </c>
      <c r="C80" s="89">
        <v>0</v>
      </c>
      <c r="D80" s="89">
        <v>0</v>
      </c>
      <c r="E80" s="89">
        <v>0</v>
      </c>
      <c r="F80" s="89">
        <v>0</v>
      </c>
      <c r="G80" s="89">
        <v>0</v>
      </c>
      <c r="H80" s="89">
        <v>625.84</v>
      </c>
      <c r="I80" s="89">
        <v>0</v>
      </c>
      <c r="J80" s="89">
        <f t="shared" si="16"/>
        <v>625.84</v>
      </c>
      <c r="L80" s="89"/>
      <c r="M80" s="86"/>
    </row>
    <row r="81" spans="1:13">
      <c r="A81" s="99" t="s">
        <v>361</v>
      </c>
      <c r="B81" s="89">
        <v>0</v>
      </c>
      <c r="C81" s="89">
        <v>0</v>
      </c>
      <c r="D81" s="89">
        <v>0</v>
      </c>
      <c r="E81" s="89">
        <v>0</v>
      </c>
      <c r="F81" s="89">
        <v>0</v>
      </c>
      <c r="G81" s="89">
        <v>0</v>
      </c>
      <c r="H81" s="89">
        <v>3165.33</v>
      </c>
      <c r="I81" s="89">
        <v>0</v>
      </c>
      <c r="J81" s="89">
        <f t="shared" si="16"/>
        <v>3165.33</v>
      </c>
      <c r="L81" s="89"/>
      <c r="M81" s="86"/>
    </row>
    <row r="82" spans="1:13">
      <c r="A82" s="99" t="s">
        <v>360</v>
      </c>
      <c r="B82" s="89">
        <v>0</v>
      </c>
      <c r="C82" s="89">
        <v>0</v>
      </c>
      <c r="D82" s="89">
        <v>0</v>
      </c>
      <c r="E82" s="89">
        <v>0</v>
      </c>
      <c r="F82" s="89">
        <v>0</v>
      </c>
      <c r="G82" s="89">
        <v>0</v>
      </c>
      <c r="H82" s="89">
        <v>31238.41</v>
      </c>
      <c r="I82" s="89">
        <v>0</v>
      </c>
      <c r="J82" s="89">
        <f t="shared" si="16"/>
        <v>31238.41</v>
      </c>
      <c r="L82" s="89"/>
      <c r="M82" s="86"/>
    </row>
    <row r="83" spans="1:13">
      <c r="A83" s="99" t="s">
        <v>359</v>
      </c>
      <c r="B83" s="89">
        <v>0</v>
      </c>
      <c r="C83" s="89">
        <v>0</v>
      </c>
      <c r="D83" s="89">
        <v>0</v>
      </c>
      <c r="E83" s="89">
        <v>0</v>
      </c>
      <c r="F83" s="89">
        <v>0</v>
      </c>
      <c r="G83" s="89">
        <v>0</v>
      </c>
      <c r="H83" s="89">
        <v>0</v>
      </c>
      <c r="I83" s="89">
        <v>5870.77</v>
      </c>
      <c r="J83" s="89">
        <f t="shared" si="16"/>
        <v>5870.77</v>
      </c>
      <c r="L83" s="89"/>
      <c r="M83" s="86"/>
    </row>
    <row r="84" spans="1:13">
      <c r="A84" s="99" t="s">
        <v>358</v>
      </c>
      <c r="B84" s="89">
        <v>0</v>
      </c>
      <c r="C84" s="89">
        <v>0</v>
      </c>
      <c r="D84" s="89">
        <v>0</v>
      </c>
      <c r="E84" s="89">
        <v>0</v>
      </c>
      <c r="F84" s="89">
        <v>0</v>
      </c>
      <c r="G84" s="89">
        <v>0</v>
      </c>
      <c r="H84" s="89">
        <v>0</v>
      </c>
      <c r="I84" s="89">
        <v>38437.97</v>
      </c>
      <c r="J84" s="89">
        <f t="shared" si="16"/>
        <v>38437.97</v>
      </c>
      <c r="L84" s="89"/>
      <c r="M84" s="86"/>
    </row>
    <row r="85" spans="1:13">
      <c r="A85" s="99" t="s">
        <v>357</v>
      </c>
      <c r="B85" s="89">
        <v>0</v>
      </c>
      <c r="C85" s="89">
        <v>0</v>
      </c>
      <c r="D85" s="89">
        <v>0</v>
      </c>
      <c r="E85" s="89">
        <v>0</v>
      </c>
      <c r="F85" s="89">
        <v>0</v>
      </c>
      <c r="G85" s="89">
        <v>0</v>
      </c>
      <c r="H85" s="89">
        <v>0</v>
      </c>
      <c r="I85" s="89">
        <v>848.64</v>
      </c>
      <c r="J85" s="89">
        <f t="shared" si="16"/>
        <v>848.64</v>
      </c>
      <c r="L85" s="89"/>
      <c r="M85" s="86"/>
    </row>
    <row r="86" spans="1:13">
      <c r="A86" s="99" t="s">
        <v>356</v>
      </c>
      <c r="B86" s="89">
        <v>0</v>
      </c>
      <c r="C86" s="89">
        <v>0</v>
      </c>
      <c r="D86" s="89">
        <v>0</v>
      </c>
      <c r="E86" s="89">
        <v>0</v>
      </c>
      <c r="F86" s="89">
        <v>0</v>
      </c>
      <c r="G86" s="89">
        <v>39429.68</v>
      </c>
      <c r="H86" s="89">
        <v>0</v>
      </c>
      <c r="I86" s="89">
        <v>0</v>
      </c>
      <c r="J86" s="89">
        <f t="shared" si="16"/>
        <v>39429.68</v>
      </c>
      <c r="L86" s="89"/>
      <c r="M86" s="86"/>
    </row>
    <row r="87" spans="1:13" ht="10.5">
      <c r="A87" s="100" t="s">
        <v>355</v>
      </c>
      <c r="B87" s="90">
        <f t="shared" ref="B87:J87" si="17">SUM(B79:B86)</f>
        <v>0</v>
      </c>
      <c r="C87" s="90">
        <f t="shared" si="17"/>
        <v>0</v>
      </c>
      <c r="D87" s="90">
        <f t="shared" si="17"/>
        <v>0</v>
      </c>
      <c r="E87" s="90">
        <f t="shared" si="17"/>
        <v>0</v>
      </c>
      <c r="F87" s="90">
        <f t="shared" si="17"/>
        <v>0</v>
      </c>
      <c r="G87" s="90">
        <f t="shared" si="17"/>
        <v>39429.68</v>
      </c>
      <c r="H87" s="90">
        <f t="shared" si="17"/>
        <v>35078.83</v>
      </c>
      <c r="I87" s="90">
        <f t="shared" si="17"/>
        <v>45157.380000000005</v>
      </c>
      <c r="J87" s="90">
        <f t="shared" si="17"/>
        <v>119665.89000000001</v>
      </c>
      <c r="K87" s="21">
        <v>13.2</v>
      </c>
      <c r="L87" s="90"/>
      <c r="M87" s="86"/>
    </row>
    <row r="88" spans="1:13" ht="10.5">
      <c r="A88" s="98" t="s">
        <v>354</v>
      </c>
      <c r="B88" s="88"/>
      <c r="C88" s="88"/>
      <c r="D88" s="88"/>
      <c r="E88" s="88"/>
      <c r="F88" s="88"/>
      <c r="G88" s="88"/>
      <c r="H88" s="88"/>
      <c r="I88" s="88"/>
      <c r="J88" s="88"/>
      <c r="L88" s="88"/>
      <c r="M88" s="86"/>
    </row>
    <row r="89" spans="1:13">
      <c r="A89" s="99" t="s">
        <v>353</v>
      </c>
      <c r="B89" s="89">
        <v>0</v>
      </c>
      <c r="C89" s="89">
        <v>0</v>
      </c>
      <c r="D89" s="89">
        <v>0</v>
      </c>
      <c r="E89" s="89">
        <v>0</v>
      </c>
      <c r="F89" s="89">
        <v>0</v>
      </c>
      <c r="G89" s="89">
        <v>0</v>
      </c>
      <c r="H89" s="89">
        <v>17204.02</v>
      </c>
      <c r="I89" s="89">
        <v>0</v>
      </c>
      <c r="J89" s="89">
        <f>SUM(B89:I89)</f>
        <v>17204.02</v>
      </c>
      <c r="L89" s="89"/>
      <c r="M89" s="86"/>
    </row>
    <row r="90" spans="1:13">
      <c r="A90" s="99" t="s">
        <v>352</v>
      </c>
      <c r="B90" s="89">
        <v>0</v>
      </c>
      <c r="C90" s="89">
        <v>0</v>
      </c>
      <c r="D90" s="89">
        <v>0</v>
      </c>
      <c r="E90" s="89">
        <v>0</v>
      </c>
      <c r="F90" s="89">
        <v>0</v>
      </c>
      <c r="G90" s="89">
        <v>0</v>
      </c>
      <c r="H90" s="89">
        <v>-17204.02</v>
      </c>
      <c r="I90" s="89">
        <v>0</v>
      </c>
      <c r="J90" s="89">
        <f>SUM(B90:I90)</f>
        <v>-17204.02</v>
      </c>
      <c r="L90" s="89"/>
      <c r="M90" s="86"/>
    </row>
    <row r="91" spans="1:13">
      <c r="A91" s="99" t="s">
        <v>351</v>
      </c>
      <c r="B91" s="89">
        <v>0</v>
      </c>
      <c r="C91" s="89">
        <v>0</v>
      </c>
      <c r="D91" s="89">
        <v>-447.84</v>
      </c>
      <c r="E91" s="89">
        <v>0</v>
      </c>
      <c r="F91" s="89">
        <v>0</v>
      </c>
      <c r="G91" s="89">
        <v>0</v>
      </c>
      <c r="H91" s="89">
        <v>0</v>
      </c>
      <c r="I91" s="89">
        <v>75511.06</v>
      </c>
      <c r="J91" s="89">
        <f>SUM(B91:I91)</f>
        <v>75063.22</v>
      </c>
      <c r="L91" s="89"/>
      <c r="M91" s="86"/>
    </row>
    <row r="92" spans="1:13">
      <c r="A92" s="99" t="s">
        <v>350</v>
      </c>
      <c r="B92" s="89">
        <v>0</v>
      </c>
      <c r="C92" s="89">
        <v>0</v>
      </c>
      <c r="D92" s="89">
        <v>0</v>
      </c>
      <c r="E92" s="89">
        <v>0</v>
      </c>
      <c r="F92" s="89">
        <v>0</v>
      </c>
      <c r="G92" s="89">
        <v>3267.88</v>
      </c>
      <c r="H92" s="89">
        <v>0</v>
      </c>
      <c r="I92" s="89">
        <v>0</v>
      </c>
      <c r="J92" s="89">
        <f>SUM(B92:I92)</f>
        <v>3267.88</v>
      </c>
      <c r="L92" s="89"/>
      <c r="M92" s="86"/>
    </row>
    <row r="93" spans="1:13" ht="10.5">
      <c r="A93" s="100" t="s">
        <v>349</v>
      </c>
      <c r="B93" s="90">
        <f t="shared" ref="B93:J93" si="18">SUM(B89:B92)</f>
        <v>0</v>
      </c>
      <c r="C93" s="90">
        <f t="shared" si="18"/>
        <v>0</v>
      </c>
      <c r="D93" s="90">
        <f t="shared" si="18"/>
        <v>-447.84</v>
      </c>
      <c r="E93" s="90">
        <f t="shared" si="18"/>
        <v>0</v>
      </c>
      <c r="F93" s="90">
        <f t="shared" si="18"/>
        <v>0</v>
      </c>
      <c r="G93" s="90">
        <f t="shared" si="18"/>
        <v>3267.88</v>
      </c>
      <c r="H93" s="90">
        <f t="shared" si="18"/>
        <v>0</v>
      </c>
      <c r="I93" s="90">
        <f t="shared" si="18"/>
        <v>75511.06</v>
      </c>
      <c r="J93" s="90">
        <f t="shared" si="18"/>
        <v>78331.100000000006</v>
      </c>
      <c r="K93" s="21">
        <v>13.2</v>
      </c>
      <c r="L93" s="90"/>
      <c r="M93" s="86"/>
    </row>
    <row r="94" spans="1:13" ht="10.5">
      <c r="A94" s="96" t="s">
        <v>348</v>
      </c>
      <c r="B94" s="90">
        <f t="shared" ref="B94:J94" si="19">SUM(B87,B93)</f>
        <v>0</v>
      </c>
      <c r="C94" s="90">
        <f t="shared" si="19"/>
        <v>0</v>
      </c>
      <c r="D94" s="90">
        <f t="shared" si="19"/>
        <v>-447.84</v>
      </c>
      <c r="E94" s="90">
        <f t="shared" si="19"/>
        <v>0</v>
      </c>
      <c r="F94" s="90">
        <f t="shared" si="19"/>
        <v>0</v>
      </c>
      <c r="G94" s="90">
        <f t="shared" si="19"/>
        <v>42697.56</v>
      </c>
      <c r="H94" s="90">
        <f t="shared" si="19"/>
        <v>35078.83</v>
      </c>
      <c r="I94" s="90">
        <f t="shared" si="19"/>
        <v>120668.44</v>
      </c>
      <c r="J94" s="90">
        <f t="shared" si="19"/>
        <v>197996.99000000002</v>
      </c>
      <c r="K94" s="21">
        <v>13</v>
      </c>
      <c r="L94" s="90"/>
      <c r="M94" s="86"/>
    </row>
    <row r="95" spans="1:13" ht="10.5">
      <c r="A95" s="95" t="s">
        <v>347</v>
      </c>
      <c r="B95" s="88"/>
      <c r="C95" s="88"/>
      <c r="D95" s="88"/>
      <c r="E95" s="88"/>
      <c r="F95" s="88"/>
      <c r="G95" s="88"/>
      <c r="H95" s="88"/>
      <c r="I95" s="88"/>
      <c r="J95" s="88"/>
      <c r="L95" s="88"/>
      <c r="M95" s="86"/>
    </row>
    <row r="96" spans="1:13">
      <c r="A96" s="8" t="s">
        <v>346</v>
      </c>
      <c r="B96" s="89">
        <v>0</v>
      </c>
      <c r="C96" s="89">
        <v>36775</v>
      </c>
      <c r="D96" s="89">
        <v>0</v>
      </c>
      <c r="E96" s="89">
        <v>0</v>
      </c>
      <c r="F96" s="89">
        <v>0</v>
      </c>
      <c r="G96" s="89">
        <v>68850.34</v>
      </c>
      <c r="H96" s="89">
        <v>37820.53</v>
      </c>
      <c r="I96" s="89">
        <v>14750.69</v>
      </c>
      <c r="J96" s="89">
        <f>SUM(B96:I96)</f>
        <v>158196.56</v>
      </c>
      <c r="K96" s="21">
        <v>13.3</v>
      </c>
      <c r="L96" s="89"/>
      <c r="M96" s="86"/>
    </row>
    <row r="97" spans="1:13">
      <c r="A97" s="8" t="s">
        <v>345</v>
      </c>
      <c r="B97" s="89">
        <v>0</v>
      </c>
      <c r="C97" s="89">
        <v>0</v>
      </c>
      <c r="D97" s="89">
        <v>0</v>
      </c>
      <c r="E97" s="89">
        <v>0</v>
      </c>
      <c r="F97" s="89">
        <v>0</v>
      </c>
      <c r="G97" s="89">
        <v>0</v>
      </c>
      <c r="H97" s="89">
        <v>11921</v>
      </c>
      <c r="I97" s="89">
        <v>0</v>
      </c>
      <c r="J97" s="89">
        <f>SUM(B97:I97)</f>
        <v>11921</v>
      </c>
      <c r="K97" s="21">
        <v>13.3</v>
      </c>
      <c r="L97" s="89"/>
      <c r="M97" s="86"/>
    </row>
    <row r="98" spans="1:13" ht="10.5">
      <c r="A98" s="96" t="s">
        <v>344</v>
      </c>
      <c r="B98" s="90">
        <f t="shared" ref="B98:J98" si="20">SUM(B96:B97)</f>
        <v>0</v>
      </c>
      <c r="C98" s="90">
        <f t="shared" si="20"/>
        <v>36775</v>
      </c>
      <c r="D98" s="90">
        <f t="shared" si="20"/>
        <v>0</v>
      </c>
      <c r="E98" s="90">
        <f t="shared" si="20"/>
        <v>0</v>
      </c>
      <c r="F98" s="90">
        <f t="shared" si="20"/>
        <v>0</v>
      </c>
      <c r="G98" s="90">
        <f t="shared" si="20"/>
        <v>68850.34</v>
      </c>
      <c r="H98" s="90">
        <f t="shared" si="20"/>
        <v>49741.53</v>
      </c>
      <c r="I98" s="90">
        <f t="shared" si="20"/>
        <v>14750.69</v>
      </c>
      <c r="J98" s="90">
        <f t="shared" si="20"/>
        <v>170117.56</v>
      </c>
      <c r="K98" s="21">
        <v>13</v>
      </c>
      <c r="L98" s="90"/>
      <c r="M98" s="86"/>
    </row>
    <row r="99" spans="1:13">
      <c r="A99" s="6" t="s">
        <v>343</v>
      </c>
      <c r="B99" s="89">
        <v>0</v>
      </c>
      <c r="C99" s="89">
        <v>0</v>
      </c>
      <c r="D99" s="89">
        <v>117.88</v>
      </c>
      <c r="E99" s="89">
        <v>491.94</v>
      </c>
      <c r="F99" s="89">
        <v>83.92</v>
      </c>
      <c r="G99" s="89">
        <v>0</v>
      </c>
      <c r="H99" s="89">
        <v>26.53</v>
      </c>
      <c r="I99" s="89">
        <v>0</v>
      </c>
      <c r="J99" s="89">
        <f>SUM(B99:I99)</f>
        <v>720.26999999999987</v>
      </c>
      <c r="K99" s="21">
        <v>13</v>
      </c>
      <c r="L99" s="21">
        <v>13.3</v>
      </c>
      <c r="M99" s="86"/>
    </row>
    <row r="100" spans="1:13" ht="10.5">
      <c r="A100" s="95" t="s">
        <v>342</v>
      </c>
      <c r="B100" s="88"/>
      <c r="C100" s="88"/>
      <c r="D100" s="88"/>
      <c r="E100" s="88"/>
      <c r="F100" s="88"/>
      <c r="G100" s="88"/>
      <c r="H100" s="88"/>
      <c r="I100" s="88"/>
      <c r="J100" s="88"/>
      <c r="L100" s="88"/>
      <c r="M100" s="86"/>
    </row>
    <row r="101" spans="1:13">
      <c r="A101" s="8" t="s">
        <v>341</v>
      </c>
      <c r="B101" s="89">
        <v>-261263.83</v>
      </c>
      <c r="C101" s="89">
        <v>0</v>
      </c>
      <c r="D101" s="89">
        <v>0</v>
      </c>
      <c r="E101" s="89">
        <v>0</v>
      </c>
      <c r="F101" s="89">
        <v>0</v>
      </c>
      <c r="G101" s="89">
        <v>0</v>
      </c>
      <c r="H101" s="89">
        <v>261263.83</v>
      </c>
      <c r="I101" s="89">
        <v>0</v>
      </c>
      <c r="J101" s="89">
        <f>SUM(B101:I101)</f>
        <v>0</v>
      </c>
      <c r="L101" s="89"/>
      <c r="M101" s="86"/>
    </row>
    <row r="102" spans="1:13">
      <c r="A102" s="8" t="s">
        <v>340</v>
      </c>
      <c r="B102" s="89">
        <v>0</v>
      </c>
      <c r="C102" s="89">
        <v>0</v>
      </c>
      <c r="D102" s="89">
        <v>37427.660000000003</v>
      </c>
      <c r="E102" s="89">
        <v>0</v>
      </c>
      <c r="F102" s="89">
        <v>0</v>
      </c>
      <c r="G102" s="89">
        <v>0</v>
      </c>
      <c r="H102" s="89">
        <v>0</v>
      </c>
      <c r="I102" s="89">
        <v>0</v>
      </c>
      <c r="J102" s="89">
        <f>SUM(B102:I102)</f>
        <v>37427.660000000003</v>
      </c>
      <c r="L102" s="89"/>
      <c r="M102" s="86"/>
    </row>
    <row r="103" spans="1:13" ht="10.5">
      <c r="A103" s="96" t="s">
        <v>339</v>
      </c>
      <c r="B103" s="90">
        <f t="shared" ref="B103:J103" si="21">SUM(B101:B102)</f>
        <v>-261263.83</v>
      </c>
      <c r="C103" s="90">
        <f t="shared" si="21"/>
        <v>0</v>
      </c>
      <c r="D103" s="90">
        <f t="shared" si="21"/>
        <v>37427.660000000003</v>
      </c>
      <c r="E103" s="90">
        <f t="shared" si="21"/>
        <v>0</v>
      </c>
      <c r="F103" s="90">
        <f t="shared" si="21"/>
        <v>0</v>
      </c>
      <c r="G103" s="90">
        <f t="shared" si="21"/>
        <v>0</v>
      </c>
      <c r="H103" s="90">
        <f t="shared" si="21"/>
        <v>261263.83</v>
      </c>
      <c r="I103" s="90">
        <f t="shared" si="21"/>
        <v>0</v>
      </c>
      <c r="J103" s="90">
        <f t="shared" si="21"/>
        <v>37427.660000000003</v>
      </c>
      <c r="K103" s="21">
        <v>14</v>
      </c>
      <c r="L103" s="90"/>
      <c r="M103" s="86"/>
    </row>
    <row r="104" spans="1:13">
      <c r="A104" s="6" t="s">
        <v>338</v>
      </c>
      <c r="B104" s="89">
        <v>0</v>
      </c>
      <c r="C104" s="89">
        <v>-2371.0500000000002</v>
      </c>
      <c r="D104" s="89">
        <v>0</v>
      </c>
      <c r="E104" s="89">
        <v>0</v>
      </c>
      <c r="F104" s="89">
        <v>0</v>
      </c>
      <c r="G104" s="89">
        <v>-3045.65</v>
      </c>
      <c r="H104" s="89">
        <v>1042.6500000000001</v>
      </c>
      <c r="I104" s="89">
        <v>-32.19</v>
      </c>
      <c r="J104" s="89">
        <f>SUM(B104:I104)</f>
        <v>-4406.2400000000007</v>
      </c>
      <c r="K104" s="21">
        <v>14</v>
      </c>
      <c r="L104" s="89"/>
      <c r="M104" s="86"/>
    </row>
    <row r="105" spans="1:13" ht="10.5">
      <c r="A105" s="97" t="s">
        <v>337</v>
      </c>
      <c r="B105" s="90">
        <f t="shared" ref="B105:J105" si="22">SUM(B64,B71,B76,B94,B98:B99,B103:B104)</f>
        <v>-8417068.7300000004</v>
      </c>
      <c r="C105" s="90">
        <f t="shared" si="22"/>
        <v>752352.5</v>
      </c>
      <c r="D105" s="90">
        <f t="shared" si="22"/>
        <v>41556.700000000004</v>
      </c>
      <c r="E105" s="90">
        <f t="shared" si="22"/>
        <v>491.94</v>
      </c>
      <c r="F105" s="90">
        <f t="shared" si="22"/>
        <v>48261.82</v>
      </c>
      <c r="G105" s="90">
        <f t="shared" si="22"/>
        <v>2436399.3400000003</v>
      </c>
      <c r="H105" s="90">
        <f t="shared" si="22"/>
        <v>5333024.57</v>
      </c>
      <c r="I105" s="90">
        <f t="shared" si="22"/>
        <v>939148.12000000011</v>
      </c>
      <c r="J105" s="90">
        <f t="shared" si="22"/>
        <v>1134166.2600000002</v>
      </c>
      <c r="L105" s="90"/>
      <c r="M105" s="86"/>
    </row>
    <row r="106" spans="1:13" ht="10.5">
      <c r="A106" s="7" t="s">
        <v>336</v>
      </c>
      <c r="B106" s="91">
        <f t="shared" ref="B106:J106" si="23">B50+B59+B62+B105</f>
        <v>-8445444.290000001</v>
      </c>
      <c r="C106" s="91">
        <f t="shared" si="23"/>
        <v>974992.97</v>
      </c>
      <c r="D106" s="91">
        <f t="shared" si="23"/>
        <v>62228.55</v>
      </c>
      <c r="E106" s="91">
        <f t="shared" si="23"/>
        <v>513.75</v>
      </c>
      <c r="F106" s="91">
        <f t="shared" si="23"/>
        <v>48738.37</v>
      </c>
      <c r="G106" s="91">
        <f t="shared" si="23"/>
        <v>3107695.5300000003</v>
      </c>
      <c r="H106" s="91">
        <f t="shared" si="23"/>
        <v>24655075.849999998</v>
      </c>
      <c r="I106" s="91">
        <f t="shared" si="23"/>
        <v>1262372.1500000001</v>
      </c>
      <c r="J106" s="91">
        <f t="shared" si="23"/>
        <v>21666172.879999999</v>
      </c>
      <c r="L106" s="91"/>
      <c r="M106" s="86"/>
    </row>
    <row r="107" spans="1:13" ht="10.5">
      <c r="A107" s="3" t="s">
        <v>335</v>
      </c>
      <c r="B107" s="88"/>
      <c r="C107" s="88"/>
      <c r="D107" s="88"/>
      <c r="E107" s="88"/>
      <c r="F107" s="88"/>
      <c r="G107" s="88"/>
      <c r="H107" s="88"/>
      <c r="I107" s="88"/>
      <c r="J107" s="88"/>
      <c r="L107" s="88"/>
      <c r="M107" s="86"/>
    </row>
    <row r="108" spans="1:13" ht="10.5">
      <c r="A108" s="5" t="s">
        <v>334</v>
      </c>
      <c r="B108" s="88"/>
      <c r="C108" s="88"/>
      <c r="D108" s="88"/>
      <c r="E108" s="88"/>
      <c r="F108" s="88"/>
      <c r="G108" s="88"/>
      <c r="H108" s="88"/>
      <c r="I108" s="88"/>
      <c r="J108" s="88"/>
      <c r="L108" s="88"/>
      <c r="M108" s="86"/>
    </row>
    <row r="109" spans="1:13">
      <c r="A109" s="6" t="s">
        <v>333</v>
      </c>
      <c r="B109" s="89">
        <v>0</v>
      </c>
      <c r="C109" s="89">
        <v>0</v>
      </c>
      <c r="D109" s="89">
        <v>0</v>
      </c>
      <c r="E109" s="89">
        <v>0</v>
      </c>
      <c r="F109" s="89">
        <v>0</v>
      </c>
      <c r="G109" s="89">
        <v>59414.93</v>
      </c>
      <c r="H109" s="89">
        <v>109973.94</v>
      </c>
      <c r="I109" s="89">
        <v>12825.42</v>
      </c>
      <c r="J109" s="89">
        <f>SUM(B109:I109)</f>
        <v>182214.29</v>
      </c>
      <c r="K109" s="21">
        <v>15.1</v>
      </c>
      <c r="L109" s="89"/>
      <c r="M109" s="86"/>
    </row>
    <row r="110" spans="1:13">
      <c r="A110" s="6" t="s">
        <v>332</v>
      </c>
      <c r="B110" s="89">
        <v>0</v>
      </c>
      <c r="C110" s="89">
        <v>0</v>
      </c>
      <c r="D110" s="89">
        <v>0</v>
      </c>
      <c r="E110" s="89">
        <v>0</v>
      </c>
      <c r="F110" s="89">
        <v>0</v>
      </c>
      <c r="G110" s="89">
        <v>0</v>
      </c>
      <c r="H110" s="89">
        <v>2652.33</v>
      </c>
      <c r="I110" s="89">
        <v>0</v>
      </c>
      <c r="J110" s="89">
        <f>SUM(B110:I110)</f>
        <v>2652.33</v>
      </c>
      <c r="K110" s="21">
        <v>15.3</v>
      </c>
      <c r="L110" s="89"/>
      <c r="M110" s="86"/>
    </row>
    <row r="111" spans="1:13">
      <c r="A111" s="6" t="s">
        <v>331</v>
      </c>
      <c r="B111" s="89">
        <v>0</v>
      </c>
      <c r="C111" s="89">
        <v>516.61</v>
      </c>
      <c r="D111" s="89">
        <v>0</v>
      </c>
      <c r="E111" s="89">
        <v>0</v>
      </c>
      <c r="F111" s="89">
        <v>0</v>
      </c>
      <c r="G111" s="89">
        <v>16499.37</v>
      </c>
      <c r="H111" s="89">
        <v>1906</v>
      </c>
      <c r="I111" s="89">
        <v>0</v>
      </c>
      <c r="J111" s="89">
        <f>SUM(B111:I111)</f>
        <v>18921.98</v>
      </c>
      <c r="K111" s="21">
        <v>15.2</v>
      </c>
      <c r="L111" s="89"/>
      <c r="M111" s="86"/>
    </row>
    <row r="112" spans="1:13">
      <c r="A112" s="6" t="s">
        <v>330</v>
      </c>
      <c r="B112" s="89">
        <v>0</v>
      </c>
      <c r="C112" s="89">
        <v>559.98</v>
      </c>
      <c r="D112" s="89">
        <v>0</v>
      </c>
      <c r="E112" s="89">
        <v>0</v>
      </c>
      <c r="F112" s="89">
        <v>0</v>
      </c>
      <c r="G112" s="89">
        <v>5179.72</v>
      </c>
      <c r="H112" s="89">
        <v>7892</v>
      </c>
      <c r="I112" s="89">
        <v>1526.64</v>
      </c>
      <c r="J112" s="89">
        <f>SUM(B112:I112)</f>
        <v>15158.34</v>
      </c>
      <c r="K112" s="21">
        <v>15.1</v>
      </c>
      <c r="L112" s="89"/>
      <c r="M112" s="86"/>
    </row>
    <row r="113" spans="1:13" ht="10.5">
      <c r="A113" s="97" t="s">
        <v>329</v>
      </c>
      <c r="B113" s="90">
        <f t="shared" ref="B113:J113" si="24">SUM(B109:B112)</f>
        <v>0</v>
      </c>
      <c r="C113" s="90">
        <f t="shared" si="24"/>
        <v>1076.5900000000001</v>
      </c>
      <c r="D113" s="90">
        <f t="shared" si="24"/>
        <v>0</v>
      </c>
      <c r="E113" s="90">
        <f t="shared" si="24"/>
        <v>0</v>
      </c>
      <c r="F113" s="90">
        <f t="shared" si="24"/>
        <v>0</v>
      </c>
      <c r="G113" s="90">
        <f t="shared" si="24"/>
        <v>81094.02</v>
      </c>
      <c r="H113" s="90">
        <f t="shared" si="24"/>
        <v>122424.27</v>
      </c>
      <c r="I113" s="90">
        <f t="shared" si="24"/>
        <v>14352.06</v>
      </c>
      <c r="J113" s="90">
        <f t="shared" si="24"/>
        <v>218946.94</v>
      </c>
      <c r="K113" s="21">
        <v>15</v>
      </c>
      <c r="L113" s="90"/>
      <c r="M113" s="86"/>
    </row>
    <row r="114" spans="1:13" ht="10.5">
      <c r="A114" s="5" t="s">
        <v>328</v>
      </c>
      <c r="B114" s="88"/>
      <c r="C114" s="88"/>
      <c r="D114" s="88"/>
      <c r="E114" s="88"/>
      <c r="F114" s="88"/>
      <c r="G114" s="88"/>
      <c r="H114" s="88"/>
      <c r="I114" s="88"/>
      <c r="J114" s="88"/>
      <c r="L114" s="88"/>
      <c r="M114" s="86"/>
    </row>
    <row r="115" spans="1:13">
      <c r="A115" s="6" t="s">
        <v>327</v>
      </c>
      <c r="B115" s="89">
        <v>0</v>
      </c>
      <c r="C115" s="89">
        <v>0</v>
      </c>
      <c r="D115" s="89">
        <v>0</v>
      </c>
      <c r="E115" s="89">
        <v>0</v>
      </c>
      <c r="F115" s="89">
        <v>0</v>
      </c>
      <c r="G115" s="89">
        <v>-5663.88</v>
      </c>
      <c r="H115" s="89">
        <v>-57275.519999999997</v>
      </c>
      <c r="I115" s="89">
        <v>-5734.26</v>
      </c>
      <c r="J115" s="89">
        <f>SUM(B115:I115)</f>
        <v>-68673.659999999989</v>
      </c>
      <c r="K115" s="21">
        <v>15.4</v>
      </c>
      <c r="L115" s="89"/>
      <c r="M115" s="86"/>
    </row>
    <row r="116" spans="1:13">
      <c r="A116" s="6" t="s">
        <v>326</v>
      </c>
      <c r="B116" s="89">
        <v>0</v>
      </c>
      <c r="C116" s="89">
        <v>0</v>
      </c>
      <c r="D116" s="89">
        <v>0</v>
      </c>
      <c r="E116" s="89">
        <v>0</v>
      </c>
      <c r="F116" s="89">
        <v>0</v>
      </c>
      <c r="G116" s="89">
        <v>0</v>
      </c>
      <c r="H116" s="89">
        <v>-2652</v>
      </c>
      <c r="I116" s="89">
        <v>0</v>
      </c>
      <c r="J116" s="89">
        <f>SUM(B116:I116)</f>
        <v>-2652</v>
      </c>
      <c r="K116" s="21">
        <v>15.4</v>
      </c>
      <c r="L116" s="89"/>
      <c r="M116" s="86"/>
    </row>
    <row r="117" spans="1:13">
      <c r="A117" s="6" t="s">
        <v>325</v>
      </c>
      <c r="B117" s="89">
        <v>0</v>
      </c>
      <c r="C117" s="89">
        <v>-12.08</v>
      </c>
      <c r="D117" s="89">
        <v>0</v>
      </c>
      <c r="E117" s="89">
        <v>0</v>
      </c>
      <c r="F117" s="89">
        <v>0</v>
      </c>
      <c r="G117" s="89">
        <v>-17543.099999999999</v>
      </c>
      <c r="H117" s="89">
        <v>-708.32</v>
      </c>
      <c r="I117" s="89">
        <v>0</v>
      </c>
      <c r="J117" s="89">
        <f>SUM(B117:I117)</f>
        <v>-18263.5</v>
      </c>
      <c r="K117" s="21">
        <v>15.4</v>
      </c>
      <c r="L117" s="89"/>
      <c r="M117" s="86"/>
    </row>
    <row r="118" spans="1:13">
      <c r="A118" s="6" t="s">
        <v>324</v>
      </c>
      <c r="B118" s="89">
        <v>0</v>
      </c>
      <c r="C118" s="89">
        <v>-28</v>
      </c>
      <c r="D118" s="89">
        <v>0</v>
      </c>
      <c r="E118" s="89">
        <v>0</v>
      </c>
      <c r="F118" s="89">
        <v>0</v>
      </c>
      <c r="G118" s="89">
        <v>-556.1</v>
      </c>
      <c r="H118" s="89">
        <v>-5685.77</v>
      </c>
      <c r="I118" s="89">
        <v>-9.49</v>
      </c>
      <c r="J118" s="89">
        <f>SUM(B118:I118)</f>
        <v>-6279.3600000000006</v>
      </c>
      <c r="K118" s="21">
        <v>15.4</v>
      </c>
      <c r="L118" s="89"/>
      <c r="M118" s="86"/>
    </row>
    <row r="119" spans="1:13" ht="10.5">
      <c r="A119" s="97" t="s">
        <v>323</v>
      </c>
      <c r="B119" s="90">
        <f t="shared" ref="B119:J119" si="25">SUM(B115:B118)</f>
        <v>0</v>
      </c>
      <c r="C119" s="90">
        <f t="shared" si="25"/>
        <v>-40.08</v>
      </c>
      <c r="D119" s="90">
        <f t="shared" si="25"/>
        <v>0</v>
      </c>
      <c r="E119" s="90">
        <f t="shared" si="25"/>
        <v>0</v>
      </c>
      <c r="F119" s="90">
        <f t="shared" si="25"/>
        <v>0</v>
      </c>
      <c r="G119" s="90">
        <f t="shared" si="25"/>
        <v>-23763.079999999998</v>
      </c>
      <c r="H119" s="90">
        <f t="shared" si="25"/>
        <v>-66321.61</v>
      </c>
      <c r="I119" s="90">
        <f t="shared" si="25"/>
        <v>-5743.75</v>
      </c>
      <c r="J119" s="90">
        <f t="shared" si="25"/>
        <v>-95868.51999999999</v>
      </c>
      <c r="K119" s="21">
        <v>15</v>
      </c>
      <c r="L119" s="90"/>
      <c r="M119" s="86"/>
    </row>
    <row r="120" spans="1:13" ht="10.5">
      <c r="A120" s="101" t="s">
        <v>322</v>
      </c>
      <c r="B120" s="90">
        <f t="shared" ref="B120:J120" si="26">SUM(B113,B119)</f>
        <v>0</v>
      </c>
      <c r="C120" s="90">
        <f t="shared" si="26"/>
        <v>1036.5100000000002</v>
      </c>
      <c r="D120" s="90">
        <f t="shared" si="26"/>
        <v>0</v>
      </c>
      <c r="E120" s="90">
        <f t="shared" si="26"/>
        <v>0</v>
      </c>
      <c r="F120" s="90">
        <f t="shared" si="26"/>
        <v>0</v>
      </c>
      <c r="G120" s="90">
        <f t="shared" si="26"/>
        <v>57330.94</v>
      </c>
      <c r="H120" s="90">
        <f t="shared" si="26"/>
        <v>56102.66</v>
      </c>
      <c r="I120" s="90">
        <f t="shared" si="26"/>
        <v>8608.31</v>
      </c>
      <c r="J120" s="90">
        <f t="shared" si="26"/>
        <v>123078.42000000001</v>
      </c>
      <c r="L120" s="90"/>
      <c r="M120" s="86"/>
    </row>
    <row r="121" spans="1:13" ht="10.5">
      <c r="A121" s="3" t="s">
        <v>321</v>
      </c>
      <c r="B121" s="88"/>
      <c r="C121" s="88"/>
      <c r="D121" s="88"/>
      <c r="E121" s="88"/>
      <c r="F121" s="88"/>
      <c r="G121" s="88"/>
      <c r="H121" s="88"/>
      <c r="I121" s="88"/>
      <c r="J121" s="88"/>
      <c r="L121" s="88"/>
      <c r="M121" s="86"/>
    </row>
    <row r="122" spans="1:13" ht="10.5">
      <c r="A122" s="5" t="s">
        <v>320</v>
      </c>
      <c r="B122" s="88"/>
      <c r="C122" s="88"/>
      <c r="D122" s="88"/>
      <c r="E122" s="88"/>
      <c r="F122" s="88"/>
      <c r="G122" s="88"/>
      <c r="H122" s="88"/>
      <c r="I122" s="88"/>
      <c r="J122" s="88"/>
      <c r="L122" s="88"/>
      <c r="M122" s="86"/>
    </row>
    <row r="123" spans="1:13" ht="10.5">
      <c r="A123" s="95" t="s">
        <v>319</v>
      </c>
      <c r="B123" s="88"/>
      <c r="C123" s="88"/>
      <c r="D123" s="88"/>
      <c r="E123" s="88"/>
      <c r="F123" s="88"/>
      <c r="G123" s="88"/>
      <c r="H123" s="88"/>
      <c r="I123" s="88"/>
      <c r="J123" s="88"/>
      <c r="L123" s="88"/>
      <c r="M123" s="86"/>
    </row>
    <row r="124" spans="1:13">
      <c r="A124" s="8" t="s">
        <v>318</v>
      </c>
      <c r="B124" s="89">
        <v>0</v>
      </c>
      <c r="C124" s="89">
        <v>37909.68</v>
      </c>
      <c r="D124" s="89">
        <v>0</v>
      </c>
      <c r="E124" s="89">
        <v>0</v>
      </c>
      <c r="F124" s="89">
        <v>0</v>
      </c>
      <c r="G124" s="89">
        <v>34022.449999999997</v>
      </c>
      <c r="H124" s="89">
        <v>118530.73</v>
      </c>
      <c r="I124" s="89">
        <v>11256.91</v>
      </c>
      <c r="J124" s="89">
        <f>SUM(B124:I124)</f>
        <v>201719.77</v>
      </c>
      <c r="L124" s="89"/>
      <c r="M124" s="86"/>
    </row>
    <row r="125" spans="1:13" ht="10.5">
      <c r="A125" s="96" t="s">
        <v>317</v>
      </c>
      <c r="B125" s="90">
        <f t="shared" ref="B125:J125" si="27">SUM(B124)</f>
        <v>0</v>
      </c>
      <c r="C125" s="90">
        <f t="shared" si="27"/>
        <v>37909.68</v>
      </c>
      <c r="D125" s="90">
        <f t="shared" si="27"/>
        <v>0</v>
      </c>
      <c r="E125" s="90">
        <f t="shared" si="27"/>
        <v>0</v>
      </c>
      <c r="F125" s="90">
        <f t="shared" si="27"/>
        <v>0</v>
      </c>
      <c r="G125" s="90">
        <f t="shared" si="27"/>
        <v>34022.449999999997</v>
      </c>
      <c r="H125" s="90">
        <f t="shared" si="27"/>
        <v>118530.73</v>
      </c>
      <c r="I125" s="90">
        <f t="shared" si="27"/>
        <v>11256.91</v>
      </c>
      <c r="J125" s="90">
        <f t="shared" si="27"/>
        <v>201719.77</v>
      </c>
      <c r="L125" s="90"/>
      <c r="M125" s="86"/>
    </row>
    <row r="126" spans="1:13" ht="10.5">
      <c r="A126" s="95" t="s">
        <v>316</v>
      </c>
      <c r="B126" s="88"/>
      <c r="C126" s="88"/>
      <c r="D126" s="88"/>
      <c r="E126" s="88"/>
      <c r="F126" s="88"/>
      <c r="G126" s="88"/>
      <c r="H126" s="88"/>
      <c r="I126" s="88"/>
      <c r="J126" s="88"/>
      <c r="L126" s="88"/>
      <c r="M126" s="86"/>
    </row>
    <row r="127" spans="1:13">
      <c r="A127" s="8" t="s">
        <v>315</v>
      </c>
      <c r="B127" s="89">
        <v>-28375.56</v>
      </c>
      <c r="C127" s="89">
        <v>0</v>
      </c>
      <c r="D127" s="89">
        <v>0</v>
      </c>
      <c r="E127" s="89">
        <v>0</v>
      </c>
      <c r="F127" s="89">
        <v>0</v>
      </c>
      <c r="G127" s="89">
        <v>0</v>
      </c>
      <c r="H127" s="89">
        <v>28375.56</v>
      </c>
      <c r="I127" s="89">
        <v>0</v>
      </c>
      <c r="J127" s="89">
        <f>SUM(B127:I127)</f>
        <v>0</v>
      </c>
      <c r="L127" s="89"/>
      <c r="M127" s="86"/>
    </row>
    <row r="128" spans="1:13" ht="10.5">
      <c r="A128" s="96" t="s">
        <v>314</v>
      </c>
      <c r="B128" s="90">
        <f t="shared" ref="B128:J128" si="28">SUM(B127)</f>
        <v>-28375.56</v>
      </c>
      <c r="C128" s="90">
        <f t="shared" si="28"/>
        <v>0</v>
      </c>
      <c r="D128" s="90">
        <f t="shared" si="28"/>
        <v>0</v>
      </c>
      <c r="E128" s="90">
        <f t="shared" si="28"/>
        <v>0</v>
      </c>
      <c r="F128" s="90">
        <f t="shared" si="28"/>
        <v>0</v>
      </c>
      <c r="G128" s="90">
        <f t="shared" si="28"/>
        <v>0</v>
      </c>
      <c r="H128" s="90">
        <f t="shared" si="28"/>
        <v>28375.56</v>
      </c>
      <c r="I128" s="90">
        <f t="shared" si="28"/>
        <v>0</v>
      </c>
      <c r="J128" s="90">
        <f t="shared" si="28"/>
        <v>0</v>
      </c>
      <c r="L128" s="90"/>
      <c r="M128" s="86"/>
    </row>
    <row r="129" spans="1:13" ht="10.5">
      <c r="A129" s="97" t="s">
        <v>313</v>
      </c>
      <c r="B129" s="90">
        <f t="shared" ref="B129:J129" si="29">SUM(B125,B128)</f>
        <v>-28375.56</v>
      </c>
      <c r="C129" s="90">
        <f t="shared" si="29"/>
        <v>37909.68</v>
      </c>
      <c r="D129" s="90">
        <f t="shared" si="29"/>
        <v>0</v>
      </c>
      <c r="E129" s="90">
        <f t="shared" si="29"/>
        <v>0</v>
      </c>
      <c r="F129" s="90">
        <f t="shared" si="29"/>
        <v>0</v>
      </c>
      <c r="G129" s="90">
        <f t="shared" si="29"/>
        <v>34022.449999999997</v>
      </c>
      <c r="H129" s="90">
        <f t="shared" si="29"/>
        <v>146906.29</v>
      </c>
      <c r="I129" s="90">
        <f t="shared" si="29"/>
        <v>11256.91</v>
      </c>
      <c r="J129" s="90">
        <f t="shared" si="29"/>
        <v>201719.77</v>
      </c>
      <c r="K129" s="21">
        <v>16</v>
      </c>
      <c r="L129" s="90"/>
      <c r="M129" s="86"/>
    </row>
    <row r="130" spans="1:13" ht="10.5">
      <c r="A130" s="5" t="s">
        <v>312</v>
      </c>
      <c r="B130" s="88"/>
      <c r="C130" s="88"/>
      <c r="D130" s="88"/>
      <c r="E130" s="88"/>
      <c r="F130" s="88"/>
      <c r="G130" s="88"/>
      <c r="H130" s="88"/>
      <c r="I130" s="88"/>
      <c r="J130" s="88"/>
      <c r="L130" s="88"/>
      <c r="M130" s="86"/>
    </row>
    <row r="131" spans="1:13" ht="10.5">
      <c r="A131" s="95" t="s">
        <v>311</v>
      </c>
      <c r="B131" s="88"/>
      <c r="C131" s="88"/>
      <c r="D131" s="88"/>
      <c r="E131" s="88"/>
      <c r="F131" s="88"/>
      <c r="G131" s="88"/>
      <c r="H131" s="88"/>
      <c r="I131" s="88"/>
      <c r="J131" s="88"/>
      <c r="L131" s="88"/>
      <c r="M131" s="86"/>
    </row>
    <row r="132" spans="1:13">
      <c r="A132" s="8" t="s">
        <v>310</v>
      </c>
      <c r="B132" s="89">
        <v>0</v>
      </c>
      <c r="C132" s="89">
        <v>0</v>
      </c>
      <c r="D132" s="89">
        <v>0</v>
      </c>
      <c r="E132" s="89">
        <v>0</v>
      </c>
      <c r="F132" s="89">
        <v>0</v>
      </c>
      <c r="G132" s="89">
        <v>0</v>
      </c>
      <c r="H132" s="89">
        <v>-1630.72</v>
      </c>
      <c r="I132" s="89">
        <v>0</v>
      </c>
      <c r="J132" s="89">
        <f t="shared" ref="J132:J141" si="30">SUM(B132:I132)</f>
        <v>-1630.72</v>
      </c>
      <c r="L132" s="89"/>
      <c r="M132" s="86"/>
    </row>
    <row r="133" spans="1:13">
      <c r="A133" s="8" t="s">
        <v>309</v>
      </c>
      <c r="B133" s="89">
        <v>0</v>
      </c>
      <c r="C133" s="89">
        <v>0</v>
      </c>
      <c r="D133" s="89">
        <v>0</v>
      </c>
      <c r="E133" s="89">
        <v>0</v>
      </c>
      <c r="F133" s="89">
        <v>0</v>
      </c>
      <c r="G133" s="89">
        <v>0</v>
      </c>
      <c r="H133" s="89">
        <v>-4363.74</v>
      </c>
      <c r="I133" s="89">
        <v>0</v>
      </c>
      <c r="J133" s="89">
        <f t="shared" si="30"/>
        <v>-4363.74</v>
      </c>
      <c r="L133" s="89"/>
      <c r="M133" s="86"/>
    </row>
    <row r="134" spans="1:13">
      <c r="A134" s="8" t="s">
        <v>308</v>
      </c>
      <c r="B134" s="89">
        <v>0</v>
      </c>
      <c r="C134" s="89">
        <v>0</v>
      </c>
      <c r="D134" s="89">
        <v>0</v>
      </c>
      <c r="E134" s="89">
        <v>0</v>
      </c>
      <c r="F134" s="89">
        <v>0</v>
      </c>
      <c r="G134" s="89">
        <v>0</v>
      </c>
      <c r="H134" s="89">
        <v>-2971.74</v>
      </c>
      <c r="I134" s="89">
        <v>0</v>
      </c>
      <c r="J134" s="89">
        <f t="shared" si="30"/>
        <v>-2971.74</v>
      </c>
      <c r="L134" s="89"/>
      <c r="M134" s="86"/>
    </row>
    <row r="135" spans="1:13">
      <c r="A135" s="8" t="s">
        <v>307</v>
      </c>
      <c r="B135" s="89">
        <v>0</v>
      </c>
      <c r="C135" s="89">
        <v>0</v>
      </c>
      <c r="D135" s="89">
        <v>0</v>
      </c>
      <c r="E135" s="89">
        <v>0</v>
      </c>
      <c r="F135" s="89">
        <v>0</v>
      </c>
      <c r="G135" s="89">
        <v>0</v>
      </c>
      <c r="H135" s="89">
        <v>0.78</v>
      </c>
      <c r="I135" s="89">
        <v>0</v>
      </c>
      <c r="J135" s="89">
        <f t="shared" si="30"/>
        <v>0.78</v>
      </c>
      <c r="L135" s="89"/>
      <c r="M135" s="86"/>
    </row>
    <row r="136" spans="1:13">
      <c r="A136" s="8" t="s">
        <v>306</v>
      </c>
      <c r="B136" s="89">
        <v>0</v>
      </c>
      <c r="C136" s="89">
        <v>0</v>
      </c>
      <c r="D136" s="89">
        <v>0</v>
      </c>
      <c r="E136" s="89">
        <v>0</v>
      </c>
      <c r="F136" s="89">
        <v>0</v>
      </c>
      <c r="G136" s="89">
        <v>0</v>
      </c>
      <c r="H136" s="89">
        <v>941.35</v>
      </c>
      <c r="I136" s="89">
        <v>0</v>
      </c>
      <c r="J136" s="89">
        <f t="shared" si="30"/>
        <v>941.35</v>
      </c>
      <c r="L136" s="89"/>
      <c r="M136" s="86"/>
    </row>
    <row r="137" spans="1:13">
      <c r="A137" s="8" t="s">
        <v>305</v>
      </c>
      <c r="B137" s="89">
        <v>0</v>
      </c>
      <c r="C137" s="89">
        <v>0</v>
      </c>
      <c r="D137" s="89">
        <v>0</v>
      </c>
      <c r="E137" s="89">
        <v>0</v>
      </c>
      <c r="F137" s="89">
        <v>0</v>
      </c>
      <c r="G137" s="89">
        <v>-1011.93</v>
      </c>
      <c r="H137" s="89">
        <v>0</v>
      </c>
      <c r="I137" s="89">
        <v>0</v>
      </c>
      <c r="J137" s="89">
        <f t="shared" si="30"/>
        <v>-1011.93</v>
      </c>
      <c r="L137" s="89"/>
      <c r="M137" s="86"/>
    </row>
    <row r="138" spans="1:13">
      <c r="A138" s="8" t="s">
        <v>304</v>
      </c>
      <c r="B138" s="89">
        <v>0</v>
      </c>
      <c r="C138" s="89">
        <v>0</v>
      </c>
      <c r="D138" s="89">
        <v>0</v>
      </c>
      <c r="E138" s="89">
        <v>0</v>
      </c>
      <c r="F138" s="89">
        <v>0</v>
      </c>
      <c r="G138" s="89">
        <v>0</v>
      </c>
      <c r="H138" s="89">
        <v>3635.45</v>
      </c>
      <c r="I138" s="89">
        <v>0</v>
      </c>
      <c r="J138" s="89">
        <f t="shared" si="30"/>
        <v>3635.45</v>
      </c>
      <c r="L138" s="89"/>
      <c r="M138" s="86"/>
    </row>
    <row r="139" spans="1:13">
      <c r="A139" s="8" t="s">
        <v>303</v>
      </c>
      <c r="B139" s="89">
        <v>0</v>
      </c>
      <c r="C139" s="89">
        <v>0</v>
      </c>
      <c r="D139" s="89">
        <v>0</v>
      </c>
      <c r="E139" s="89">
        <v>0</v>
      </c>
      <c r="F139" s="89">
        <v>0</v>
      </c>
      <c r="G139" s="89">
        <v>0</v>
      </c>
      <c r="H139" s="89">
        <v>3468.48</v>
      </c>
      <c r="I139" s="89">
        <v>0</v>
      </c>
      <c r="J139" s="89">
        <f t="shared" si="30"/>
        <v>3468.48</v>
      </c>
      <c r="L139" s="89"/>
      <c r="M139" s="86"/>
    </row>
    <row r="140" spans="1:13">
      <c r="A140" s="8" t="s">
        <v>302</v>
      </c>
      <c r="B140" s="89">
        <v>0</v>
      </c>
      <c r="C140" s="89">
        <v>0</v>
      </c>
      <c r="D140" s="89">
        <v>0</v>
      </c>
      <c r="E140" s="89">
        <v>0</v>
      </c>
      <c r="F140" s="89">
        <v>0</v>
      </c>
      <c r="G140" s="89">
        <v>0</v>
      </c>
      <c r="H140" s="89">
        <v>-2.0299999999999998</v>
      </c>
      <c r="I140" s="89">
        <v>0</v>
      </c>
      <c r="J140" s="89">
        <f t="shared" si="30"/>
        <v>-2.0299999999999998</v>
      </c>
      <c r="L140" s="89"/>
      <c r="M140" s="86"/>
    </row>
    <row r="141" spans="1:13">
      <c r="A141" s="8" t="s">
        <v>301</v>
      </c>
      <c r="B141" s="89">
        <v>0</v>
      </c>
      <c r="C141" s="89">
        <v>0</v>
      </c>
      <c r="D141" s="89">
        <v>0</v>
      </c>
      <c r="E141" s="89">
        <v>0</v>
      </c>
      <c r="F141" s="89">
        <v>0</v>
      </c>
      <c r="G141" s="89">
        <v>0</v>
      </c>
      <c r="H141" s="89">
        <v>-732.99</v>
      </c>
      <c r="I141" s="89">
        <v>0</v>
      </c>
      <c r="J141" s="89">
        <f t="shared" si="30"/>
        <v>-732.99</v>
      </c>
      <c r="L141" s="89"/>
      <c r="M141" s="86"/>
    </row>
    <row r="142" spans="1:13" ht="10.5">
      <c r="A142" s="96" t="s">
        <v>300</v>
      </c>
      <c r="B142" s="90">
        <f t="shared" ref="B142:J142" si="31">SUM(B132:B141)</f>
        <v>0</v>
      </c>
      <c r="C142" s="90">
        <f t="shared" si="31"/>
        <v>0</v>
      </c>
      <c r="D142" s="90">
        <f t="shared" si="31"/>
        <v>0</v>
      </c>
      <c r="E142" s="90">
        <f t="shared" si="31"/>
        <v>0</v>
      </c>
      <c r="F142" s="90">
        <f t="shared" si="31"/>
        <v>0</v>
      </c>
      <c r="G142" s="90">
        <f t="shared" si="31"/>
        <v>-1011.93</v>
      </c>
      <c r="H142" s="90">
        <f t="shared" si="31"/>
        <v>-1655.1599999999999</v>
      </c>
      <c r="I142" s="90">
        <f t="shared" si="31"/>
        <v>0</v>
      </c>
      <c r="J142" s="90">
        <f t="shared" si="31"/>
        <v>-2667.09</v>
      </c>
      <c r="L142" s="90"/>
      <c r="M142" s="86"/>
    </row>
    <row r="143" spans="1:13" ht="10.5">
      <c r="A143" s="97" t="s">
        <v>299</v>
      </c>
      <c r="B143" s="90">
        <f t="shared" ref="B143:J143" si="32">SUM(B142)</f>
        <v>0</v>
      </c>
      <c r="C143" s="90">
        <f t="shared" si="32"/>
        <v>0</v>
      </c>
      <c r="D143" s="90">
        <f t="shared" si="32"/>
        <v>0</v>
      </c>
      <c r="E143" s="90">
        <f t="shared" si="32"/>
        <v>0</v>
      </c>
      <c r="F143" s="90">
        <f t="shared" si="32"/>
        <v>0</v>
      </c>
      <c r="G143" s="90">
        <f t="shared" si="32"/>
        <v>-1011.93</v>
      </c>
      <c r="H143" s="90">
        <f t="shared" si="32"/>
        <v>-1655.1599999999999</v>
      </c>
      <c r="I143" s="90">
        <f t="shared" si="32"/>
        <v>0</v>
      </c>
      <c r="J143" s="90">
        <f t="shared" si="32"/>
        <v>-2667.09</v>
      </c>
      <c r="K143" s="123" t="s">
        <v>459</v>
      </c>
      <c r="L143" s="90"/>
      <c r="M143" s="86"/>
    </row>
    <row r="144" spans="1:13" ht="10.5">
      <c r="A144" s="5" t="s">
        <v>298</v>
      </c>
      <c r="B144" s="88"/>
      <c r="C144" s="88"/>
      <c r="D144" s="88"/>
      <c r="E144" s="88"/>
      <c r="F144" s="88"/>
      <c r="G144" s="88"/>
      <c r="H144" s="88"/>
      <c r="I144" s="88"/>
      <c r="J144" s="88"/>
      <c r="L144" s="88"/>
      <c r="M144" s="86"/>
    </row>
    <row r="145" spans="1:13" ht="10.5">
      <c r="A145" s="95" t="s">
        <v>297</v>
      </c>
      <c r="B145" s="88"/>
      <c r="C145" s="88"/>
      <c r="D145" s="88"/>
      <c r="E145" s="88"/>
      <c r="F145" s="88"/>
      <c r="G145" s="88"/>
      <c r="H145" s="88"/>
      <c r="I145" s="88"/>
      <c r="J145" s="88"/>
      <c r="L145" s="88"/>
      <c r="M145" s="86"/>
    </row>
    <row r="146" spans="1:13">
      <c r="A146" s="8" t="s">
        <v>296</v>
      </c>
      <c r="B146" s="89">
        <v>-5019382.0999999996</v>
      </c>
      <c r="C146" s="89">
        <v>15878.25</v>
      </c>
      <c r="D146" s="89">
        <v>0</v>
      </c>
      <c r="E146" s="89">
        <v>0</v>
      </c>
      <c r="F146" s="89">
        <v>0</v>
      </c>
      <c r="G146" s="89">
        <v>2718550.61</v>
      </c>
      <c r="H146" s="89">
        <v>2284953.2400000002</v>
      </c>
      <c r="I146" s="89">
        <v>0</v>
      </c>
      <c r="J146" s="89">
        <f t="shared" ref="J146:J151" si="33">SUM(B146:I146)</f>
        <v>4.6566128730773926E-10</v>
      </c>
      <c r="L146" s="89"/>
      <c r="M146" s="86"/>
    </row>
    <row r="147" spans="1:13">
      <c r="A147" s="8" t="s">
        <v>295</v>
      </c>
      <c r="B147" s="89">
        <v>-1659959.1</v>
      </c>
      <c r="C147" s="89">
        <v>0</v>
      </c>
      <c r="D147" s="89">
        <v>0</v>
      </c>
      <c r="E147" s="89">
        <v>0</v>
      </c>
      <c r="F147" s="89">
        <v>0</v>
      </c>
      <c r="G147" s="89">
        <v>0</v>
      </c>
      <c r="H147" s="89">
        <v>799214.12</v>
      </c>
      <c r="I147" s="89">
        <v>865505.1</v>
      </c>
      <c r="J147" s="89">
        <f t="shared" si="33"/>
        <v>4760.1199999998789</v>
      </c>
      <c r="L147" s="89"/>
      <c r="M147" s="86"/>
    </row>
    <row r="148" spans="1:13">
      <c r="A148" s="8" t="s">
        <v>294</v>
      </c>
      <c r="B148" s="89">
        <v>-53268.63</v>
      </c>
      <c r="C148" s="89">
        <v>0</v>
      </c>
      <c r="D148" s="89">
        <v>0</v>
      </c>
      <c r="E148" s="89">
        <v>0</v>
      </c>
      <c r="F148" s="89">
        <v>330.61</v>
      </c>
      <c r="G148" s="89">
        <v>0</v>
      </c>
      <c r="H148" s="89">
        <v>48177.9</v>
      </c>
      <c r="I148" s="89">
        <v>0</v>
      </c>
      <c r="J148" s="89">
        <f t="shared" si="33"/>
        <v>-4760.1199999999953</v>
      </c>
      <c r="L148" s="89"/>
      <c r="M148" s="86"/>
    </row>
    <row r="149" spans="1:13">
      <c r="A149" s="8" t="s">
        <v>293</v>
      </c>
      <c r="B149" s="89">
        <v>-330.61</v>
      </c>
      <c r="C149" s="89">
        <v>0</v>
      </c>
      <c r="D149" s="89">
        <v>0</v>
      </c>
      <c r="E149" s="89">
        <v>330.61</v>
      </c>
      <c r="F149" s="89">
        <v>0</v>
      </c>
      <c r="G149" s="89">
        <v>0</v>
      </c>
      <c r="H149" s="89">
        <v>0</v>
      </c>
      <c r="I149" s="89">
        <v>0</v>
      </c>
      <c r="J149" s="89">
        <f t="shared" si="33"/>
        <v>0</v>
      </c>
      <c r="L149" s="89"/>
      <c r="M149" s="86"/>
    </row>
    <row r="150" spans="1:13">
      <c r="A150" s="8" t="s">
        <v>292</v>
      </c>
      <c r="B150" s="89">
        <v>-4789.6099999999997</v>
      </c>
      <c r="C150" s="89">
        <v>0</v>
      </c>
      <c r="D150" s="89">
        <v>330.61</v>
      </c>
      <c r="E150" s="89">
        <v>0</v>
      </c>
      <c r="F150" s="89">
        <v>0</v>
      </c>
      <c r="G150" s="89">
        <v>0</v>
      </c>
      <c r="H150" s="89">
        <v>4459</v>
      </c>
      <c r="I150" s="89">
        <v>0</v>
      </c>
      <c r="J150" s="89">
        <f t="shared" si="33"/>
        <v>0</v>
      </c>
      <c r="L150" s="89"/>
      <c r="M150" s="86"/>
    </row>
    <row r="151" spans="1:13">
      <c r="A151" s="8" t="s">
        <v>291</v>
      </c>
      <c r="B151" s="89">
        <v>-1418074.85</v>
      </c>
      <c r="C151" s="89">
        <v>843433.48</v>
      </c>
      <c r="D151" s="89">
        <v>0</v>
      </c>
      <c r="E151" s="89">
        <v>0</v>
      </c>
      <c r="F151" s="89">
        <v>0</v>
      </c>
      <c r="G151" s="89">
        <v>0</v>
      </c>
      <c r="H151" s="89">
        <v>574641.37</v>
      </c>
      <c r="I151" s="89">
        <v>0</v>
      </c>
      <c r="J151" s="89">
        <f t="shared" si="33"/>
        <v>-1.1641532182693481E-10</v>
      </c>
      <c r="L151" s="89"/>
      <c r="M151" s="86"/>
    </row>
    <row r="152" spans="1:13" ht="10.5">
      <c r="A152" s="96" t="s">
        <v>290</v>
      </c>
      <c r="B152" s="90">
        <f t="shared" ref="B152:J152" si="34">SUM(B146:B151)</f>
        <v>-8155804.9000000004</v>
      </c>
      <c r="C152" s="90">
        <f t="shared" si="34"/>
        <v>859311.73</v>
      </c>
      <c r="D152" s="90">
        <f t="shared" si="34"/>
        <v>330.61</v>
      </c>
      <c r="E152" s="90">
        <f t="shared" si="34"/>
        <v>330.61</v>
      </c>
      <c r="F152" s="90">
        <f t="shared" si="34"/>
        <v>330.61</v>
      </c>
      <c r="G152" s="90">
        <f t="shared" si="34"/>
        <v>2718550.61</v>
      </c>
      <c r="H152" s="90">
        <f t="shared" si="34"/>
        <v>3711445.6300000004</v>
      </c>
      <c r="I152" s="90">
        <f t="shared" si="34"/>
        <v>865505.1</v>
      </c>
      <c r="J152" s="90">
        <f t="shared" si="34"/>
        <v>2.3283064365386963E-10</v>
      </c>
      <c r="K152" s="21">
        <v>17</v>
      </c>
      <c r="L152" s="90"/>
      <c r="M152" s="86"/>
    </row>
    <row r="153" spans="1:13">
      <c r="A153" s="6" t="s">
        <v>289</v>
      </c>
      <c r="B153" s="89">
        <v>0</v>
      </c>
      <c r="C153" s="89">
        <v>15762.04</v>
      </c>
      <c r="D153" s="89">
        <v>0</v>
      </c>
      <c r="E153" s="89">
        <v>0</v>
      </c>
      <c r="F153" s="89">
        <v>0</v>
      </c>
      <c r="G153" s="89">
        <v>64155.95</v>
      </c>
      <c r="H153" s="89">
        <v>0</v>
      </c>
      <c r="I153" s="89">
        <v>-379.19</v>
      </c>
      <c r="J153" s="89">
        <f>SUM(B153:I153)</f>
        <v>79538.799999999988</v>
      </c>
      <c r="K153" s="21">
        <v>17</v>
      </c>
      <c r="L153" s="89"/>
      <c r="M153" s="86"/>
    </row>
    <row r="154" spans="1:13" ht="10.5">
      <c r="A154" s="95" t="s">
        <v>288</v>
      </c>
      <c r="B154" s="88"/>
      <c r="C154" s="88"/>
      <c r="D154" s="88"/>
      <c r="E154" s="88"/>
      <c r="F154" s="88"/>
      <c r="G154" s="88"/>
      <c r="H154" s="88"/>
      <c r="I154" s="88"/>
      <c r="J154" s="88"/>
      <c r="L154" s="88"/>
      <c r="M154" s="86"/>
    </row>
    <row r="155" spans="1:13">
      <c r="A155" s="8" t="s">
        <v>287</v>
      </c>
      <c r="B155" s="89">
        <v>0</v>
      </c>
      <c r="C155" s="89">
        <v>-232.5</v>
      </c>
      <c r="D155" s="89">
        <v>0</v>
      </c>
      <c r="E155" s="89">
        <v>0</v>
      </c>
      <c r="F155" s="89">
        <v>0</v>
      </c>
      <c r="G155" s="89">
        <v>0</v>
      </c>
      <c r="H155" s="89">
        <v>147136.60999999999</v>
      </c>
      <c r="I155" s="89">
        <v>-5300.06</v>
      </c>
      <c r="J155" s="89">
        <f>SUM(B155:I155)</f>
        <v>141604.04999999999</v>
      </c>
      <c r="K155" s="21">
        <v>17.100000000000001</v>
      </c>
      <c r="L155" s="89"/>
      <c r="M155" s="86"/>
    </row>
    <row r="156" spans="1:13">
      <c r="A156" s="8" t="s">
        <v>286</v>
      </c>
      <c r="B156" s="89">
        <v>0</v>
      </c>
      <c r="C156" s="89">
        <v>0</v>
      </c>
      <c r="D156" s="89">
        <v>0</v>
      </c>
      <c r="E156" s="89">
        <v>0</v>
      </c>
      <c r="F156" s="89">
        <v>0</v>
      </c>
      <c r="G156" s="89">
        <v>0</v>
      </c>
      <c r="H156" s="89">
        <v>146671.97</v>
      </c>
      <c r="I156" s="89">
        <v>18189.68</v>
      </c>
      <c r="J156" s="89">
        <f>SUM(B156:I156)</f>
        <v>164861.65</v>
      </c>
      <c r="K156" s="21">
        <v>17.100000000000001</v>
      </c>
      <c r="L156" s="89"/>
      <c r="M156" s="86"/>
    </row>
    <row r="157" spans="1:13">
      <c r="A157" s="8" t="s">
        <v>285</v>
      </c>
      <c r="B157" s="89">
        <v>0</v>
      </c>
      <c r="C157" s="89">
        <v>0</v>
      </c>
      <c r="D157" s="89">
        <v>0</v>
      </c>
      <c r="E157" s="89">
        <v>0</v>
      </c>
      <c r="F157" s="89">
        <v>0</v>
      </c>
      <c r="G157" s="89">
        <v>0</v>
      </c>
      <c r="H157" s="89">
        <v>0</v>
      </c>
      <c r="I157" s="89">
        <v>7491.19</v>
      </c>
      <c r="J157" s="89">
        <f>SUM(B157:I157)</f>
        <v>7491.19</v>
      </c>
      <c r="K157" s="21">
        <v>17.100000000000001</v>
      </c>
      <c r="L157" s="89"/>
      <c r="M157" s="86"/>
    </row>
    <row r="158" spans="1:13">
      <c r="A158" s="8" t="s">
        <v>284</v>
      </c>
      <c r="B158" s="89">
        <v>0</v>
      </c>
      <c r="C158" s="89">
        <v>0</v>
      </c>
      <c r="D158" s="89">
        <v>0</v>
      </c>
      <c r="E158" s="89">
        <v>0</v>
      </c>
      <c r="F158" s="89">
        <v>0</v>
      </c>
      <c r="G158" s="89">
        <v>416.1</v>
      </c>
      <c r="H158" s="89">
        <v>0</v>
      </c>
      <c r="I158" s="89">
        <v>0</v>
      </c>
      <c r="J158" s="89">
        <f>SUM(B158:I158)</f>
        <v>416.1</v>
      </c>
      <c r="K158" s="21">
        <v>17.100000000000001</v>
      </c>
      <c r="L158" s="89"/>
      <c r="M158" s="86"/>
    </row>
    <row r="159" spans="1:13" ht="10.5">
      <c r="A159" s="96" t="s">
        <v>283</v>
      </c>
      <c r="B159" s="90">
        <f t="shared" ref="B159:J159" si="35">SUM(B155:B158)</f>
        <v>0</v>
      </c>
      <c r="C159" s="90">
        <f t="shared" si="35"/>
        <v>-232.5</v>
      </c>
      <c r="D159" s="90">
        <f t="shared" si="35"/>
        <v>0</v>
      </c>
      <c r="E159" s="90">
        <f t="shared" si="35"/>
        <v>0</v>
      </c>
      <c r="F159" s="90">
        <f t="shared" si="35"/>
        <v>0</v>
      </c>
      <c r="G159" s="90">
        <f t="shared" si="35"/>
        <v>416.1</v>
      </c>
      <c r="H159" s="90">
        <f t="shared" si="35"/>
        <v>293808.57999999996</v>
      </c>
      <c r="I159" s="90">
        <f t="shared" si="35"/>
        <v>20380.809999999998</v>
      </c>
      <c r="J159" s="90">
        <f t="shared" si="35"/>
        <v>314372.98999999993</v>
      </c>
      <c r="K159" s="21">
        <v>17</v>
      </c>
      <c r="L159" s="90"/>
      <c r="M159" s="86"/>
    </row>
    <row r="160" spans="1:13" ht="10.5">
      <c r="A160" s="95" t="s">
        <v>282</v>
      </c>
      <c r="B160" s="88"/>
      <c r="C160" s="88"/>
      <c r="D160" s="88"/>
      <c r="E160" s="88"/>
      <c r="F160" s="88"/>
      <c r="G160" s="88"/>
      <c r="H160" s="88"/>
      <c r="I160" s="88"/>
      <c r="J160" s="88"/>
      <c r="L160" s="88"/>
      <c r="M160" s="86"/>
    </row>
    <row r="161" spans="1:13">
      <c r="A161" s="8" t="s">
        <v>281</v>
      </c>
      <c r="B161" s="89">
        <v>0</v>
      </c>
      <c r="C161" s="89">
        <v>2896.24</v>
      </c>
      <c r="D161" s="89">
        <v>0</v>
      </c>
      <c r="E161" s="89">
        <v>0</v>
      </c>
      <c r="F161" s="89">
        <v>0</v>
      </c>
      <c r="G161" s="89">
        <v>1957.23</v>
      </c>
      <c r="H161" s="89">
        <v>53865.05</v>
      </c>
      <c r="I161" s="89">
        <v>21354.28</v>
      </c>
      <c r="J161" s="89">
        <f>SUM(B161:I161)</f>
        <v>80072.800000000003</v>
      </c>
      <c r="K161" s="21">
        <v>17.100000000000001</v>
      </c>
      <c r="L161" s="89"/>
      <c r="M161" s="86"/>
    </row>
    <row r="162" spans="1:13">
      <c r="A162" s="8" t="s">
        <v>280</v>
      </c>
      <c r="B162" s="89">
        <v>0</v>
      </c>
      <c r="C162" s="89">
        <v>0</v>
      </c>
      <c r="D162" s="89">
        <v>0</v>
      </c>
      <c r="E162" s="89">
        <v>0</v>
      </c>
      <c r="F162" s="89">
        <v>0</v>
      </c>
      <c r="G162" s="89">
        <v>0</v>
      </c>
      <c r="H162" s="89">
        <v>8474.9</v>
      </c>
      <c r="I162" s="89">
        <v>3476.27</v>
      </c>
      <c r="J162" s="89">
        <f>SUM(B162:I162)</f>
        <v>11951.17</v>
      </c>
      <c r="K162" s="21">
        <v>17.100000000000001</v>
      </c>
      <c r="L162" s="89"/>
      <c r="M162" s="86"/>
    </row>
    <row r="163" spans="1:13">
      <c r="A163" s="8" t="s">
        <v>279</v>
      </c>
      <c r="B163" s="89">
        <v>0</v>
      </c>
      <c r="C163" s="89">
        <v>0</v>
      </c>
      <c r="D163" s="89">
        <v>0</v>
      </c>
      <c r="E163" s="89">
        <v>0</v>
      </c>
      <c r="F163" s="89">
        <v>0</v>
      </c>
      <c r="G163" s="89">
        <v>0</v>
      </c>
      <c r="H163" s="89">
        <v>0</v>
      </c>
      <c r="I163" s="89">
        <v>1446.85</v>
      </c>
      <c r="J163" s="89">
        <f>SUM(B163:I163)</f>
        <v>1446.85</v>
      </c>
      <c r="K163" s="21">
        <v>17.100000000000001</v>
      </c>
      <c r="L163" s="89"/>
      <c r="M163" s="86"/>
    </row>
    <row r="164" spans="1:13" ht="10.5">
      <c r="A164" s="96" t="s">
        <v>278</v>
      </c>
      <c r="B164" s="90">
        <f t="shared" ref="B164:J164" si="36">SUM(B161:B163)</f>
        <v>0</v>
      </c>
      <c r="C164" s="90">
        <f t="shared" si="36"/>
        <v>2896.24</v>
      </c>
      <c r="D164" s="90">
        <f t="shared" si="36"/>
        <v>0</v>
      </c>
      <c r="E164" s="90">
        <f t="shared" si="36"/>
        <v>0</v>
      </c>
      <c r="F164" s="90">
        <f t="shared" si="36"/>
        <v>0</v>
      </c>
      <c r="G164" s="90">
        <f t="shared" si="36"/>
        <v>1957.23</v>
      </c>
      <c r="H164" s="90">
        <f t="shared" si="36"/>
        <v>62339.950000000004</v>
      </c>
      <c r="I164" s="90">
        <f t="shared" si="36"/>
        <v>26277.399999999998</v>
      </c>
      <c r="J164" s="90">
        <f t="shared" si="36"/>
        <v>93470.82</v>
      </c>
      <c r="K164" s="21">
        <v>17</v>
      </c>
      <c r="L164" s="90"/>
      <c r="M164" s="86"/>
    </row>
    <row r="165" spans="1:13" ht="10.5">
      <c r="A165" s="95" t="s">
        <v>277</v>
      </c>
      <c r="B165" s="88"/>
      <c r="C165" s="88"/>
      <c r="D165" s="88"/>
      <c r="E165" s="88"/>
      <c r="F165" s="88"/>
      <c r="G165" s="88"/>
      <c r="H165" s="88"/>
      <c r="I165" s="88"/>
      <c r="J165" s="88"/>
      <c r="L165" s="88"/>
      <c r="M165" s="86"/>
    </row>
    <row r="166" spans="1:13">
      <c r="A166" s="8" t="s">
        <v>276</v>
      </c>
      <c r="B166" s="89">
        <v>0</v>
      </c>
      <c r="C166" s="89">
        <v>32.29</v>
      </c>
      <c r="D166" s="89">
        <v>0</v>
      </c>
      <c r="E166" s="89">
        <v>0</v>
      </c>
      <c r="F166" s="89">
        <v>0</v>
      </c>
      <c r="G166" s="89">
        <v>1.1499999999999999</v>
      </c>
      <c r="H166" s="89">
        <v>36075.94</v>
      </c>
      <c r="I166" s="89">
        <v>25202.63</v>
      </c>
      <c r="J166" s="89">
        <f>SUM(B166:I166)</f>
        <v>61312.010000000009</v>
      </c>
      <c r="K166" s="21">
        <v>17.100000000000001</v>
      </c>
      <c r="L166" s="89"/>
      <c r="M166" s="86"/>
    </row>
    <row r="167" spans="1:13">
      <c r="A167" s="8" t="s">
        <v>275</v>
      </c>
      <c r="B167" s="89">
        <v>0</v>
      </c>
      <c r="C167" s="89">
        <v>868.67</v>
      </c>
      <c r="D167" s="89">
        <v>0</v>
      </c>
      <c r="E167" s="89">
        <v>0</v>
      </c>
      <c r="F167" s="89">
        <v>0</v>
      </c>
      <c r="G167" s="89">
        <v>-6811.51</v>
      </c>
      <c r="H167" s="89">
        <v>79193.850000000006</v>
      </c>
      <c r="I167" s="89">
        <v>368.36</v>
      </c>
      <c r="J167" s="89">
        <f>SUM(B167:I167)</f>
        <v>73619.37000000001</v>
      </c>
      <c r="K167" s="21">
        <v>17.100000000000001</v>
      </c>
      <c r="L167" s="89"/>
      <c r="M167" s="86"/>
    </row>
    <row r="168" spans="1:13" ht="10.5">
      <c r="A168" s="96" t="s">
        <v>274</v>
      </c>
      <c r="B168" s="90">
        <f t="shared" ref="B168:J168" si="37">SUM(B166:B167)</f>
        <v>0</v>
      </c>
      <c r="C168" s="90">
        <f t="shared" si="37"/>
        <v>900.95999999999992</v>
      </c>
      <c r="D168" s="90">
        <f t="shared" si="37"/>
        <v>0</v>
      </c>
      <c r="E168" s="90">
        <f t="shared" si="37"/>
        <v>0</v>
      </c>
      <c r="F168" s="90">
        <f t="shared" si="37"/>
        <v>0</v>
      </c>
      <c r="G168" s="90">
        <f t="shared" si="37"/>
        <v>-6810.3600000000006</v>
      </c>
      <c r="H168" s="90">
        <f t="shared" si="37"/>
        <v>115269.79000000001</v>
      </c>
      <c r="I168" s="90">
        <f t="shared" si="37"/>
        <v>25570.99</v>
      </c>
      <c r="J168" s="90">
        <f t="shared" si="37"/>
        <v>134931.38</v>
      </c>
      <c r="K168" s="21">
        <v>17</v>
      </c>
      <c r="L168" s="90"/>
      <c r="M168" s="86"/>
    </row>
    <row r="169" spans="1:13" ht="10.5">
      <c r="A169" s="95" t="s">
        <v>273</v>
      </c>
      <c r="B169" s="88"/>
      <c r="C169" s="88"/>
      <c r="D169" s="88"/>
      <c r="E169" s="88"/>
      <c r="F169" s="88"/>
      <c r="G169" s="88"/>
      <c r="H169" s="88"/>
      <c r="I169" s="88"/>
      <c r="J169" s="88"/>
      <c r="L169" s="88"/>
      <c r="M169" s="86"/>
    </row>
    <row r="170" spans="1:13">
      <c r="A170" s="8" t="s">
        <v>272</v>
      </c>
      <c r="B170" s="89">
        <v>0</v>
      </c>
      <c r="C170" s="89">
        <v>0</v>
      </c>
      <c r="D170" s="89">
        <v>0</v>
      </c>
      <c r="E170" s="89">
        <v>0</v>
      </c>
      <c r="F170" s="89">
        <v>0</v>
      </c>
      <c r="G170" s="89">
        <v>8037.19</v>
      </c>
      <c r="H170" s="89">
        <v>72000.679999999993</v>
      </c>
      <c r="I170" s="89">
        <v>56382.29</v>
      </c>
      <c r="J170" s="89">
        <f>SUM(B170:I170)</f>
        <v>136420.16</v>
      </c>
      <c r="K170" s="21">
        <v>17.2</v>
      </c>
      <c r="L170" s="89"/>
      <c r="M170" s="86"/>
    </row>
    <row r="171" spans="1:13" ht="10.5">
      <c r="A171" s="96" t="s">
        <v>271</v>
      </c>
      <c r="B171" s="90">
        <f t="shared" ref="B171:J171" si="38">SUM(B170)</f>
        <v>0</v>
      </c>
      <c r="C171" s="90">
        <f t="shared" si="38"/>
        <v>0</v>
      </c>
      <c r="D171" s="90">
        <f t="shared" si="38"/>
        <v>0</v>
      </c>
      <c r="E171" s="90">
        <f t="shared" si="38"/>
        <v>0</v>
      </c>
      <c r="F171" s="90">
        <f t="shared" si="38"/>
        <v>0</v>
      </c>
      <c r="G171" s="90">
        <f t="shared" si="38"/>
        <v>8037.19</v>
      </c>
      <c r="H171" s="90">
        <f t="shared" si="38"/>
        <v>72000.679999999993</v>
      </c>
      <c r="I171" s="90">
        <f t="shared" si="38"/>
        <v>56382.29</v>
      </c>
      <c r="J171" s="90">
        <f t="shared" si="38"/>
        <v>136420.16</v>
      </c>
      <c r="K171" s="21">
        <v>17</v>
      </c>
      <c r="L171" s="90"/>
      <c r="M171" s="86"/>
    </row>
    <row r="172" spans="1:13">
      <c r="A172" s="6" t="s">
        <v>270</v>
      </c>
      <c r="B172" s="89">
        <v>0</v>
      </c>
      <c r="C172" s="89">
        <v>0</v>
      </c>
      <c r="D172" s="89">
        <v>0</v>
      </c>
      <c r="E172" s="89">
        <v>0</v>
      </c>
      <c r="F172" s="89">
        <v>8276.7199999999993</v>
      </c>
      <c r="G172" s="89">
        <v>2783.76</v>
      </c>
      <c r="H172" s="89">
        <v>-3638.94</v>
      </c>
      <c r="I172" s="89">
        <v>0</v>
      </c>
      <c r="J172" s="89">
        <f>SUM(B172:I172)</f>
        <v>7421.5399999999991</v>
      </c>
      <c r="K172" s="21">
        <v>17</v>
      </c>
      <c r="L172" s="89"/>
      <c r="M172" s="86"/>
    </row>
    <row r="173" spans="1:13" ht="10.5">
      <c r="A173" s="95" t="s">
        <v>269</v>
      </c>
      <c r="B173" s="88"/>
      <c r="C173" s="88"/>
      <c r="D173" s="88"/>
      <c r="E173" s="88"/>
      <c r="F173" s="88"/>
      <c r="G173" s="88"/>
      <c r="H173" s="88"/>
      <c r="I173" s="88"/>
      <c r="J173" s="88"/>
      <c r="L173" s="88"/>
      <c r="M173" s="86"/>
    </row>
    <row r="174" spans="1:13">
      <c r="A174" s="8" t="s">
        <v>268</v>
      </c>
      <c r="B174" s="89">
        <v>0</v>
      </c>
      <c r="C174" s="89">
        <v>0</v>
      </c>
      <c r="D174" s="89">
        <v>0</v>
      </c>
      <c r="E174" s="89">
        <v>0</v>
      </c>
      <c r="F174" s="89">
        <v>0</v>
      </c>
      <c r="G174" s="89">
        <v>0</v>
      </c>
      <c r="H174" s="89">
        <v>73404.259999999995</v>
      </c>
      <c r="I174" s="89">
        <v>0</v>
      </c>
      <c r="J174" s="89">
        <f>SUM(B174:I174)</f>
        <v>73404.259999999995</v>
      </c>
      <c r="K174" s="21">
        <v>17.399999999999999</v>
      </c>
      <c r="L174" s="89"/>
      <c r="M174" s="86"/>
    </row>
    <row r="175" spans="1:13">
      <c r="A175" s="8" t="s">
        <v>267</v>
      </c>
      <c r="B175" s="89">
        <v>0</v>
      </c>
      <c r="C175" s="89">
        <v>0</v>
      </c>
      <c r="D175" s="89">
        <v>0</v>
      </c>
      <c r="E175" s="89">
        <v>0</v>
      </c>
      <c r="F175" s="89">
        <v>0</v>
      </c>
      <c r="G175" s="89">
        <v>0</v>
      </c>
      <c r="H175" s="89">
        <v>-47463</v>
      </c>
      <c r="I175" s="89">
        <v>0</v>
      </c>
      <c r="J175" s="89">
        <f>SUM(B175:I175)</f>
        <v>-47463</v>
      </c>
      <c r="K175" s="21">
        <v>17.399999999999999</v>
      </c>
      <c r="M175" s="86"/>
    </row>
    <row r="176" spans="1:13" ht="10.5">
      <c r="A176" s="96" t="s">
        <v>266</v>
      </c>
      <c r="B176" s="90">
        <f t="shared" ref="B176:J176" si="39">SUM(B174:B175)</f>
        <v>0</v>
      </c>
      <c r="C176" s="90">
        <f t="shared" si="39"/>
        <v>0</v>
      </c>
      <c r="D176" s="90">
        <f t="shared" si="39"/>
        <v>0</v>
      </c>
      <c r="E176" s="90">
        <f t="shared" si="39"/>
        <v>0</v>
      </c>
      <c r="F176" s="90">
        <f t="shared" si="39"/>
        <v>0</v>
      </c>
      <c r="G176" s="90">
        <f t="shared" si="39"/>
        <v>0</v>
      </c>
      <c r="H176" s="90">
        <f t="shared" si="39"/>
        <v>25941.259999999995</v>
      </c>
      <c r="I176" s="90">
        <f t="shared" si="39"/>
        <v>0</v>
      </c>
      <c r="J176" s="90">
        <f t="shared" si="39"/>
        <v>25941.259999999995</v>
      </c>
      <c r="K176" s="21">
        <v>17</v>
      </c>
      <c r="L176" s="90"/>
      <c r="M176" s="86"/>
    </row>
    <row r="177" spans="1:13">
      <c r="A177" s="6" t="s">
        <v>265</v>
      </c>
      <c r="B177" s="89">
        <v>0</v>
      </c>
      <c r="C177" s="89">
        <v>0</v>
      </c>
      <c r="D177" s="89">
        <v>0</v>
      </c>
      <c r="E177" s="89">
        <v>0</v>
      </c>
      <c r="F177" s="89">
        <v>0</v>
      </c>
      <c r="G177" s="89">
        <v>0</v>
      </c>
      <c r="H177" s="89">
        <v>414497.66</v>
      </c>
      <c r="I177" s="89">
        <v>49.23</v>
      </c>
      <c r="J177" s="89">
        <f>SUM(B177:I177)</f>
        <v>414546.88999999996</v>
      </c>
      <c r="K177" s="21">
        <v>18</v>
      </c>
      <c r="L177" s="89" t="s">
        <v>602</v>
      </c>
      <c r="M177" s="86"/>
    </row>
    <row r="178" spans="1:13">
      <c r="A178" s="6" t="s">
        <v>264</v>
      </c>
      <c r="B178" s="89">
        <v>-261263.83</v>
      </c>
      <c r="C178" s="89">
        <v>0</v>
      </c>
      <c r="D178" s="89">
        <v>0</v>
      </c>
      <c r="E178" s="89">
        <v>261263.83</v>
      </c>
      <c r="F178" s="89">
        <v>0</v>
      </c>
      <c r="G178" s="89">
        <v>0</v>
      </c>
      <c r="H178" s="89">
        <v>0</v>
      </c>
      <c r="I178" s="89">
        <v>0</v>
      </c>
      <c r="J178" s="89">
        <f>SUM(B178:I178)</f>
        <v>0</v>
      </c>
      <c r="K178" s="21">
        <v>18</v>
      </c>
      <c r="L178" s="89"/>
      <c r="M178" s="86"/>
    </row>
    <row r="179" spans="1:13" ht="10.5">
      <c r="A179" s="97" t="s">
        <v>263</v>
      </c>
      <c r="B179" s="90">
        <f t="shared" ref="B179:J179" si="40">SUM(B152:B153,B159,B164,B168,B171:B172,B176:B178)</f>
        <v>-8417068.7300000004</v>
      </c>
      <c r="C179" s="90">
        <f t="shared" si="40"/>
        <v>878638.47</v>
      </c>
      <c r="D179" s="90">
        <f t="shared" si="40"/>
        <v>330.61</v>
      </c>
      <c r="E179" s="90">
        <f t="shared" si="40"/>
        <v>261594.43999999997</v>
      </c>
      <c r="F179" s="90">
        <f t="shared" si="40"/>
        <v>8607.33</v>
      </c>
      <c r="G179" s="90">
        <f t="shared" si="40"/>
        <v>2789090.48</v>
      </c>
      <c r="H179" s="90">
        <f t="shared" si="40"/>
        <v>4691664.6100000003</v>
      </c>
      <c r="I179" s="90">
        <f t="shared" si="40"/>
        <v>993786.63</v>
      </c>
      <c r="J179" s="90">
        <f t="shared" si="40"/>
        <v>1206643.8400000003</v>
      </c>
      <c r="K179"/>
      <c r="L179" s="90"/>
      <c r="M179" s="86"/>
    </row>
    <row r="180" spans="1:13" ht="10.5">
      <c r="A180" s="3" t="s">
        <v>262</v>
      </c>
      <c r="B180" s="88">
        <f t="shared" ref="B180:J180" si="41">B129+B143+B179</f>
        <v>-8445444.290000001</v>
      </c>
      <c r="C180" s="88">
        <f t="shared" si="41"/>
        <v>916548.15</v>
      </c>
      <c r="D180" s="88">
        <f t="shared" si="41"/>
        <v>330.61</v>
      </c>
      <c r="E180" s="88">
        <f t="shared" si="41"/>
        <v>261594.43999999997</v>
      </c>
      <c r="F180" s="88">
        <f t="shared" si="41"/>
        <v>8607.33</v>
      </c>
      <c r="G180" s="88">
        <f t="shared" si="41"/>
        <v>2822101</v>
      </c>
      <c r="H180" s="88">
        <f t="shared" si="41"/>
        <v>4836915.74</v>
      </c>
      <c r="I180" s="88">
        <f t="shared" si="41"/>
        <v>1005043.54</v>
      </c>
      <c r="J180" s="88">
        <f t="shared" si="41"/>
        <v>1405696.5200000003</v>
      </c>
      <c r="L180" s="88"/>
      <c r="M180" s="86"/>
    </row>
    <row r="181" spans="1:13" ht="10.5">
      <c r="A181" s="3" t="s">
        <v>261</v>
      </c>
      <c r="B181" s="88">
        <f t="shared" ref="B181:J181" si="42">B106-B180</f>
        <v>0</v>
      </c>
      <c r="C181" s="88">
        <f t="shared" si="42"/>
        <v>58444.819999999949</v>
      </c>
      <c r="D181" s="88">
        <f t="shared" si="42"/>
        <v>61897.94</v>
      </c>
      <c r="E181" s="88">
        <f t="shared" si="42"/>
        <v>-261080.68999999997</v>
      </c>
      <c r="F181" s="88">
        <f t="shared" si="42"/>
        <v>40131.040000000001</v>
      </c>
      <c r="G181" s="88">
        <f t="shared" si="42"/>
        <v>285594.53000000026</v>
      </c>
      <c r="H181" s="88">
        <f t="shared" si="42"/>
        <v>19818160.109999999</v>
      </c>
      <c r="I181" s="88">
        <f t="shared" si="42"/>
        <v>257328.6100000001</v>
      </c>
      <c r="J181" s="88">
        <f t="shared" si="42"/>
        <v>20260476.359999999</v>
      </c>
      <c r="L181" s="88"/>
      <c r="M181" s="86"/>
    </row>
    <row r="182" spans="1:13" ht="10.5">
      <c r="A182" s="3" t="s">
        <v>260</v>
      </c>
      <c r="B182" s="88">
        <f t="shared" ref="B182:J182" si="43">B181+B120+0</f>
        <v>0</v>
      </c>
      <c r="C182" s="88">
        <f t="shared" si="43"/>
        <v>59481.329999999951</v>
      </c>
      <c r="D182" s="88">
        <f t="shared" si="43"/>
        <v>61897.94</v>
      </c>
      <c r="E182" s="88">
        <f t="shared" si="43"/>
        <v>-261080.68999999997</v>
      </c>
      <c r="F182" s="88">
        <f t="shared" si="43"/>
        <v>40131.040000000001</v>
      </c>
      <c r="G182" s="88">
        <f t="shared" si="43"/>
        <v>342925.47000000026</v>
      </c>
      <c r="H182" s="88">
        <f t="shared" si="43"/>
        <v>19874262.77</v>
      </c>
      <c r="I182" s="88">
        <f t="shared" si="43"/>
        <v>265936.9200000001</v>
      </c>
      <c r="J182" s="88">
        <f t="shared" si="43"/>
        <v>20383554.780000001</v>
      </c>
      <c r="L182" s="88"/>
      <c r="M182" s="86"/>
    </row>
    <row r="183" spans="1:13" ht="10.5">
      <c r="A183" s="3" t="s">
        <v>259</v>
      </c>
      <c r="B183" s="88">
        <f t="shared" ref="B183:J183" si="44">B182-0</f>
        <v>0</v>
      </c>
      <c r="C183" s="88">
        <f t="shared" si="44"/>
        <v>59481.329999999951</v>
      </c>
      <c r="D183" s="88">
        <f t="shared" si="44"/>
        <v>61897.94</v>
      </c>
      <c r="E183" s="88">
        <f t="shared" si="44"/>
        <v>-261080.68999999997</v>
      </c>
      <c r="F183" s="88">
        <f t="shared" si="44"/>
        <v>40131.040000000001</v>
      </c>
      <c r="G183" s="88">
        <f t="shared" si="44"/>
        <v>342925.47000000026</v>
      </c>
      <c r="H183" s="88">
        <f t="shared" si="44"/>
        <v>19874262.77</v>
      </c>
      <c r="I183" s="88">
        <f t="shared" si="44"/>
        <v>265936.9200000001</v>
      </c>
      <c r="J183" s="88">
        <f t="shared" si="44"/>
        <v>20383554.780000001</v>
      </c>
      <c r="L183" s="88"/>
      <c r="M183" s="86"/>
    </row>
    <row r="184" spans="1:13" ht="10.5">
      <c r="A184" s="3" t="s">
        <v>258</v>
      </c>
      <c r="B184" s="88"/>
      <c r="C184" s="88"/>
      <c r="D184" s="88"/>
      <c r="E184" s="88"/>
      <c r="F184" s="88"/>
      <c r="G184" s="88"/>
      <c r="H184" s="88"/>
      <c r="I184" s="88"/>
      <c r="J184" s="88"/>
      <c r="L184" s="88"/>
      <c r="M184" s="86"/>
    </row>
    <row r="185" spans="1:13" ht="10.5" hidden="1">
      <c r="A185" s="3" t="s">
        <v>258</v>
      </c>
      <c r="B185" s="88"/>
      <c r="C185" s="88"/>
      <c r="D185" s="88"/>
      <c r="E185" s="88"/>
      <c r="F185" s="88"/>
      <c r="G185" s="88"/>
      <c r="H185" s="88"/>
      <c r="I185" s="88"/>
      <c r="J185" s="88"/>
      <c r="L185" s="88"/>
      <c r="M185" s="86"/>
    </row>
    <row r="186" spans="1:13" ht="10.5">
      <c r="A186" s="5" t="s">
        <v>257</v>
      </c>
      <c r="B186" s="88"/>
      <c r="C186" s="88"/>
      <c r="D186" s="88"/>
      <c r="E186" s="88"/>
      <c r="F186" s="88"/>
      <c r="G186" s="88"/>
      <c r="H186" s="88"/>
      <c r="I186" s="88"/>
      <c r="J186" s="88"/>
      <c r="L186" s="88"/>
      <c r="M186" s="86"/>
    </row>
    <row r="187" spans="1:13">
      <c r="A187" s="6" t="s">
        <v>256</v>
      </c>
      <c r="B187" s="89">
        <v>0</v>
      </c>
      <c r="C187" s="89">
        <v>0</v>
      </c>
      <c r="D187" s="89">
        <v>600244.31000000006</v>
      </c>
      <c r="E187" s="89">
        <v>27.32</v>
      </c>
      <c r="F187" s="89">
        <v>1000280.62</v>
      </c>
      <c r="G187" s="89">
        <v>0</v>
      </c>
      <c r="H187" s="89">
        <v>59818.91</v>
      </c>
      <c r="I187" s="89">
        <v>1227</v>
      </c>
      <c r="J187" s="89">
        <f>SUM(B187:I187)</f>
        <v>1661598.16</v>
      </c>
      <c r="K187" s="21">
        <v>19.100000000000001</v>
      </c>
      <c r="L187" s="89"/>
      <c r="M187" s="86"/>
    </row>
    <row r="188" spans="1:13" ht="10.5">
      <c r="A188" s="97" t="s">
        <v>255</v>
      </c>
      <c r="B188" s="90">
        <f t="shared" ref="B188:J188" si="45">SUM(B187)</f>
        <v>0</v>
      </c>
      <c r="C188" s="90">
        <f t="shared" si="45"/>
        <v>0</v>
      </c>
      <c r="D188" s="90">
        <f t="shared" si="45"/>
        <v>600244.31000000006</v>
      </c>
      <c r="E188" s="90">
        <f t="shared" si="45"/>
        <v>27.32</v>
      </c>
      <c r="F188" s="90">
        <f t="shared" si="45"/>
        <v>1000280.62</v>
      </c>
      <c r="G188" s="90">
        <f t="shared" si="45"/>
        <v>0</v>
      </c>
      <c r="H188" s="90">
        <f t="shared" si="45"/>
        <v>59818.91</v>
      </c>
      <c r="I188" s="90">
        <f t="shared" si="45"/>
        <v>1227</v>
      </c>
      <c r="J188" s="90">
        <f t="shared" si="45"/>
        <v>1661598.16</v>
      </c>
      <c r="K188" s="47">
        <v>19</v>
      </c>
      <c r="L188" s="90"/>
      <c r="M188" s="86"/>
    </row>
    <row r="189" spans="1:13" ht="10.5">
      <c r="A189" s="5" t="s">
        <v>254</v>
      </c>
      <c r="B189" s="88"/>
      <c r="C189" s="88"/>
      <c r="D189" s="88"/>
      <c r="E189" s="88"/>
      <c r="F189" s="88"/>
      <c r="G189" s="88"/>
      <c r="H189" s="88"/>
      <c r="I189" s="88"/>
      <c r="J189" s="88"/>
      <c r="L189" s="88"/>
      <c r="M189" s="86"/>
    </row>
    <row r="190" spans="1:13">
      <c r="A190" s="6" t="s">
        <v>253</v>
      </c>
      <c r="B190" s="89">
        <v>0</v>
      </c>
      <c r="C190" s="89">
        <v>0</v>
      </c>
      <c r="D190" s="89">
        <v>0</v>
      </c>
      <c r="E190" s="89">
        <v>0</v>
      </c>
      <c r="F190" s="89">
        <v>0</v>
      </c>
      <c r="G190" s="89">
        <v>0</v>
      </c>
      <c r="H190" s="89">
        <v>1099977.5</v>
      </c>
      <c r="I190" s="89">
        <v>0</v>
      </c>
      <c r="J190" s="89">
        <f t="shared" ref="J190:J196" si="46">SUM(B190:I190)</f>
        <v>1099977.5</v>
      </c>
      <c r="K190" s="21">
        <v>19.3</v>
      </c>
      <c r="L190" s="89"/>
      <c r="M190" s="86"/>
    </row>
    <row r="191" spans="1:13">
      <c r="A191" s="6" t="s">
        <v>252</v>
      </c>
      <c r="B191" s="89">
        <v>0</v>
      </c>
      <c r="C191" s="89">
        <v>0</v>
      </c>
      <c r="D191" s="89">
        <v>0</v>
      </c>
      <c r="E191" s="89">
        <v>0</v>
      </c>
      <c r="F191" s="89">
        <v>0</v>
      </c>
      <c r="G191" s="89">
        <v>0</v>
      </c>
      <c r="H191" s="89">
        <v>6911859.6200000001</v>
      </c>
      <c r="I191" s="89">
        <v>0</v>
      </c>
      <c r="J191" s="89">
        <f t="shared" si="46"/>
        <v>6911859.6200000001</v>
      </c>
      <c r="K191" s="21">
        <v>19.3</v>
      </c>
      <c r="L191" s="89"/>
      <c r="M191" s="86"/>
    </row>
    <row r="192" spans="1:13">
      <c r="A192" s="6" t="s">
        <v>251</v>
      </c>
      <c r="B192" s="89">
        <v>0</v>
      </c>
      <c r="C192" s="89">
        <v>0</v>
      </c>
      <c r="D192" s="89">
        <v>0</v>
      </c>
      <c r="E192" s="89">
        <v>0</v>
      </c>
      <c r="F192" s="89">
        <v>0</v>
      </c>
      <c r="G192" s="89">
        <v>0</v>
      </c>
      <c r="H192" s="89">
        <v>29463107.91</v>
      </c>
      <c r="I192" s="89">
        <v>0</v>
      </c>
      <c r="J192" s="89">
        <f t="shared" si="46"/>
        <v>29463107.91</v>
      </c>
      <c r="K192" s="21">
        <v>19.100000000000001</v>
      </c>
      <c r="L192" s="89"/>
      <c r="M192" s="86"/>
    </row>
    <row r="193" spans="1:13">
      <c r="A193" s="6" t="s">
        <v>250</v>
      </c>
      <c r="B193" s="89">
        <v>0</v>
      </c>
      <c r="C193" s="89">
        <v>0</v>
      </c>
      <c r="D193" s="89">
        <v>0</v>
      </c>
      <c r="E193" s="89">
        <v>0</v>
      </c>
      <c r="F193" s="89">
        <v>0</v>
      </c>
      <c r="G193" s="89">
        <v>0</v>
      </c>
      <c r="H193" s="89">
        <v>7295.69</v>
      </c>
      <c r="I193" s="89">
        <v>0</v>
      </c>
      <c r="J193" s="89">
        <f t="shared" si="46"/>
        <v>7295.69</v>
      </c>
      <c r="K193" s="21">
        <v>19.3</v>
      </c>
      <c r="L193" s="89"/>
      <c r="M193" s="86"/>
    </row>
    <row r="194" spans="1:13">
      <c r="A194" s="6" t="s">
        <v>249</v>
      </c>
      <c r="B194" s="89">
        <v>0</v>
      </c>
      <c r="C194" s="89">
        <v>0</v>
      </c>
      <c r="D194" s="89">
        <v>0</v>
      </c>
      <c r="E194" s="89">
        <v>0</v>
      </c>
      <c r="F194" s="89">
        <v>0</v>
      </c>
      <c r="G194" s="89">
        <v>0</v>
      </c>
      <c r="H194" s="89">
        <v>1654137.23</v>
      </c>
      <c r="I194" s="89">
        <v>0</v>
      </c>
      <c r="J194" s="89">
        <f t="shared" si="46"/>
        <v>1654137.23</v>
      </c>
      <c r="K194" s="21">
        <v>19.2</v>
      </c>
      <c r="L194" s="89"/>
      <c r="M194" s="86"/>
    </row>
    <row r="195" spans="1:13">
      <c r="A195" s="6" t="s">
        <v>248</v>
      </c>
      <c r="B195" s="89">
        <v>0</v>
      </c>
      <c r="C195" s="89">
        <v>0</v>
      </c>
      <c r="D195" s="89">
        <v>0</v>
      </c>
      <c r="E195" s="89">
        <v>0</v>
      </c>
      <c r="F195" s="89">
        <v>0</v>
      </c>
      <c r="G195" s="89">
        <v>0</v>
      </c>
      <c r="H195" s="89">
        <v>-595402</v>
      </c>
      <c r="I195" s="89">
        <v>0</v>
      </c>
      <c r="J195" s="89">
        <f t="shared" si="46"/>
        <v>-595402</v>
      </c>
      <c r="K195" s="21">
        <v>19.3</v>
      </c>
      <c r="L195" s="89"/>
      <c r="M195" s="86"/>
    </row>
    <row r="196" spans="1:13">
      <c r="A196" s="6" t="s">
        <v>247</v>
      </c>
      <c r="B196" s="89">
        <v>0</v>
      </c>
      <c r="C196" s="89">
        <v>0</v>
      </c>
      <c r="D196" s="89">
        <v>0</v>
      </c>
      <c r="E196" s="89">
        <v>0</v>
      </c>
      <c r="F196" s="89">
        <v>0</v>
      </c>
      <c r="G196" s="89">
        <v>0</v>
      </c>
      <c r="H196" s="89">
        <v>1922733.5</v>
      </c>
      <c r="I196" s="89">
        <v>0</v>
      </c>
      <c r="J196" s="89">
        <f t="shared" si="46"/>
        <v>1922733.5</v>
      </c>
      <c r="K196" s="21">
        <v>19.3</v>
      </c>
      <c r="L196" s="89"/>
      <c r="M196" s="86"/>
    </row>
    <row r="197" spans="1:13" ht="10.5">
      <c r="A197" s="97" t="s">
        <v>246</v>
      </c>
      <c r="B197" s="90">
        <f t="shared" ref="B197:J197" si="47">SUM(B190:B196)</f>
        <v>0</v>
      </c>
      <c r="C197" s="90">
        <f t="shared" si="47"/>
        <v>0</v>
      </c>
      <c r="D197" s="90">
        <f t="shared" si="47"/>
        <v>0</v>
      </c>
      <c r="E197" s="90">
        <f t="shared" si="47"/>
        <v>0</v>
      </c>
      <c r="F197" s="90">
        <f t="shared" si="47"/>
        <v>0</v>
      </c>
      <c r="G197" s="90">
        <f t="shared" si="47"/>
        <v>0</v>
      </c>
      <c r="H197" s="90">
        <f t="shared" si="47"/>
        <v>40463709.449999996</v>
      </c>
      <c r="I197" s="90">
        <f t="shared" si="47"/>
        <v>0</v>
      </c>
      <c r="J197" s="90">
        <f t="shared" si="47"/>
        <v>40463709.449999996</v>
      </c>
      <c r="K197" s="21">
        <v>19</v>
      </c>
      <c r="L197" s="90"/>
      <c r="M197" s="86"/>
    </row>
    <row r="198" spans="1:13" ht="10.5">
      <c r="A198" s="101" t="s">
        <v>245</v>
      </c>
      <c r="B198" s="90">
        <f t="shared" ref="B198:J198" si="48">SUM(B188,B197)</f>
        <v>0</v>
      </c>
      <c r="C198" s="90">
        <f t="shared" si="48"/>
        <v>0</v>
      </c>
      <c r="D198" s="90">
        <f t="shared" si="48"/>
        <v>600244.31000000006</v>
      </c>
      <c r="E198" s="90">
        <f t="shared" si="48"/>
        <v>27.32</v>
      </c>
      <c r="F198" s="90">
        <f t="shared" si="48"/>
        <v>1000280.62</v>
      </c>
      <c r="G198" s="90">
        <f t="shared" si="48"/>
        <v>0</v>
      </c>
      <c r="H198" s="90">
        <f t="shared" si="48"/>
        <v>40523528.359999992</v>
      </c>
      <c r="I198" s="90">
        <f t="shared" si="48"/>
        <v>1227</v>
      </c>
      <c r="J198" s="90">
        <f t="shared" si="48"/>
        <v>42125307.609999992</v>
      </c>
      <c r="L198" s="90"/>
      <c r="M198" s="86"/>
    </row>
    <row r="199" spans="1:13">
      <c r="A199" s="4" t="s">
        <v>244</v>
      </c>
      <c r="B199" s="89">
        <v>0</v>
      </c>
      <c r="C199" s="89">
        <v>0</v>
      </c>
      <c r="D199" s="89">
        <v>-537941.35</v>
      </c>
      <c r="E199" s="89">
        <v>-260642.84000000003</v>
      </c>
      <c r="F199" s="89">
        <v>-960017.55</v>
      </c>
      <c r="G199" s="89">
        <v>93807.959999999992</v>
      </c>
      <c r="H199" s="89">
        <v>-12808682.100000001</v>
      </c>
      <c r="I199" s="89">
        <v>123756.03000000003</v>
      </c>
      <c r="J199" s="89">
        <f>SUM(B199:I199)</f>
        <v>-14349719.850000001</v>
      </c>
      <c r="K199" s="21">
        <v>21</v>
      </c>
      <c r="L199" s="89"/>
      <c r="M199" s="86"/>
    </row>
    <row r="200" spans="1:13">
      <c r="A200" s="4" t="s">
        <v>28</v>
      </c>
      <c r="B200" s="89">
        <v>0</v>
      </c>
      <c r="C200" s="89">
        <v>59481.330000000075</v>
      </c>
      <c r="D200" s="89">
        <v>-405.02</v>
      </c>
      <c r="E200" s="89">
        <v>-465.16999999999996</v>
      </c>
      <c r="F200" s="89">
        <v>-132.03000000000003</v>
      </c>
      <c r="G200" s="89">
        <v>249117.51000000106</v>
      </c>
      <c r="H200" s="89">
        <v>-7840583.4899999993</v>
      </c>
      <c r="I200" s="89">
        <v>140953.8899999999</v>
      </c>
      <c r="J200" s="89">
        <f>SUM(B200:I200)</f>
        <v>-7392032.9799999986</v>
      </c>
      <c r="K200" s="21">
        <v>21</v>
      </c>
      <c r="L200" s="89"/>
      <c r="M200" s="86"/>
    </row>
    <row r="201" spans="1:13" ht="10.5">
      <c r="A201" s="7" t="s">
        <v>243</v>
      </c>
      <c r="B201" s="91">
        <f t="shared" ref="B201:J201" si="49">B198+B199+B200+0</f>
        <v>0</v>
      </c>
      <c r="C201" s="91">
        <f t="shared" si="49"/>
        <v>59481.330000000075</v>
      </c>
      <c r="D201" s="91">
        <f t="shared" si="49"/>
        <v>61897.940000000082</v>
      </c>
      <c r="E201" s="91">
        <f t="shared" si="49"/>
        <v>-261080.69000000003</v>
      </c>
      <c r="F201" s="91">
        <f t="shared" si="49"/>
        <v>40131.03999999995</v>
      </c>
      <c r="G201" s="91">
        <f t="shared" si="49"/>
        <v>342925.47000000102</v>
      </c>
      <c r="H201" s="91">
        <f t="shared" si="49"/>
        <v>19874262.769999992</v>
      </c>
      <c r="I201" s="91">
        <f t="shared" si="49"/>
        <v>265936.91999999993</v>
      </c>
      <c r="J201" s="91">
        <f t="shared" si="49"/>
        <v>20383554.779999994</v>
      </c>
      <c r="L201" s="91"/>
      <c r="M201" s="86"/>
    </row>
    <row r="202" spans="1:13">
      <c r="L202" s="49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-0.249977111117893"/>
  </sheetPr>
  <dimension ref="A1:L826"/>
  <sheetViews>
    <sheetView topLeftCell="A792" zoomScale="115" zoomScaleNormal="115" workbookViewId="0">
      <selection activeCell="A9" sqref="A9:A10"/>
    </sheetView>
  </sheetViews>
  <sheetFormatPr defaultRowHeight="10"/>
  <cols>
    <col min="1" max="1" width="52.6640625" bestFit="1" customWidth="1"/>
    <col min="2" max="2" width="27.77734375" bestFit="1" customWidth="1"/>
    <col min="3" max="3" width="17.6640625" bestFit="1" customWidth="1"/>
    <col min="4" max="4" width="24.33203125" bestFit="1" customWidth="1"/>
    <col min="5" max="5" width="35.44140625" bestFit="1" customWidth="1"/>
    <col min="6" max="6" width="31.44140625" bestFit="1" customWidth="1"/>
    <col min="7" max="7" width="21.109375" bestFit="1" customWidth="1"/>
    <col min="8" max="8" width="31.6640625" bestFit="1" customWidth="1"/>
    <col min="9" max="9" width="13.44140625" bestFit="1" customWidth="1"/>
    <col min="11" max="11" width="12.33203125" bestFit="1" customWidth="1"/>
  </cols>
  <sheetData>
    <row r="1" spans="1:12" ht="15.5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12" ht="15.5">
      <c r="A2" s="11" t="s">
        <v>1</v>
      </c>
      <c r="B2" s="11"/>
      <c r="C2" s="11"/>
      <c r="D2" s="11"/>
      <c r="E2" s="11"/>
      <c r="F2" s="11"/>
      <c r="G2" s="11"/>
      <c r="H2" s="11"/>
      <c r="I2" s="11"/>
    </row>
    <row r="3" spans="1:12" ht="18">
      <c r="A3" s="12" t="s">
        <v>2</v>
      </c>
      <c r="B3" s="12"/>
      <c r="C3" s="12"/>
      <c r="D3" s="12"/>
      <c r="E3" s="12"/>
      <c r="F3" s="12"/>
      <c r="G3" s="12"/>
      <c r="H3" s="12"/>
      <c r="I3" s="12"/>
    </row>
    <row r="4" spans="1:12" ht="18">
      <c r="A4" s="12" t="s">
        <v>3</v>
      </c>
      <c r="B4" s="12"/>
      <c r="C4" s="12"/>
      <c r="D4" s="12"/>
      <c r="E4" s="12"/>
      <c r="F4" s="12"/>
      <c r="G4" s="12"/>
      <c r="H4" s="12"/>
      <c r="I4" s="12"/>
    </row>
    <row r="5" spans="1:12" ht="18">
      <c r="A5" s="12" t="s">
        <v>4</v>
      </c>
      <c r="B5" s="12"/>
      <c r="C5" s="12"/>
      <c r="D5" s="12"/>
      <c r="E5" s="12"/>
      <c r="F5" s="12"/>
      <c r="G5" s="12"/>
      <c r="H5" s="12"/>
      <c r="I5" s="12"/>
    </row>
    <row r="6" spans="1:12" ht="18">
      <c r="A6" s="12" t="s">
        <v>4</v>
      </c>
      <c r="B6" s="12"/>
      <c r="C6" s="12"/>
      <c r="D6" s="12"/>
      <c r="E6" s="12"/>
      <c r="F6" s="12"/>
      <c r="G6" s="12"/>
      <c r="H6" s="12"/>
      <c r="I6" s="12"/>
    </row>
    <row r="7" spans="1:12">
      <c r="A7" s="1" t="s">
        <v>5</v>
      </c>
      <c r="B7" s="2" t="s">
        <v>6</v>
      </c>
      <c r="C7" s="2" t="s">
        <v>7</v>
      </c>
      <c r="D7" s="2" t="s">
        <v>8</v>
      </c>
      <c r="E7" s="2" t="s">
        <v>9</v>
      </c>
      <c r="F7" s="2" t="s">
        <v>721</v>
      </c>
      <c r="G7" s="2" t="s">
        <v>0</v>
      </c>
      <c r="H7" s="2" t="s">
        <v>11</v>
      </c>
      <c r="I7" s="2" t="s">
        <v>12</v>
      </c>
      <c r="J7" s="2" t="s">
        <v>230</v>
      </c>
      <c r="L7" s="2" t="s">
        <v>531</v>
      </c>
    </row>
    <row r="8" spans="1:12">
      <c r="A8" s="1" t="s">
        <v>13</v>
      </c>
      <c r="B8" s="2" t="s">
        <v>14</v>
      </c>
      <c r="C8" s="2" t="s">
        <v>14</v>
      </c>
      <c r="D8" s="2" t="s">
        <v>14</v>
      </c>
      <c r="E8" s="2" t="s">
        <v>14</v>
      </c>
      <c r="F8" s="2" t="s">
        <v>14</v>
      </c>
      <c r="G8" s="2" t="s">
        <v>14</v>
      </c>
      <c r="H8" s="2" t="s">
        <v>14</v>
      </c>
      <c r="I8" s="2" t="s">
        <v>14</v>
      </c>
    </row>
    <row r="9" spans="1:12" ht="10.5">
      <c r="A9" s="3" t="s">
        <v>15</v>
      </c>
      <c r="B9" s="302"/>
      <c r="C9" s="302"/>
      <c r="D9" s="302"/>
      <c r="E9" s="302"/>
      <c r="F9" s="302"/>
      <c r="G9" s="302"/>
      <c r="H9" s="302"/>
      <c r="I9" s="302"/>
    </row>
    <row r="10" spans="1:12">
      <c r="A10" s="4" t="s">
        <v>16</v>
      </c>
      <c r="B10" s="303">
        <v>0</v>
      </c>
      <c r="C10" s="303">
        <v>0</v>
      </c>
      <c r="D10" s="303">
        <v>0</v>
      </c>
      <c r="E10" s="303">
        <v>0</v>
      </c>
      <c r="F10" s="303">
        <v>0</v>
      </c>
      <c r="G10" s="303">
        <v>5714412.1900000004</v>
      </c>
      <c r="H10" s="303">
        <v>0</v>
      </c>
      <c r="I10" s="303">
        <f>SUM(B10:H10)</f>
        <v>5714412.1900000004</v>
      </c>
    </row>
    <row r="11" spans="1:12">
      <c r="A11" s="4" t="s">
        <v>17</v>
      </c>
      <c r="B11" s="303">
        <v>0</v>
      </c>
      <c r="C11" s="303">
        <v>0</v>
      </c>
      <c r="D11" s="303">
        <v>0</v>
      </c>
      <c r="E11" s="303">
        <v>0</v>
      </c>
      <c r="F11" s="303">
        <v>0</v>
      </c>
      <c r="G11" s="303">
        <v>381782.67</v>
      </c>
      <c r="H11" s="303">
        <v>0</v>
      </c>
      <c r="I11" s="303">
        <f>SUM(B11:H11)</f>
        <v>381782.67</v>
      </c>
    </row>
    <row r="12" spans="1:12">
      <c r="A12" s="4" t="s">
        <v>18</v>
      </c>
      <c r="B12" s="303">
        <v>0</v>
      </c>
      <c r="C12" s="303">
        <v>0</v>
      </c>
      <c r="D12" s="303">
        <v>0</v>
      </c>
      <c r="E12" s="303">
        <v>0</v>
      </c>
      <c r="F12" s="303">
        <v>0</v>
      </c>
      <c r="G12" s="303">
        <v>464323.65</v>
      </c>
      <c r="H12" s="303">
        <v>0</v>
      </c>
      <c r="I12" s="303">
        <f>SUM(B12:H12)</f>
        <v>464323.65</v>
      </c>
    </row>
    <row r="13" spans="1:12">
      <c r="A13" s="4" t="s">
        <v>19</v>
      </c>
      <c r="B13" s="303">
        <v>0</v>
      </c>
      <c r="C13" s="303">
        <v>0</v>
      </c>
      <c r="D13" s="303">
        <v>0</v>
      </c>
      <c r="E13" s="303">
        <v>0</v>
      </c>
      <c r="F13" s="303">
        <v>0</v>
      </c>
      <c r="G13" s="303">
        <v>289436.07</v>
      </c>
      <c r="H13" s="303">
        <v>0</v>
      </c>
      <c r="I13" s="303">
        <f>SUM(B13:H13)</f>
        <v>289436.07</v>
      </c>
    </row>
    <row r="14" spans="1:12" ht="10.5">
      <c r="A14" s="101" t="s">
        <v>20</v>
      </c>
      <c r="B14" s="304">
        <f t="shared" ref="B14:I14" si="0">SUM(B10:B13)</f>
        <v>0</v>
      </c>
      <c r="C14" s="304">
        <f t="shared" si="0"/>
        <v>0</v>
      </c>
      <c r="D14" s="304">
        <f t="shared" si="0"/>
        <v>0</v>
      </c>
      <c r="E14" s="304">
        <f t="shared" si="0"/>
        <v>0</v>
      </c>
      <c r="F14" s="304">
        <f t="shared" si="0"/>
        <v>0</v>
      </c>
      <c r="G14" s="304">
        <f t="shared" si="0"/>
        <v>6849954.580000001</v>
      </c>
      <c r="H14" s="304">
        <f t="shared" si="0"/>
        <v>0</v>
      </c>
      <c r="I14" s="304">
        <f t="shared" si="0"/>
        <v>6849954.580000001</v>
      </c>
      <c r="J14">
        <v>1</v>
      </c>
      <c r="L14">
        <v>9</v>
      </c>
    </row>
    <row r="15" spans="1:12" ht="10.5">
      <c r="A15" s="3" t="s">
        <v>21</v>
      </c>
      <c r="B15" s="302"/>
      <c r="C15" s="302"/>
      <c r="D15" s="302"/>
      <c r="E15" s="302"/>
      <c r="F15" s="302"/>
      <c r="G15" s="302"/>
      <c r="H15" s="302"/>
      <c r="I15" s="302"/>
    </row>
    <row r="16" spans="1:12" ht="10.5">
      <c r="A16" s="5" t="s">
        <v>22</v>
      </c>
      <c r="B16" s="302"/>
      <c r="C16" s="302"/>
      <c r="D16" s="302"/>
      <c r="E16" s="302"/>
      <c r="F16" s="302"/>
      <c r="G16" s="302"/>
      <c r="H16" s="302"/>
      <c r="I16" s="302"/>
    </row>
    <row r="17" spans="1:10">
      <c r="A17" s="6" t="s">
        <v>23</v>
      </c>
      <c r="B17" s="303">
        <v>0</v>
      </c>
      <c r="C17" s="303">
        <v>0</v>
      </c>
      <c r="D17" s="303">
        <v>0</v>
      </c>
      <c r="E17" s="303">
        <v>0</v>
      </c>
      <c r="F17" s="303">
        <v>0</v>
      </c>
      <c r="G17" s="303">
        <v>-672410.8</v>
      </c>
      <c r="H17" s="303">
        <v>0</v>
      </c>
      <c r="I17" s="303">
        <f>SUM(B17:H17)</f>
        <v>-672410.8</v>
      </c>
      <c r="J17">
        <v>2.1</v>
      </c>
    </row>
    <row r="18" spans="1:10">
      <c r="A18" s="6" t="s">
        <v>24</v>
      </c>
      <c r="B18" s="303">
        <v>0</v>
      </c>
      <c r="C18" s="303">
        <v>0</v>
      </c>
      <c r="D18" s="303">
        <v>0</v>
      </c>
      <c r="E18" s="303">
        <v>0</v>
      </c>
      <c r="F18" s="303">
        <v>0</v>
      </c>
      <c r="G18" s="303">
        <v>-64227.519999999997</v>
      </c>
      <c r="H18" s="303">
        <v>0</v>
      </c>
      <c r="I18" s="303">
        <f>SUM(B18:H18)</f>
        <v>-64227.519999999997</v>
      </c>
      <c r="J18">
        <v>2.1</v>
      </c>
    </row>
    <row r="19" spans="1:10">
      <c r="A19" s="6" t="s">
        <v>25</v>
      </c>
      <c r="B19" s="303">
        <v>0</v>
      </c>
      <c r="C19" s="303">
        <v>0</v>
      </c>
      <c r="D19" s="303">
        <v>0</v>
      </c>
      <c r="E19" s="303">
        <v>0</v>
      </c>
      <c r="F19" s="303">
        <v>0</v>
      </c>
      <c r="G19" s="303">
        <v>-165975.65</v>
      </c>
      <c r="H19" s="303">
        <v>0</v>
      </c>
      <c r="I19" s="303">
        <f>SUM(B19:H19)</f>
        <v>-165975.65</v>
      </c>
      <c r="J19">
        <v>2.1</v>
      </c>
    </row>
    <row r="20" spans="1:10" ht="10.5">
      <c r="A20" s="106" t="s">
        <v>26</v>
      </c>
      <c r="B20" s="305">
        <f t="shared" ref="B20:I20" si="1">SUM(B17:B19)</f>
        <v>0</v>
      </c>
      <c r="C20" s="305">
        <f t="shared" si="1"/>
        <v>0</v>
      </c>
      <c r="D20" s="305">
        <f t="shared" si="1"/>
        <v>0</v>
      </c>
      <c r="E20" s="305">
        <f t="shared" si="1"/>
        <v>0</v>
      </c>
      <c r="F20" s="305">
        <f t="shared" si="1"/>
        <v>0</v>
      </c>
      <c r="G20" s="305">
        <f t="shared" si="1"/>
        <v>-902613.97000000009</v>
      </c>
      <c r="H20" s="305">
        <f t="shared" si="1"/>
        <v>0</v>
      </c>
      <c r="I20" s="305">
        <f t="shared" si="1"/>
        <v>-902613.97000000009</v>
      </c>
      <c r="J20">
        <v>2</v>
      </c>
    </row>
    <row r="21" spans="1:10" ht="10.5" hidden="1">
      <c r="A21" s="7" t="s">
        <v>27</v>
      </c>
      <c r="B21" s="305">
        <f t="shared" ref="B21:I21" si="2">SUM(B20)</f>
        <v>0</v>
      </c>
      <c r="C21" s="305">
        <f t="shared" si="2"/>
        <v>0</v>
      </c>
      <c r="D21" s="305">
        <f t="shared" si="2"/>
        <v>0</v>
      </c>
      <c r="E21" s="305">
        <f t="shared" si="2"/>
        <v>0</v>
      </c>
      <c r="F21" s="305">
        <f t="shared" si="2"/>
        <v>0</v>
      </c>
      <c r="G21" s="305">
        <f t="shared" si="2"/>
        <v>-902613.97000000009</v>
      </c>
      <c r="H21" s="305">
        <f t="shared" si="2"/>
        <v>0</v>
      </c>
      <c r="I21" s="305">
        <f t="shared" si="2"/>
        <v>-902613.97000000009</v>
      </c>
    </row>
    <row r="22" spans="1:10" ht="10.5">
      <c r="A22" s="306" t="s">
        <v>28</v>
      </c>
      <c r="B22" s="307">
        <f t="shared" ref="B22:I22" si="3">+B14+B21</f>
        <v>0</v>
      </c>
      <c r="C22" s="307">
        <f t="shared" si="3"/>
        <v>0</v>
      </c>
      <c r="D22" s="307">
        <f t="shared" si="3"/>
        <v>0</v>
      </c>
      <c r="E22" s="307">
        <f t="shared" si="3"/>
        <v>0</v>
      </c>
      <c r="F22" s="307">
        <f t="shared" si="3"/>
        <v>0</v>
      </c>
      <c r="G22" s="307">
        <f t="shared" si="3"/>
        <v>5947340.6100000013</v>
      </c>
      <c r="H22" s="307">
        <f t="shared" si="3"/>
        <v>0</v>
      </c>
      <c r="I22" s="307">
        <f t="shared" si="3"/>
        <v>5947340.6100000013</v>
      </c>
    </row>
    <row r="23" spans="1:10" ht="10.5">
      <c r="A23" s="308" t="s">
        <v>29</v>
      </c>
      <c r="B23" s="309"/>
      <c r="C23" s="309"/>
      <c r="D23" s="309"/>
      <c r="E23" s="309"/>
      <c r="F23" s="309"/>
      <c r="G23" s="309"/>
      <c r="H23" s="309"/>
      <c r="I23" s="309"/>
    </row>
    <row r="24" spans="1:10" ht="10.5">
      <c r="A24" s="310" t="s">
        <v>30</v>
      </c>
      <c r="B24" s="309"/>
      <c r="C24" s="309"/>
      <c r="D24" s="309"/>
      <c r="E24" s="309"/>
      <c r="F24" s="309"/>
      <c r="G24" s="309"/>
      <c r="H24" s="309"/>
      <c r="I24" s="309"/>
    </row>
    <row r="25" spans="1:10" ht="10.5">
      <c r="A25" s="311" t="s">
        <v>31</v>
      </c>
      <c r="B25" s="309"/>
      <c r="C25" s="309"/>
      <c r="D25" s="309"/>
      <c r="E25" s="309"/>
      <c r="F25" s="309"/>
      <c r="G25" s="309"/>
      <c r="H25" s="309"/>
      <c r="I25" s="309"/>
    </row>
    <row r="26" spans="1:10">
      <c r="A26" s="8" t="s">
        <v>32</v>
      </c>
      <c r="B26" s="303">
        <v>0</v>
      </c>
      <c r="C26" s="303">
        <v>0</v>
      </c>
      <c r="D26" s="303">
        <v>0</v>
      </c>
      <c r="E26" s="303">
        <v>0</v>
      </c>
      <c r="F26" s="303">
        <v>0</v>
      </c>
      <c r="G26" s="303">
        <v>-416682.64</v>
      </c>
      <c r="H26" s="303">
        <v>-188919.56</v>
      </c>
      <c r="I26" s="303">
        <f>SUM(B26:H26)</f>
        <v>-605602.19999999995</v>
      </c>
    </row>
    <row r="27" spans="1:10">
      <c r="A27" s="8" t="s">
        <v>33</v>
      </c>
      <c r="B27" s="303">
        <v>0</v>
      </c>
      <c r="C27" s="303">
        <v>0</v>
      </c>
      <c r="D27" s="303">
        <v>0</v>
      </c>
      <c r="E27" s="303">
        <v>0</v>
      </c>
      <c r="F27" s="303">
        <v>0</v>
      </c>
      <c r="G27" s="303">
        <v>0</v>
      </c>
      <c r="H27" s="303">
        <v>-2565.5</v>
      </c>
      <c r="I27" s="303">
        <f>SUM(B27:H27)</f>
        <v>-2565.5</v>
      </c>
    </row>
    <row r="28" spans="1:10">
      <c r="A28" s="8" t="s">
        <v>34</v>
      </c>
      <c r="B28" s="303">
        <v>0</v>
      </c>
      <c r="C28" s="303">
        <v>0</v>
      </c>
      <c r="D28" s="303">
        <v>0</v>
      </c>
      <c r="E28" s="303">
        <v>0</v>
      </c>
      <c r="F28" s="303">
        <v>0</v>
      </c>
      <c r="G28" s="303">
        <v>0</v>
      </c>
      <c r="H28" s="303">
        <v>-1971.42</v>
      </c>
      <c r="I28" s="303">
        <f>SUM(B28:H28)</f>
        <v>-1971.42</v>
      </c>
    </row>
    <row r="29" spans="1:10">
      <c r="A29" s="8" t="s">
        <v>35</v>
      </c>
      <c r="B29" s="303">
        <v>0</v>
      </c>
      <c r="C29" s="303">
        <v>0</v>
      </c>
      <c r="D29" s="303">
        <v>0</v>
      </c>
      <c r="E29" s="303">
        <v>0</v>
      </c>
      <c r="F29" s="303">
        <v>6549.24</v>
      </c>
      <c r="G29" s="303">
        <v>0</v>
      </c>
      <c r="H29" s="303">
        <v>-36.17</v>
      </c>
      <c r="I29" s="303">
        <f>SUM(B29:H29)</f>
        <v>6513.07</v>
      </c>
    </row>
    <row r="30" spans="1:10" ht="10.5">
      <c r="A30" s="312" t="s">
        <v>36</v>
      </c>
      <c r="B30" s="313">
        <f t="shared" ref="B30:I30" si="4">SUM(B26:B29)</f>
        <v>0</v>
      </c>
      <c r="C30" s="313">
        <f t="shared" si="4"/>
        <v>0</v>
      </c>
      <c r="D30" s="313">
        <f t="shared" si="4"/>
        <v>0</v>
      </c>
      <c r="E30" s="313">
        <f t="shared" si="4"/>
        <v>0</v>
      </c>
      <c r="F30" s="313">
        <f t="shared" si="4"/>
        <v>6549.24</v>
      </c>
      <c r="G30" s="313">
        <f t="shared" si="4"/>
        <v>-416682.64</v>
      </c>
      <c r="H30" s="313">
        <f t="shared" si="4"/>
        <v>-193492.65000000002</v>
      </c>
      <c r="I30" s="313">
        <f t="shared" si="4"/>
        <v>-603626.05000000005</v>
      </c>
    </row>
    <row r="31" spans="1:10" ht="10.5">
      <c r="A31" s="311" t="s">
        <v>37</v>
      </c>
      <c r="B31" s="309"/>
      <c r="C31" s="309"/>
      <c r="D31" s="309"/>
      <c r="E31" s="309"/>
      <c r="F31" s="309"/>
      <c r="G31" s="309"/>
      <c r="H31" s="309"/>
      <c r="I31" s="309"/>
    </row>
    <row r="32" spans="1:10">
      <c r="A32" s="8" t="s">
        <v>38</v>
      </c>
      <c r="B32" s="303">
        <v>0</v>
      </c>
      <c r="C32" s="303">
        <v>0</v>
      </c>
      <c r="D32" s="303">
        <v>0</v>
      </c>
      <c r="E32" s="303">
        <v>0</v>
      </c>
      <c r="F32" s="303">
        <v>0</v>
      </c>
      <c r="G32" s="303">
        <v>0</v>
      </c>
      <c r="H32" s="303">
        <v>-50011.9</v>
      </c>
      <c r="I32" s="303">
        <f>SUM(B32:H32)</f>
        <v>-50011.9</v>
      </c>
    </row>
    <row r="33" spans="1:10">
      <c r="A33" s="8" t="s">
        <v>39</v>
      </c>
      <c r="B33" s="303">
        <v>0</v>
      </c>
      <c r="C33" s="303">
        <v>0</v>
      </c>
      <c r="D33" s="303">
        <v>0</v>
      </c>
      <c r="E33" s="303">
        <v>0</v>
      </c>
      <c r="F33" s="303">
        <v>0</v>
      </c>
      <c r="G33" s="303">
        <v>0</v>
      </c>
      <c r="H33" s="303">
        <v>-2302.4</v>
      </c>
      <c r="I33" s="303">
        <f>SUM(B33:H33)</f>
        <v>-2302.4</v>
      </c>
    </row>
    <row r="34" spans="1:10">
      <c r="A34" s="8" t="s">
        <v>40</v>
      </c>
      <c r="B34" s="303">
        <v>0</v>
      </c>
      <c r="C34" s="303">
        <v>0</v>
      </c>
      <c r="D34" s="303">
        <v>0</v>
      </c>
      <c r="E34" s="303">
        <v>0</v>
      </c>
      <c r="F34" s="303">
        <v>0</v>
      </c>
      <c r="G34" s="303">
        <v>0</v>
      </c>
      <c r="H34" s="303">
        <v>-1264.0999999999999</v>
      </c>
      <c r="I34" s="303">
        <f>SUM(B34:H34)</f>
        <v>-1264.0999999999999</v>
      </c>
    </row>
    <row r="35" spans="1:10" ht="10.5">
      <c r="A35" s="312" t="s">
        <v>41</v>
      </c>
      <c r="B35" s="313">
        <f t="shared" ref="B35:I35" si="5">SUM(B32:B34)</f>
        <v>0</v>
      </c>
      <c r="C35" s="313">
        <f t="shared" si="5"/>
        <v>0</v>
      </c>
      <c r="D35" s="313">
        <f t="shared" si="5"/>
        <v>0</v>
      </c>
      <c r="E35" s="313">
        <f t="shared" si="5"/>
        <v>0</v>
      </c>
      <c r="F35" s="313">
        <f t="shared" si="5"/>
        <v>0</v>
      </c>
      <c r="G35" s="313">
        <f t="shared" si="5"/>
        <v>0</v>
      </c>
      <c r="H35" s="313">
        <f t="shared" si="5"/>
        <v>-53578.400000000001</v>
      </c>
      <c r="I35" s="313">
        <f t="shared" si="5"/>
        <v>-53578.400000000001</v>
      </c>
    </row>
    <row r="36" spans="1:10" ht="10.5">
      <c r="A36" s="311" t="s">
        <v>42</v>
      </c>
      <c r="B36" s="309"/>
      <c r="C36" s="309"/>
      <c r="D36" s="309"/>
      <c r="E36" s="309"/>
      <c r="F36" s="309"/>
      <c r="G36" s="309"/>
      <c r="H36" s="309"/>
      <c r="I36" s="309"/>
    </row>
    <row r="37" spans="1:10">
      <c r="A37" s="8" t="s">
        <v>43</v>
      </c>
      <c r="B37" s="303">
        <v>0</v>
      </c>
      <c r="C37" s="303">
        <v>0</v>
      </c>
      <c r="D37" s="303">
        <v>0</v>
      </c>
      <c r="E37" s="303">
        <v>0</v>
      </c>
      <c r="F37" s="303">
        <v>0</v>
      </c>
      <c r="G37" s="303">
        <v>0</v>
      </c>
      <c r="H37" s="303">
        <v>-20104.84</v>
      </c>
      <c r="I37" s="303">
        <f>SUM(B37:H37)</f>
        <v>-20104.84</v>
      </c>
    </row>
    <row r="38" spans="1:10" ht="10.5">
      <c r="A38" s="312" t="s">
        <v>44</v>
      </c>
      <c r="B38" s="313">
        <f t="shared" ref="B38:I38" si="6">SUM(B37)</f>
        <v>0</v>
      </c>
      <c r="C38" s="313">
        <f t="shared" si="6"/>
        <v>0</v>
      </c>
      <c r="D38" s="313">
        <f t="shared" si="6"/>
        <v>0</v>
      </c>
      <c r="E38" s="313">
        <f t="shared" si="6"/>
        <v>0</v>
      </c>
      <c r="F38" s="313">
        <f t="shared" si="6"/>
        <v>0</v>
      </c>
      <c r="G38" s="313">
        <f t="shared" si="6"/>
        <v>0</v>
      </c>
      <c r="H38" s="313">
        <f t="shared" si="6"/>
        <v>-20104.84</v>
      </c>
      <c r="I38" s="313">
        <f t="shared" si="6"/>
        <v>-20104.84</v>
      </c>
    </row>
    <row r="39" spans="1:10" ht="10.5">
      <c r="A39" s="311" t="s">
        <v>45</v>
      </c>
      <c r="B39" s="309"/>
      <c r="C39" s="309"/>
      <c r="D39" s="309"/>
      <c r="E39" s="309"/>
      <c r="F39" s="309"/>
      <c r="G39" s="309"/>
      <c r="H39" s="309"/>
      <c r="I39" s="309"/>
    </row>
    <row r="40" spans="1:10">
      <c r="A40" s="8" t="s">
        <v>46</v>
      </c>
      <c r="B40" s="303">
        <v>0</v>
      </c>
      <c r="C40" s="303">
        <v>0</v>
      </c>
      <c r="D40" s="303">
        <v>0</v>
      </c>
      <c r="E40" s="303">
        <v>0</v>
      </c>
      <c r="F40" s="303">
        <v>0</v>
      </c>
      <c r="G40" s="303">
        <v>-214611.22</v>
      </c>
      <c r="H40" s="303">
        <v>0</v>
      </c>
      <c r="I40" s="303">
        <f>SUM(B40:H40)</f>
        <v>-214611.22</v>
      </c>
    </row>
    <row r="41" spans="1:10">
      <c r="A41" s="8" t="s">
        <v>47</v>
      </c>
      <c r="B41" s="303">
        <v>0</v>
      </c>
      <c r="C41" s="303">
        <v>0</v>
      </c>
      <c r="D41" s="303">
        <v>0</v>
      </c>
      <c r="E41" s="303">
        <v>0</v>
      </c>
      <c r="F41" s="303">
        <v>0</v>
      </c>
      <c r="G41" s="303">
        <v>-61140.65</v>
      </c>
      <c r="H41" s="303">
        <v>0</v>
      </c>
      <c r="I41" s="303">
        <f>SUM(B41:H41)</f>
        <v>-61140.65</v>
      </c>
    </row>
    <row r="42" spans="1:10" ht="10.5">
      <c r="A42" s="312" t="s">
        <v>48</v>
      </c>
      <c r="B42" s="313">
        <f t="shared" ref="B42:I42" si="7">SUM(B40:B41)</f>
        <v>0</v>
      </c>
      <c r="C42" s="313">
        <f t="shared" si="7"/>
        <v>0</v>
      </c>
      <c r="D42" s="313">
        <f t="shared" si="7"/>
        <v>0</v>
      </c>
      <c r="E42" s="313">
        <f t="shared" si="7"/>
        <v>0</v>
      </c>
      <c r="F42" s="313">
        <f t="shared" si="7"/>
        <v>0</v>
      </c>
      <c r="G42" s="313">
        <f t="shared" si="7"/>
        <v>-275751.87</v>
      </c>
      <c r="H42" s="313">
        <f t="shared" si="7"/>
        <v>0</v>
      </c>
      <c r="I42" s="313">
        <f t="shared" si="7"/>
        <v>-275751.87</v>
      </c>
    </row>
    <row r="43" spans="1:10" ht="10.5">
      <c r="A43" s="311" t="s">
        <v>49</v>
      </c>
      <c r="B43" s="309"/>
      <c r="C43" s="309"/>
      <c r="D43" s="309"/>
      <c r="E43" s="309"/>
      <c r="F43" s="309"/>
      <c r="G43" s="309"/>
      <c r="H43" s="309"/>
      <c r="I43" s="309"/>
    </row>
    <row r="44" spans="1:10">
      <c r="A44" s="8" t="s">
        <v>50</v>
      </c>
      <c r="B44" s="303">
        <v>0</v>
      </c>
      <c r="C44" s="303">
        <v>0</v>
      </c>
      <c r="D44" s="303">
        <v>0</v>
      </c>
      <c r="E44" s="303">
        <v>0</v>
      </c>
      <c r="F44" s="303">
        <v>0</v>
      </c>
      <c r="G44" s="303">
        <v>-158687.56</v>
      </c>
      <c r="H44" s="303">
        <v>0</v>
      </c>
      <c r="I44" s="303">
        <f>SUM(B44:H44)</f>
        <v>-158687.56</v>
      </c>
    </row>
    <row r="45" spans="1:10" ht="10.5">
      <c r="A45" s="312" t="s">
        <v>51</v>
      </c>
      <c r="B45" s="313">
        <f t="shared" ref="B45:I45" si="8">SUM(B44)</f>
        <v>0</v>
      </c>
      <c r="C45" s="313">
        <f t="shared" si="8"/>
        <v>0</v>
      </c>
      <c r="D45" s="313">
        <f t="shared" si="8"/>
        <v>0</v>
      </c>
      <c r="E45" s="313">
        <f t="shared" si="8"/>
        <v>0</v>
      </c>
      <c r="F45" s="313">
        <f t="shared" si="8"/>
        <v>0</v>
      </c>
      <c r="G45" s="313">
        <f t="shared" si="8"/>
        <v>-158687.56</v>
      </c>
      <c r="H45" s="313">
        <f t="shared" si="8"/>
        <v>0</v>
      </c>
      <c r="I45" s="313">
        <f t="shared" si="8"/>
        <v>-158687.56</v>
      </c>
    </row>
    <row r="46" spans="1:10">
      <c r="A46" s="6" t="s">
        <v>52</v>
      </c>
      <c r="B46" s="303">
        <v>0</v>
      </c>
      <c r="C46" s="303">
        <v>0</v>
      </c>
      <c r="D46" s="303">
        <v>0</v>
      </c>
      <c r="E46" s="303">
        <v>0</v>
      </c>
      <c r="F46" s="303">
        <v>0</v>
      </c>
      <c r="G46" s="303">
        <v>-3670.95</v>
      </c>
      <c r="H46" s="303">
        <v>-14373.13</v>
      </c>
      <c r="I46" s="303">
        <f>SUM(B46:H46)</f>
        <v>-18044.079999999998</v>
      </c>
    </row>
    <row r="47" spans="1:10" ht="10.5">
      <c r="A47" s="314" t="s">
        <v>53</v>
      </c>
      <c r="B47" s="313">
        <f t="shared" ref="B47:I47" si="9">SUM(B30,B35,B38,B42,B45:B46)</f>
        <v>0</v>
      </c>
      <c r="C47" s="313">
        <f t="shared" si="9"/>
        <v>0</v>
      </c>
      <c r="D47" s="313">
        <f t="shared" si="9"/>
        <v>0</v>
      </c>
      <c r="E47" s="313">
        <f t="shared" si="9"/>
        <v>0</v>
      </c>
      <c r="F47" s="313">
        <f t="shared" si="9"/>
        <v>6549.24</v>
      </c>
      <c r="G47" s="313">
        <f t="shared" si="9"/>
        <v>-854793.02</v>
      </c>
      <c r="H47" s="313">
        <f t="shared" si="9"/>
        <v>-281549.02</v>
      </c>
      <c r="I47" s="313">
        <f t="shared" si="9"/>
        <v>-1129792.8</v>
      </c>
      <c r="J47">
        <v>2.2000000000000002</v>
      </c>
    </row>
    <row r="48" spans="1:10" ht="10.5">
      <c r="A48" s="310" t="s">
        <v>54</v>
      </c>
      <c r="B48" s="309"/>
      <c r="C48" s="309"/>
      <c r="D48" s="309"/>
      <c r="E48" s="309"/>
      <c r="F48" s="309"/>
      <c r="G48" s="309"/>
      <c r="H48" s="309"/>
      <c r="I48" s="309"/>
    </row>
    <row r="49" spans="1:10">
      <c r="A49" s="6" t="s">
        <v>55</v>
      </c>
      <c r="B49" s="303">
        <v>0</v>
      </c>
      <c r="C49" s="303">
        <v>0</v>
      </c>
      <c r="D49" s="303">
        <v>0</v>
      </c>
      <c r="E49" s="303">
        <v>0</v>
      </c>
      <c r="F49" s="303">
        <v>-4636.16</v>
      </c>
      <c r="G49" s="303">
        <v>0</v>
      </c>
      <c r="H49" s="303">
        <v>0</v>
      </c>
      <c r="I49" s="303">
        <f>SUM(B49:H49)</f>
        <v>-4636.16</v>
      </c>
    </row>
    <row r="50" spans="1:10">
      <c r="A50" s="6" t="s">
        <v>56</v>
      </c>
      <c r="B50" s="303">
        <v>0</v>
      </c>
      <c r="C50" s="303">
        <v>0</v>
      </c>
      <c r="D50" s="303">
        <v>0</v>
      </c>
      <c r="E50" s="303">
        <v>0</v>
      </c>
      <c r="F50" s="303">
        <v>-2140.2199999999998</v>
      </c>
      <c r="G50" s="303">
        <v>0</v>
      </c>
      <c r="H50" s="303">
        <v>0</v>
      </c>
      <c r="I50" s="303">
        <f>SUM(B50:H50)</f>
        <v>-2140.2199999999998</v>
      </c>
    </row>
    <row r="51" spans="1:10" ht="10.5">
      <c r="A51" s="314" t="s">
        <v>57</v>
      </c>
      <c r="B51" s="313">
        <f t="shared" ref="B51:I51" si="10">SUM(B49:B50)</f>
        <v>0</v>
      </c>
      <c r="C51" s="313">
        <f t="shared" si="10"/>
        <v>0</v>
      </c>
      <c r="D51" s="313">
        <f t="shared" si="10"/>
        <v>0</v>
      </c>
      <c r="E51" s="313">
        <f t="shared" si="10"/>
        <v>0</v>
      </c>
      <c r="F51" s="313">
        <f t="shared" si="10"/>
        <v>-6776.3799999999992</v>
      </c>
      <c r="G51" s="313">
        <f t="shared" si="10"/>
        <v>0</v>
      </c>
      <c r="H51" s="313">
        <f t="shared" si="10"/>
        <v>0</v>
      </c>
      <c r="I51" s="313">
        <f t="shared" si="10"/>
        <v>-6776.3799999999992</v>
      </c>
      <c r="J51">
        <v>2.2000000000000002</v>
      </c>
    </row>
    <row r="52" spans="1:10" ht="10.5">
      <c r="A52" s="310" t="s">
        <v>58</v>
      </c>
      <c r="B52" s="309"/>
      <c r="C52" s="309"/>
      <c r="D52" s="309"/>
      <c r="E52" s="309"/>
      <c r="F52" s="309"/>
      <c r="G52" s="309"/>
      <c r="H52" s="309"/>
      <c r="I52" s="309"/>
    </row>
    <row r="53" spans="1:10">
      <c r="A53" s="6" t="s">
        <v>59</v>
      </c>
      <c r="B53" s="303">
        <v>0</v>
      </c>
      <c r="C53" s="303">
        <v>0</v>
      </c>
      <c r="D53" s="303">
        <v>0</v>
      </c>
      <c r="E53" s="303">
        <v>0</v>
      </c>
      <c r="F53" s="303">
        <v>-890.16</v>
      </c>
      <c r="G53" s="303">
        <v>0</v>
      </c>
      <c r="H53" s="303">
        <v>-196.98</v>
      </c>
      <c r="I53" s="303">
        <f>SUM(B53:H53)</f>
        <v>-1087.1399999999999</v>
      </c>
    </row>
    <row r="54" spans="1:10">
      <c r="A54" s="6" t="s">
        <v>60</v>
      </c>
      <c r="B54" s="303">
        <v>0</v>
      </c>
      <c r="C54" s="303">
        <v>0</v>
      </c>
      <c r="D54" s="303">
        <v>0</v>
      </c>
      <c r="E54" s="303">
        <v>0</v>
      </c>
      <c r="F54" s="303">
        <v>-101.09</v>
      </c>
      <c r="G54" s="303">
        <v>0</v>
      </c>
      <c r="H54" s="303">
        <v>-90.92</v>
      </c>
      <c r="I54" s="303">
        <f>SUM(B54:H54)</f>
        <v>-192.01</v>
      </c>
    </row>
    <row r="55" spans="1:10">
      <c r="A55" s="6" t="s">
        <v>61</v>
      </c>
      <c r="B55" s="303">
        <v>0</v>
      </c>
      <c r="C55" s="303">
        <v>0</v>
      </c>
      <c r="D55" s="303">
        <v>0</v>
      </c>
      <c r="E55" s="303">
        <v>0</v>
      </c>
      <c r="F55" s="303">
        <v>-175.57</v>
      </c>
      <c r="G55" s="303">
        <v>0</v>
      </c>
      <c r="H55" s="303">
        <v>0</v>
      </c>
      <c r="I55" s="303">
        <f>SUM(B55:H55)</f>
        <v>-175.57</v>
      </c>
    </row>
    <row r="56" spans="1:10" ht="10.5">
      <c r="A56" s="314" t="s">
        <v>62</v>
      </c>
      <c r="B56" s="313">
        <f t="shared" ref="B56:I56" si="11">SUM(B53:B55)</f>
        <v>0</v>
      </c>
      <c r="C56" s="313">
        <f t="shared" si="11"/>
        <v>0</v>
      </c>
      <c r="D56" s="313">
        <f t="shared" si="11"/>
        <v>0</v>
      </c>
      <c r="E56" s="313">
        <f t="shared" si="11"/>
        <v>0</v>
      </c>
      <c r="F56" s="313">
        <f t="shared" si="11"/>
        <v>-1166.82</v>
      </c>
      <c r="G56" s="313">
        <f t="shared" si="11"/>
        <v>0</v>
      </c>
      <c r="H56" s="313">
        <f t="shared" si="11"/>
        <v>-287.89999999999998</v>
      </c>
      <c r="I56" s="313">
        <f t="shared" si="11"/>
        <v>-1454.7199999999998</v>
      </c>
      <c r="J56">
        <v>2.2000000000000002</v>
      </c>
    </row>
    <row r="57" spans="1:10" ht="10.5">
      <c r="A57" s="310" t="s">
        <v>63</v>
      </c>
      <c r="B57" s="309"/>
      <c r="C57" s="309"/>
      <c r="D57" s="309"/>
      <c r="E57" s="309"/>
      <c r="F57" s="309"/>
      <c r="G57" s="309"/>
      <c r="H57" s="309"/>
      <c r="I57" s="309"/>
    </row>
    <row r="58" spans="1:10" ht="10.5">
      <c r="A58" s="311" t="s">
        <v>64</v>
      </c>
      <c r="B58" s="309"/>
      <c r="C58" s="309"/>
      <c r="D58" s="309"/>
      <c r="E58" s="309"/>
      <c r="F58" s="309"/>
      <c r="G58" s="309"/>
      <c r="H58" s="309"/>
      <c r="I58" s="309"/>
    </row>
    <row r="59" spans="1:10">
      <c r="A59" s="8" t="s">
        <v>65</v>
      </c>
      <c r="B59" s="303">
        <v>0</v>
      </c>
      <c r="C59" s="303">
        <v>0</v>
      </c>
      <c r="D59" s="303">
        <v>0</v>
      </c>
      <c r="E59" s="303">
        <v>0</v>
      </c>
      <c r="F59" s="303">
        <v>-1366.07</v>
      </c>
      <c r="G59" s="303">
        <v>0</v>
      </c>
      <c r="H59" s="303">
        <v>0</v>
      </c>
      <c r="I59" s="303">
        <f>SUM(B59:H59)</f>
        <v>-1366.07</v>
      </c>
    </row>
    <row r="60" spans="1:10" ht="10.5">
      <c r="A60" s="312" t="s">
        <v>66</v>
      </c>
      <c r="B60" s="313">
        <f t="shared" ref="B60:I60" si="12">SUM(B59)</f>
        <v>0</v>
      </c>
      <c r="C60" s="313">
        <f t="shared" si="12"/>
        <v>0</v>
      </c>
      <c r="D60" s="313">
        <f t="shared" si="12"/>
        <v>0</v>
      </c>
      <c r="E60" s="313">
        <f t="shared" si="12"/>
        <v>0</v>
      </c>
      <c r="F60" s="313">
        <f t="shared" si="12"/>
        <v>-1366.07</v>
      </c>
      <c r="G60" s="313">
        <f t="shared" si="12"/>
        <v>0</v>
      </c>
      <c r="H60" s="313">
        <f t="shared" si="12"/>
        <v>0</v>
      </c>
      <c r="I60" s="313">
        <f t="shared" si="12"/>
        <v>-1366.07</v>
      </c>
      <c r="J60">
        <v>2.2000000000000002</v>
      </c>
    </row>
    <row r="61" spans="1:10" ht="10.5">
      <c r="A61" s="311" t="s">
        <v>67</v>
      </c>
      <c r="B61" s="309"/>
      <c r="C61" s="309"/>
      <c r="D61" s="309"/>
      <c r="E61" s="309"/>
      <c r="F61" s="309"/>
      <c r="G61" s="309"/>
      <c r="H61" s="309"/>
      <c r="I61" s="309"/>
    </row>
    <row r="62" spans="1:10">
      <c r="A62" s="8" t="s">
        <v>68</v>
      </c>
      <c r="B62" s="303">
        <v>0</v>
      </c>
      <c r="C62" s="303">
        <v>0</v>
      </c>
      <c r="D62" s="303">
        <v>0</v>
      </c>
      <c r="E62" s="303">
        <v>0</v>
      </c>
      <c r="F62" s="303">
        <v>-2347.64</v>
      </c>
      <c r="G62" s="303">
        <v>0</v>
      </c>
      <c r="H62" s="303">
        <v>-1753.98</v>
      </c>
      <c r="I62" s="303">
        <f>SUM(B62:H62)</f>
        <v>-4101.62</v>
      </c>
    </row>
    <row r="63" spans="1:10">
      <c r="A63" s="8" t="s">
        <v>69</v>
      </c>
      <c r="B63" s="303">
        <v>0</v>
      </c>
      <c r="C63" s="303">
        <v>0</v>
      </c>
      <c r="D63" s="303">
        <v>0</v>
      </c>
      <c r="E63" s="303">
        <v>0</v>
      </c>
      <c r="F63" s="303">
        <v>-2336.8000000000002</v>
      </c>
      <c r="G63" s="303">
        <v>0</v>
      </c>
      <c r="H63" s="303">
        <v>-364.94</v>
      </c>
      <c r="I63" s="303">
        <f>SUM(B63:H63)</f>
        <v>-2701.7400000000002</v>
      </c>
    </row>
    <row r="64" spans="1:10" ht="10.5">
      <c r="A64" s="312" t="s">
        <v>70</v>
      </c>
      <c r="B64" s="313">
        <f t="shared" ref="B64:I64" si="13">SUM(B62:B63)</f>
        <v>0</v>
      </c>
      <c r="C64" s="313">
        <f t="shared" si="13"/>
        <v>0</v>
      </c>
      <c r="D64" s="313">
        <f t="shared" si="13"/>
        <v>0</v>
      </c>
      <c r="E64" s="313">
        <f t="shared" si="13"/>
        <v>0</v>
      </c>
      <c r="F64" s="313">
        <f t="shared" si="13"/>
        <v>-4684.4400000000005</v>
      </c>
      <c r="G64" s="313">
        <f t="shared" si="13"/>
        <v>0</v>
      </c>
      <c r="H64" s="313">
        <f t="shared" si="13"/>
        <v>-2118.92</v>
      </c>
      <c r="I64" s="313">
        <f t="shared" si="13"/>
        <v>-6803.3600000000006</v>
      </c>
      <c r="J64">
        <v>2.2000000000000002</v>
      </c>
    </row>
    <row r="65" spans="1:10" ht="10.5">
      <c r="A65" s="311" t="s">
        <v>71</v>
      </c>
      <c r="B65" s="309"/>
      <c r="C65" s="309"/>
      <c r="D65" s="309"/>
      <c r="E65" s="309"/>
      <c r="F65" s="309"/>
      <c r="G65" s="309"/>
      <c r="H65" s="309"/>
      <c r="I65" s="309"/>
    </row>
    <row r="66" spans="1:10">
      <c r="A66" s="8" t="s">
        <v>72</v>
      </c>
      <c r="B66" s="303">
        <v>0</v>
      </c>
      <c r="C66" s="303">
        <v>0</v>
      </c>
      <c r="D66" s="303">
        <v>0</v>
      </c>
      <c r="E66" s="303">
        <v>0</v>
      </c>
      <c r="F66" s="303">
        <v>-58590.89</v>
      </c>
      <c r="G66" s="303">
        <v>0</v>
      </c>
      <c r="H66" s="303">
        <v>-23307.54</v>
      </c>
      <c r="I66" s="303">
        <f>SUM(B66:H66)</f>
        <v>-81898.429999999993</v>
      </c>
    </row>
    <row r="67" spans="1:10" ht="10.5">
      <c r="A67" s="312" t="s">
        <v>73</v>
      </c>
      <c r="B67" s="313">
        <f t="shared" ref="B67:I67" si="14">SUM(B66)</f>
        <v>0</v>
      </c>
      <c r="C67" s="313">
        <f t="shared" si="14"/>
        <v>0</v>
      </c>
      <c r="D67" s="313">
        <f t="shared" si="14"/>
        <v>0</v>
      </c>
      <c r="E67" s="313">
        <f t="shared" si="14"/>
        <v>0</v>
      </c>
      <c r="F67" s="313">
        <f t="shared" si="14"/>
        <v>-58590.89</v>
      </c>
      <c r="G67" s="313">
        <f t="shared" si="14"/>
        <v>0</v>
      </c>
      <c r="H67" s="313">
        <f t="shared" si="14"/>
        <v>-23307.54</v>
      </c>
      <c r="I67" s="313">
        <f t="shared" si="14"/>
        <v>-81898.429999999993</v>
      </c>
      <c r="J67">
        <v>2.2000000000000002</v>
      </c>
    </row>
    <row r="68" spans="1:10" ht="10.5">
      <c r="A68" s="311" t="s">
        <v>74</v>
      </c>
      <c r="B68" s="309"/>
      <c r="C68" s="309"/>
      <c r="D68" s="309"/>
      <c r="E68" s="309"/>
      <c r="F68" s="309"/>
      <c r="G68" s="309"/>
      <c r="H68" s="309"/>
      <c r="I68" s="309"/>
    </row>
    <row r="69" spans="1:10">
      <c r="A69" s="8" t="s">
        <v>75</v>
      </c>
      <c r="B69" s="303">
        <v>0</v>
      </c>
      <c r="C69" s="303">
        <v>0</v>
      </c>
      <c r="D69" s="303">
        <v>0</v>
      </c>
      <c r="E69" s="303">
        <v>0</v>
      </c>
      <c r="F69" s="303">
        <v>-356.44</v>
      </c>
      <c r="G69" s="303">
        <v>0</v>
      </c>
      <c r="H69" s="303">
        <v>-12.28</v>
      </c>
      <c r="I69" s="303">
        <f>SUM(B69:H69)</f>
        <v>-368.71999999999997</v>
      </c>
    </row>
    <row r="70" spans="1:10">
      <c r="A70" s="8" t="s">
        <v>76</v>
      </c>
      <c r="B70" s="303">
        <v>0</v>
      </c>
      <c r="C70" s="303">
        <v>0</v>
      </c>
      <c r="D70" s="303">
        <v>0</v>
      </c>
      <c r="E70" s="303">
        <v>0</v>
      </c>
      <c r="F70" s="303">
        <v>-960.32</v>
      </c>
      <c r="G70" s="303">
        <v>0</v>
      </c>
      <c r="H70" s="303">
        <v>-503.58</v>
      </c>
      <c r="I70" s="303">
        <f>SUM(B70:H70)</f>
        <v>-1463.9</v>
      </c>
    </row>
    <row r="71" spans="1:10">
      <c r="A71" s="8" t="s">
        <v>77</v>
      </c>
      <c r="B71" s="303">
        <v>0</v>
      </c>
      <c r="C71" s="303">
        <v>0</v>
      </c>
      <c r="D71" s="303">
        <v>0</v>
      </c>
      <c r="E71" s="303">
        <v>0</v>
      </c>
      <c r="F71" s="303">
        <v>-82.7</v>
      </c>
      <c r="G71" s="303">
        <v>0</v>
      </c>
      <c r="H71" s="303">
        <v>-1096.56</v>
      </c>
      <c r="I71" s="303">
        <f>SUM(B71:H71)</f>
        <v>-1179.26</v>
      </c>
    </row>
    <row r="72" spans="1:10" ht="10.5">
      <c r="A72" s="312" t="s">
        <v>78</v>
      </c>
      <c r="B72" s="313">
        <f t="shared" ref="B72:I72" si="15">SUM(B69:B71)</f>
        <v>0</v>
      </c>
      <c r="C72" s="313">
        <f t="shared" si="15"/>
        <v>0</v>
      </c>
      <c r="D72" s="313">
        <f t="shared" si="15"/>
        <v>0</v>
      </c>
      <c r="E72" s="313">
        <f t="shared" si="15"/>
        <v>0</v>
      </c>
      <c r="F72" s="313">
        <f t="shared" si="15"/>
        <v>-1399.46</v>
      </c>
      <c r="G72" s="313">
        <f t="shared" si="15"/>
        <v>0</v>
      </c>
      <c r="H72" s="313">
        <f t="shared" si="15"/>
        <v>-1612.42</v>
      </c>
      <c r="I72" s="313">
        <f t="shared" si="15"/>
        <v>-3011.88</v>
      </c>
      <c r="J72">
        <v>2.2000000000000002</v>
      </c>
    </row>
    <row r="73" spans="1:10" ht="10.5">
      <c r="A73" s="314" t="s">
        <v>79</v>
      </c>
      <c r="B73" s="313">
        <f t="shared" ref="B73:I73" si="16">SUM(B60,B64,B67,B72)</f>
        <v>0</v>
      </c>
      <c r="C73" s="313">
        <f t="shared" si="16"/>
        <v>0</v>
      </c>
      <c r="D73" s="313">
        <f t="shared" si="16"/>
        <v>0</v>
      </c>
      <c r="E73" s="313">
        <f t="shared" si="16"/>
        <v>0</v>
      </c>
      <c r="F73" s="313">
        <f t="shared" si="16"/>
        <v>-66040.86</v>
      </c>
      <c r="G73" s="313">
        <f t="shared" si="16"/>
        <v>0</v>
      </c>
      <c r="H73" s="313">
        <f t="shared" si="16"/>
        <v>-27038.879999999997</v>
      </c>
      <c r="I73" s="313">
        <f t="shared" si="16"/>
        <v>-93079.739999999991</v>
      </c>
    </row>
    <row r="74" spans="1:10" ht="10.5">
      <c r="A74" s="310" t="s">
        <v>80</v>
      </c>
      <c r="B74" s="309"/>
      <c r="C74" s="309"/>
      <c r="D74" s="309"/>
      <c r="E74" s="309"/>
      <c r="F74" s="309"/>
      <c r="G74" s="309"/>
      <c r="H74" s="309"/>
      <c r="I74" s="309"/>
    </row>
    <row r="75" spans="1:10">
      <c r="A75" s="6" t="s">
        <v>81</v>
      </c>
      <c r="B75" s="303">
        <v>0</v>
      </c>
      <c r="C75" s="303">
        <v>0</v>
      </c>
      <c r="D75" s="303">
        <v>0</v>
      </c>
      <c r="E75" s="303">
        <v>0</v>
      </c>
      <c r="F75" s="303">
        <v>-590.85</v>
      </c>
      <c r="G75" s="303">
        <v>0</v>
      </c>
      <c r="H75" s="303">
        <v>0</v>
      </c>
      <c r="I75" s="303">
        <f>SUM(B75:H75)</f>
        <v>-590.85</v>
      </c>
    </row>
    <row r="76" spans="1:10" ht="10.5">
      <c r="A76" s="314" t="s">
        <v>82</v>
      </c>
      <c r="B76" s="313">
        <f t="shared" ref="B76:I76" si="17">SUM(B75)</f>
        <v>0</v>
      </c>
      <c r="C76" s="313">
        <f t="shared" si="17"/>
        <v>0</v>
      </c>
      <c r="D76" s="313">
        <f t="shared" si="17"/>
        <v>0</v>
      </c>
      <c r="E76" s="313">
        <f t="shared" si="17"/>
        <v>0</v>
      </c>
      <c r="F76" s="313">
        <f t="shared" si="17"/>
        <v>-590.85</v>
      </c>
      <c r="G76" s="313">
        <f t="shared" si="17"/>
        <v>0</v>
      </c>
      <c r="H76" s="313">
        <f t="shared" si="17"/>
        <v>0</v>
      </c>
      <c r="I76" s="313">
        <f t="shared" si="17"/>
        <v>-590.85</v>
      </c>
      <c r="J76">
        <v>2.2000000000000002</v>
      </c>
    </row>
    <row r="77" spans="1:10" ht="10.5">
      <c r="A77" s="310" t="s">
        <v>83</v>
      </c>
      <c r="B77" s="309"/>
      <c r="C77" s="309"/>
      <c r="D77" s="309"/>
      <c r="E77" s="309"/>
      <c r="F77" s="309"/>
      <c r="G77" s="309"/>
      <c r="H77" s="309"/>
      <c r="I77" s="309"/>
    </row>
    <row r="78" spans="1:10">
      <c r="A78" s="6" t="s">
        <v>84</v>
      </c>
      <c r="B78" s="303">
        <v>0</v>
      </c>
      <c r="C78" s="303">
        <v>0</v>
      </c>
      <c r="D78" s="303">
        <v>0</v>
      </c>
      <c r="E78" s="303">
        <v>0</v>
      </c>
      <c r="F78" s="303">
        <v>0</v>
      </c>
      <c r="G78" s="303">
        <v>0</v>
      </c>
      <c r="H78" s="303">
        <v>-2437.14</v>
      </c>
      <c r="I78" s="303">
        <f>SUM(B78:H78)</f>
        <v>-2437.14</v>
      </c>
    </row>
    <row r="79" spans="1:10" ht="10.5">
      <c r="A79" s="314" t="s">
        <v>85</v>
      </c>
      <c r="B79" s="313">
        <f t="shared" ref="B79:I79" si="18">SUM(B78)</f>
        <v>0</v>
      </c>
      <c r="C79" s="313">
        <f t="shared" si="18"/>
        <v>0</v>
      </c>
      <c r="D79" s="313">
        <f t="shared" si="18"/>
        <v>0</v>
      </c>
      <c r="E79" s="313">
        <f t="shared" si="18"/>
        <v>0</v>
      </c>
      <c r="F79" s="313">
        <f t="shared" si="18"/>
        <v>0</v>
      </c>
      <c r="G79" s="313">
        <f t="shared" si="18"/>
        <v>0</v>
      </c>
      <c r="H79" s="313">
        <f t="shared" si="18"/>
        <v>-2437.14</v>
      </c>
      <c r="I79" s="313">
        <f t="shared" si="18"/>
        <v>-2437.14</v>
      </c>
      <c r="J79">
        <v>2.2000000000000002</v>
      </c>
    </row>
    <row r="80" spans="1:10" ht="10.5">
      <c r="A80" s="310" t="s">
        <v>86</v>
      </c>
      <c r="B80" s="309"/>
      <c r="C80" s="309"/>
      <c r="D80" s="309"/>
      <c r="E80" s="309"/>
      <c r="F80" s="309"/>
      <c r="G80" s="309"/>
      <c r="H80" s="309"/>
      <c r="I80" s="309"/>
    </row>
    <row r="81" spans="1:10" ht="10.5">
      <c r="A81" s="311" t="s">
        <v>87</v>
      </c>
      <c r="B81" s="309"/>
      <c r="C81" s="309"/>
      <c r="D81" s="309"/>
      <c r="E81" s="309"/>
      <c r="F81" s="309"/>
      <c r="G81" s="309"/>
      <c r="H81" s="309"/>
      <c r="I81" s="309"/>
    </row>
    <row r="82" spans="1:10">
      <c r="A82" s="8" t="s">
        <v>88</v>
      </c>
      <c r="B82" s="303">
        <v>0</v>
      </c>
      <c r="C82" s="303">
        <v>0</v>
      </c>
      <c r="D82" s="303">
        <v>0</v>
      </c>
      <c r="E82" s="303">
        <v>0</v>
      </c>
      <c r="F82" s="303">
        <v>-53.42</v>
      </c>
      <c r="G82" s="303">
        <v>0</v>
      </c>
      <c r="H82" s="303">
        <v>0</v>
      </c>
      <c r="I82" s="303">
        <f>SUM(B82:H82)</f>
        <v>-53.42</v>
      </c>
    </row>
    <row r="83" spans="1:10">
      <c r="A83" s="8" t="s">
        <v>89</v>
      </c>
      <c r="B83" s="303">
        <v>0</v>
      </c>
      <c r="C83" s="303">
        <v>0</v>
      </c>
      <c r="D83" s="303">
        <v>0</v>
      </c>
      <c r="E83" s="303">
        <v>0</v>
      </c>
      <c r="F83" s="303">
        <v>0</v>
      </c>
      <c r="G83" s="303">
        <v>0</v>
      </c>
      <c r="H83" s="303">
        <v>-1933</v>
      </c>
      <c r="I83" s="303">
        <f>SUM(B83:H83)</f>
        <v>-1933</v>
      </c>
    </row>
    <row r="84" spans="1:10">
      <c r="A84" s="8" t="s">
        <v>90</v>
      </c>
      <c r="B84" s="303">
        <v>0</v>
      </c>
      <c r="C84" s="303">
        <v>0</v>
      </c>
      <c r="D84" s="303">
        <v>0</v>
      </c>
      <c r="E84" s="303">
        <v>0</v>
      </c>
      <c r="F84" s="303">
        <v>-1008.94</v>
      </c>
      <c r="G84" s="303">
        <v>0</v>
      </c>
      <c r="H84" s="303">
        <v>-686.3</v>
      </c>
      <c r="I84" s="303">
        <f>SUM(B84:H84)</f>
        <v>-1695.24</v>
      </c>
    </row>
    <row r="85" spans="1:10" ht="10.5">
      <c r="A85" s="312" t="s">
        <v>91</v>
      </c>
      <c r="B85" s="313">
        <f t="shared" ref="B85:I85" si="19">SUM(B82:B84)</f>
        <v>0</v>
      </c>
      <c r="C85" s="313">
        <f t="shared" si="19"/>
        <v>0</v>
      </c>
      <c r="D85" s="313">
        <f t="shared" si="19"/>
        <v>0</v>
      </c>
      <c r="E85" s="313">
        <f t="shared" si="19"/>
        <v>0</v>
      </c>
      <c r="F85" s="313">
        <f t="shared" si="19"/>
        <v>-1062.3600000000001</v>
      </c>
      <c r="G85" s="313">
        <f t="shared" si="19"/>
        <v>0</v>
      </c>
      <c r="H85" s="313">
        <f t="shared" si="19"/>
        <v>-2619.3000000000002</v>
      </c>
      <c r="I85" s="313">
        <f t="shared" si="19"/>
        <v>-3681.66</v>
      </c>
      <c r="J85">
        <v>2.2000000000000002</v>
      </c>
    </row>
    <row r="86" spans="1:10" ht="10.5">
      <c r="A86" s="314" t="s">
        <v>92</v>
      </c>
      <c r="B86" s="313">
        <f t="shared" ref="B86:I86" si="20">SUM(B85)</f>
        <v>0</v>
      </c>
      <c r="C86" s="313">
        <f t="shared" si="20"/>
        <v>0</v>
      </c>
      <c r="D86" s="313">
        <f t="shared" si="20"/>
        <v>0</v>
      </c>
      <c r="E86" s="313">
        <f t="shared" si="20"/>
        <v>0</v>
      </c>
      <c r="F86" s="313">
        <f t="shared" si="20"/>
        <v>-1062.3600000000001</v>
      </c>
      <c r="G86" s="313">
        <f t="shared" si="20"/>
        <v>0</v>
      </c>
      <c r="H86" s="313">
        <f t="shared" si="20"/>
        <v>-2619.3000000000002</v>
      </c>
      <c r="I86" s="313">
        <f t="shared" si="20"/>
        <v>-3681.66</v>
      </c>
    </row>
    <row r="87" spans="1:10" ht="10.5">
      <c r="A87" s="310" t="s">
        <v>116</v>
      </c>
      <c r="B87" s="309"/>
      <c r="C87" s="309"/>
      <c r="D87" s="309"/>
      <c r="E87" s="309"/>
      <c r="F87" s="309"/>
      <c r="G87" s="309"/>
      <c r="H87" s="309"/>
      <c r="I87" s="309"/>
    </row>
    <row r="88" spans="1:10">
      <c r="A88" s="6" t="s">
        <v>117</v>
      </c>
      <c r="B88" s="303">
        <v>0</v>
      </c>
      <c r="C88" s="303">
        <v>0</v>
      </c>
      <c r="D88" s="303">
        <v>0</v>
      </c>
      <c r="E88" s="303">
        <v>0</v>
      </c>
      <c r="F88" s="303">
        <v>0</v>
      </c>
      <c r="G88" s="303">
        <v>-1450</v>
      </c>
      <c r="H88" s="303">
        <v>0</v>
      </c>
      <c r="I88" s="303">
        <f>SUM(B88:H88)</f>
        <v>-1450</v>
      </c>
    </row>
    <row r="89" spans="1:10" ht="10.5">
      <c r="A89" s="314" t="s">
        <v>118</v>
      </c>
      <c r="B89" s="313">
        <f t="shared" ref="B89:I89" si="21">SUM(B88)</f>
        <v>0</v>
      </c>
      <c r="C89" s="313">
        <f t="shared" si="21"/>
        <v>0</v>
      </c>
      <c r="D89" s="313">
        <f t="shared" si="21"/>
        <v>0</v>
      </c>
      <c r="E89" s="313">
        <f t="shared" si="21"/>
        <v>0</v>
      </c>
      <c r="F89" s="313">
        <f t="shared" si="21"/>
        <v>0</v>
      </c>
      <c r="G89" s="313">
        <f t="shared" si="21"/>
        <v>-1450</v>
      </c>
      <c r="H89" s="313">
        <f t="shared" si="21"/>
        <v>0</v>
      </c>
      <c r="I89" s="313">
        <f t="shared" si="21"/>
        <v>-1450</v>
      </c>
    </row>
    <row r="90" spans="1:10" ht="10.5">
      <c r="A90" s="315" t="s">
        <v>93</v>
      </c>
      <c r="B90" s="313">
        <f t="shared" ref="B90:I90" si="22">SUM(B47,B51,B56,B73,B76,B79,B86,B89)</f>
        <v>0</v>
      </c>
      <c r="C90" s="313">
        <f t="shared" si="22"/>
        <v>0</v>
      </c>
      <c r="D90" s="313">
        <f t="shared" si="22"/>
        <v>0</v>
      </c>
      <c r="E90" s="313">
        <f t="shared" si="22"/>
        <v>0</v>
      </c>
      <c r="F90" s="313">
        <f t="shared" si="22"/>
        <v>-69088.030000000013</v>
      </c>
      <c r="G90" s="313">
        <f t="shared" si="22"/>
        <v>-856243.02</v>
      </c>
      <c r="H90" s="313">
        <f t="shared" si="22"/>
        <v>-313932.24000000005</v>
      </c>
      <c r="I90" s="313">
        <f t="shared" si="22"/>
        <v>-1239263.2899999998</v>
      </c>
      <c r="J90">
        <v>2</v>
      </c>
    </row>
    <row r="91" spans="1:10" ht="10.5">
      <c r="A91" s="306" t="s">
        <v>94</v>
      </c>
      <c r="B91" s="307">
        <f t="shared" ref="B91:I91" si="23">B22+B90</f>
        <v>0</v>
      </c>
      <c r="C91" s="307">
        <f t="shared" si="23"/>
        <v>0</v>
      </c>
      <c r="D91" s="307">
        <f t="shared" si="23"/>
        <v>0</v>
      </c>
      <c r="E91" s="307">
        <f t="shared" si="23"/>
        <v>0</v>
      </c>
      <c r="F91" s="307">
        <f t="shared" si="23"/>
        <v>-69088.030000000013</v>
      </c>
      <c r="G91" s="307">
        <f t="shared" si="23"/>
        <v>5091097.5900000017</v>
      </c>
      <c r="H91" s="307">
        <f t="shared" si="23"/>
        <v>-313932.24000000005</v>
      </c>
      <c r="I91" s="307">
        <f t="shared" si="23"/>
        <v>4708077.3200000012</v>
      </c>
      <c r="J91">
        <v>3</v>
      </c>
    </row>
    <row r="92" spans="1:10" ht="10.5">
      <c r="A92" s="316" t="s">
        <v>95</v>
      </c>
      <c r="B92" s="317" t="e">
        <f t="shared" ref="B92:I92" si="24">B91/B14*100</f>
        <v>#DIV/0!</v>
      </c>
      <c r="C92" s="317" t="e">
        <f t="shared" si="24"/>
        <v>#DIV/0!</v>
      </c>
      <c r="D92" s="317" t="e">
        <f t="shared" si="24"/>
        <v>#DIV/0!</v>
      </c>
      <c r="E92" s="317" t="e">
        <f t="shared" si="24"/>
        <v>#DIV/0!</v>
      </c>
      <c r="F92" s="317" t="e">
        <f t="shared" si="24"/>
        <v>#DIV/0!</v>
      </c>
      <c r="G92" s="317">
        <f t="shared" si="24"/>
        <v>74.3230853656259</v>
      </c>
      <c r="H92" s="317" t="e">
        <f t="shared" si="24"/>
        <v>#DIV/0!</v>
      </c>
      <c r="I92" s="317">
        <f t="shared" si="24"/>
        <v>68.731511501496712</v>
      </c>
    </row>
    <row r="93" spans="1:10" ht="10.5">
      <c r="A93" s="308" t="s">
        <v>96</v>
      </c>
      <c r="B93" s="309"/>
      <c r="C93" s="309"/>
      <c r="D93" s="309"/>
      <c r="E93" s="309"/>
      <c r="F93" s="309"/>
      <c r="G93" s="309"/>
      <c r="H93" s="309"/>
      <c r="I93" s="309"/>
    </row>
    <row r="94" spans="1:10" ht="10.5">
      <c r="A94" s="310" t="s">
        <v>97</v>
      </c>
      <c r="B94" s="309"/>
      <c r="C94" s="309"/>
      <c r="D94" s="309"/>
      <c r="E94" s="309"/>
      <c r="F94" s="309"/>
      <c r="G94" s="309"/>
      <c r="H94" s="309"/>
      <c r="I94" s="309"/>
    </row>
    <row r="95" spans="1:10">
      <c r="A95" s="6" t="s">
        <v>759</v>
      </c>
      <c r="B95" s="303">
        <v>0</v>
      </c>
      <c r="C95" s="303">
        <v>0</v>
      </c>
      <c r="D95" s="303">
        <v>0</v>
      </c>
      <c r="E95" s="303">
        <v>0</v>
      </c>
      <c r="F95" s="303">
        <v>0</v>
      </c>
      <c r="G95" s="303">
        <v>-1721.06</v>
      </c>
      <c r="H95" s="303">
        <v>0</v>
      </c>
      <c r="I95" s="303">
        <f>SUM(B95:H95)</f>
        <v>-1721.06</v>
      </c>
    </row>
    <row r="96" spans="1:10" ht="10.5">
      <c r="A96" s="311" t="s">
        <v>86</v>
      </c>
      <c r="B96" s="309"/>
      <c r="C96" s="309"/>
      <c r="D96" s="309"/>
      <c r="E96" s="309"/>
      <c r="F96" s="309"/>
      <c r="G96" s="309"/>
      <c r="H96" s="309"/>
      <c r="I96" s="309"/>
    </row>
    <row r="97" spans="1:9">
      <c r="A97" s="8" t="s">
        <v>101</v>
      </c>
      <c r="B97" s="303">
        <v>0</v>
      </c>
      <c r="C97" s="303">
        <v>0</v>
      </c>
      <c r="D97" s="303">
        <v>0</v>
      </c>
      <c r="E97" s="303">
        <v>0</v>
      </c>
      <c r="F97" s="303">
        <v>-2865.52</v>
      </c>
      <c r="G97" s="303">
        <v>0</v>
      </c>
      <c r="H97" s="303">
        <v>0</v>
      </c>
      <c r="I97" s="303">
        <f>SUM(B97:H97)</f>
        <v>-2865.52</v>
      </c>
    </row>
    <row r="98" spans="1:9" ht="10.5">
      <c r="A98" s="318" t="s">
        <v>87</v>
      </c>
      <c r="B98" s="309"/>
      <c r="C98" s="309"/>
      <c r="D98" s="309"/>
      <c r="E98" s="309"/>
      <c r="F98" s="309"/>
      <c r="G98" s="309"/>
      <c r="H98" s="309"/>
      <c r="I98" s="309"/>
    </row>
    <row r="99" spans="1:9">
      <c r="A99" s="99" t="s">
        <v>90</v>
      </c>
      <c r="B99" s="303">
        <v>0</v>
      </c>
      <c r="C99" s="303">
        <v>0</v>
      </c>
      <c r="D99" s="303">
        <v>0</v>
      </c>
      <c r="E99" s="303">
        <v>0</v>
      </c>
      <c r="F99" s="303">
        <v>0</v>
      </c>
      <c r="G99" s="303">
        <v>-304.02999999999997</v>
      </c>
      <c r="H99" s="303">
        <v>0</v>
      </c>
      <c r="I99" s="303">
        <f>SUM(B99:H99)</f>
        <v>-304.02999999999997</v>
      </c>
    </row>
    <row r="100" spans="1:9" ht="10.5">
      <c r="A100" s="319" t="s">
        <v>91</v>
      </c>
      <c r="B100" s="313">
        <f t="shared" ref="B100:I100" si="25">SUM(B99)</f>
        <v>0</v>
      </c>
      <c r="C100" s="313">
        <f t="shared" si="25"/>
        <v>0</v>
      </c>
      <c r="D100" s="313">
        <f t="shared" si="25"/>
        <v>0</v>
      </c>
      <c r="E100" s="313">
        <f t="shared" si="25"/>
        <v>0</v>
      </c>
      <c r="F100" s="313">
        <f t="shared" si="25"/>
        <v>0</v>
      </c>
      <c r="G100" s="313">
        <f t="shared" si="25"/>
        <v>-304.02999999999997</v>
      </c>
      <c r="H100" s="313">
        <f t="shared" si="25"/>
        <v>0</v>
      </c>
      <c r="I100" s="313">
        <f t="shared" si="25"/>
        <v>-304.02999999999997</v>
      </c>
    </row>
    <row r="101" spans="1:9" ht="10.5">
      <c r="A101" s="312" t="s">
        <v>92</v>
      </c>
      <c r="B101" s="313">
        <f t="shared" ref="B101:I101" si="26">SUM(B97,B100)</f>
        <v>0</v>
      </c>
      <c r="C101" s="313">
        <f t="shared" si="26"/>
        <v>0</v>
      </c>
      <c r="D101" s="313">
        <f t="shared" si="26"/>
        <v>0</v>
      </c>
      <c r="E101" s="313">
        <f t="shared" si="26"/>
        <v>0</v>
      </c>
      <c r="F101" s="313">
        <f t="shared" si="26"/>
        <v>-2865.52</v>
      </c>
      <c r="G101" s="313">
        <f t="shared" si="26"/>
        <v>-304.02999999999997</v>
      </c>
      <c r="H101" s="313">
        <f t="shared" si="26"/>
        <v>0</v>
      </c>
      <c r="I101" s="313">
        <f t="shared" si="26"/>
        <v>-3169.55</v>
      </c>
    </row>
    <row r="102" spans="1:9" ht="10.5">
      <c r="A102" s="311" t="s">
        <v>83</v>
      </c>
      <c r="B102" s="309"/>
      <c r="C102" s="309"/>
      <c r="D102" s="309"/>
      <c r="E102" s="309"/>
      <c r="F102" s="309"/>
      <c r="G102" s="309"/>
      <c r="H102" s="309"/>
      <c r="I102" s="309"/>
    </row>
    <row r="103" spans="1:9">
      <c r="A103" s="8" t="s">
        <v>84</v>
      </c>
      <c r="B103" s="303">
        <v>0</v>
      </c>
      <c r="C103" s="303">
        <v>0</v>
      </c>
      <c r="D103" s="303">
        <v>0</v>
      </c>
      <c r="E103" s="303">
        <v>0</v>
      </c>
      <c r="F103" s="303">
        <v>0</v>
      </c>
      <c r="G103" s="303">
        <v>0</v>
      </c>
      <c r="H103" s="303">
        <v>-5238.5600000000004</v>
      </c>
      <c r="I103" s="303">
        <f>SUM(B103:H103)</f>
        <v>-5238.5600000000004</v>
      </c>
    </row>
    <row r="104" spans="1:9" ht="10.5">
      <c r="A104" s="312" t="s">
        <v>85</v>
      </c>
      <c r="B104" s="313">
        <f t="shared" ref="B104:I104" si="27">SUM(B103)</f>
        <v>0</v>
      </c>
      <c r="C104" s="313">
        <f t="shared" si="27"/>
        <v>0</v>
      </c>
      <c r="D104" s="313">
        <f t="shared" si="27"/>
        <v>0</v>
      </c>
      <c r="E104" s="313">
        <f t="shared" si="27"/>
        <v>0</v>
      </c>
      <c r="F104" s="313">
        <f t="shared" si="27"/>
        <v>0</v>
      </c>
      <c r="G104" s="313">
        <f t="shared" si="27"/>
        <v>0</v>
      </c>
      <c r="H104" s="313">
        <f t="shared" si="27"/>
        <v>-5238.5600000000004</v>
      </c>
      <c r="I104" s="313">
        <f t="shared" si="27"/>
        <v>-5238.5600000000004</v>
      </c>
    </row>
    <row r="105" spans="1:9" ht="10.5">
      <c r="A105" s="311" t="s">
        <v>80</v>
      </c>
      <c r="B105" s="309"/>
      <c r="C105" s="309"/>
      <c r="D105" s="309"/>
      <c r="E105" s="309"/>
      <c r="F105" s="309"/>
      <c r="G105" s="309"/>
      <c r="H105" s="309"/>
      <c r="I105" s="309"/>
    </row>
    <row r="106" spans="1:9">
      <c r="A106" s="8" t="s">
        <v>81</v>
      </c>
      <c r="B106" s="303">
        <v>0</v>
      </c>
      <c r="C106" s="303">
        <v>0</v>
      </c>
      <c r="D106" s="303">
        <v>0</v>
      </c>
      <c r="E106" s="303">
        <v>0</v>
      </c>
      <c r="F106" s="303">
        <v>0</v>
      </c>
      <c r="G106" s="303">
        <v>-144.55000000000001</v>
      </c>
      <c r="H106" s="303">
        <v>0</v>
      </c>
      <c r="I106" s="303">
        <f>SUM(B106:H106)</f>
        <v>-144.55000000000001</v>
      </c>
    </row>
    <row r="107" spans="1:9" ht="10.5">
      <c r="A107" s="312" t="s">
        <v>82</v>
      </c>
      <c r="B107" s="313">
        <f t="shared" ref="B107:I107" si="28">SUM(B106)</f>
        <v>0</v>
      </c>
      <c r="C107" s="313">
        <f t="shared" si="28"/>
        <v>0</v>
      </c>
      <c r="D107" s="313">
        <f t="shared" si="28"/>
        <v>0</v>
      </c>
      <c r="E107" s="313">
        <f t="shared" si="28"/>
        <v>0</v>
      </c>
      <c r="F107" s="313">
        <f t="shared" si="28"/>
        <v>0</v>
      </c>
      <c r="G107" s="313">
        <f t="shared" si="28"/>
        <v>-144.55000000000001</v>
      </c>
      <c r="H107" s="313">
        <f t="shared" si="28"/>
        <v>0</v>
      </c>
      <c r="I107" s="313">
        <f t="shared" si="28"/>
        <v>-144.55000000000001</v>
      </c>
    </row>
    <row r="108" spans="1:9" ht="10.5">
      <c r="A108" s="311" t="s">
        <v>126</v>
      </c>
      <c r="B108" s="309"/>
      <c r="C108" s="309"/>
      <c r="D108" s="309"/>
      <c r="E108" s="309"/>
      <c r="F108" s="309"/>
      <c r="G108" s="309"/>
      <c r="H108" s="309"/>
      <c r="I108" s="309"/>
    </row>
    <row r="109" spans="1:9" ht="10.5">
      <c r="A109" s="318" t="s">
        <v>127</v>
      </c>
      <c r="B109" s="309"/>
      <c r="C109" s="309"/>
      <c r="D109" s="309"/>
      <c r="E109" s="309"/>
      <c r="F109" s="309"/>
      <c r="G109" s="309"/>
      <c r="H109" s="309"/>
      <c r="I109" s="309"/>
    </row>
    <row r="110" spans="1:9">
      <c r="A110" s="99" t="s">
        <v>128</v>
      </c>
      <c r="B110" s="303">
        <v>0</v>
      </c>
      <c r="C110" s="303">
        <v>0</v>
      </c>
      <c r="D110" s="303">
        <v>0</v>
      </c>
      <c r="E110" s="303">
        <v>0</v>
      </c>
      <c r="F110" s="303">
        <v>0</v>
      </c>
      <c r="G110" s="303">
        <v>-806.12</v>
      </c>
      <c r="H110" s="303">
        <v>0</v>
      </c>
      <c r="I110" s="303">
        <f>SUM(B110:H110)</f>
        <v>-806.12</v>
      </c>
    </row>
    <row r="111" spans="1:9">
      <c r="A111" s="99" t="s">
        <v>129</v>
      </c>
      <c r="B111" s="303">
        <v>0</v>
      </c>
      <c r="C111" s="303">
        <v>0</v>
      </c>
      <c r="D111" s="303">
        <v>0</v>
      </c>
      <c r="E111" s="303">
        <v>0</v>
      </c>
      <c r="F111" s="303">
        <v>0</v>
      </c>
      <c r="G111" s="303">
        <v>-802.06</v>
      </c>
      <c r="H111" s="303">
        <v>0</v>
      </c>
      <c r="I111" s="303">
        <f>SUM(B111:H111)</f>
        <v>-802.06</v>
      </c>
    </row>
    <row r="112" spans="1:9">
      <c r="A112" s="99" t="s">
        <v>130</v>
      </c>
      <c r="B112" s="303">
        <v>0</v>
      </c>
      <c r="C112" s="303">
        <v>0</v>
      </c>
      <c r="D112" s="303">
        <v>0</v>
      </c>
      <c r="E112" s="303">
        <v>0</v>
      </c>
      <c r="F112" s="303">
        <v>0</v>
      </c>
      <c r="G112" s="303">
        <v>-220.58</v>
      </c>
      <c r="H112" s="303">
        <v>0</v>
      </c>
      <c r="I112" s="303">
        <f>SUM(B112:H112)</f>
        <v>-220.58</v>
      </c>
    </row>
    <row r="113" spans="1:10">
      <c r="A113" s="99" t="s">
        <v>131</v>
      </c>
      <c r="B113" s="303">
        <v>0</v>
      </c>
      <c r="C113" s="303">
        <v>0</v>
      </c>
      <c r="D113" s="303">
        <v>0</v>
      </c>
      <c r="E113" s="303">
        <v>0</v>
      </c>
      <c r="F113" s="303">
        <v>0</v>
      </c>
      <c r="G113" s="303">
        <v>-567.59</v>
      </c>
      <c r="H113" s="303">
        <v>0</v>
      </c>
      <c r="I113" s="303">
        <f>SUM(B113:H113)</f>
        <v>-567.59</v>
      </c>
    </row>
    <row r="114" spans="1:10" ht="10.5">
      <c r="A114" s="319" t="s">
        <v>133</v>
      </c>
      <c r="B114" s="313">
        <f t="shared" ref="B114:I114" si="29">SUM(B110:B113)</f>
        <v>0</v>
      </c>
      <c r="C114" s="313">
        <f t="shared" si="29"/>
        <v>0</v>
      </c>
      <c r="D114" s="313">
        <f t="shared" si="29"/>
        <v>0</v>
      </c>
      <c r="E114" s="313">
        <f t="shared" si="29"/>
        <v>0</v>
      </c>
      <c r="F114" s="313">
        <f t="shared" si="29"/>
        <v>0</v>
      </c>
      <c r="G114" s="313">
        <f t="shared" si="29"/>
        <v>-2396.35</v>
      </c>
      <c r="H114" s="313">
        <f t="shared" si="29"/>
        <v>0</v>
      </c>
      <c r="I114" s="313">
        <f t="shared" si="29"/>
        <v>-2396.35</v>
      </c>
    </row>
    <row r="115" spans="1:10" ht="10.5">
      <c r="A115" s="312" t="s">
        <v>134</v>
      </c>
      <c r="B115" s="313">
        <f t="shared" ref="B115:I115" si="30">SUM(B114)</f>
        <v>0</v>
      </c>
      <c r="C115" s="313">
        <f t="shared" si="30"/>
        <v>0</v>
      </c>
      <c r="D115" s="313">
        <f t="shared" si="30"/>
        <v>0</v>
      </c>
      <c r="E115" s="313">
        <f t="shared" si="30"/>
        <v>0</v>
      </c>
      <c r="F115" s="313">
        <f t="shared" si="30"/>
        <v>0</v>
      </c>
      <c r="G115" s="313">
        <f t="shared" si="30"/>
        <v>-2396.35</v>
      </c>
      <c r="H115" s="313">
        <f t="shared" si="30"/>
        <v>0</v>
      </c>
      <c r="I115" s="313">
        <f t="shared" si="30"/>
        <v>-2396.35</v>
      </c>
    </row>
    <row r="116" spans="1:10" ht="10.5">
      <c r="A116" s="311" t="s">
        <v>63</v>
      </c>
      <c r="B116" s="309"/>
      <c r="C116" s="309"/>
      <c r="D116" s="309"/>
      <c r="E116" s="309"/>
      <c r="F116" s="309"/>
      <c r="G116" s="309"/>
      <c r="H116" s="309"/>
      <c r="I116" s="309"/>
    </row>
    <row r="117" spans="1:10" ht="10.5">
      <c r="A117" s="318" t="s">
        <v>74</v>
      </c>
      <c r="B117" s="309"/>
      <c r="C117" s="309"/>
      <c r="D117" s="309"/>
      <c r="E117" s="309"/>
      <c r="F117" s="309"/>
      <c r="G117" s="309"/>
      <c r="H117" s="309"/>
      <c r="I117" s="309"/>
    </row>
    <row r="118" spans="1:10">
      <c r="A118" s="99" t="s">
        <v>76</v>
      </c>
      <c r="B118" s="303">
        <v>0</v>
      </c>
      <c r="C118" s="303">
        <v>0</v>
      </c>
      <c r="D118" s="303">
        <v>0</v>
      </c>
      <c r="E118" s="303">
        <v>0</v>
      </c>
      <c r="F118" s="303">
        <v>0</v>
      </c>
      <c r="G118" s="303">
        <v>-4827.58</v>
      </c>
      <c r="H118" s="303">
        <v>0</v>
      </c>
      <c r="I118" s="303">
        <f>SUM(B118:H118)</f>
        <v>-4827.58</v>
      </c>
    </row>
    <row r="119" spans="1:10">
      <c r="A119" s="99" t="s">
        <v>140</v>
      </c>
      <c r="B119" s="303">
        <v>0</v>
      </c>
      <c r="C119" s="303">
        <v>0</v>
      </c>
      <c r="D119" s="303">
        <v>0</v>
      </c>
      <c r="E119" s="303">
        <v>0</v>
      </c>
      <c r="F119" s="303">
        <v>0</v>
      </c>
      <c r="G119" s="303">
        <v>800.52</v>
      </c>
      <c r="H119" s="303">
        <v>0</v>
      </c>
      <c r="I119" s="303">
        <f>SUM(B119:H119)</f>
        <v>800.52</v>
      </c>
    </row>
    <row r="120" spans="1:10" ht="10.5">
      <c r="A120" s="319" t="s">
        <v>78</v>
      </c>
      <c r="B120" s="313">
        <f t="shared" ref="B120:I120" si="31">SUM(B118:B119)</f>
        <v>0</v>
      </c>
      <c r="C120" s="313">
        <f t="shared" si="31"/>
        <v>0</v>
      </c>
      <c r="D120" s="313">
        <f t="shared" si="31"/>
        <v>0</v>
      </c>
      <c r="E120" s="313">
        <f t="shared" si="31"/>
        <v>0</v>
      </c>
      <c r="F120" s="313">
        <f t="shared" si="31"/>
        <v>0</v>
      </c>
      <c r="G120" s="313">
        <f t="shared" si="31"/>
        <v>-4027.06</v>
      </c>
      <c r="H120" s="313">
        <f t="shared" si="31"/>
        <v>0</v>
      </c>
      <c r="I120" s="313">
        <f t="shared" si="31"/>
        <v>-4027.06</v>
      </c>
    </row>
    <row r="121" spans="1:10" ht="10.5">
      <c r="A121" s="318" t="s">
        <v>67</v>
      </c>
      <c r="B121" s="309"/>
      <c r="C121" s="309"/>
      <c r="D121" s="309"/>
      <c r="E121" s="309"/>
      <c r="F121" s="309"/>
      <c r="G121" s="309"/>
      <c r="H121" s="309"/>
      <c r="I121" s="309"/>
    </row>
    <row r="122" spans="1:10">
      <c r="A122" s="99" t="s">
        <v>69</v>
      </c>
      <c r="B122" s="303">
        <v>0</v>
      </c>
      <c r="C122" s="303">
        <v>0</v>
      </c>
      <c r="D122" s="303">
        <v>0</v>
      </c>
      <c r="E122" s="303">
        <v>0</v>
      </c>
      <c r="F122" s="303">
        <v>0</v>
      </c>
      <c r="G122" s="303">
        <v>412.09</v>
      </c>
      <c r="H122" s="303">
        <v>0</v>
      </c>
      <c r="I122" s="303">
        <f>SUM(B122:H122)</f>
        <v>412.09</v>
      </c>
    </row>
    <row r="123" spans="1:10">
      <c r="A123" s="99" t="s">
        <v>68</v>
      </c>
      <c r="B123" s="303">
        <v>0</v>
      </c>
      <c r="C123" s="303">
        <v>0</v>
      </c>
      <c r="D123" s="303">
        <v>0</v>
      </c>
      <c r="E123" s="303">
        <v>0</v>
      </c>
      <c r="F123" s="303">
        <v>0</v>
      </c>
      <c r="G123" s="303">
        <v>-149.49</v>
      </c>
      <c r="H123" s="303">
        <v>0</v>
      </c>
      <c r="I123" s="303">
        <f>SUM(B123:H123)</f>
        <v>-149.49</v>
      </c>
    </row>
    <row r="124" spans="1:10" ht="10.5">
      <c r="A124" s="319" t="s">
        <v>70</v>
      </c>
      <c r="B124" s="313">
        <f t="shared" ref="B124:I124" si="32">SUM(B122:B123)</f>
        <v>0</v>
      </c>
      <c r="C124" s="313">
        <f t="shared" si="32"/>
        <v>0</v>
      </c>
      <c r="D124" s="313">
        <f t="shared" si="32"/>
        <v>0</v>
      </c>
      <c r="E124" s="313">
        <f t="shared" si="32"/>
        <v>0</v>
      </c>
      <c r="F124" s="313">
        <f t="shared" si="32"/>
        <v>0</v>
      </c>
      <c r="G124" s="313">
        <f t="shared" si="32"/>
        <v>262.59999999999997</v>
      </c>
      <c r="H124" s="313">
        <f t="shared" si="32"/>
        <v>0</v>
      </c>
      <c r="I124" s="313">
        <f t="shared" si="32"/>
        <v>262.59999999999997</v>
      </c>
    </row>
    <row r="125" spans="1:10" ht="10.5">
      <c r="A125" s="312" t="s">
        <v>79</v>
      </c>
      <c r="B125" s="313">
        <f t="shared" ref="B125:I125" si="33">SUM(B120,B124)</f>
        <v>0</v>
      </c>
      <c r="C125" s="313">
        <f t="shared" si="33"/>
        <v>0</v>
      </c>
      <c r="D125" s="313">
        <f t="shared" si="33"/>
        <v>0</v>
      </c>
      <c r="E125" s="313">
        <f t="shared" si="33"/>
        <v>0</v>
      </c>
      <c r="F125" s="313">
        <f t="shared" si="33"/>
        <v>0</v>
      </c>
      <c r="G125" s="313">
        <f t="shared" si="33"/>
        <v>-3764.46</v>
      </c>
      <c r="H125" s="313">
        <f t="shared" si="33"/>
        <v>0</v>
      </c>
      <c r="I125" s="313">
        <f t="shared" si="33"/>
        <v>-3764.46</v>
      </c>
    </row>
    <row r="126" spans="1:10" ht="10.5">
      <c r="A126" s="314" t="s">
        <v>98</v>
      </c>
      <c r="B126" s="313">
        <f t="shared" ref="B126:I126" si="34">SUM(B95,B101,B104,B107,B115,B125)</f>
        <v>0</v>
      </c>
      <c r="C126" s="313">
        <f t="shared" si="34"/>
        <v>0</v>
      </c>
      <c r="D126" s="313">
        <f t="shared" si="34"/>
        <v>0</v>
      </c>
      <c r="E126" s="313">
        <f t="shared" si="34"/>
        <v>0</v>
      </c>
      <c r="F126" s="313">
        <f t="shared" si="34"/>
        <v>-2865.52</v>
      </c>
      <c r="G126" s="313">
        <f t="shared" si="34"/>
        <v>-8330.4500000000007</v>
      </c>
      <c r="H126" s="313">
        <f t="shared" si="34"/>
        <v>-5238.5600000000004</v>
      </c>
      <c r="I126" s="313">
        <f t="shared" si="34"/>
        <v>-16434.530000000002</v>
      </c>
      <c r="J126">
        <v>4.0999999999999996</v>
      </c>
    </row>
    <row r="127" spans="1:10" ht="10.5">
      <c r="A127" s="310" t="s">
        <v>99</v>
      </c>
      <c r="B127" s="309"/>
      <c r="C127" s="309"/>
      <c r="D127" s="309"/>
      <c r="E127" s="309"/>
      <c r="F127" s="309"/>
      <c r="G127" s="309"/>
      <c r="H127" s="309"/>
      <c r="I127" s="309"/>
    </row>
    <row r="128" spans="1:10" ht="10.5">
      <c r="A128" s="311" t="s">
        <v>100</v>
      </c>
      <c r="B128" s="309"/>
      <c r="C128" s="309"/>
      <c r="D128" s="309"/>
      <c r="E128" s="309"/>
      <c r="F128" s="309"/>
      <c r="G128" s="309"/>
      <c r="H128" s="309"/>
      <c r="I128" s="309"/>
    </row>
    <row r="129" spans="1:9" ht="10.5">
      <c r="A129" s="318" t="s">
        <v>86</v>
      </c>
      <c r="B129" s="309"/>
      <c r="C129" s="309"/>
      <c r="D129" s="309"/>
      <c r="E129" s="309"/>
      <c r="F129" s="309"/>
      <c r="G129" s="309"/>
      <c r="H129" s="309"/>
      <c r="I129" s="309"/>
    </row>
    <row r="130" spans="1:9">
      <c r="A130" s="99" t="s">
        <v>101</v>
      </c>
      <c r="B130" s="303">
        <v>0</v>
      </c>
      <c r="C130" s="303">
        <v>0</v>
      </c>
      <c r="D130" s="303">
        <v>0</v>
      </c>
      <c r="E130" s="303">
        <v>0</v>
      </c>
      <c r="F130" s="303">
        <v>671325.58</v>
      </c>
      <c r="G130" s="303">
        <v>434904.27</v>
      </c>
      <c r="H130" s="303">
        <v>0</v>
      </c>
      <c r="I130" s="303">
        <f>SUM(B130:H130)</f>
        <v>1106229.8500000001</v>
      </c>
    </row>
    <row r="131" spans="1:9">
      <c r="A131" s="99" t="s">
        <v>102</v>
      </c>
      <c r="B131" s="303">
        <v>0</v>
      </c>
      <c r="C131" s="303">
        <v>0</v>
      </c>
      <c r="D131" s="303">
        <v>0</v>
      </c>
      <c r="E131" s="303">
        <v>0</v>
      </c>
      <c r="F131" s="303">
        <v>0</v>
      </c>
      <c r="G131" s="303">
        <v>22664.83</v>
      </c>
      <c r="H131" s="303">
        <v>0</v>
      </c>
      <c r="I131" s="303">
        <f>SUM(B131:H131)</f>
        <v>22664.83</v>
      </c>
    </row>
    <row r="132" spans="1:9" ht="10.5">
      <c r="A132" s="320" t="s">
        <v>87</v>
      </c>
      <c r="B132" s="309"/>
      <c r="C132" s="309"/>
      <c r="D132" s="309"/>
      <c r="E132" s="309"/>
      <c r="F132" s="309"/>
      <c r="G132" s="309"/>
      <c r="H132" s="309"/>
      <c r="I132" s="309"/>
    </row>
    <row r="133" spans="1:9">
      <c r="A133" s="321" t="s">
        <v>88</v>
      </c>
      <c r="B133" s="303">
        <v>0</v>
      </c>
      <c r="C133" s="303">
        <v>0</v>
      </c>
      <c r="D133" s="303">
        <v>0</v>
      </c>
      <c r="E133" s="303">
        <v>0</v>
      </c>
      <c r="F133" s="303">
        <v>239.28</v>
      </c>
      <c r="G133" s="303">
        <v>1109.68</v>
      </c>
      <c r="H133" s="303">
        <v>0</v>
      </c>
      <c r="I133" s="303">
        <f>SUM(B133:H133)</f>
        <v>1348.96</v>
      </c>
    </row>
    <row r="134" spans="1:9">
      <c r="A134" s="321" t="s">
        <v>103</v>
      </c>
      <c r="B134" s="303">
        <v>0</v>
      </c>
      <c r="C134" s="303">
        <v>0</v>
      </c>
      <c r="D134" s="303">
        <v>0</v>
      </c>
      <c r="E134" s="303">
        <v>0</v>
      </c>
      <c r="F134" s="303">
        <v>455.5</v>
      </c>
      <c r="G134" s="303">
        <v>0</v>
      </c>
      <c r="H134" s="303">
        <v>0</v>
      </c>
      <c r="I134" s="303">
        <f>SUM(B134:H134)</f>
        <v>455.5</v>
      </c>
    </row>
    <row r="135" spans="1:9">
      <c r="A135" s="321" t="s">
        <v>89</v>
      </c>
      <c r="B135" s="303">
        <v>0</v>
      </c>
      <c r="C135" s="303">
        <v>0</v>
      </c>
      <c r="D135" s="303">
        <v>0</v>
      </c>
      <c r="E135" s="303">
        <v>0</v>
      </c>
      <c r="F135" s="303">
        <v>146.57</v>
      </c>
      <c r="G135" s="303">
        <v>8325.74</v>
      </c>
      <c r="H135" s="303">
        <v>966.5</v>
      </c>
      <c r="I135" s="303">
        <f>SUM(B135:H135)</f>
        <v>9438.81</v>
      </c>
    </row>
    <row r="136" spans="1:9">
      <c r="A136" s="321" t="s">
        <v>104</v>
      </c>
      <c r="B136" s="303">
        <v>0</v>
      </c>
      <c r="C136" s="303">
        <v>0</v>
      </c>
      <c r="D136" s="303">
        <v>0</v>
      </c>
      <c r="E136" s="303">
        <v>0</v>
      </c>
      <c r="F136" s="303">
        <v>1057.75</v>
      </c>
      <c r="G136" s="303">
        <v>100.41</v>
      </c>
      <c r="H136" s="303">
        <v>0</v>
      </c>
      <c r="I136" s="303">
        <f>SUM(B136:H136)</f>
        <v>1158.1600000000001</v>
      </c>
    </row>
    <row r="137" spans="1:9">
      <c r="A137" s="321" t="s">
        <v>90</v>
      </c>
      <c r="B137" s="303">
        <v>0</v>
      </c>
      <c r="C137" s="303">
        <v>0</v>
      </c>
      <c r="D137" s="303">
        <v>0</v>
      </c>
      <c r="E137" s="303">
        <v>0</v>
      </c>
      <c r="F137" s="303">
        <v>1261.17</v>
      </c>
      <c r="G137" s="303">
        <v>796.67</v>
      </c>
      <c r="H137" s="303">
        <v>343.15</v>
      </c>
      <c r="I137" s="303">
        <f>SUM(B137:H137)</f>
        <v>2400.9900000000002</v>
      </c>
    </row>
    <row r="138" spans="1:9" ht="10.5">
      <c r="A138" s="322" t="s">
        <v>91</v>
      </c>
      <c r="B138" s="313">
        <f t="shared" ref="B138:I138" si="35">SUM(B133:B137)</f>
        <v>0</v>
      </c>
      <c r="C138" s="313">
        <f t="shared" si="35"/>
        <v>0</v>
      </c>
      <c r="D138" s="313">
        <f t="shared" si="35"/>
        <v>0</v>
      </c>
      <c r="E138" s="313">
        <f t="shared" si="35"/>
        <v>0</v>
      </c>
      <c r="F138" s="313">
        <f t="shared" si="35"/>
        <v>3160.27</v>
      </c>
      <c r="G138" s="313">
        <f t="shared" si="35"/>
        <v>10332.5</v>
      </c>
      <c r="H138" s="313">
        <f t="shared" si="35"/>
        <v>1309.6500000000001</v>
      </c>
      <c r="I138" s="313">
        <f t="shared" si="35"/>
        <v>14802.42</v>
      </c>
    </row>
    <row r="139" spans="1:9" ht="10.5">
      <c r="A139" s="319" t="s">
        <v>92</v>
      </c>
      <c r="B139" s="313">
        <f t="shared" ref="B139:I139" si="36">SUM(B130:B131,B138)</f>
        <v>0</v>
      </c>
      <c r="C139" s="313">
        <f t="shared" si="36"/>
        <v>0</v>
      </c>
      <c r="D139" s="313">
        <f t="shared" si="36"/>
        <v>0</v>
      </c>
      <c r="E139" s="313">
        <f t="shared" si="36"/>
        <v>0</v>
      </c>
      <c r="F139" s="313">
        <f t="shared" si="36"/>
        <v>674485.85</v>
      </c>
      <c r="G139" s="313">
        <f t="shared" si="36"/>
        <v>467901.60000000003</v>
      </c>
      <c r="H139" s="313">
        <f t="shared" si="36"/>
        <v>1309.6500000000001</v>
      </c>
      <c r="I139" s="313">
        <f t="shared" si="36"/>
        <v>1143697.1000000001</v>
      </c>
    </row>
    <row r="140" spans="1:9" ht="10.5">
      <c r="A140" s="318" t="s">
        <v>83</v>
      </c>
      <c r="B140" s="309"/>
      <c r="C140" s="309"/>
      <c r="D140" s="309"/>
      <c r="E140" s="309"/>
      <c r="F140" s="309"/>
      <c r="G140" s="309"/>
      <c r="H140" s="309"/>
      <c r="I140" s="309"/>
    </row>
    <row r="141" spans="1:9">
      <c r="A141" s="99" t="s">
        <v>84</v>
      </c>
      <c r="B141" s="303">
        <v>0</v>
      </c>
      <c r="C141" s="303">
        <v>0</v>
      </c>
      <c r="D141" s="303">
        <v>0</v>
      </c>
      <c r="E141" s="303">
        <v>0</v>
      </c>
      <c r="F141" s="303">
        <v>0</v>
      </c>
      <c r="G141" s="303">
        <v>0</v>
      </c>
      <c r="H141" s="303">
        <v>1218.57</v>
      </c>
      <c r="I141" s="303">
        <f t="shared" ref="I141:I150" si="37">SUM(B141:H141)</f>
        <v>1218.57</v>
      </c>
    </row>
    <row r="142" spans="1:9">
      <c r="A142" s="99" t="s">
        <v>105</v>
      </c>
      <c r="B142" s="303">
        <v>0</v>
      </c>
      <c r="C142" s="303">
        <v>0</v>
      </c>
      <c r="D142" s="303">
        <v>0</v>
      </c>
      <c r="E142" s="303">
        <v>0</v>
      </c>
      <c r="F142" s="303">
        <v>0</v>
      </c>
      <c r="G142" s="303">
        <v>470.3</v>
      </c>
      <c r="H142" s="303">
        <v>0</v>
      </c>
      <c r="I142" s="303">
        <f t="shared" si="37"/>
        <v>470.3</v>
      </c>
    </row>
    <row r="143" spans="1:9">
      <c r="A143" s="99" t="s">
        <v>106</v>
      </c>
      <c r="B143" s="303">
        <v>0</v>
      </c>
      <c r="C143" s="303">
        <v>0</v>
      </c>
      <c r="D143" s="303">
        <v>0</v>
      </c>
      <c r="E143" s="303">
        <v>0</v>
      </c>
      <c r="F143" s="303">
        <v>0</v>
      </c>
      <c r="G143" s="303">
        <v>-470.3</v>
      </c>
      <c r="H143" s="303">
        <v>0</v>
      </c>
      <c r="I143" s="303">
        <f t="shared" si="37"/>
        <v>-470.3</v>
      </c>
    </row>
    <row r="144" spans="1:9">
      <c r="A144" s="99" t="s">
        <v>107</v>
      </c>
      <c r="B144" s="303">
        <v>0</v>
      </c>
      <c r="C144" s="303">
        <v>0</v>
      </c>
      <c r="D144" s="303">
        <v>0</v>
      </c>
      <c r="E144" s="303">
        <v>0</v>
      </c>
      <c r="F144" s="303">
        <v>0</v>
      </c>
      <c r="G144" s="303">
        <v>2248.3200000000002</v>
      </c>
      <c r="H144" s="303">
        <v>0</v>
      </c>
      <c r="I144" s="303">
        <f t="shared" si="37"/>
        <v>2248.3200000000002</v>
      </c>
    </row>
    <row r="145" spans="1:9">
      <c r="A145" s="99" t="s">
        <v>108</v>
      </c>
      <c r="B145" s="303">
        <v>0</v>
      </c>
      <c r="C145" s="303">
        <v>0</v>
      </c>
      <c r="D145" s="303">
        <v>0</v>
      </c>
      <c r="E145" s="303">
        <v>0</v>
      </c>
      <c r="F145" s="303">
        <v>0</v>
      </c>
      <c r="G145" s="303">
        <v>-2248.3200000000002</v>
      </c>
      <c r="H145" s="303">
        <v>0</v>
      </c>
      <c r="I145" s="303">
        <f t="shared" si="37"/>
        <v>-2248.3200000000002</v>
      </c>
    </row>
    <row r="146" spans="1:9">
      <c r="A146" s="99" t="s">
        <v>109</v>
      </c>
      <c r="B146" s="303">
        <v>0</v>
      </c>
      <c r="C146" s="303">
        <v>0</v>
      </c>
      <c r="D146" s="303">
        <v>0</v>
      </c>
      <c r="E146" s="303">
        <v>0</v>
      </c>
      <c r="F146" s="303">
        <v>0</v>
      </c>
      <c r="G146" s="303">
        <v>555.91999999999996</v>
      </c>
      <c r="H146" s="303">
        <v>0</v>
      </c>
      <c r="I146" s="303">
        <f t="shared" si="37"/>
        <v>555.91999999999996</v>
      </c>
    </row>
    <row r="147" spans="1:9">
      <c r="A147" s="99" t="s">
        <v>110</v>
      </c>
      <c r="B147" s="303">
        <v>0</v>
      </c>
      <c r="C147" s="303">
        <v>0</v>
      </c>
      <c r="D147" s="303">
        <v>0</v>
      </c>
      <c r="E147" s="303">
        <v>0</v>
      </c>
      <c r="F147" s="303">
        <v>0</v>
      </c>
      <c r="G147" s="303">
        <v>-555.91999999999996</v>
      </c>
      <c r="H147" s="303">
        <v>0</v>
      </c>
      <c r="I147" s="303">
        <f t="shared" si="37"/>
        <v>-555.91999999999996</v>
      </c>
    </row>
    <row r="148" spans="1:9">
      <c r="A148" s="99" t="s">
        <v>111</v>
      </c>
      <c r="B148" s="303">
        <v>0</v>
      </c>
      <c r="C148" s="303">
        <v>0</v>
      </c>
      <c r="D148" s="303">
        <v>0</v>
      </c>
      <c r="E148" s="303">
        <v>0</v>
      </c>
      <c r="F148" s="303">
        <v>0</v>
      </c>
      <c r="G148" s="303">
        <v>7426.98</v>
      </c>
      <c r="H148" s="303">
        <v>0</v>
      </c>
      <c r="I148" s="303">
        <f t="shared" si="37"/>
        <v>7426.98</v>
      </c>
    </row>
    <row r="149" spans="1:9">
      <c r="A149" s="99" t="s">
        <v>112</v>
      </c>
      <c r="B149" s="303">
        <v>0</v>
      </c>
      <c r="C149" s="303">
        <v>0</v>
      </c>
      <c r="D149" s="303">
        <v>0</v>
      </c>
      <c r="E149" s="303">
        <v>0</v>
      </c>
      <c r="F149" s="303">
        <v>0</v>
      </c>
      <c r="G149" s="303">
        <v>-7426.97</v>
      </c>
      <c r="H149" s="303">
        <v>0</v>
      </c>
      <c r="I149" s="303">
        <f t="shared" si="37"/>
        <v>-7426.97</v>
      </c>
    </row>
    <row r="150" spans="1:9">
      <c r="A150" s="99" t="s">
        <v>596</v>
      </c>
      <c r="B150" s="303">
        <v>0</v>
      </c>
      <c r="C150" s="303">
        <v>0</v>
      </c>
      <c r="D150" s="303">
        <v>0</v>
      </c>
      <c r="E150" s="303">
        <v>0</v>
      </c>
      <c r="F150" s="303">
        <v>91650.07</v>
      </c>
      <c r="G150" s="303">
        <v>21870.29</v>
      </c>
      <c r="H150" s="303">
        <v>0</v>
      </c>
      <c r="I150" s="303">
        <f t="shared" si="37"/>
        <v>113520.36000000002</v>
      </c>
    </row>
    <row r="151" spans="1:9" ht="10.5">
      <c r="A151" s="319" t="s">
        <v>85</v>
      </c>
      <c r="B151" s="313">
        <f t="shared" ref="B151:I151" si="38">SUM(B141:B150)</f>
        <v>0</v>
      </c>
      <c r="C151" s="313">
        <f t="shared" si="38"/>
        <v>0</v>
      </c>
      <c r="D151" s="313">
        <f t="shared" si="38"/>
        <v>0</v>
      </c>
      <c r="E151" s="313">
        <f t="shared" si="38"/>
        <v>0</v>
      </c>
      <c r="F151" s="313">
        <f t="shared" si="38"/>
        <v>91650.07</v>
      </c>
      <c r="G151" s="313">
        <f t="shared" si="38"/>
        <v>21870.3</v>
      </c>
      <c r="H151" s="313">
        <f t="shared" si="38"/>
        <v>1218.57</v>
      </c>
      <c r="I151" s="313">
        <f t="shared" si="38"/>
        <v>114738.94000000002</v>
      </c>
    </row>
    <row r="152" spans="1:9" ht="10.5">
      <c r="A152" s="318" t="s">
        <v>54</v>
      </c>
      <c r="B152" s="309"/>
      <c r="C152" s="309"/>
      <c r="D152" s="309"/>
      <c r="E152" s="309"/>
      <c r="F152" s="309"/>
      <c r="G152" s="309"/>
      <c r="H152" s="309"/>
      <c r="I152" s="309"/>
    </row>
    <row r="153" spans="1:9">
      <c r="A153" s="99" t="s">
        <v>56</v>
      </c>
      <c r="B153" s="303">
        <v>0</v>
      </c>
      <c r="C153" s="303">
        <v>0</v>
      </c>
      <c r="D153" s="303">
        <v>0</v>
      </c>
      <c r="E153" s="303">
        <v>0</v>
      </c>
      <c r="F153" s="303">
        <v>2675.27</v>
      </c>
      <c r="G153" s="303">
        <v>0</v>
      </c>
      <c r="H153" s="303">
        <v>0</v>
      </c>
      <c r="I153" s="303">
        <f>SUM(B153:H153)</f>
        <v>2675.27</v>
      </c>
    </row>
    <row r="154" spans="1:9">
      <c r="A154" s="99" t="s">
        <v>113</v>
      </c>
      <c r="B154" s="303">
        <v>0</v>
      </c>
      <c r="C154" s="303">
        <v>0</v>
      </c>
      <c r="D154" s="303">
        <v>0</v>
      </c>
      <c r="E154" s="303">
        <v>0</v>
      </c>
      <c r="F154" s="303">
        <v>0</v>
      </c>
      <c r="G154" s="303">
        <v>2232.35</v>
      </c>
      <c r="H154" s="303">
        <v>0</v>
      </c>
      <c r="I154" s="303">
        <f>SUM(B154:H154)</f>
        <v>2232.35</v>
      </c>
    </row>
    <row r="155" spans="1:9">
      <c r="A155" s="99" t="s">
        <v>55</v>
      </c>
      <c r="B155" s="303">
        <v>0</v>
      </c>
      <c r="C155" s="303">
        <v>0</v>
      </c>
      <c r="D155" s="303">
        <v>0</v>
      </c>
      <c r="E155" s="303">
        <v>0</v>
      </c>
      <c r="F155" s="303">
        <v>5795.24</v>
      </c>
      <c r="G155" s="303">
        <v>0</v>
      </c>
      <c r="H155" s="303">
        <v>0</v>
      </c>
      <c r="I155" s="303">
        <f>SUM(B155:H155)</f>
        <v>5795.24</v>
      </c>
    </row>
    <row r="156" spans="1:9">
      <c r="A156" s="99" t="s">
        <v>114</v>
      </c>
      <c r="B156" s="303">
        <v>0</v>
      </c>
      <c r="C156" s="303">
        <v>0</v>
      </c>
      <c r="D156" s="303">
        <v>0</v>
      </c>
      <c r="E156" s="303">
        <v>0</v>
      </c>
      <c r="F156" s="303">
        <v>4722.53</v>
      </c>
      <c r="G156" s="303">
        <v>28045.37</v>
      </c>
      <c r="H156" s="303">
        <v>0</v>
      </c>
      <c r="I156" s="303">
        <f>SUM(B156:H156)</f>
        <v>32767.899999999998</v>
      </c>
    </row>
    <row r="157" spans="1:9">
      <c r="A157" s="99" t="s">
        <v>115</v>
      </c>
      <c r="B157" s="303">
        <v>0</v>
      </c>
      <c r="C157" s="303">
        <v>0</v>
      </c>
      <c r="D157" s="303">
        <v>0</v>
      </c>
      <c r="E157" s="303">
        <v>0</v>
      </c>
      <c r="F157" s="303">
        <v>0</v>
      </c>
      <c r="G157" s="303">
        <v>14450.07</v>
      </c>
      <c r="H157" s="303">
        <v>0</v>
      </c>
      <c r="I157" s="303">
        <f>SUM(B157:H157)</f>
        <v>14450.07</v>
      </c>
    </row>
    <row r="158" spans="1:9" ht="10.5">
      <c r="A158" s="319" t="s">
        <v>57</v>
      </c>
      <c r="B158" s="313">
        <f t="shared" ref="B158:I158" si="39">SUM(B153:B157)</f>
        <v>0</v>
      </c>
      <c r="C158" s="313">
        <f t="shared" si="39"/>
        <v>0</v>
      </c>
      <c r="D158" s="313">
        <f t="shared" si="39"/>
        <v>0</v>
      </c>
      <c r="E158" s="313">
        <f t="shared" si="39"/>
        <v>0</v>
      </c>
      <c r="F158" s="313">
        <f t="shared" si="39"/>
        <v>13193.04</v>
      </c>
      <c r="G158" s="313">
        <f t="shared" si="39"/>
        <v>44727.789999999994</v>
      </c>
      <c r="H158" s="313">
        <f t="shared" si="39"/>
        <v>0</v>
      </c>
      <c r="I158" s="313">
        <f t="shared" si="39"/>
        <v>57920.829999999994</v>
      </c>
    </row>
    <row r="159" spans="1:9" ht="10.5">
      <c r="A159" s="318" t="s">
        <v>116</v>
      </c>
      <c r="B159" s="309"/>
      <c r="C159" s="309"/>
      <c r="D159" s="309"/>
      <c r="E159" s="309"/>
      <c r="F159" s="309"/>
      <c r="G159" s="309"/>
      <c r="H159" s="309"/>
      <c r="I159" s="309"/>
    </row>
    <row r="160" spans="1:9">
      <c r="A160" s="99" t="s">
        <v>117</v>
      </c>
      <c r="B160" s="303">
        <v>0</v>
      </c>
      <c r="C160" s="303">
        <v>0</v>
      </c>
      <c r="D160" s="303">
        <v>0</v>
      </c>
      <c r="E160" s="303">
        <v>0</v>
      </c>
      <c r="F160" s="303">
        <v>39759.339999999997</v>
      </c>
      <c r="G160" s="303">
        <v>20338.97</v>
      </c>
      <c r="H160" s="303">
        <v>0</v>
      </c>
      <c r="I160" s="303">
        <f>SUM(B160:H160)</f>
        <v>60098.31</v>
      </c>
    </row>
    <row r="161" spans="1:9" ht="10.5">
      <c r="A161" s="319" t="s">
        <v>118</v>
      </c>
      <c r="B161" s="313">
        <f t="shared" ref="B161:I161" si="40">SUM(B160)</f>
        <v>0</v>
      </c>
      <c r="C161" s="313">
        <f t="shared" si="40"/>
        <v>0</v>
      </c>
      <c r="D161" s="313">
        <f t="shared" si="40"/>
        <v>0</v>
      </c>
      <c r="E161" s="313">
        <f t="shared" si="40"/>
        <v>0</v>
      </c>
      <c r="F161" s="313">
        <f t="shared" si="40"/>
        <v>39759.339999999997</v>
      </c>
      <c r="G161" s="313">
        <f t="shared" si="40"/>
        <v>20338.97</v>
      </c>
      <c r="H161" s="313">
        <f t="shared" si="40"/>
        <v>0</v>
      </c>
      <c r="I161" s="313">
        <f t="shared" si="40"/>
        <v>60098.31</v>
      </c>
    </row>
    <row r="162" spans="1:9" ht="10.5">
      <c r="A162" s="318" t="s">
        <v>80</v>
      </c>
      <c r="B162" s="309"/>
      <c r="C162" s="309"/>
      <c r="D162" s="309"/>
      <c r="E162" s="309"/>
      <c r="F162" s="309"/>
      <c r="G162" s="309"/>
      <c r="H162" s="309"/>
      <c r="I162" s="309"/>
    </row>
    <row r="163" spans="1:9">
      <c r="A163" s="99" t="s">
        <v>81</v>
      </c>
      <c r="B163" s="303">
        <v>0</v>
      </c>
      <c r="C163" s="303">
        <v>0</v>
      </c>
      <c r="D163" s="303">
        <v>0</v>
      </c>
      <c r="E163" s="303">
        <v>0</v>
      </c>
      <c r="F163" s="303">
        <v>738.58</v>
      </c>
      <c r="G163" s="303">
        <v>110.07</v>
      </c>
      <c r="H163" s="303">
        <v>0</v>
      </c>
      <c r="I163" s="303">
        <f>SUM(B163:H163)</f>
        <v>848.65000000000009</v>
      </c>
    </row>
    <row r="164" spans="1:9" ht="10.5">
      <c r="A164" s="319" t="s">
        <v>82</v>
      </c>
      <c r="B164" s="313">
        <f t="shared" ref="B164:I164" si="41">SUM(B163)</f>
        <v>0</v>
      </c>
      <c r="C164" s="313">
        <f t="shared" si="41"/>
        <v>0</v>
      </c>
      <c r="D164" s="313">
        <f t="shared" si="41"/>
        <v>0</v>
      </c>
      <c r="E164" s="313">
        <f t="shared" si="41"/>
        <v>0</v>
      </c>
      <c r="F164" s="313">
        <f t="shared" si="41"/>
        <v>738.58</v>
      </c>
      <c r="G164" s="313">
        <f t="shared" si="41"/>
        <v>110.07</v>
      </c>
      <c r="H164" s="313">
        <f t="shared" si="41"/>
        <v>0</v>
      </c>
      <c r="I164" s="313">
        <f t="shared" si="41"/>
        <v>848.65000000000009</v>
      </c>
    </row>
    <row r="165" spans="1:9" ht="10.5">
      <c r="A165" s="318" t="s">
        <v>119</v>
      </c>
      <c r="B165" s="309"/>
      <c r="C165" s="309"/>
      <c r="D165" s="309"/>
      <c r="E165" s="309"/>
      <c r="F165" s="309"/>
      <c r="G165" s="309"/>
      <c r="H165" s="309"/>
      <c r="I165" s="309"/>
    </row>
    <row r="166" spans="1:9">
      <c r="A166" s="99" t="s">
        <v>120</v>
      </c>
      <c r="B166" s="303">
        <v>0</v>
      </c>
      <c r="C166" s="303">
        <v>0</v>
      </c>
      <c r="D166" s="303">
        <v>0</v>
      </c>
      <c r="E166" s="303">
        <v>0</v>
      </c>
      <c r="F166" s="303">
        <v>0</v>
      </c>
      <c r="G166" s="303">
        <v>3422.49</v>
      </c>
      <c r="H166" s="303">
        <v>0</v>
      </c>
      <c r="I166" s="303">
        <f>SUM(B166:H166)</f>
        <v>3422.49</v>
      </c>
    </row>
    <row r="167" spans="1:9">
      <c r="A167" s="99" t="s">
        <v>121</v>
      </c>
      <c r="B167" s="303">
        <v>0</v>
      </c>
      <c r="C167" s="303">
        <v>0</v>
      </c>
      <c r="D167" s="303">
        <v>0</v>
      </c>
      <c r="E167" s="303">
        <v>0</v>
      </c>
      <c r="F167" s="303">
        <v>0</v>
      </c>
      <c r="G167" s="303">
        <v>37.26</v>
      </c>
      <c r="H167" s="303">
        <v>0</v>
      </c>
      <c r="I167" s="303">
        <f>SUM(B167:H167)</f>
        <v>37.26</v>
      </c>
    </row>
    <row r="168" spans="1:9" ht="10.5">
      <c r="A168" s="319" t="s">
        <v>122</v>
      </c>
      <c r="B168" s="313">
        <f t="shared" ref="B168:I168" si="42">SUM(B166:B167)</f>
        <v>0</v>
      </c>
      <c r="C168" s="313">
        <f t="shared" si="42"/>
        <v>0</v>
      </c>
      <c r="D168" s="313">
        <f t="shared" si="42"/>
        <v>0</v>
      </c>
      <c r="E168" s="313">
        <f t="shared" si="42"/>
        <v>0</v>
      </c>
      <c r="F168" s="313">
        <f t="shared" si="42"/>
        <v>0</v>
      </c>
      <c r="G168" s="313">
        <f t="shared" si="42"/>
        <v>3459.75</v>
      </c>
      <c r="H168" s="313">
        <f t="shared" si="42"/>
        <v>0</v>
      </c>
      <c r="I168" s="313">
        <f t="shared" si="42"/>
        <v>3459.75</v>
      </c>
    </row>
    <row r="169" spans="1:9" ht="10.5">
      <c r="A169" s="318" t="s">
        <v>123</v>
      </c>
      <c r="B169" s="309"/>
      <c r="C169" s="309"/>
      <c r="D169" s="309"/>
      <c r="E169" s="309"/>
      <c r="F169" s="309"/>
      <c r="G169" s="309"/>
      <c r="H169" s="309"/>
      <c r="I169" s="309"/>
    </row>
    <row r="170" spans="1:9">
      <c r="A170" s="99" t="s">
        <v>124</v>
      </c>
      <c r="B170" s="303">
        <v>0</v>
      </c>
      <c r="C170" s="303">
        <v>0</v>
      </c>
      <c r="D170" s="303">
        <v>0</v>
      </c>
      <c r="E170" s="303">
        <v>0</v>
      </c>
      <c r="F170" s="303">
        <v>0</v>
      </c>
      <c r="G170" s="303">
        <v>252.08</v>
      </c>
      <c r="H170" s="303">
        <v>0</v>
      </c>
      <c r="I170" s="303">
        <f>SUM(B170:H170)</f>
        <v>252.08</v>
      </c>
    </row>
    <row r="171" spans="1:9" ht="10.5">
      <c r="A171" s="319" t="s">
        <v>125</v>
      </c>
      <c r="B171" s="313">
        <f t="shared" ref="B171:I171" si="43">SUM(B170)</f>
        <v>0</v>
      </c>
      <c r="C171" s="313">
        <f t="shared" si="43"/>
        <v>0</v>
      </c>
      <c r="D171" s="313">
        <f t="shared" si="43"/>
        <v>0</v>
      </c>
      <c r="E171" s="313">
        <f t="shared" si="43"/>
        <v>0</v>
      </c>
      <c r="F171" s="313">
        <f t="shared" si="43"/>
        <v>0</v>
      </c>
      <c r="G171" s="313">
        <f t="shared" si="43"/>
        <v>252.08</v>
      </c>
      <c r="H171" s="313">
        <f t="shared" si="43"/>
        <v>0</v>
      </c>
      <c r="I171" s="313">
        <f t="shared" si="43"/>
        <v>252.08</v>
      </c>
    </row>
    <row r="172" spans="1:9" ht="10.5">
      <c r="A172" s="318" t="s">
        <v>126</v>
      </c>
      <c r="B172" s="309"/>
      <c r="C172" s="309"/>
      <c r="D172" s="309"/>
      <c r="E172" s="309"/>
      <c r="F172" s="309"/>
      <c r="G172" s="309"/>
      <c r="H172" s="309"/>
      <c r="I172" s="309"/>
    </row>
    <row r="173" spans="1:9" ht="10.5">
      <c r="A173" s="320" t="s">
        <v>127</v>
      </c>
      <c r="B173" s="309"/>
      <c r="C173" s="309"/>
      <c r="D173" s="309"/>
      <c r="E173" s="309"/>
      <c r="F173" s="309"/>
      <c r="G173" s="309"/>
      <c r="H173" s="309"/>
      <c r="I173" s="309"/>
    </row>
    <row r="174" spans="1:9">
      <c r="A174" s="321" t="s">
        <v>128</v>
      </c>
      <c r="B174" s="303">
        <v>0</v>
      </c>
      <c r="C174" s="303">
        <v>0</v>
      </c>
      <c r="D174" s="303">
        <v>0</v>
      </c>
      <c r="E174" s="303">
        <v>0</v>
      </c>
      <c r="F174" s="303">
        <v>1541.89</v>
      </c>
      <c r="G174" s="303">
        <v>880.85</v>
      </c>
      <c r="H174" s="303">
        <v>0</v>
      </c>
      <c r="I174" s="303">
        <f>SUM(B174:H174)</f>
        <v>2422.7400000000002</v>
      </c>
    </row>
    <row r="175" spans="1:9">
      <c r="A175" s="321" t="s">
        <v>129</v>
      </c>
      <c r="B175" s="303">
        <v>0</v>
      </c>
      <c r="C175" s="303">
        <v>0</v>
      </c>
      <c r="D175" s="303">
        <v>0</v>
      </c>
      <c r="E175" s="303">
        <v>0</v>
      </c>
      <c r="F175" s="303">
        <v>5025.2</v>
      </c>
      <c r="G175" s="303">
        <v>2275.61</v>
      </c>
      <c r="H175" s="303">
        <v>0</v>
      </c>
      <c r="I175" s="303">
        <f>SUM(B175:H175)</f>
        <v>7300.8099999999995</v>
      </c>
    </row>
    <row r="176" spans="1:9">
      <c r="A176" s="321" t="s">
        <v>130</v>
      </c>
      <c r="B176" s="303">
        <v>0</v>
      </c>
      <c r="C176" s="303">
        <v>0</v>
      </c>
      <c r="D176" s="303">
        <v>0</v>
      </c>
      <c r="E176" s="303">
        <v>0</v>
      </c>
      <c r="F176" s="303">
        <v>1017.3</v>
      </c>
      <c r="G176" s="303">
        <v>547.57000000000005</v>
      </c>
      <c r="H176" s="303">
        <v>0</v>
      </c>
      <c r="I176" s="303">
        <f>SUM(B176:H176)</f>
        <v>1564.87</v>
      </c>
    </row>
    <row r="177" spans="1:9">
      <c r="A177" s="321" t="s">
        <v>131</v>
      </c>
      <c r="B177" s="303">
        <v>0</v>
      </c>
      <c r="C177" s="303">
        <v>0</v>
      </c>
      <c r="D177" s="303">
        <v>0</v>
      </c>
      <c r="E177" s="303">
        <v>0</v>
      </c>
      <c r="F177" s="303">
        <v>5205.8500000000004</v>
      </c>
      <c r="G177" s="303">
        <v>1006.17</v>
      </c>
      <c r="H177" s="303">
        <v>0</v>
      </c>
      <c r="I177" s="303">
        <f>SUM(B177:H177)</f>
        <v>6212.02</v>
      </c>
    </row>
    <row r="178" spans="1:9">
      <c r="A178" s="321" t="s">
        <v>132</v>
      </c>
      <c r="B178" s="303">
        <v>0</v>
      </c>
      <c r="C178" s="303">
        <v>0</v>
      </c>
      <c r="D178" s="303">
        <v>0</v>
      </c>
      <c r="E178" s="303">
        <v>0</v>
      </c>
      <c r="F178" s="303">
        <v>686.6</v>
      </c>
      <c r="G178" s="303">
        <v>0</v>
      </c>
      <c r="H178" s="303">
        <v>0</v>
      </c>
      <c r="I178" s="303">
        <f>SUM(B178:H178)</f>
        <v>686.6</v>
      </c>
    </row>
    <row r="179" spans="1:9" ht="10.5">
      <c r="A179" s="322" t="s">
        <v>133</v>
      </c>
      <c r="B179" s="313">
        <f t="shared" ref="B179:I179" si="44">SUM(B174:B178)</f>
        <v>0</v>
      </c>
      <c r="C179" s="313">
        <f t="shared" si="44"/>
        <v>0</v>
      </c>
      <c r="D179" s="313">
        <f t="shared" si="44"/>
        <v>0</v>
      </c>
      <c r="E179" s="313">
        <f t="shared" si="44"/>
        <v>0</v>
      </c>
      <c r="F179" s="313">
        <f t="shared" si="44"/>
        <v>13476.840000000002</v>
      </c>
      <c r="G179" s="313">
        <f t="shared" si="44"/>
        <v>4710.2</v>
      </c>
      <c r="H179" s="313">
        <f t="shared" si="44"/>
        <v>0</v>
      </c>
      <c r="I179" s="313">
        <f t="shared" si="44"/>
        <v>18187.039999999997</v>
      </c>
    </row>
    <row r="180" spans="1:9" ht="10.5">
      <c r="A180" s="319" t="s">
        <v>134</v>
      </c>
      <c r="B180" s="313">
        <f t="shared" ref="B180:I180" si="45">SUM(B179)</f>
        <v>0</v>
      </c>
      <c r="C180" s="313">
        <f t="shared" si="45"/>
        <v>0</v>
      </c>
      <c r="D180" s="313">
        <f t="shared" si="45"/>
        <v>0</v>
      </c>
      <c r="E180" s="313">
        <f t="shared" si="45"/>
        <v>0</v>
      </c>
      <c r="F180" s="313">
        <f t="shared" si="45"/>
        <v>13476.840000000002</v>
      </c>
      <c r="G180" s="313">
        <f t="shared" si="45"/>
        <v>4710.2</v>
      </c>
      <c r="H180" s="313">
        <f t="shared" si="45"/>
        <v>0</v>
      </c>
      <c r="I180" s="313">
        <f t="shared" si="45"/>
        <v>18187.039999999997</v>
      </c>
    </row>
    <row r="181" spans="1:9" ht="10.5">
      <c r="A181" s="318" t="s">
        <v>135</v>
      </c>
      <c r="B181" s="309"/>
      <c r="C181" s="309"/>
      <c r="D181" s="309"/>
      <c r="E181" s="309"/>
      <c r="F181" s="309"/>
      <c r="G181" s="309"/>
      <c r="H181" s="309"/>
      <c r="I181" s="309"/>
    </row>
    <row r="182" spans="1:9" ht="10.5">
      <c r="A182" s="320" t="s">
        <v>136</v>
      </c>
      <c r="B182" s="309"/>
      <c r="C182" s="309"/>
      <c r="D182" s="309"/>
      <c r="E182" s="309"/>
      <c r="F182" s="309"/>
      <c r="G182" s="309"/>
      <c r="H182" s="309"/>
      <c r="I182" s="309"/>
    </row>
    <row r="183" spans="1:9">
      <c r="A183" s="321" t="s">
        <v>137</v>
      </c>
      <c r="B183" s="303">
        <v>0</v>
      </c>
      <c r="C183" s="303">
        <v>0</v>
      </c>
      <c r="D183" s="303">
        <v>0</v>
      </c>
      <c r="E183" s="303">
        <v>0</v>
      </c>
      <c r="F183" s="303">
        <v>0</v>
      </c>
      <c r="G183" s="303">
        <v>15929.75</v>
      </c>
      <c r="H183" s="303">
        <v>0</v>
      </c>
      <c r="I183" s="303">
        <f>SUM(B183:H183)</f>
        <v>15929.75</v>
      </c>
    </row>
    <row r="184" spans="1:9" ht="10.5">
      <c r="A184" s="322" t="s">
        <v>138</v>
      </c>
      <c r="B184" s="313">
        <f t="shared" ref="B184:I185" si="46">SUM(B183)</f>
        <v>0</v>
      </c>
      <c r="C184" s="313">
        <f t="shared" si="46"/>
        <v>0</v>
      </c>
      <c r="D184" s="313">
        <f t="shared" si="46"/>
        <v>0</v>
      </c>
      <c r="E184" s="313">
        <f t="shared" si="46"/>
        <v>0</v>
      </c>
      <c r="F184" s="313">
        <f t="shared" si="46"/>
        <v>0</v>
      </c>
      <c r="G184" s="313">
        <f t="shared" si="46"/>
        <v>15929.75</v>
      </c>
      <c r="H184" s="313">
        <f t="shared" si="46"/>
        <v>0</v>
      </c>
      <c r="I184" s="313">
        <f t="shared" si="46"/>
        <v>15929.75</v>
      </c>
    </row>
    <row r="185" spans="1:9" ht="10.5">
      <c r="A185" s="319" t="s">
        <v>139</v>
      </c>
      <c r="B185" s="313">
        <f t="shared" si="46"/>
        <v>0</v>
      </c>
      <c r="C185" s="313">
        <f t="shared" si="46"/>
        <v>0</v>
      </c>
      <c r="D185" s="313">
        <f t="shared" si="46"/>
        <v>0</v>
      </c>
      <c r="E185" s="313">
        <f t="shared" si="46"/>
        <v>0</v>
      </c>
      <c r="F185" s="313">
        <f t="shared" si="46"/>
        <v>0</v>
      </c>
      <c r="G185" s="313">
        <f t="shared" si="46"/>
        <v>15929.75</v>
      </c>
      <c r="H185" s="313">
        <f t="shared" si="46"/>
        <v>0</v>
      </c>
      <c r="I185" s="313">
        <f t="shared" si="46"/>
        <v>15929.75</v>
      </c>
    </row>
    <row r="186" spans="1:9" ht="10.5">
      <c r="A186" s="318" t="s">
        <v>63</v>
      </c>
      <c r="B186" s="309"/>
      <c r="C186" s="309"/>
      <c r="D186" s="309"/>
      <c r="E186" s="309"/>
      <c r="F186" s="309"/>
      <c r="G186" s="309"/>
      <c r="H186" s="309"/>
      <c r="I186" s="309"/>
    </row>
    <row r="187" spans="1:9" ht="10.5">
      <c r="A187" s="320" t="s">
        <v>71</v>
      </c>
      <c r="B187" s="309"/>
      <c r="C187" s="309"/>
      <c r="D187" s="309"/>
      <c r="E187" s="309"/>
      <c r="F187" s="309"/>
      <c r="G187" s="309"/>
      <c r="H187" s="309"/>
      <c r="I187" s="309"/>
    </row>
    <row r="188" spans="1:9">
      <c r="A188" s="321" t="s">
        <v>72</v>
      </c>
      <c r="B188" s="303">
        <v>0</v>
      </c>
      <c r="C188" s="303">
        <v>0</v>
      </c>
      <c r="D188" s="303">
        <v>0</v>
      </c>
      <c r="E188" s="303">
        <v>0</v>
      </c>
      <c r="F188" s="303">
        <v>73238.64</v>
      </c>
      <c r="G188" s="303">
        <v>28915.57</v>
      </c>
      <c r="H188" s="303">
        <v>11653.77</v>
      </c>
      <c r="I188" s="303">
        <f>SUM(B188:H188)</f>
        <v>113807.98</v>
      </c>
    </row>
    <row r="189" spans="1:9" ht="10.5">
      <c r="A189" s="322" t="s">
        <v>73</v>
      </c>
      <c r="B189" s="313">
        <f t="shared" ref="B189:I189" si="47">SUM(B188)</f>
        <v>0</v>
      </c>
      <c r="C189" s="313">
        <f t="shared" si="47"/>
        <v>0</v>
      </c>
      <c r="D189" s="313">
        <f t="shared" si="47"/>
        <v>0</v>
      </c>
      <c r="E189" s="313">
        <f t="shared" si="47"/>
        <v>0</v>
      </c>
      <c r="F189" s="313">
        <f t="shared" si="47"/>
        <v>73238.64</v>
      </c>
      <c r="G189" s="313">
        <f t="shared" si="47"/>
        <v>28915.57</v>
      </c>
      <c r="H189" s="313">
        <f t="shared" si="47"/>
        <v>11653.77</v>
      </c>
      <c r="I189" s="313">
        <f t="shared" si="47"/>
        <v>113807.98</v>
      </c>
    </row>
    <row r="190" spans="1:9" ht="10.5">
      <c r="A190" s="320" t="s">
        <v>74</v>
      </c>
      <c r="B190" s="309"/>
      <c r="C190" s="309"/>
      <c r="D190" s="309"/>
      <c r="E190" s="309"/>
      <c r="F190" s="309"/>
      <c r="G190" s="309"/>
      <c r="H190" s="309"/>
      <c r="I190" s="309"/>
    </row>
    <row r="191" spans="1:9">
      <c r="A191" s="321" t="s">
        <v>75</v>
      </c>
      <c r="B191" s="303">
        <v>0</v>
      </c>
      <c r="C191" s="303">
        <v>0</v>
      </c>
      <c r="D191" s="303">
        <v>0</v>
      </c>
      <c r="E191" s="303">
        <v>0</v>
      </c>
      <c r="F191" s="303">
        <v>445.57</v>
      </c>
      <c r="G191" s="303">
        <v>1244.5999999999999</v>
      </c>
      <c r="H191" s="303">
        <v>6.14</v>
      </c>
      <c r="I191" s="303">
        <f>SUM(B191:H191)</f>
        <v>1696.31</v>
      </c>
    </row>
    <row r="192" spans="1:9">
      <c r="A192" s="321" t="s">
        <v>76</v>
      </c>
      <c r="B192" s="303">
        <v>0</v>
      </c>
      <c r="C192" s="303">
        <v>0</v>
      </c>
      <c r="D192" s="303">
        <v>0</v>
      </c>
      <c r="E192" s="303">
        <v>0</v>
      </c>
      <c r="F192" s="303">
        <v>1294.5</v>
      </c>
      <c r="G192" s="303">
        <v>658.54</v>
      </c>
      <c r="H192" s="303">
        <v>251.79</v>
      </c>
      <c r="I192" s="303">
        <f>SUM(B192:H192)</f>
        <v>2204.83</v>
      </c>
    </row>
    <row r="193" spans="1:9">
      <c r="A193" s="321" t="s">
        <v>140</v>
      </c>
      <c r="B193" s="303">
        <v>0</v>
      </c>
      <c r="C193" s="303">
        <v>0</v>
      </c>
      <c r="D193" s="303">
        <v>0</v>
      </c>
      <c r="E193" s="303">
        <v>0</v>
      </c>
      <c r="F193" s="303">
        <v>584.57000000000005</v>
      </c>
      <c r="G193" s="303">
        <v>969.21</v>
      </c>
      <c r="H193" s="303">
        <v>0</v>
      </c>
      <c r="I193" s="303">
        <f>SUM(B193:H193)</f>
        <v>1553.7800000000002</v>
      </c>
    </row>
    <row r="194" spans="1:9">
      <c r="A194" s="321" t="s">
        <v>77</v>
      </c>
      <c r="B194" s="303">
        <v>0</v>
      </c>
      <c r="C194" s="303">
        <v>0</v>
      </c>
      <c r="D194" s="303">
        <v>0</v>
      </c>
      <c r="E194" s="303">
        <v>0</v>
      </c>
      <c r="F194" s="303">
        <v>90.45</v>
      </c>
      <c r="G194" s="303">
        <v>3521.64</v>
      </c>
      <c r="H194" s="303">
        <v>548.28</v>
      </c>
      <c r="I194" s="303">
        <f>SUM(B194:H194)</f>
        <v>4160.37</v>
      </c>
    </row>
    <row r="195" spans="1:9" ht="10.5">
      <c r="A195" s="322" t="s">
        <v>78</v>
      </c>
      <c r="B195" s="313">
        <f t="shared" ref="B195:I195" si="48">SUM(B191:B194)</f>
        <v>0</v>
      </c>
      <c r="C195" s="313">
        <f t="shared" si="48"/>
        <v>0</v>
      </c>
      <c r="D195" s="313">
        <f t="shared" si="48"/>
        <v>0</v>
      </c>
      <c r="E195" s="313">
        <f t="shared" si="48"/>
        <v>0</v>
      </c>
      <c r="F195" s="313">
        <f t="shared" si="48"/>
        <v>2415.0899999999997</v>
      </c>
      <c r="G195" s="313">
        <f t="shared" si="48"/>
        <v>6393.99</v>
      </c>
      <c r="H195" s="313">
        <f t="shared" si="48"/>
        <v>806.21</v>
      </c>
      <c r="I195" s="313">
        <f t="shared" si="48"/>
        <v>9615.2900000000009</v>
      </c>
    </row>
    <row r="196" spans="1:9" ht="10.5">
      <c r="A196" s="320" t="s">
        <v>67</v>
      </c>
      <c r="B196" s="309"/>
      <c r="C196" s="309"/>
      <c r="D196" s="309"/>
      <c r="E196" s="309"/>
      <c r="F196" s="309"/>
      <c r="G196" s="309"/>
      <c r="H196" s="309"/>
      <c r="I196" s="309"/>
    </row>
    <row r="197" spans="1:9">
      <c r="A197" s="321" t="s">
        <v>69</v>
      </c>
      <c r="B197" s="303">
        <v>0</v>
      </c>
      <c r="C197" s="303">
        <v>0</v>
      </c>
      <c r="D197" s="303">
        <v>0</v>
      </c>
      <c r="E197" s="303">
        <v>0</v>
      </c>
      <c r="F197" s="303">
        <v>2921.04</v>
      </c>
      <c r="G197" s="303">
        <v>649.54999999999995</v>
      </c>
      <c r="H197" s="303">
        <v>182.47</v>
      </c>
      <c r="I197" s="303">
        <f>SUM(B197:H197)</f>
        <v>3753.06</v>
      </c>
    </row>
    <row r="198" spans="1:9">
      <c r="A198" s="321" t="s">
        <v>68</v>
      </c>
      <c r="B198" s="303">
        <v>0</v>
      </c>
      <c r="C198" s="303">
        <v>0</v>
      </c>
      <c r="D198" s="303">
        <v>0</v>
      </c>
      <c r="E198" s="303">
        <v>0</v>
      </c>
      <c r="F198" s="303">
        <v>2934.55</v>
      </c>
      <c r="G198" s="303">
        <v>446.03</v>
      </c>
      <c r="H198" s="303">
        <v>876.99</v>
      </c>
      <c r="I198" s="303">
        <f>SUM(B198:H198)</f>
        <v>4257.57</v>
      </c>
    </row>
    <row r="199" spans="1:9" ht="10.5">
      <c r="A199" s="322" t="s">
        <v>70</v>
      </c>
      <c r="B199" s="313">
        <f t="shared" ref="B199:I199" si="49">SUM(B197:B198)</f>
        <v>0</v>
      </c>
      <c r="C199" s="313">
        <f t="shared" si="49"/>
        <v>0</v>
      </c>
      <c r="D199" s="313">
        <f t="shared" si="49"/>
        <v>0</v>
      </c>
      <c r="E199" s="313">
        <f t="shared" si="49"/>
        <v>0</v>
      </c>
      <c r="F199" s="313">
        <f t="shared" si="49"/>
        <v>5855.59</v>
      </c>
      <c r="G199" s="313">
        <f t="shared" si="49"/>
        <v>1095.58</v>
      </c>
      <c r="H199" s="313">
        <f t="shared" si="49"/>
        <v>1059.46</v>
      </c>
      <c r="I199" s="313">
        <f t="shared" si="49"/>
        <v>8010.6299999999992</v>
      </c>
    </row>
    <row r="200" spans="1:9" ht="10.5">
      <c r="A200" s="320" t="s">
        <v>64</v>
      </c>
      <c r="B200" s="309"/>
      <c r="C200" s="309"/>
      <c r="D200" s="309"/>
      <c r="E200" s="309"/>
      <c r="F200" s="309"/>
      <c r="G200" s="309"/>
      <c r="H200" s="309"/>
      <c r="I200" s="309"/>
    </row>
    <row r="201" spans="1:9">
      <c r="A201" s="321" t="s">
        <v>65</v>
      </c>
      <c r="B201" s="303">
        <v>0</v>
      </c>
      <c r="C201" s="303">
        <v>0</v>
      </c>
      <c r="D201" s="303">
        <v>0</v>
      </c>
      <c r="E201" s="303">
        <v>0</v>
      </c>
      <c r="F201" s="303">
        <v>1707.58</v>
      </c>
      <c r="G201" s="303">
        <v>0</v>
      </c>
      <c r="H201" s="303">
        <v>0</v>
      </c>
      <c r="I201" s="303">
        <f>SUM(B201:H201)</f>
        <v>1707.58</v>
      </c>
    </row>
    <row r="202" spans="1:9" ht="10.5">
      <c r="A202" s="322" t="s">
        <v>66</v>
      </c>
      <c r="B202" s="313">
        <f t="shared" ref="B202:I202" si="50">SUM(B201)</f>
        <v>0</v>
      </c>
      <c r="C202" s="313">
        <f t="shared" si="50"/>
        <v>0</v>
      </c>
      <c r="D202" s="313">
        <f t="shared" si="50"/>
        <v>0</v>
      </c>
      <c r="E202" s="313">
        <f t="shared" si="50"/>
        <v>0</v>
      </c>
      <c r="F202" s="313">
        <f t="shared" si="50"/>
        <v>1707.58</v>
      </c>
      <c r="G202" s="313">
        <f t="shared" si="50"/>
        <v>0</v>
      </c>
      <c r="H202" s="313">
        <f t="shared" si="50"/>
        <v>0</v>
      </c>
      <c r="I202" s="313">
        <f t="shared" si="50"/>
        <v>1707.58</v>
      </c>
    </row>
    <row r="203" spans="1:9" ht="10.5">
      <c r="A203" s="319" t="s">
        <v>79</v>
      </c>
      <c r="B203" s="313">
        <f t="shared" ref="B203:I203" si="51">SUM(B189,B195,B199,B202)</f>
        <v>0</v>
      </c>
      <c r="C203" s="313">
        <f t="shared" si="51"/>
        <v>0</v>
      </c>
      <c r="D203" s="313">
        <f t="shared" si="51"/>
        <v>0</v>
      </c>
      <c r="E203" s="313">
        <f t="shared" si="51"/>
        <v>0</v>
      </c>
      <c r="F203" s="313">
        <f t="shared" si="51"/>
        <v>83216.899999999994</v>
      </c>
      <c r="G203" s="313">
        <f t="shared" si="51"/>
        <v>36405.14</v>
      </c>
      <c r="H203" s="313">
        <f t="shared" si="51"/>
        <v>13519.439999999999</v>
      </c>
      <c r="I203" s="313">
        <f t="shared" si="51"/>
        <v>133141.47999999998</v>
      </c>
    </row>
    <row r="204" spans="1:9" ht="10.5">
      <c r="A204" s="318" t="s">
        <v>58</v>
      </c>
      <c r="B204" s="309"/>
      <c r="C204" s="309"/>
      <c r="D204" s="309"/>
      <c r="E204" s="309"/>
      <c r="F204" s="309"/>
      <c r="G204" s="309"/>
      <c r="H204" s="309"/>
      <c r="I204" s="309"/>
    </row>
    <row r="205" spans="1:9">
      <c r="A205" s="99" t="s">
        <v>59</v>
      </c>
      <c r="B205" s="303">
        <v>0</v>
      </c>
      <c r="C205" s="303">
        <v>0</v>
      </c>
      <c r="D205" s="303">
        <v>0</v>
      </c>
      <c r="E205" s="303">
        <v>0</v>
      </c>
      <c r="F205" s="303">
        <v>1305.1600000000001</v>
      </c>
      <c r="G205" s="303">
        <v>2471.84</v>
      </c>
      <c r="H205" s="303">
        <v>98.49</v>
      </c>
      <c r="I205" s="303">
        <f>SUM(B205:H205)</f>
        <v>3875.49</v>
      </c>
    </row>
    <row r="206" spans="1:9">
      <c r="A206" s="99" t="s">
        <v>61</v>
      </c>
      <c r="B206" s="303">
        <v>0</v>
      </c>
      <c r="C206" s="303">
        <v>0</v>
      </c>
      <c r="D206" s="303">
        <v>0</v>
      </c>
      <c r="E206" s="303">
        <v>0</v>
      </c>
      <c r="F206" s="303">
        <v>219.43</v>
      </c>
      <c r="G206" s="303">
        <v>15.86</v>
      </c>
      <c r="H206" s="303">
        <v>0</v>
      </c>
      <c r="I206" s="303">
        <f>SUM(B206:H206)</f>
        <v>235.29000000000002</v>
      </c>
    </row>
    <row r="207" spans="1:9">
      <c r="A207" s="99" t="s">
        <v>60</v>
      </c>
      <c r="B207" s="303">
        <v>0</v>
      </c>
      <c r="C207" s="303">
        <v>0</v>
      </c>
      <c r="D207" s="303">
        <v>0</v>
      </c>
      <c r="E207" s="303">
        <v>0</v>
      </c>
      <c r="F207" s="303">
        <v>126.39</v>
      </c>
      <c r="G207" s="303">
        <v>191.95</v>
      </c>
      <c r="H207" s="303">
        <v>45.46</v>
      </c>
      <c r="I207" s="303">
        <f>SUM(B207:H207)</f>
        <v>363.79999999999995</v>
      </c>
    </row>
    <row r="208" spans="1:9" ht="10.5">
      <c r="A208" s="319" t="s">
        <v>62</v>
      </c>
      <c r="B208" s="313">
        <f t="shared" ref="B208:I208" si="52">SUM(B205:B207)</f>
        <v>0</v>
      </c>
      <c r="C208" s="313">
        <f t="shared" si="52"/>
        <v>0</v>
      </c>
      <c r="D208" s="313">
        <f t="shared" si="52"/>
        <v>0</v>
      </c>
      <c r="E208" s="313">
        <f t="shared" si="52"/>
        <v>0</v>
      </c>
      <c r="F208" s="313">
        <f t="shared" si="52"/>
        <v>1650.9800000000002</v>
      </c>
      <c r="G208" s="313">
        <f t="shared" si="52"/>
        <v>2679.65</v>
      </c>
      <c r="H208" s="313">
        <f t="shared" si="52"/>
        <v>143.94999999999999</v>
      </c>
      <c r="I208" s="313">
        <f t="shared" si="52"/>
        <v>4474.58</v>
      </c>
    </row>
    <row r="209" spans="1:9" ht="10.5">
      <c r="A209" s="312" t="s">
        <v>141</v>
      </c>
      <c r="B209" s="313">
        <f t="shared" ref="B209:I209" si="53">SUM(B139,B151,B158,B161,B164,B168,B171,B180,B185,B203,B208)</f>
        <v>0</v>
      </c>
      <c r="C209" s="313">
        <f t="shared" si="53"/>
        <v>0</v>
      </c>
      <c r="D209" s="313">
        <f t="shared" si="53"/>
        <v>0</v>
      </c>
      <c r="E209" s="313">
        <f t="shared" si="53"/>
        <v>0</v>
      </c>
      <c r="F209" s="313">
        <f t="shared" si="53"/>
        <v>918171.59999999986</v>
      </c>
      <c r="G209" s="313">
        <f t="shared" si="53"/>
        <v>618385.29999999993</v>
      </c>
      <c r="H209" s="313">
        <f t="shared" si="53"/>
        <v>16191.61</v>
      </c>
      <c r="I209" s="313">
        <f t="shared" si="53"/>
        <v>1552748.5100000002</v>
      </c>
    </row>
    <row r="210" spans="1:9" ht="10.5">
      <c r="A210" s="311" t="s">
        <v>142</v>
      </c>
      <c r="B210" s="309"/>
      <c r="C210" s="309"/>
      <c r="D210" s="309"/>
      <c r="E210" s="309"/>
      <c r="F210" s="309"/>
      <c r="G210" s="309"/>
      <c r="H210" s="309"/>
      <c r="I210" s="309"/>
    </row>
    <row r="211" spans="1:9" ht="10.5">
      <c r="A211" s="318" t="s">
        <v>86</v>
      </c>
      <c r="B211" s="309"/>
      <c r="C211" s="309"/>
      <c r="D211" s="309"/>
      <c r="E211" s="309"/>
      <c r="F211" s="309"/>
      <c r="G211" s="309"/>
      <c r="H211" s="309"/>
      <c r="I211" s="309"/>
    </row>
    <row r="212" spans="1:9">
      <c r="A212" s="99" t="s">
        <v>101</v>
      </c>
      <c r="B212" s="303">
        <v>47114.11</v>
      </c>
      <c r="C212" s="303">
        <v>0</v>
      </c>
      <c r="D212" s="303">
        <v>0</v>
      </c>
      <c r="E212" s="303">
        <v>0</v>
      </c>
      <c r="F212" s="303">
        <v>0</v>
      </c>
      <c r="G212" s="303">
        <v>1202993.1299999999</v>
      </c>
      <c r="H212" s="303">
        <v>262878.15000000002</v>
      </c>
      <c r="I212" s="303">
        <f>SUM(B212:H212)</f>
        <v>1512985.3900000001</v>
      </c>
    </row>
    <row r="213" spans="1:9">
      <c r="A213" s="99" t="s">
        <v>143</v>
      </c>
      <c r="B213" s="303">
        <v>0</v>
      </c>
      <c r="C213" s="303">
        <v>0</v>
      </c>
      <c r="D213" s="303">
        <v>0</v>
      </c>
      <c r="E213" s="303">
        <v>0</v>
      </c>
      <c r="F213" s="303">
        <v>0</v>
      </c>
      <c r="G213" s="303">
        <v>-4930.79</v>
      </c>
      <c r="H213" s="303">
        <v>0</v>
      </c>
      <c r="I213" s="303">
        <f>SUM(B213:H213)</f>
        <v>-4930.79</v>
      </c>
    </row>
    <row r="214" spans="1:9">
      <c r="A214" s="99" t="s">
        <v>102</v>
      </c>
      <c r="B214" s="303">
        <v>0</v>
      </c>
      <c r="C214" s="303">
        <v>0</v>
      </c>
      <c r="D214" s="303">
        <v>0</v>
      </c>
      <c r="E214" s="303">
        <v>0</v>
      </c>
      <c r="F214" s="303">
        <v>0</v>
      </c>
      <c r="G214" s="303">
        <v>108.93</v>
      </c>
      <c r="H214" s="303">
        <v>0</v>
      </c>
      <c r="I214" s="303">
        <f>SUM(B214:H214)</f>
        <v>108.93</v>
      </c>
    </row>
    <row r="215" spans="1:9">
      <c r="A215" s="99" t="s">
        <v>144</v>
      </c>
      <c r="B215" s="303">
        <v>0</v>
      </c>
      <c r="C215" s="303">
        <v>0</v>
      </c>
      <c r="D215" s="303">
        <v>0</v>
      </c>
      <c r="E215" s="303">
        <v>0</v>
      </c>
      <c r="F215" s="303">
        <v>0</v>
      </c>
      <c r="G215" s="303">
        <v>0</v>
      </c>
      <c r="H215" s="303">
        <v>561.08000000000004</v>
      </c>
      <c r="I215" s="303">
        <f>SUM(B215:H215)</f>
        <v>561.08000000000004</v>
      </c>
    </row>
    <row r="216" spans="1:9" ht="10.5">
      <c r="A216" s="320" t="s">
        <v>87</v>
      </c>
      <c r="B216" s="309"/>
      <c r="C216" s="309"/>
      <c r="D216" s="309"/>
      <c r="E216" s="309"/>
      <c r="F216" s="309"/>
      <c r="G216" s="309"/>
      <c r="H216" s="309"/>
      <c r="I216" s="309"/>
    </row>
    <row r="217" spans="1:9">
      <c r="A217" s="321" t="s">
        <v>88</v>
      </c>
      <c r="B217" s="303">
        <v>0</v>
      </c>
      <c r="C217" s="303">
        <v>0</v>
      </c>
      <c r="D217" s="303">
        <v>0</v>
      </c>
      <c r="E217" s="303">
        <v>0</v>
      </c>
      <c r="F217" s="303">
        <v>0</v>
      </c>
      <c r="G217" s="303">
        <v>5548.41</v>
      </c>
      <c r="H217" s="303">
        <v>0</v>
      </c>
      <c r="I217" s="303">
        <f>SUM(B217:H217)</f>
        <v>5548.41</v>
      </c>
    </row>
    <row r="218" spans="1:9">
      <c r="A218" s="321" t="s">
        <v>89</v>
      </c>
      <c r="B218" s="303">
        <v>0</v>
      </c>
      <c r="C218" s="303">
        <v>0</v>
      </c>
      <c r="D218" s="303">
        <v>0</v>
      </c>
      <c r="E218" s="303">
        <v>0</v>
      </c>
      <c r="F218" s="303">
        <v>0</v>
      </c>
      <c r="G218" s="303">
        <v>41628.660000000003</v>
      </c>
      <c r="H218" s="303">
        <v>9143.36</v>
      </c>
      <c r="I218" s="303">
        <f>SUM(B218:H218)</f>
        <v>50772.020000000004</v>
      </c>
    </row>
    <row r="219" spans="1:9">
      <c r="A219" s="321" t="s">
        <v>104</v>
      </c>
      <c r="B219" s="303">
        <v>0</v>
      </c>
      <c r="C219" s="303">
        <v>0</v>
      </c>
      <c r="D219" s="303">
        <v>0</v>
      </c>
      <c r="E219" s="303">
        <v>0</v>
      </c>
      <c r="F219" s="303">
        <v>0</v>
      </c>
      <c r="G219" s="303">
        <v>607.44000000000005</v>
      </c>
      <c r="H219" s="303">
        <v>0</v>
      </c>
      <c r="I219" s="303">
        <f>SUM(B219:H219)</f>
        <v>607.44000000000005</v>
      </c>
    </row>
    <row r="220" spans="1:9">
      <c r="A220" s="321" t="s">
        <v>90</v>
      </c>
      <c r="B220" s="303">
        <v>0</v>
      </c>
      <c r="C220" s="303">
        <v>0</v>
      </c>
      <c r="D220" s="303">
        <v>0</v>
      </c>
      <c r="E220" s="303">
        <v>0</v>
      </c>
      <c r="F220" s="303">
        <v>0</v>
      </c>
      <c r="G220" s="303">
        <v>4511.93</v>
      </c>
      <c r="H220" s="303">
        <v>1029.45</v>
      </c>
      <c r="I220" s="303">
        <f>SUM(B220:H220)</f>
        <v>5541.38</v>
      </c>
    </row>
    <row r="221" spans="1:9" ht="10.5">
      <c r="A221" s="322" t="s">
        <v>91</v>
      </c>
      <c r="B221" s="313">
        <f t="shared" ref="B221:I221" si="54">SUM(B217:B220)</f>
        <v>0</v>
      </c>
      <c r="C221" s="313">
        <f t="shared" si="54"/>
        <v>0</v>
      </c>
      <c r="D221" s="313">
        <f t="shared" si="54"/>
        <v>0</v>
      </c>
      <c r="E221" s="313">
        <f t="shared" si="54"/>
        <v>0</v>
      </c>
      <c r="F221" s="313">
        <f t="shared" si="54"/>
        <v>0</v>
      </c>
      <c r="G221" s="313">
        <f t="shared" si="54"/>
        <v>52296.44000000001</v>
      </c>
      <c r="H221" s="313">
        <f t="shared" si="54"/>
        <v>10172.810000000001</v>
      </c>
      <c r="I221" s="313">
        <f t="shared" si="54"/>
        <v>62469.250000000007</v>
      </c>
    </row>
    <row r="222" spans="1:9" ht="10.5">
      <c r="A222" s="319" t="s">
        <v>92</v>
      </c>
      <c r="B222" s="313">
        <f t="shared" ref="B222:I222" si="55">SUM(B212:B215,B221)</f>
        <v>47114.11</v>
      </c>
      <c r="C222" s="313">
        <f t="shared" si="55"/>
        <v>0</v>
      </c>
      <c r="D222" s="313">
        <f t="shared" si="55"/>
        <v>0</v>
      </c>
      <c r="E222" s="313">
        <f t="shared" si="55"/>
        <v>0</v>
      </c>
      <c r="F222" s="313">
        <f t="shared" si="55"/>
        <v>0</v>
      </c>
      <c r="G222" s="313">
        <f t="shared" si="55"/>
        <v>1250467.7099999997</v>
      </c>
      <c r="H222" s="313">
        <f t="shared" si="55"/>
        <v>273612.04000000004</v>
      </c>
      <c r="I222" s="313">
        <f t="shared" si="55"/>
        <v>1571193.86</v>
      </c>
    </row>
    <row r="223" spans="1:9" ht="10.5">
      <c r="A223" s="318" t="s">
        <v>83</v>
      </c>
      <c r="B223" s="309"/>
      <c r="C223" s="309"/>
      <c r="D223" s="309"/>
      <c r="E223" s="309"/>
      <c r="F223" s="309"/>
      <c r="G223" s="309"/>
      <c r="H223" s="309"/>
      <c r="I223" s="309"/>
    </row>
    <row r="224" spans="1:9">
      <c r="A224" s="99" t="s">
        <v>84</v>
      </c>
      <c r="B224" s="303">
        <v>0</v>
      </c>
      <c r="C224" s="303">
        <v>0</v>
      </c>
      <c r="D224" s="303">
        <v>0</v>
      </c>
      <c r="E224" s="303">
        <v>0</v>
      </c>
      <c r="F224" s="303">
        <v>0</v>
      </c>
      <c r="G224" s="303">
        <v>0</v>
      </c>
      <c r="H224" s="303">
        <v>4664.49</v>
      </c>
      <c r="I224" s="303">
        <f t="shared" ref="I224:I235" si="56">SUM(B224:H224)</f>
        <v>4664.49</v>
      </c>
    </row>
    <row r="225" spans="1:9">
      <c r="A225" s="99" t="s">
        <v>145</v>
      </c>
      <c r="B225" s="303">
        <v>405</v>
      </c>
      <c r="C225" s="303">
        <v>0</v>
      </c>
      <c r="D225" s="303">
        <v>0</v>
      </c>
      <c r="E225" s="303">
        <v>0</v>
      </c>
      <c r="F225" s="303">
        <v>0</v>
      </c>
      <c r="G225" s="303">
        <v>0</v>
      </c>
      <c r="H225" s="303">
        <v>0</v>
      </c>
      <c r="I225" s="303">
        <f t="shared" si="56"/>
        <v>405</v>
      </c>
    </row>
    <row r="226" spans="1:9">
      <c r="A226" s="99" t="s">
        <v>105</v>
      </c>
      <c r="B226" s="303">
        <v>0</v>
      </c>
      <c r="C226" s="303">
        <v>0</v>
      </c>
      <c r="D226" s="303">
        <v>0</v>
      </c>
      <c r="E226" s="303">
        <v>0</v>
      </c>
      <c r="F226" s="303">
        <v>0</v>
      </c>
      <c r="G226" s="303">
        <v>1808.86</v>
      </c>
      <c r="H226" s="303">
        <v>0</v>
      </c>
      <c r="I226" s="303">
        <f t="shared" si="56"/>
        <v>1808.86</v>
      </c>
    </row>
    <row r="227" spans="1:9">
      <c r="A227" s="99" t="s">
        <v>106</v>
      </c>
      <c r="B227" s="303">
        <v>0</v>
      </c>
      <c r="C227" s="303">
        <v>0</v>
      </c>
      <c r="D227" s="303">
        <v>0</v>
      </c>
      <c r="E227" s="303">
        <v>0</v>
      </c>
      <c r="F227" s="303">
        <v>0</v>
      </c>
      <c r="G227" s="303">
        <v>-1808.86</v>
      </c>
      <c r="H227" s="303">
        <v>0</v>
      </c>
      <c r="I227" s="303">
        <f t="shared" si="56"/>
        <v>-1808.86</v>
      </c>
    </row>
    <row r="228" spans="1:9">
      <c r="A228" s="99" t="s">
        <v>107</v>
      </c>
      <c r="B228" s="303">
        <v>0</v>
      </c>
      <c r="C228" s="303">
        <v>0</v>
      </c>
      <c r="D228" s="303">
        <v>0</v>
      </c>
      <c r="E228" s="303">
        <v>0</v>
      </c>
      <c r="F228" s="303">
        <v>0</v>
      </c>
      <c r="G228" s="303">
        <v>12243.85</v>
      </c>
      <c r="H228" s="303">
        <v>0</v>
      </c>
      <c r="I228" s="303">
        <f t="shared" si="56"/>
        <v>12243.85</v>
      </c>
    </row>
    <row r="229" spans="1:9">
      <c r="A229" s="99" t="s">
        <v>108</v>
      </c>
      <c r="B229" s="303">
        <v>0</v>
      </c>
      <c r="C229" s="303">
        <v>0</v>
      </c>
      <c r="D229" s="303">
        <v>0</v>
      </c>
      <c r="E229" s="303">
        <v>0</v>
      </c>
      <c r="F229" s="303">
        <v>0</v>
      </c>
      <c r="G229" s="303">
        <v>-12243.84</v>
      </c>
      <c r="H229" s="303">
        <v>0</v>
      </c>
      <c r="I229" s="303">
        <f t="shared" si="56"/>
        <v>-12243.84</v>
      </c>
    </row>
    <row r="230" spans="1:9">
      <c r="A230" s="99" t="s">
        <v>109</v>
      </c>
      <c r="B230" s="303">
        <v>0</v>
      </c>
      <c r="C230" s="303">
        <v>0</v>
      </c>
      <c r="D230" s="303">
        <v>0</v>
      </c>
      <c r="E230" s="303">
        <v>0</v>
      </c>
      <c r="F230" s="303">
        <v>0</v>
      </c>
      <c r="G230" s="303">
        <v>34978.269999999997</v>
      </c>
      <c r="H230" s="303">
        <v>0</v>
      </c>
      <c r="I230" s="303">
        <f t="shared" si="56"/>
        <v>34978.269999999997</v>
      </c>
    </row>
    <row r="231" spans="1:9">
      <c r="A231" s="99" t="s">
        <v>110</v>
      </c>
      <c r="B231" s="303">
        <v>0</v>
      </c>
      <c r="C231" s="303">
        <v>0</v>
      </c>
      <c r="D231" s="303">
        <v>0</v>
      </c>
      <c r="E231" s="303">
        <v>0</v>
      </c>
      <c r="F231" s="303">
        <v>0</v>
      </c>
      <c r="G231" s="303">
        <v>-34978.25</v>
      </c>
      <c r="H231" s="303">
        <v>0</v>
      </c>
      <c r="I231" s="303">
        <f t="shared" si="56"/>
        <v>-34978.25</v>
      </c>
    </row>
    <row r="232" spans="1:9">
      <c r="A232" s="99" t="s">
        <v>111</v>
      </c>
      <c r="B232" s="303">
        <v>0</v>
      </c>
      <c r="C232" s="303">
        <v>0</v>
      </c>
      <c r="D232" s="303">
        <v>0</v>
      </c>
      <c r="E232" s="303">
        <v>0</v>
      </c>
      <c r="F232" s="303">
        <v>0</v>
      </c>
      <c r="G232" s="303">
        <v>39141.550000000003</v>
      </c>
      <c r="H232" s="303">
        <v>0</v>
      </c>
      <c r="I232" s="303">
        <f t="shared" si="56"/>
        <v>39141.550000000003</v>
      </c>
    </row>
    <row r="233" spans="1:9">
      <c r="A233" s="99" t="s">
        <v>112</v>
      </c>
      <c r="B233" s="303">
        <v>0</v>
      </c>
      <c r="C233" s="303">
        <v>0</v>
      </c>
      <c r="D233" s="303">
        <v>0</v>
      </c>
      <c r="E233" s="303">
        <v>0</v>
      </c>
      <c r="F233" s="303">
        <v>0</v>
      </c>
      <c r="G233" s="303">
        <v>-39141.550000000003</v>
      </c>
      <c r="H233" s="303">
        <v>0</v>
      </c>
      <c r="I233" s="303">
        <f t="shared" si="56"/>
        <v>-39141.550000000003</v>
      </c>
    </row>
    <row r="234" spans="1:9">
      <c r="A234" s="99" t="s">
        <v>596</v>
      </c>
      <c r="B234" s="303">
        <v>3604.2</v>
      </c>
      <c r="C234" s="303">
        <v>0</v>
      </c>
      <c r="D234" s="303">
        <v>0</v>
      </c>
      <c r="E234" s="303">
        <v>0</v>
      </c>
      <c r="F234" s="303">
        <v>0</v>
      </c>
      <c r="G234" s="303">
        <v>84511.15</v>
      </c>
      <c r="H234" s="303">
        <v>68290.69</v>
      </c>
      <c r="I234" s="303">
        <f t="shared" si="56"/>
        <v>156406.03999999998</v>
      </c>
    </row>
    <row r="235" spans="1:9">
      <c r="A235" s="99" t="s">
        <v>146</v>
      </c>
      <c r="B235" s="303">
        <v>0</v>
      </c>
      <c r="C235" s="303">
        <v>0</v>
      </c>
      <c r="D235" s="303">
        <v>0</v>
      </c>
      <c r="E235" s="303">
        <v>0</v>
      </c>
      <c r="F235" s="303">
        <v>0</v>
      </c>
      <c r="G235" s="303">
        <v>0</v>
      </c>
      <c r="H235" s="303">
        <v>1075.1099999999999</v>
      </c>
      <c r="I235" s="303">
        <f t="shared" si="56"/>
        <v>1075.1099999999999</v>
      </c>
    </row>
    <row r="236" spans="1:9" ht="10.5">
      <c r="A236" s="319" t="s">
        <v>85</v>
      </c>
      <c r="B236" s="313">
        <f t="shared" ref="B236:I236" si="57">SUM(B224:B235)</f>
        <v>4009.2</v>
      </c>
      <c r="C236" s="313">
        <f t="shared" si="57"/>
        <v>0</v>
      </c>
      <c r="D236" s="313">
        <f t="shared" si="57"/>
        <v>0</v>
      </c>
      <c r="E236" s="313">
        <f t="shared" si="57"/>
        <v>0</v>
      </c>
      <c r="F236" s="313">
        <f t="shared" si="57"/>
        <v>0</v>
      </c>
      <c r="G236" s="313">
        <f t="shared" si="57"/>
        <v>84511.18</v>
      </c>
      <c r="H236" s="313">
        <f t="shared" si="57"/>
        <v>74030.290000000008</v>
      </c>
      <c r="I236" s="313">
        <f t="shared" si="57"/>
        <v>162550.66999999995</v>
      </c>
    </row>
    <row r="237" spans="1:9" ht="10.5">
      <c r="A237" s="318" t="s">
        <v>54</v>
      </c>
      <c r="B237" s="309"/>
      <c r="C237" s="309"/>
      <c r="D237" s="309"/>
      <c r="E237" s="309"/>
      <c r="F237" s="309"/>
      <c r="G237" s="309"/>
      <c r="H237" s="309"/>
      <c r="I237" s="309"/>
    </row>
    <row r="238" spans="1:9">
      <c r="A238" s="99" t="s">
        <v>56</v>
      </c>
      <c r="B238" s="303">
        <v>0</v>
      </c>
      <c r="C238" s="303">
        <v>0</v>
      </c>
      <c r="D238" s="303">
        <v>0</v>
      </c>
      <c r="E238" s="303">
        <v>0</v>
      </c>
      <c r="F238" s="303">
        <v>0</v>
      </c>
      <c r="G238" s="303">
        <v>427.2</v>
      </c>
      <c r="H238" s="303">
        <v>705.96</v>
      </c>
      <c r="I238" s="303">
        <f>SUM(B238:H238)</f>
        <v>1133.1600000000001</v>
      </c>
    </row>
    <row r="239" spans="1:9">
      <c r="A239" s="99" t="s">
        <v>113</v>
      </c>
      <c r="B239" s="303">
        <v>0</v>
      </c>
      <c r="C239" s="303">
        <v>0</v>
      </c>
      <c r="D239" s="303">
        <v>0</v>
      </c>
      <c r="E239" s="303">
        <v>0</v>
      </c>
      <c r="F239" s="303">
        <v>0</v>
      </c>
      <c r="G239" s="303">
        <v>75008.710000000006</v>
      </c>
      <c r="H239" s="303">
        <v>0</v>
      </c>
      <c r="I239" s="303">
        <f>SUM(B239:H239)</f>
        <v>75008.710000000006</v>
      </c>
    </row>
    <row r="240" spans="1:9">
      <c r="A240" s="99" t="s">
        <v>55</v>
      </c>
      <c r="B240" s="303">
        <v>21437.119999999999</v>
      </c>
      <c r="C240" s="303">
        <v>0</v>
      </c>
      <c r="D240" s="303">
        <v>0</v>
      </c>
      <c r="E240" s="303">
        <v>0</v>
      </c>
      <c r="F240" s="303">
        <v>0</v>
      </c>
      <c r="G240" s="303">
        <v>0</v>
      </c>
      <c r="H240" s="303">
        <v>0</v>
      </c>
      <c r="I240" s="303">
        <f>SUM(B240:H240)</f>
        <v>21437.119999999999</v>
      </c>
    </row>
    <row r="241" spans="1:9">
      <c r="A241" s="99" t="s">
        <v>114</v>
      </c>
      <c r="B241" s="303">
        <v>0</v>
      </c>
      <c r="C241" s="303">
        <v>0</v>
      </c>
      <c r="D241" s="303">
        <v>0</v>
      </c>
      <c r="E241" s="303">
        <v>0</v>
      </c>
      <c r="F241" s="303">
        <v>0</v>
      </c>
      <c r="G241" s="303">
        <v>147459.67000000001</v>
      </c>
      <c r="H241" s="303">
        <v>33907.980000000003</v>
      </c>
      <c r="I241" s="303">
        <f>SUM(B241:H241)</f>
        <v>181367.65000000002</v>
      </c>
    </row>
    <row r="242" spans="1:9" ht="10.5">
      <c r="A242" s="319" t="s">
        <v>57</v>
      </c>
      <c r="B242" s="313">
        <f t="shared" ref="B242:I242" si="58">SUM(B238:B241)</f>
        <v>21437.119999999999</v>
      </c>
      <c r="C242" s="313">
        <f t="shared" si="58"/>
        <v>0</v>
      </c>
      <c r="D242" s="313">
        <f t="shared" si="58"/>
        <v>0</v>
      </c>
      <c r="E242" s="313">
        <f t="shared" si="58"/>
        <v>0</v>
      </c>
      <c r="F242" s="313">
        <f t="shared" si="58"/>
        <v>0</v>
      </c>
      <c r="G242" s="313">
        <f t="shared" si="58"/>
        <v>222895.58000000002</v>
      </c>
      <c r="H242" s="313">
        <f t="shared" si="58"/>
        <v>34613.94</v>
      </c>
      <c r="I242" s="313">
        <f t="shared" si="58"/>
        <v>278946.64</v>
      </c>
    </row>
    <row r="243" spans="1:9" ht="10.5">
      <c r="A243" s="318" t="s">
        <v>116</v>
      </c>
      <c r="B243" s="309"/>
      <c r="C243" s="309"/>
      <c r="D243" s="309"/>
      <c r="E243" s="309"/>
      <c r="F243" s="309"/>
      <c r="G243" s="309"/>
      <c r="H243" s="309"/>
      <c r="I243" s="309"/>
    </row>
    <row r="244" spans="1:9">
      <c r="A244" s="99" t="s">
        <v>117</v>
      </c>
      <c r="B244" s="303">
        <v>0</v>
      </c>
      <c r="C244" s="303">
        <v>0</v>
      </c>
      <c r="D244" s="303">
        <v>0</v>
      </c>
      <c r="E244" s="303">
        <v>0</v>
      </c>
      <c r="F244" s="303">
        <v>0</v>
      </c>
      <c r="G244" s="303">
        <v>18691.060000000001</v>
      </c>
      <c r="H244" s="303">
        <v>1148.45</v>
      </c>
      <c r="I244" s="303">
        <f>SUM(B244:H244)</f>
        <v>19839.510000000002</v>
      </c>
    </row>
    <row r="245" spans="1:9" ht="10.5">
      <c r="A245" s="319" t="s">
        <v>118</v>
      </c>
      <c r="B245" s="313">
        <f t="shared" ref="B245:I245" si="59">SUM(B244)</f>
        <v>0</v>
      </c>
      <c r="C245" s="313">
        <f t="shared" si="59"/>
        <v>0</v>
      </c>
      <c r="D245" s="313">
        <f t="shared" si="59"/>
        <v>0</v>
      </c>
      <c r="E245" s="313">
        <f t="shared" si="59"/>
        <v>0</v>
      </c>
      <c r="F245" s="313">
        <f t="shared" si="59"/>
        <v>0</v>
      </c>
      <c r="G245" s="313">
        <f t="shared" si="59"/>
        <v>18691.060000000001</v>
      </c>
      <c r="H245" s="313">
        <f t="shared" si="59"/>
        <v>1148.45</v>
      </c>
      <c r="I245" s="313">
        <f t="shared" si="59"/>
        <v>19839.510000000002</v>
      </c>
    </row>
    <row r="246" spans="1:9" ht="10.5">
      <c r="A246" s="318" t="s">
        <v>80</v>
      </c>
      <c r="B246" s="309"/>
      <c r="C246" s="309"/>
      <c r="D246" s="309"/>
      <c r="E246" s="309"/>
      <c r="F246" s="309"/>
      <c r="G246" s="309"/>
      <c r="H246" s="309"/>
      <c r="I246" s="309"/>
    </row>
    <row r="247" spans="1:9">
      <c r="A247" s="99" t="s">
        <v>81</v>
      </c>
      <c r="B247" s="303">
        <v>1178.49</v>
      </c>
      <c r="C247" s="303">
        <v>0</v>
      </c>
      <c r="D247" s="303">
        <v>0</v>
      </c>
      <c r="E247" s="303">
        <v>0</v>
      </c>
      <c r="F247" s="303">
        <v>0</v>
      </c>
      <c r="G247" s="303">
        <v>550.32000000000005</v>
      </c>
      <c r="H247" s="303">
        <v>0</v>
      </c>
      <c r="I247" s="303">
        <f>SUM(B247:H247)</f>
        <v>1728.81</v>
      </c>
    </row>
    <row r="248" spans="1:9" ht="10.5">
      <c r="A248" s="319" t="s">
        <v>82</v>
      </c>
      <c r="B248" s="313">
        <f t="shared" ref="B248:I248" si="60">SUM(B247)</f>
        <v>1178.49</v>
      </c>
      <c r="C248" s="313">
        <f t="shared" si="60"/>
        <v>0</v>
      </c>
      <c r="D248" s="313">
        <f t="shared" si="60"/>
        <v>0</v>
      </c>
      <c r="E248" s="313">
        <f t="shared" si="60"/>
        <v>0</v>
      </c>
      <c r="F248" s="313">
        <f t="shared" si="60"/>
        <v>0</v>
      </c>
      <c r="G248" s="313">
        <f t="shared" si="60"/>
        <v>550.32000000000005</v>
      </c>
      <c r="H248" s="313">
        <f t="shared" si="60"/>
        <v>0</v>
      </c>
      <c r="I248" s="313">
        <f t="shared" si="60"/>
        <v>1728.81</v>
      </c>
    </row>
    <row r="249" spans="1:9" ht="10.5">
      <c r="A249" s="318" t="s">
        <v>119</v>
      </c>
      <c r="B249" s="309"/>
      <c r="C249" s="309"/>
      <c r="D249" s="309"/>
      <c r="E249" s="309"/>
      <c r="F249" s="309"/>
      <c r="G249" s="309"/>
      <c r="H249" s="309"/>
      <c r="I249" s="309"/>
    </row>
    <row r="250" spans="1:9">
      <c r="A250" s="99" t="s">
        <v>120</v>
      </c>
      <c r="B250" s="303">
        <v>0</v>
      </c>
      <c r="C250" s="303">
        <v>0</v>
      </c>
      <c r="D250" s="303">
        <v>0</v>
      </c>
      <c r="E250" s="303">
        <v>0</v>
      </c>
      <c r="F250" s="303">
        <v>0</v>
      </c>
      <c r="G250" s="303">
        <v>20157.82</v>
      </c>
      <c r="H250" s="303">
        <v>20679.05</v>
      </c>
      <c r="I250" s="303">
        <f>SUM(B250:H250)</f>
        <v>40836.869999999995</v>
      </c>
    </row>
    <row r="251" spans="1:9">
      <c r="A251" s="99" t="s">
        <v>121</v>
      </c>
      <c r="B251" s="303">
        <v>0</v>
      </c>
      <c r="C251" s="303">
        <v>0</v>
      </c>
      <c r="D251" s="303">
        <v>0</v>
      </c>
      <c r="E251" s="303">
        <v>0</v>
      </c>
      <c r="F251" s="303">
        <v>0</v>
      </c>
      <c r="G251" s="303">
        <v>25463.42</v>
      </c>
      <c r="H251" s="303">
        <v>0</v>
      </c>
      <c r="I251" s="303">
        <f>SUM(B251:H251)</f>
        <v>25463.42</v>
      </c>
    </row>
    <row r="252" spans="1:9" ht="10.5">
      <c r="A252" s="319" t="s">
        <v>122</v>
      </c>
      <c r="B252" s="313">
        <f t="shared" ref="B252:I252" si="61">SUM(B250:B251)</f>
        <v>0</v>
      </c>
      <c r="C252" s="313">
        <f t="shared" si="61"/>
        <v>0</v>
      </c>
      <c r="D252" s="313">
        <f t="shared" si="61"/>
        <v>0</v>
      </c>
      <c r="E252" s="313">
        <f t="shared" si="61"/>
        <v>0</v>
      </c>
      <c r="F252" s="313">
        <f t="shared" si="61"/>
        <v>0</v>
      </c>
      <c r="G252" s="313">
        <f t="shared" si="61"/>
        <v>45621.24</v>
      </c>
      <c r="H252" s="313">
        <f t="shared" si="61"/>
        <v>20679.05</v>
      </c>
      <c r="I252" s="313">
        <f t="shared" si="61"/>
        <v>66300.289999999994</v>
      </c>
    </row>
    <row r="253" spans="1:9" ht="10.5">
      <c r="A253" s="318" t="s">
        <v>123</v>
      </c>
      <c r="B253" s="309"/>
      <c r="C253" s="309"/>
      <c r="D253" s="309"/>
      <c r="E253" s="309"/>
      <c r="F253" s="309"/>
      <c r="G253" s="309"/>
      <c r="H253" s="309"/>
      <c r="I253" s="309"/>
    </row>
    <row r="254" spans="1:9">
      <c r="A254" s="99" t="s">
        <v>124</v>
      </c>
      <c r="B254" s="303">
        <v>0</v>
      </c>
      <c r="C254" s="303">
        <v>0</v>
      </c>
      <c r="D254" s="303">
        <v>0</v>
      </c>
      <c r="E254" s="303">
        <v>0</v>
      </c>
      <c r="F254" s="303">
        <v>0</v>
      </c>
      <c r="G254" s="303">
        <v>884.12</v>
      </c>
      <c r="H254" s="303">
        <v>2414.84</v>
      </c>
      <c r="I254" s="303">
        <f>SUM(B254:H254)</f>
        <v>3298.96</v>
      </c>
    </row>
    <row r="255" spans="1:9" ht="10.5">
      <c r="A255" s="319" t="s">
        <v>125</v>
      </c>
      <c r="B255" s="313">
        <f t="shared" ref="B255:I255" si="62">SUM(B254)</f>
        <v>0</v>
      </c>
      <c r="C255" s="313">
        <f t="shared" si="62"/>
        <v>0</v>
      </c>
      <c r="D255" s="313">
        <f t="shared" si="62"/>
        <v>0</v>
      </c>
      <c r="E255" s="313">
        <f t="shared" si="62"/>
        <v>0</v>
      </c>
      <c r="F255" s="313">
        <f t="shared" si="62"/>
        <v>0</v>
      </c>
      <c r="G255" s="313">
        <f t="shared" si="62"/>
        <v>884.12</v>
      </c>
      <c r="H255" s="313">
        <f t="shared" si="62"/>
        <v>2414.84</v>
      </c>
      <c r="I255" s="313">
        <f t="shared" si="62"/>
        <v>3298.96</v>
      </c>
    </row>
    <row r="256" spans="1:9" ht="10.5">
      <c r="A256" s="318" t="s">
        <v>126</v>
      </c>
      <c r="B256" s="309"/>
      <c r="C256" s="309"/>
      <c r="D256" s="309"/>
      <c r="E256" s="309"/>
      <c r="F256" s="309"/>
      <c r="G256" s="309"/>
      <c r="H256" s="309"/>
      <c r="I256" s="309"/>
    </row>
    <row r="257" spans="1:9" ht="10.5">
      <c r="A257" s="320" t="s">
        <v>127</v>
      </c>
      <c r="B257" s="309"/>
      <c r="C257" s="309"/>
      <c r="D257" s="309"/>
      <c r="E257" s="309"/>
      <c r="F257" s="309"/>
      <c r="G257" s="309"/>
      <c r="H257" s="309"/>
      <c r="I257" s="309"/>
    </row>
    <row r="258" spans="1:9">
      <c r="A258" s="321" t="s">
        <v>128</v>
      </c>
      <c r="B258" s="303">
        <v>0</v>
      </c>
      <c r="C258" s="303">
        <v>0</v>
      </c>
      <c r="D258" s="303">
        <v>0</v>
      </c>
      <c r="E258" s="303">
        <v>0</v>
      </c>
      <c r="F258" s="303">
        <v>0</v>
      </c>
      <c r="G258" s="303">
        <v>3851.86</v>
      </c>
      <c r="H258" s="303">
        <v>1957.87</v>
      </c>
      <c r="I258" s="303">
        <f>SUM(B258:H258)</f>
        <v>5809.73</v>
      </c>
    </row>
    <row r="259" spans="1:9">
      <c r="A259" s="321" t="s">
        <v>129</v>
      </c>
      <c r="B259" s="303">
        <v>0</v>
      </c>
      <c r="C259" s="303">
        <v>0</v>
      </c>
      <c r="D259" s="303">
        <v>0</v>
      </c>
      <c r="E259" s="303">
        <v>0</v>
      </c>
      <c r="F259" s="303">
        <v>0</v>
      </c>
      <c r="G259" s="303">
        <v>0</v>
      </c>
      <c r="H259" s="303">
        <v>13365.29</v>
      </c>
      <c r="I259" s="303">
        <f>SUM(B259:H259)</f>
        <v>13365.29</v>
      </c>
    </row>
    <row r="260" spans="1:9">
      <c r="A260" s="321" t="s">
        <v>130</v>
      </c>
      <c r="B260" s="303">
        <v>0</v>
      </c>
      <c r="C260" s="303">
        <v>0</v>
      </c>
      <c r="D260" s="303">
        <v>0</v>
      </c>
      <c r="E260" s="303">
        <v>0</v>
      </c>
      <c r="F260" s="303">
        <v>0</v>
      </c>
      <c r="G260" s="303">
        <v>104.33</v>
      </c>
      <c r="H260" s="303">
        <v>1736.61</v>
      </c>
      <c r="I260" s="303">
        <f>SUM(B260:H260)</f>
        <v>1840.9399999999998</v>
      </c>
    </row>
    <row r="261" spans="1:9">
      <c r="A261" s="321" t="s">
        <v>131</v>
      </c>
      <c r="B261" s="303">
        <v>0</v>
      </c>
      <c r="C261" s="303">
        <v>0</v>
      </c>
      <c r="D261" s="303">
        <v>0</v>
      </c>
      <c r="E261" s="303">
        <v>0</v>
      </c>
      <c r="F261" s="303">
        <v>0</v>
      </c>
      <c r="G261" s="303">
        <v>181.93</v>
      </c>
      <c r="H261" s="303">
        <v>4107.4799999999996</v>
      </c>
      <c r="I261" s="303">
        <f>SUM(B261:H261)</f>
        <v>4289.41</v>
      </c>
    </row>
    <row r="262" spans="1:9" ht="10.5">
      <c r="A262" s="322" t="s">
        <v>133</v>
      </c>
      <c r="B262" s="313">
        <f t="shared" ref="B262:I262" si="63">SUM(B258:B261)</f>
        <v>0</v>
      </c>
      <c r="C262" s="313">
        <f t="shared" si="63"/>
        <v>0</v>
      </c>
      <c r="D262" s="313">
        <f t="shared" si="63"/>
        <v>0</v>
      </c>
      <c r="E262" s="313">
        <f t="shared" si="63"/>
        <v>0</v>
      </c>
      <c r="F262" s="313">
        <f t="shared" si="63"/>
        <v>0</v>
      </c>
      <c r="G262" s="313">
        <f t="shared" si="63"/>
        <v>4138.12</v>
      </c>
      <c r="H262" s="313">
        <f t="shared" si="63"/>
        <v>21167.25</v>
      </c>
      <c r="I262" s="313">
        <f t="shared" si="63"/>
        <v>25305.37</v>
      </c>
    </row>
    <row r="263" spans="1:9" ht="10.5">
      <c r="A263" s="319" t="s">
        <v>134</v>
      </c>
      <c r="B263" s="313">
        <f t="shared" ref="B263:I263" si="64">SUM(B262)</f>
        <v>0</v>
      </c>
      <c r="C263" s="313">
        <f t="shared" si="64"/>
        <v>0</v>
      </c>
      <c r="D263" s="313">
        <f t="shared" si="64"/>
        <v>0</v>
      </c>
      <c r="E263" s="313">
        <f t="shared" si="64"/>
        <v>0</v>
      </c>
      <c r="F263" s="313">
        <f t="shared" si="64"/>
        <v>0</v>
      </c>
      <c r="G263" s="313">
        <f t="shared" si="64"/>
        <v>4138.12</v>
      </c>
      <c r="H263" s="313">
        <f t="shared" si="64"/>
        <v>21167.25</v>
      </c>
      <c r="I263" s="313">
        <f t="shared" si="64"/>
        <v>25305.37</v>
      </c>
    </row>
    <row r="264" spans="1:9" ht="10.5">
      <c r="A264" s="318" t="s">
        <v>147</v>
      </c>
      <c r="B264" s="309"/>
      <c r="C264" s="309"/>
      <c r="D264" s="309"/>
      <c r="E264" s="309"/>
      <c r="F264" s="309"/>
      <c r="G264" s="309"/>
      <c r="H264" s="309"/>
      <c r="I264" s="309"/>
    </row>
    <row r="265" spans="1:9">
      <c r="A265" s="99" t="s">
        <v>148</v>
      </c>
      <c r="B265" s="303">
        <v>0</v>
      </c>
      <c r="C265" s="303">
        <v>0</v>
      </c>
      <c r="D265" s="303">
        <v>0</v>
      </c>
      <c r="E265" s="303">
        <v>0</v>
      </c>
      <c r="F265" s="303">
        <v>0</v>
      </c>
      <c r="G265" s="303">
        <v>48489.65</v>
      </c>
      <c r="H265" s="303">
        <v>0</v>
      </c>
      <c r="I265" s="303">
        <f>SUM(B265:H265)</f>
        <v>48489.65</v>
      </c>
    </row>
    <row r="266" spans="1:9" ht="10.5">
      <c r="A266" s="319" t="s">
        <v>149</v>
      </c>
      <c r="B266" s="313">
        <f t="shared" ref="B266:I266" si="65">SUM(B265)</f>
        <v>0</v>
      </c>
      <c r="C266" s="313">
        <f t="shared" si="65"/>
        <v>0</v>
      </c>
      <c r="D266" s="313">
        <f t="shared" si="65"/>
        <v>0</v>
      </c>
      <c r="E266" s="313">
        <f t="shared" si="65"/>
        <v>0</v>
      </c>
      <c r="F266" s="313">
        <f t="shared" si="65"/>
        <v>0</v>
      </c>
      <c r="G266" s="313">
        <f t="shared" si="65"/>
        <v>48489.65</v>
      </c>
      <c r="H266" s="313">
        <f t="shared" si="65"/>
        <v>0</v>
      </c>
      <c r="I266" s="313">
        <f t="shared" si="65"/>
        <v>48489.65</v>
      </c>
    </row>
    <row r="267" spans="1:9" ht="10.5">
      <c r="A267" s="318" t="s">
        <v>135</v>
      </c>
      <c r="B267" s="309"/>
      <c r="C267" s="309"/>
      <c r="D267" s="309"/>
      <c r="E267" s="309"/>
      <c r="F267" s="309"/>
      <c r="G267" s="309"/>
      <c r="H267" s="309"/>
      <c r="I267" s="309"/>
    </row>
    <row r="268" spans="1:9" ht="10.5">
      <c r="A268" s="320" t="s">
        <v>136</v>
      </c>
      <c r="B268" s="309"/>
      <c r="C268" s="309"/>
      <c r="D268" s="309"/>
      <c r="E268" s="309"/>
      <c r="F268" s="309"/>
      <c r="G268" s="309"/>
      <c r="H268" s="309"/>
      <c r="I268" s="309"/>
    </row>
    <row r="269" spans="1:9">
      <c r="A269" s="321" t="s">
        <v>137</v>
      </c>
      <c r="B269" s="303">
        <v>0</v>
      </c>
      <c r="C269" s="303">
        <v>0</v>
      </c>
      <c r="D269" s="303">
        <v>0</v>
      </c>
      <c r="E269" s="303">
        <v>0</v>
      </c>
      <c r="F269" s="303">
        <v>0</v>
      </c>
      <c r="G269" s="303">
        <v>376144.92</v>
      </c>
      <c r="H269" s="303">
        <v>0</v>
      </c>
      <c r="I269" s="303">
        <f>SUM(B269:H269)</f>
        <v>376144.92</v>
      </c>
    </row>
    <row r="270" spans="1:9">
      <c r="A270" s="321" t="s">
        <v>150</v>
      </c>
      <c r="B270" s="303">
        <v>0</v>
      </c>
      <c r="C270" s="303">
        <v>0</v>
      </c>
      <c r="D270" s="303">
        <v>0</v>
      </c>
      <c r="E270" s="303">
        <v>0</v>
      </c>
      <c r="F270" s="303">
        <v>0</v>
      </c>
      <c r="G270" s="303">
        <v>45020</v>
      </c>
      <c r="H270" s="303">
        <v>610.91</v>
      </c>
      <c r="I270" s="303">
        <f>SUM(B270:H270)</f>
        <v>45630.91</v>
      </c>
    </row>
    <row r="271" spans="1:9" ht="10.5">
      <c r="A271" s="322" t="s">
        <v>138</v>
      </c>
      <c r="B271" s="313">
        <f t="shared" ref="B271:I271" si="66">SUM(B269:B270)</f>
        <v>0</v>
      </c>
      <c r="C271" s="313">
        <f t="shared" si="66"/>
        <v>0</v>
      </c>
      <c r="D271" s="313">
        <f t="shared" si="66"/>
        <v>0</v>
      </c>
      <c r="E271" s="313">
        <f t="shared" si="66"/>
        <v>0</v>
      </c>
      <c r="F271" s="313">
        <f t="shared" si="66"/>
        <v>0</v>
      </c>
      <c r="G271" s="313">
        <f t="shared" si="66"/>
        <v>421164.92</v>
      </c>
      <c r="H271" s="313">
        <f t="shared" si="66"/>
        <v>610.91</v>
      </c>
      <c r="I271" s="313">
        <f t="shared" si="66"/>
        <v>421775.82999999996</v>
      </c>
    </row>
    <row r="272" spans="1:9" ht="10.5">
      <c r="A272" s="319" t="s">
        <v>139</v>
      </c>
      <c r="B272" s="313">
        <f t="shared" ref="B272:I272" si="67">SUM(B271)</f>
        <v>0</v>
      </c>
      <c r="C272" s="313">
        <f t="shared" si="67"/>
        <v>0</v>
      </c>
      <c r="D272" s="313">
        <f t="shared" si="67"/>
        <v>0</v>
      </c>
      <c r="E272" s="313">
        <f t="shared" si="67"/>
        <v>0</v>
      </c>
      <c r="F272" s="313">
        <f t="shared" si="67"/>
        <v>0</v>
      </c>
      <c r="G272" s="313">
        <f t="shared" si="67"/>
        <v>421164.92</v>
      </c>
      <c r="H272" s="313">
        <f t="shared" si="67"/>
        <v>610.91</v>
      </c>
      <c r="I272" s="313">
        <f t="shared" si="67"/>
        <v>421775.82999999996</v>
      </c>
    </row>
    <row r="273" spans="1:9" ht="10.5">
      <c r="A273" s="318" t="s">
        <v>63</v>
      </c>
      <c r="B273" s="309"/>
      <c r="C273" s="309"/>
      <c r="D273" s="309"/>
      <c r="E273" s="309"/>
      <c r="F273" s="309"/>
      <c r="G273" s="309"/>
      <c r="H273" s="309"/>
      <c r="I273" s="309"/>
    </row>
    <row r="274" spans="1:9" ht="10.5">
      <c r="A274" s="320" t="s">
        <v>71</v>
      </c>
      <c r="B274" s="309"/>
      <c r="C274" s="309"/>
      <c r="D274" s="309"/>
      <c r="E274" s="309"/>
      <c r="F274" s="309"/>
      <c r="G274" s="309"/>
      <c r="H274" s="309"/>
      <c r="I274" s="309"/>
    </row>
    <row r="275" spans="1:9">
      <c r="A275" s="321" t="s">
        <v>72</v>
      </c>
      <c r="B275" s="303">
        <v>22234.5</v>
      </c>
      <c r="C275" s="303">
        <v>0</v>
      </c>
      <c r="D275" s="303">
        <v>0</v>
      </c>
      <c r="E275" s="303">
        <v>0</v>
      </c>
      <c r="F275" s="303">
        <v>0</v>
      </c>
      <c r="G275" s="303">
        <v>144577.95000000001</v>
      </c>
      <c r="H275" s="303">
        <v>35855.410000000003</v>
      </c>
      <c r="I275" s="303">
        <f>SUM(B275:H275)</f>
        <v>202667.86000000002</v>
      </c>
    </row>
    <row r="276" spans="1:9">
      <c r="A276" s="321" t="s">
        <v>151</v>
      </c>
      <c r="B276" s="303">
        <v>0</v>
      </c>
      <c r="C276" s="303">
        <v>0</v>
      </c>
      <c r="D276" s="303">
        <v>0</v>
      </c>
      <c r="E276" s="303">
        <v>0</v>
      </c>
      <c r="F276" s="303">
        <v>0</v>
      </c>
      <c r="G276" s="303">
        <v>0</v>
      </c>
      <c r="H276" s="303">
        <v>798.88</v>
      </c>
      <c r="I276" s="303">
        <f>SUM(B276:H276)</f>
        <v>798.88</v>
      </c>
    </row>
    <row r="277" spans="1:9" ht="10.5">
      <c r="A277" s="322" t="s">
        <v>73</v>
      </c>
      <c r="B277" s="313">
        <f t="shared" ref="B277:I277" si="68">SUM(B275:B276)</f>
        <v>22234.5</v>
      </c>
      <c r="C277" s="313">
        <f t="shared" si="68"/>
        <v>0</v>
      </c>
      <c r="D277" s="313">
        <f t="shared" si="68"/>
        <v>0</v>
      </c>
      <c r="E277" s="313">
        <f t="shared" si="68"/>
        <v>0</v>
      </c>
      <c r="F277" s="313">
        <f t="shared" si="68"/>
        <v>0</v>
      </c>
      <c r="G277" s="313">
        <f t="shared" si="68"/>
        <v>144577.95000000001</v>
      </c>
      <c r="H277" s="313">
        <f t="shared" si="68"/>
        <v>36654.29</v>
      </c>
      <c r="I277" s="313">
        <f t="shared" si="68"/>
        <v>203466.74000000002</v>
      </c>
    </row>
    <row r="278" spans="1:9" ht="10.5">
      <c r="A278" s="320" t="s">
        <v>74</v>
      </c>
      <c r="B278" s="309"/>
      <c r="C278" s="309"/>
      <c r="D278" s="309"/>
      <c r="E278" s="309"/>
      <c r="F278" s="309"/>
      <c r="G278" s="309"/>
      <c r="H278" s="309"/>
      <c r="I278" s="309"/>
    </row>
    <row r="279" spans="1:9">
      <c r="A279" s="321" t="s">
        <v>75</v>
      </c>
      <c r="B279" s="303">
        <v>0</v>
      </c>
      <c r="C279" s="303">
        <v>0</v>
      </c>
      <c r="D279" s="303">
        <v>0</v>
      </c>
      <c r="E279" s="303">
        <v>0</v>
      </c>
      <c r="F279" s="303">
        <v>0</v>
      </c>
      <c r="G279" s="303">
        <v>6222.96</v>
      </c>
      <c r="H279" s="303">
        <v>18.420000000000002</v>
      </c>
      <c r="I279" s="303">
        <f>SUM(B279:H279)</f>
        <v>6241.38</v>
      </c>
    </row>
    <row r="280" spans="1:9">
      <c r="A280" s="321" t="s">
        <v>76</v>
      </c>
      <c r="B280" s="303">
        <v>669.12</v>
      </c>
      <c r="C280" s="303">
        <v>0</v>
      </c>
      <c r="D280" s="303">
        <v>0</v>
      </c>
      <c r="E280" s="303">
        <v>0</v>
      </c>
      <c r="F280" s="303">
        <v>0</v>
      </c>
      <c r="G280" s="303">
        <v>3700.55</v>
      </c>
      <c r="H280" s="303">
        <v>755.37</v>
      </c>
      <c r="I280" s="303">
        <f>SUM(B280:H280)</f>
        <v>5125.04</v>
      </c>
    </row>
    <row r="281" spans="1:9">
      <c r="A281" s="321" t="s">
        <v>140</v>
      </c>
      <c r="B281" s="303">
        <v>0</v>
      </c>
      <c r="C281" s="303">
        <v>0</v>
      </c>
      <c r="D281" s="303">
        <v>0</v>
      </c>
      <c r="E281" s="303">
        <v>0</v>
      </c>
      <c r="F281" s="303">
        <v>0</v>
      </c>
      <c r="G281" s="303">
        <v>43951.33</v>
      </c>
      <c r="H281" s="303">
        <v>90</v>
      </c>
      <c r="I281" s="303">
        <f>SUM(B281:H281)</f>
        <v>44041.33</v>
      </c>
    </row>
    <row r="282" spans="1:9">
      <c r="A282" s="321" t="s">
        <v>77</v>
      </c>
      <c r="B282" s="303">
        <v>0</v>
      </c>
      <c r="C282" s="303">
        <v>0</v>
      </c>
      <c r="D282" s="303">
        <v>0</v>
      </c>
      <c r="E282" s="303">
        <v>0</v>
      </c>
      <c r="F282" s="303">
        <v>0</v>
      </c>
      <c r="G282" s="303">
        <v>17931.43</v>
      </c>
      <c r="H282" s="303">
        <v>1689.95</v>
      </c>
      <c r="I282" s="303">
        <f>SUM(B282:H282)</f>
        <v>19621.38</v>
      </c>
    </row>
    <row r="283" spans="1:9" ht="10.5">
      <c r="A283" s="322" t="s">
        <v>78</v>
      </c>
      <c r="B283" s="313">
        <f t="shared" ref="B283:I283" si="69">SUM(B279:B282)</f>
        <v>669.12</v>
      </c>
      <c r="C283" s="313">
        <f t="shared" si="69"/>
        <v>0</v>
      </c>
      <c r="D283" s="313">
        <f t="shared" si="69"/>
        <v>0</v>
      </c>
      <c r="E283" s="313">
        <f t="shared" si="69"/>
        <v>0</v>
      </c>
      <c r="F283" s="313">
        <f t="shared" si="69"/>
        <v>0</v>
      </c>
      <c r="G283" s="313">
        <f t="shared" si="69"/>
        <v>71806.27</v>
      </c>
      <c r="H283" s="313">
        <f t="shared" si="69"/>
        <v>2553.7399999999998</v>
      </c>
      <c r="I283" s="313">
        <f t="shared" si="69"/>
        <v>75029.13</v>
      </c>
    </row>
    <row r="284" spans="1:9" ht="10.5">
      <c r="A284" s="320" t="s">
        <v>67</v>
      </c>
      <c r="B284" s="309"/>
      <c r="C284" s="309"/>
      <c r="D284" s="309"/>
      <c r="E284" s="309"/>
      <c r="F284" s="309"/>
      <c r="G284" s="309"/>
      <c r="H284" s="309"/>
      <c r="I284" s="309"/>
    </row>
    <row r="285" spans="1:9">
      <c r="A285" s="321" t="s">
        <v>69</v>
      </c>
      <c r="B285" s="303">
        <v>57</v>
      </c>
      <c r="C285" s="303">
        <v>0</v>
      </c>
      <c r="D285" s="303">
        <v>0</v>
      </c>
      <c r="E285" s="303">
        <v>0</v>
      </c>
      <c r="F285" s="303">
        <v>0</v>
      </c>
      <c r="G285" s="303">
        <v>3247.79</v>
      </c>
      <c r="H285" s="303">
        <v>768.34</v>
      </c>
      <c r="I285" s="303">
        <f>SUM(B285:H285)</f>
        <v>4073.13</v>
      </c>
    </row>
    <row r="286" spans="1:9">
      <c r="A286" s="321" t="s">
        <v>68</v>
      </c>
      <c r="B286" s="303">
        <v>0</v>
      </c>
      <c r="C286" s="303">
        <v>0</v>
      </c>
      <c r="D286" s="303">
        <v>0</v>
      </c>
      <c r="E286" s="303">
        <v>0</v>
      </c>
      <c r="F286" s="303">
        <v>0</v>
      </c>
      <c r="G286" s="303">
        <v>2230.0500000000002</v>
      </c>
      <c r="H286" s="303">
        <v>2680.67</v>
      </c>
      <c r="I286" s="303">
        <f>SUM(B286:H286)</f>
        <v>4910.72</v>
      </c>
    </row>
    <row r="287" spans="1:9" ht="10.5">
      <c r="A287" s="322" t="s">
        <v>70</v>
      </c>
      <c r="B287" s="313">
        <f t="shared" ref="B287:I287" si="70">SUM(B285:B286)</f>
        <v>57</v>
      </c>
      <c r="C287" s="313">
        <f t="shared" si="70"/>
        <v>0</v>
      </c>
      <c r="D287" s="313">
        <f t="shared" si="70"/>
        <v>0</v>
      </c>
      <c r="E287" s="313">
        <f t="shared" si="70"/>
        <v>0</v>
      </c>
      <c r="F287" s="313">
        <f t="shared" si="70"/>
        <v>0</v>
      </c>
      <c r="G287" s="313">
        <f t="shared" si="70"/>
        <v>5477.84</v>
      </c>
      <c r="H287" s="313">
        <f t="shared" si="70"/>
        <v>3449.01</v>
      </c>
      <c r="I287" s="313">
        <f t="shared" si="70"/>
        <v>8983.85</v>
      </c>
    </row>
    <row r="288" spans="1:9" ht="10.5">
      <c r="A288" s="320" t="s">
        <v>64</v>
      </c>
      <c r="B288" s="309"/>
      <c r="C288" s="309"/>
      <c r="D288" s="309"/>
      <c r="E288" s="309"/>
      <c r="F288" s="309"/>
      <c r="G288" s="309"/>
      <c r="H288" s="309"/>
      <c r="I288" s="309"/>
    </row>
    <row r="289" spans="1:10">
      <c r="A289" s="321" t="s">
        <v>65</v>
      </c>
      <c r="B289" s="303">
        <v>0</v>
      </c>
      <c r="C289" s="303">
        <v>0</v>
      </c>
      <c r="D289" s="303">
        <v>0</v>
      </c>
      <c r="E289" s="303">
        <v>0</v>
      </c>
      <c r="F289" s="303">
        <v>0</v>
      </c>
      <c r="G289" s="303">
        <v>-71.02</v>
      </c>
      <c r="H289" s="303">
        <v>0</v>
      </c>
      <c r="I289" s="303">
        <f>SUM(B289:H289)</f>
        <v>-71.02</v>
      </c>
    </row>
    <row r="290" spans="1:10" ht="10.5">
      <c r="A290" s="322" t="s">
        <v>66</v>
      </c>
      <c r="B290" s="313">
        <f t="shared" ref="B290:I290" si="71">SUM(B289)</f>
        <v>0</v>
      </c>
      <c r="C290" s="313">
        <f t="shared" si="71"/>
        <v>0</v>
      </c>
      <c r="D290" s="313">
        <f t="shared" si="71"/>
        <v>0</v>
      </c>
      <c r="E290" s="313">
        <f t="shared" si="71"/>
        <v>0</v>
      </c>
      <c r="F290" s="313">
        <f t="shared" si="71"/>
        <v>0</v>
      </c>
      <c r="G290" s="313">
        <f t="shared" si="71"/>
        <v>-71.02</v>
      </c>
      <c r="H290" s="313">
        <f t="shared" si="71"/>
        <v>0</v>
      </c>
      <c r="I290" s="313">
        <f t="shared" si="71"/>
        <v>-71.02</v>
      </c>
    </row>
    <row r="291" spans="1:10" ht="10.5">
      <c r="A291" s="319" t="s">
        <v>79</v>
      </c>
      <c r="B291" s="313">
        <f t="shared" ref="B291:I291" si="72">SUM(B277,B283,B287,B290)</f>
        <v>22960.62</v>
      </c>
      <c r="C291" s="313">
        <f t="shared" si="72"/>
        <v>0</v>
      </c>
      <c r="D291" s="313">
        <f t="shared" si="72"/>
        <v>0</v>
      </c>
      <c r="E291" s="313">
        <f t="shared" si="72"/>
        <v>0</v>
      </c>
      <c r="F291" s="313">
        <f t="shared" si="72"/>
        <v>0</v>
      </c>
      <c r="G291" s="313">
        <f t="shared" si="72"/>
        <v>221791.04000000004</v>
      </c>
      <c r="H291" s="313">
        <f t="shared" si="72"/>
        <v>42657.04</v>
      </c>
      <c r="I291" s="313">
        <f t="shared" si="72"/>
        <v>287408.69999999995</v>
      </c>
    </row>
    <row r="292" spans="1:10" ht="10.5">
      <c r="A292" s="318" t="s">
        <v>58</v>
      </c>
      <c r="B292" s="309"/>
      <c r="C292" s="309"/>
      <c r="D292" s="309"/>
      <c r="E292" s="309"/>
      <c r="F292" s="309"/>
      <c r="G292" s="309"/>
      <c r="H292" s="309"/>
      <c r="I292" s="309"/>
    </row>
    <row r="293" spans="1:10">
      <c r="A293" s="99" t="s">
        <v>59</v>
      </c>
      <c r="B293" s="303">
        <v>0</v>
      </c>
      <c r="C293" s="303">
        <v>0</v>
      </c>
      <c r="D293" s="303">
        <v>0</v>
      </c>
      <c r="E293" s="303">
        <v>0</v>
      </c>
      <c r="F293" s="303">
        <v>0</v>
      </c>
      <c r="G293" s="303">
        <v>12358.83</v>
      </c>
      <c r="H293" s="303">
        <v>318.52999999999997</v>
      </c>
      <c r="I293" s="303">
        <f>SUM(B293:H293)</f>
        <v>12677.36</v>
      </c>
    </row>
    <row r="294" spans="1:10">
      <c r="A294" s="99" t="s">
        <v>61</v>
      </c>
      <c r="B294" s="303">
        <v>7.04</v>
      </c>
      <c r="C294" s="303">
        <v>0</v>
      </c>
      <c r="D294" s="303">
        <v>0</v>
      </c>
      <c r="E294" s="303">
        <v>0</v>
      </c>
      <c r="F294" s="303">
        <v>0</v>
      </c>
      <c r="G294" s="303">
        <v>79.52</v>
      </c>
      <c r="H294" s="303">
        <v>0</v>
      </c>
      <c r="I294" s="303">
        <f>SUM(B294:H294)</f>
        <v>86.56</v>
      </c>
    </row>
    <row r="295" spans="1:10">
      <c r="A295" s="99" t="s">
        <v>60</v>
      </c>
      <c r="B295" s="303">
        <v>16.34</v>
      </c>
      <c r="C295" s="303">
        <v>0</v>
      </c>
      <c r="D295" s="303">
        <v>0</v>
      </c>
      <c r="E295" s="303">
        <v>0</v>
      </c>
      <c r="F295" s="303">
        <v>0</v>
      </c>
      <c r="G295" s="303">
        <v>959.97</v>
      </c>
      <c r="H295" s="303">
        <v>141.41999999999999</v>
      </c>
      <c r="I295" s="303">
        <f>SUM(B295:H295)</f>
        <v>1117.73</v>
      </c>
    </row>
    <row r="296" spans="1:10" ht="10.5">
      <c r="A296" s="319" t="s">
        <v>62</v>
      </c>
      <c r="B296" s="313">
        <f t="shared" ref="B296:I296" si="73">SUM(B293:B295)</f>
        <v>23.38</v>
      </c>
      <c r="C296" s="313">
        <f t="shared" si="73"/>
        <v>0</v>
      </c>
      <c r="D296" s="313">
        <f t="shared" si="73"/>
        <v>0</v>
      </c>
      <c r="E296" s="313">
        <f t="shared" si="73"/>
        <v>0</v>
      </c>
      <c r="F296" s="313">
        <f t="shared" si="73"/>
        <v>0</v>
      </c>
      <c r="G296" s="313">
        <f t="shared" si="73"/>
        <v>13398.32</v>
      </c>
      <c r="H296" s="313">
        <f t="shared" si="73"/>
        <v>459.94999999999993</v>
      </c>
      <c r="I296" s="313">
        <f t="shared" si="73"/>
        <v>13881.65</v>
      </c>
    </row>
    <row r="297" spans="1:10" ht="10.5">
      <c r="A297" s="312" t="s">
        <v>152</v>
      </c>
      <c r="B297" s="313">
        <f t="shared" ref="B297:I297" si="74">SUM(B222,B236,B242,B245,B248,B252,B255,B263,B266,B272,B291,B296)</f>
        <v>96722.92</v>
      </c>
      <c r="C297" s="313">
        <f t="shared" si="74"/>
        <v>0</v>
      </c>
      <c r="D297" s="313">
        <f t="shared" si="74"/>
        <v>0</v>
      </c>
      <c r="E297" s="313">
        <f t="shared" si="74"/>
        <v>0</v>
      </c>
      <c r="F297" s="313">
        <f t="shared" si="74"/>
        <v>0</v>
      </c>
      <c r="G297" s="313">
        <f t="shared" si="74"/>
        <v>2332603.2599999998</v>
      </c>
      <c r="H297" s="313">
        <f t="shared" si="74"/>
        <v>471393.76000000007</v>
      </c>
      <c r="I297" s="313">
        <f t="shared" si="74"/>
        <v>2900719.94</v>
      </c>
    </row>
    <row r="298" spans="1:10" ht="10.5">
      <c r="A298" s="314" t="s">
        <v>153</v>
      </c>
      <c r="B298" s="313">
        <f t="shared" ref="B298:I298" si="75">SUM(B209,B297)</f>
        <v>96722.92</v>
      </c>
      <c r="C298" s="313">
        <f t="shared" si="75"/>
        <v>0</v>
      </c>
      <c r="D298" s="313">
        <f t="shared" si="75"/>
        <v>0</v>
      </c>
      <c r="E298" s="313">
        <f t="shared" si="75"/>
        <v>0</v>
      </c>
      <c r="F298" s="313">
        <f t="shared" si="75"/>
        <v>918171.59999999986</v>
      </c>
      <c r="G298" s="313">
        <f t="shared" si="75"/>
        <v>2950988.5599999996</v>
      </c>
      <c r="H298" s="313">
        <f t="shared" si="75"/>
        <v>487585.37000000005</v>
      </c>
      <c r="I298" s="313">
        <f t="shared" si="75"/>
        <v>4453468.45</v>
      </c>
      <c r="J298">
        <v>4.0999999999999996</v>
      </c>
    </row>
    <row r="299" spans="1:10" ht="10.5">
      <c r="A299" s="310" t="s">
        <v>154</v>
      </c>
      <c r="B299" s="309"/>
      <c r="C299" s="309"/>
      <c r="D299" s="309"/>
      <c r="E299" s="309"/>
      <c r="F299" s="309"/>
      <c r="G299" s="309"/>
      <c r="H299" s="309"/>
      <c r="I299" s="309"/>
    </row>
    <row r="300" spans="1:10" ht="10.5">
      <c r="A300" s="311" t="s">
        <v>155</v>
      </c>
      <c r="B300" s="309"/>
      <c r="C300" s="309"/>
      <c r="D300" s="309"/>
      <c r="E300" s="309"/>
      <c r="F300" s="309"/>
      <c r="G300" s="309"/>
      <c r="H300" s="309"/>
      <c r="I300" s="309"/>
    </row>
    <row r="301" spans="1:10" ht="10.5">
      <c r="A301" s="318" t="s">
        <v>86</v>
      </c>
      <c r="B301" s="309"/>
      <c r="C301" s="309"/>
      <c r="D301" s="309"/>
      <c r="E301" s="309"/>
      <c r="F301" s="309"/>
      <c r="G301" s="309"/>
      <c r="H301" s="309"/>
      <c r="I301" s="309"/>
    </row>
    <row r="302" spans="1:10">
      <c r="A302" s="99" t="s">
        <v>101</v>
      </c>
      <c r="B302" s="303">
        <v>310244.34999999998</v>
      </c>
      <c r="C302" s="303">
        <v>0</v>
      </c>
      <c r="D302" s="303">
        <v>0</v>
      </c>
      <c r="E302" s="303">
        <v>0</v>
      </c>
      <c r="F302" s="303">
        <v>865987.8</v>
      </c>
      <c r="G302" s="303">
        <v>1243481.43</v>
      </c>
      <c r="H302" s="303">
        <v>63477.62</v>
      </c>
      <c r="I302" s="303">
        <f>SUM(B302:H302)</f>
        <v>2483191.2000000002</v>
      </c>
    </row>
    <row r="303" spans="1:10">
      <c r="A303" s="99" t="s">
        <v>102</v>
      </c>
      <c r="B303" s="303">
        <v>0</v>
      </c>
      <c r="C303" s="303">
        <v>0</v>
      </c>
      <c r="D303" s="303">
        <v>0</v>
      </c>
      <c r="E303" s="303">
        <v>0</v>
      </c>
      <c r="F303" s="303">
        <v>0</v>
      </c>
      <c r="G303" s="303">
        <v>13098.49</v>
      </c>
      <c r="H303" s="303">
        <v>0</v>
      </c>
      <c r="I303" s="303">
        <f>SUM(B303:H303)</f>
        <v>13098.49</v>
      </c>
    </row>
    <row r="304" spans="1:10">
      <c r="A304" s="99" t="s">
        <v>144</v>
      </c>
      <c r="B304" s="303">
        <v>0</v>
      </c>
      <c r="C304" s="303">
        <v>0</v>
      </c>
      <c r="D304" s="303">
        <v>0</v>
      </c>
      <c r="E304" s="303">
        <v>0</v>
      </c>
      <c r="F304" s="303">
        <v>0</v>
      </c>
      <c r="G304" s="303">
        <v>0</v>
      </c>
      <c r="H304" s="303">
        <v>226.14</v>
      </c>
      <c r="I304" s="303">
        <f>SUM(B304:H304)</f>
        <v>226.14</v>
      </c>
    </row>
    <row r="305" spans="1:9">
      <c r="A305" s="99" t="s">
        <v>156</v>
      </c>
      <c r="B305" s="303">
        <v>0</v>
      </c>
      <c r="C305" s="303">
        <v>0</v>
      </c>
      <c r="D305" s="303">
        <v>0</v>
      </c>
      <c r="E305" s="303">
        <v>0</v>
      </c>
      <c r="F305" s="303">
        <v>467753.65</v>
      </c>
      <c r="G305" s="303">
        <v>0</v>
      </c>
      <c r="H305" s="303">
        <v>0</v>
      </c>
      <c r="I305" s="303">
        <f>SUM(B305:H305)</f>
        <v>467753.65</v>
      </c>
    </row>
    <row r="306" spans="1:9" ht="10.5">
      <c r="A306" s="320" t="s">
        <v>87</v>
      </c>
      <c r="B306" s="309"/>
      <c r="C306" s="309"/>
      <c r="D306" s="309"/>
      <c r="E306" s="309"/>
      <c r="F306" s="309"/>
      <c r="G306" s="309"/>
      <c r="H306" s="309"/>
      <c r="I306" s="309"/>
    </row>
    <row r="307" spans="1:9">
      <c r="A307" s="321" t="s">
        <v>88</v>
      </c>
      <c r="B307" s="303">
        <v>0</v>
      </c>
      <c r="C307" s="303">
        <v>0</v>
      </c>
      <c r="D307" s="303">
        <v>0</v>
      </c>
      <c r="E307" s="303">
        <v>0</v>
      </c>
      <c r="F307" s="303">
        <v>341.62</v>
      </c>
      <c r="G307" s="303">
        <v>369.9</v>
      </c>
      <c r="H307" s="303">
        <v>0</v>
      </c>
      <c r="I307" s="303">
        <f>SUM(B307:H307)</f>
        <v>711.52</v>
      </c>
    </row>
    <row r="308" spans="1:9">
      <c r="A308" s="321" t="s">
        <v>103</v>
      </c>
      <c r="B308" s="303">
        <v>0</v>
      </c>
      <c r="C308" s="303">
        <v>0</v>
      </c>
      <c r="D308" s="303">
        <v>0</v>
      </c>
      <c r="E308" s="303">
        <v>0</v>
      </c>
      <c r="F308" s="303">
        <v>107.65</v>
      </c>
      <c r="G308" s="303">
        <v>0</v>
      </c>
      <c r="H308" s="303">
        <v>0</v>
      </c>
      <c r="I308" s="303">
        <f>SUM(B308:H308)</f>
        <v>107.65</v>
      </c>
    </row>
    <row r="309" spans="1:9">
      <c r="A309" s="321" t="s">
        <v>89</v>
      </c>
      <c r="B309" s="303">
        <v>1172.79</v>
      </c>
      <c r="C309" s="303">
        <v>0</v>
      </c>
      <c r="D309" s="303">
        <v>0</v>
      </c>
      <c r="E309" s="303">
        <v>0</v>
      </c>
      <c r="F309" s="303">
        <v>4542.7</v>
      </c>
      <c r="G309" s="303">
        <v>2775.24</v>
      </c>
      <c r="H309" s="303">
        <v>-333.01</v>
      </c>
      <c r="I309" s="303">
        <f>SUM(B309:H309)</f>
        <v>8157.7199999999993</v>
      </c>
    </row>
    <row r="310" spans="1:9">
      <c r="A310" s="321" t="s">
        <v>104</v>
      </c>
      <c r="B310" s="303">
        <v>0</v>
      </c>
      <c r="C310" s="303">
        <v>0</v>
      </c>
      <c r="D310" s="303">
        <v>0</v>
      </c>
      <c r="E310" s="303">
        <v>0</v>
      </c>
      <c r="F310" s="303">
        <v>1048.5999999999999</v>
      </c>
      <c r="G310" s="303">
        <v>0</v>
      </c>
      <c r="H310" s="303">
        <v>0</v>
      </c>
      <c r="I310" s="303">
        <f>SUM(B310:H310)</f>
        <v>1048.5999999999999</v>
      </c>
    </row>
    <row r="311" spans="1:9">
      <c r="A311" s="321" t="s">
        <v>90</v>
      </c>
      <c r="B311" s="303">
        <v>0</v>
      </c>
      <c r="C311" s="303">
        <v>0</v>
      </c>
      <c r="D311" s="303">
        <v>0</v>
      </c>
      <c r="E311" s="303">
        <v>0</v>
      </c>
      <c r="F311" s="303">
        <v>2017.89</v>
      </c>
      <c r="G311" s="303">
        <v>265.55</v>
      </c>
      <c r="H311" s="303">
        <v>343.16</v>
      </c>
      <c r="I311" s="303">
        <f>SUM(B311:H311)</f>
        <v>2626.6</v>
      </c>
    </row>
    <row r="312" spans="1:9" ht="10.5">
      <c r="A312" s="322" t="s">
        <v>91</v>
      </c>
      <c r="B312" s="313">
        <f t="shared" ref="B312:I312" si="76">SUM(B307:B311)</f>
        <v>1172.79</v>
      </c>
      <c r="C312" s="313">
        <f t="shared" si="76"/>
        <v>0</v>
      </c>
      <c r="D312" s="313">
        <f t="shared" si="76"/>
        <v>0</v>
      </c>
      <c r="E312" s="313">
        <f t="shared" si="76"/>
        <v>0</v>
      </c>
      <c r="F312" s="313">
        <f t="shared" si="76"/>
        <v>8058.46</v>
      </c>
      <c r="G312" s="313">
        <f t="shared" si="76"/>
        <v>3410.69</v>
      </c>
      <c r="H312" s="313">
        <f t="shared" si="76"/>
        <v>10.150000000000034</v>
      </c>
      <c r="I312" s="313">
        <f t="shared" si="76"/>
        <v>12652.09</v>
      </c>
    </row>
    <row r="313" spans="1:9" ht="10.5">
      <c r="A313" s="319" t="s">
        <v>92</v>
      </c>
      <c r="B313" s="313">
        <f t="shared" ref="B313:I313" si="77">SUM(B302:B305,B312)</f>
        <v>311417.13999999996</v>
      </c>
      <c r="C313" s="313">
        <f t="shared" si="77"/>
        <v>0</v>
      </c>
      <c r="D313" s="313">
        <f t="shared" si="77"/>
        <v>0</v>
      </c>
      <c r="E313" s="313">
        <f t="shared" si="77"/>
        <v>0</v>
      </c>
      <c r="F313" s="313">
        <f t="shared" si="77"/>
        <v>1341799.9100000001</v>
      </c>
      <c r="G313" s="313">
        <f t="shared" si="77"/>
        <v>1259990.6099999999</v>
      </c>
      <c r="H313" s="313">
        <f t="shared" si="77"/>
        <v>63713.91</v>
      </c>
      <c r="I313" s="313">
        <f t="shared" si="77"/>
        <v>2976921.5700000003</v>
      </c>
    </row>
    <row r="314" spans="1:9" ht="10.5">
      <c r="A314" s="318" t="s">
        <v>83</v>
      </c>
      <c r="B314" s="309"/>
      <c r="C314" s="309"/>
      <c r="D314" s="309"/>
      <c r="E314" s="309"/>
      <c r="F314" s="309"/>
      <c r="G314" s="309"/>
      <c r="H314" s="309"/>
      <c r="I314" s="309"/>
    </row>
    <row r="315" spans="1:9">
      <c r="A315" s="99" t="s">
        <v>84</v>
      </c>
      <c r="B315" s="303">
        <v>0</v>
      </c>
      <c r="C315" s="303">
        <v>0</v>
      </c>
      <c r="D315" s="303">
        <v>0</v>
      </c>
      <c r="E315" s="303">
        <v>0</v>
      </c>
      <c r="F315" s="303">
        <v>0</v>
      </c>
      <c r="G315" s="303">
        <v>0</v>
      </c>
      <c r="H315" s="303">
        <v>1626.7</v>
      </c>
      <c r="I315" s="303">
        <f t="shared" ref="I315:I324" si="78">SUM(B315:H315)</f>
        <v>1626.7</v>
      </c>
    </row>
    <row r="316" spans="1:9">
      <c r="A316" s="99" t="s">
        <v>145</v>
      </c>
      <c r="B316" s="303">
        <v>1334.99</v>
      </c>
      <c r="C316" s="303">
        <v>0</v>
      </c>
      <c r="D316" s="303">
        <v>0</v>
      </c>
      <c r="E316" s="303">
        <v>0</v>
      </c>
      <c r="F316" s="303">
        <v>0</v>
      </c>
      <c r="G316" s="303">
        <v>0</v>
      </c>
      <c r="H316" s="303">
        <v>0</v>
      </c>
      <c r="I316" s="303">
        <f t="shared" si="78"/>
        <v>1334.99</v>
      </c>
    </row>
    <row r="317" spans="1:9">
      <c r="A317" s="99" t="s">
        <v>105</v>
      </c>
      <c r="B317" s="303">
        <v>0</v>
      </c>
      <c r="C317" s="303">
        <v>0</v>
      </c>
      <c r="D317" s="303">
        <v>0</v>
      </c>
      <c r="E317" s="303">
        <v>0</v>
      </c>
      <c r="F317" s="303">
        <v>0</v>
      </c>
      <c r="G317" s="303">
        <v>343.68</v>
      </c>
      <c r="H317" s="303">
        <v>0</v>
      </c>
      <c r="I317" s="303">
        <f t="shared" si="78"/>
        <v>343.68</v>
      </c>
    </row>
    <row r="318" spans="1:9">
      <c r="A318" s="99" t="s">
        <v>106</v>
      </c>
      <c r="B318" s="303">
        <v>0</v>
      </c>
      <c r="C318" s="303">
        <v>0</v>
      </c>
      <c r="D318" s="303">
        <v>0</v>
      </c>
      <c r="E318" s="303">
        <v>0</v>
      </c>
      <c r="F318" s="303">
        <v>0</v>
      </c>
      <c r="G318" s="303">
        <v>-343.68</v>
      </c>
      <c r="H318" s="303">
        <v>0</v>
      </c>
      <c r="I318" s="303">
        <f t="shared" si="78"/>
        <v>-343.68</v>
      </c>
    </row>
    <row r="319" spans="1:9">
      <c r="A319" s="99" t="s">
        <v>107</v>
      </c>
      <c r="B319" s="303">
        <v>0</v>
      </c>
      <c r="C319" s="303">
        <v>0</v>
      </c>
      <c r="D319" s="303">
        <v>0</v>
      </c>
      <c r="E319" s="303">
        <v>0</v>
      </c>
      <c r="F319" s="303">
        <v>0</v>
      </c>
      <c r="G319" s="303">
        <v>1504.3</v>
      </c>
      <c r="H319" s="303">
        <v>0</v>
      </c>
      <c r="I319" s="303">
        <f t="shared" si="78"/>
        <v>1504.3</v>
      </c>
    </row>
    <row r="320" spans="1:9">
      <c r="A320" s="99" t="s">
        <v>108</v>
      </c>
      <c r="B320" s="303">
        <v>0</v>
      </c>
      <c r="C320" s="303">
        <v>0</v>
      </c>
      <c r="D320" s="303">
        <v>0</v>
      </c>
      <c r="E320" s="303">
        <v>0</v>
      </c>
      <c r="F320" s="303">
        <v>0</v>
      </c>
      <c r="G320" s="303">
        <v>-1504.3</v>
      </c>
      <c r="H320" s="303">
        <v>0</v>
      </c>
      <c r="I320" s="303">
        <f t="shared" si="78"/>
        <v>-1504.3</v>
      </c>
    </row>
    <row r="321" spans="1:9">
      <c r="A321" s="99" t="s">
        <v>111</v>
      </c>
      <c r="B321" s="303">
        <v>0</v>
      </c>
      <c r="C321" s="303">
        <v>0</v>
      </c>
      <c r="D321" s="303">
        <v>0</v>
      </c>
      <c r="E321" s="303">
        <v>0</v>
      </c>
      <c r="F321" s="303">
        <v>0</v>
      </c>
      <c r="G321" s="303">
        <v>5552.72</v>
      </c>
      <c r="H321" s="303">
        <v>0</v>
      </c>
      <c r="I321" s="303">
        <f t="shared" si="78"/>
        <v>5552.72</v>
      </c>
    </row>
    <row r="322" spans="1:9">
      <c r="A322" s="99" t="s">
        <v>112</v>
      </c>
      <c r="B322" s="303">
        <v>0</v>
      </c>
      <c r="C322" s="303">
        <v>0</v>
      </c>
      <c r="D322" s="303">
        <v>0</v>
      </c>
      <c r="E322" s="303">
        <v>0</v>
      </c>
      <c r="F322" s="303">
        <v>0</v>
      </c>
      <c r="G322" s="303">
        <v>-5552.75</v>
      </c>
      <c r="H322" s="303">
        <v>0</v>
      </c>
      <c r="I322" s="303">
        <f t="shared" si="78"/>
        <v>-5552.75</v>
      </c>
    </row>
    <row r="323" spans="1:9">
      <c r="A323" s="99" t="s">
        <v>596</v>
      </c>
      <c r="B323" s="303">
        <v>14086.77</v>
      </c>
      <c r="C323" s="303">
        <v>0</v>
      </c>
      <c r="D323" s="303">
        <v>0</v>
      </c>
      <c r="E323" s="303">
        <v>0</v>
      </c>
      <c r="F323" s="303">
        <v>187517.58</v>
      </c>
      <c r="G323" s="303">
        <v>20347.05</v>
      </c>
      <c r="H323" s="303">
        <v>16679.759999999998</v>
      </c>
      <c r="I323" s="303">
        <f t="shared" si="78"/>
        <v>238631.15999999997</v>
      </c>
    </row>
    <row r="324" spans="1:9">
      <c r="A324" s="99" t="s">
        <v>146</v>
      </c>
      <c r="B324" s="303">
        <v>0</v>
      </c>
      <c r="C324" s="303">
        <v>0</v>
      </c>
      <c r="D324" s="303">
        <v>0</v>
      </c>
      <c r="E324" s="303">
        <v>0</v>
      </c>
      <c r="F324" s="303">
        <v>0</v>
      </c>
      <c r="G324" s="303">
        <v>0</v>
      </c>
      <c r="H324" s="303">
        <v>437.96</v>
      </c>
      <c r="I324" s="303">
        <f t="shared" si="78"/>
        <v>437.96</v>
      </c>
    </row>
    <row r="325" spans="1:9" ht="10.5">
      <c r="A325" s="319" t="s">
        <v>85</v>
      </c>
      <c r="B325" s="313">
        <f t="shared" ref="B325:I325" si="79">SUM(B315:B324)</f>
        <v>15421.76</v>
      </c>
      <c r="C325" s="313">
        <f t="shared" si="79"/>
        <v>0</v>
      </c>
      <c r="D325" s="313">
        <f t="shared" si="79"/>
        <v>0</v>
      </c>
      <c r="E325" s="313">
        <f t="shared" si="79"/>
        <v>0</v>
      </c>
      <c r="F325" s="313">
        <f t="shared" si="79"/>
        <v>187517.58</v>
      </c>
      <c r="G325" s="313">
        <f t="shared" si="79"/>
        <v>20347.02</v>
      </c>
      <c r="H325" s="313">
        <f t="shared" si="79"/>
        <v>18744.419999999998</v>
      </c>
      <c r="I325" s="313">
        <f t="shared" si="79"/>
        <v>242030.77999999997</v>
      </c>
    </row>
    <row r="326" spans="1:9" ht="10.5">
      <c r="A326" s="318" t="s">
        <v>54</v>
      </c>
      <c r="B326" s="309"/>
      <c r="C326" s="309"/>
      <c r="D326" s="309"/>
      <c r="E326" s="309"/>
      <c r="F326" s="309"/>
      <c r="G326" s="309"/>
      <c r="H326" s="309"/>
      <c r="I326" s="309"/>
    </row>
    <row r="327" spans="1:9">
      <c r="A327" s="99" t="s">
        <v>56</v>
      </c>
      <c r="B327" s="303">
        <v>0</v>
      </c>
      <c r="C327" s="303">
        <v>0</v>
      </c>
      <c r="D327" s="303">
        <v>0</v>
      </c>
      <c r="E327" s="303">
        <v>0</v>
      </c>
      <c r="F327" s="303">
        <v>4280.4399999999996</v>
      </c>
      <c r="G327" s="303">
        <v>0</v>
      </c>
      <c r="H327" s="303">
        <v>0</v>
      </c>
      <c r="I327" s="303">
        <f>SUM(B327:H327)</f>
        <v>4280.4399999999996</v>
      </c>
    </row>
    <row r="328" spans="1:9">
      <c r="A328" s="99" t="s">
        <v>113</v>
      </c>
      <c r="B328" s="303">
        <v>0</v>
      </c>
      <c r="C328" s="303">
        <v>0</v>
      </c>
      <c r="D328" s="303">
        <v>0</v>
      </c>
      <c r="E328" s="303">
        <v>0</v>
      </c>
      <c r="F328" s="303">
        <v>0</v>
      </c>
      <c r="G328" s="303">
        <v>586.47</v>
      </c>
      <c r="H328" s="303">
        <v>0</v>
      </c>
      <c r="I328" s="303">
        <f>SUM(B328:H328)</f>
        <v>586.47</v>
      </c>
    </row>
    <row r="329" spans="1:9">
      <c r="A329" s="99" t="s">
        <v>55</v>
      </c>
      <c r="B329" s="303">
        <v>10718.56</v>
      </c>
      <c r="C329" s="303">
        <v>0</v>
      </c>
      <c r="D329" s="303">
        <v>0</v>
      </c>
      <c r="E329" s="303">
        <v>0</v>
      </c>
      <c r="F329" s="303">
        <v>9272.35</v>
      </c>
      <c r="G329" s="303">
        <v>0</v>
      </c>
      <c r="H329" s="303">
        <v>0</v>
      </c>
      <c r="I329" s="303">
        <f>SUM(B329:H329)</f>
        <v>19990.91</v>
      </c>
    </row>
    <row r="330" spans="1:9">
      <c r="A330" s="99" t="s">
        <v>114</v>
      </c>
      <c r="B330" s="303">
        <v>4522.95</v>
      </c>
      <c r="C330" s="303">
        <v>0</v>
      </c>
      <c r="D330" s="303">
        <v>0</v>
      </c>
      <c r="E330" s="303">
        <v>0</v>
      </c>
      <c r="F330" s="303">
        <v>7587.04</v>
      </c>
      <c r="G330" s="303">
        <v>17742.48</v>
      </c>
      <c r="H330" s="303">
        <v>7693.98</v>
      </c>
      <c r="I330" s="303">
        <f>SUM(B330:H330)</f>
        <v>37546.449999999997</v>
      </c>
    </row>
    <row r="331" spans="1:9">
      <c r="A331" s="99" t="s">
        <v>115</v>
      </c>
      <c r="B331" s="303">
        <v>0</v>
      </c>
      <c r="C331" s="303">
        <v>0</v>
      </c>
      <c r="D331" s="303">
        <v>0</v>
      </c>
      <c r="E331" s="303">
        <v>0</v>
      </c>
      <c r="F331" s="303">
        <v>0</v>
      </c>
      <c r="G331" s="303">
        <v>23562.23</v>
      </c>
      <c r="H331" s="303">
        <v>0</v>
      </c>
      <c r="I331" s="303">
        <f>SUM(B331:H331)</f>
        <v>23562.23</v>
      </c>
    </row>
    <row r="332" spans="1:9" ht="10.5">
      <c r="A332" s="319" t="s">
        <v>57</v>
      </c>
      <c r="B332" s="313">
        <f t="shared" ref="B332:I332" si="80">SUM(B327:B331)</f>
        <v>15241.509999999998</v>
      </c>
      <c r="C332" s="313">
        <f t="shared" si="80"/>
        <v>0</v>
      </c>
      <c r="D332" s="313">
        <f t="shared" si="80"/>
        <v>0</v>
      </c>
      <c r="E332" s="313">
        <f t="shared" si="80"/>
        <v>0</v>
      </c>
      <c r="F332" s="313">
        <f t="shared" si="80"/>
        <v>21139.83</v>
      </c>
      <c r="G332" s="313">
        <f t="shared" si="80"/>
        <v>41891.18</v>
      </c>
      <c r="H332" s="313">
        <f t="shared" si="80"/>
        <v>7693.98</v>
      </c>
      <c r="I332" s="313">
        <f t="shared" si="80"/>
        <v>85966.5</v>
      </c>
    </row>
    <row r="333" spans="1:9" ht="10.5">
      <c r="A333" s="318" t="s">
        <v>116</v>
      </c>
      <c r="B333" s="309"/>
      <c r="C333" s="309"/>
      <c r="D333" s="309"/>
      <c r="E333" s="309"/>
      <c r="F333" s="309"/>
      <c r="G333" s="309"/>
      <c r="H333" s="309"/>
      <c r="I333" s="309"/>
    </row>
    <row r="334" spans="1:9">
      <c r="A334" s="99" t="s">
        <v>117</v>
      </c>
      <c r="B334" s="303">
        <v>0</v>
      </c>
      <c r="C334" s="303">
        <v>0</v>
      </c>
      <c r="D334" s="303">
        <v>0</v>
      </c>
      <c r="E334" s="303">
        <v>0</v>
      </c>
      <c r="F334" s="303">
        <v>35777.31</v>
      </c>
      <c r="G334" s="303">
        <v>28042.98</v>
      </c>
      <c r="H334" s="303">
        <v>0</v>
      </c>
      <c r="I334" s="303">
        <f>SUM(B334:H334)</f>
        <v>63820.289999999994</v>
      </c>
    </row>
    <row r="335" spans="1:9" ht="10.5">
      <c r="A335" s="319" t="s">
        <v>118</v>
      </c>
      <c r="B335" s="313">
        <f t="shared" ref="B335:I335" si="81">SUM(B334)</f>
        <v>0</v>
      </c>
      <c r="C335" s="313">
        <f t="shared" si="81"/>
        <v>0</v>
      </c>
      <c r="D335" s="313">
        <f t="shared" si="81"/>
        <v>0</v>
      </c>
      <c r="E335" s="313">
        <f t="shared" si="81"/>
        <v>0</v>
      </c>
      <c r="F335" s="313">
        <f t="shared" si="81"/>
        <v>35777.31</v>
      </c>
      <c r="G335" s="313">
        <f t="shared" si="81"/>
        <v>28042.98</v>
      </c>
      <c r="H335" s="313">
        <f t="shared" si="81"/>
        <v>0</v>
      </c>
      <c r="I335" s="313">
        <f t="shared" si="81"/>
        <v>63820.289999999994</v>
      </c>
    </row>
    <row r="336" spans="1:9" ht="10.5">
      <c r="A336" s="318" t="s">
        <v>80</v>
      </c>
      <c r="B336" s="309"/>
      <c r="C336" s="309"/>
      <c r="D336" s="309"/>
      <c r="E336" s="309"/>
      <c r="F336" s="309"/>
      <c r="G336" s="309"/>
      <c r="H336" s="309"/>
      <c r="I336" s="309"/>
    </row>
    <row r="337" spans="1:9">
      <c r="A337" s="99" t="s">
        <v>81</v>
      </c>
      <c r="B337" s="303">
        <v>1714.96</v>
      </c>
      <c r="C337" s="303">
        <v>0</v>
      </c>
      <c r="D337" s="303">
        <v>0</v>
      </c>
      <c r="E337" s="303">
        <v>0</v>
      </c>
      <c r="F337" s="303">
        <v>1181.73</v>
      </c>
      <c r="G337" s="303">
        <v>3586.7</v>
      </c>
      <c r="H337" s="303">
        <v>0</v>
      </c>
      <c r="I337" s="303">
        <f>SUM(B337:H337)</f>
        <v>6483.3899999999994</v>
      </c>
    </row>
    <row r="338" spans="1:9" ht="10.5">
      <c r="A338" s="319" t="s">
        <v>82</v>
      </c>
      <c r="B338" s="313">
        <f t="shared" ref="B338:I338" si="82">SUM(B337)</f>
        <v>1714.96</v>
      </c>
      <c r="C338" s="313">
        <f t="shared" si="82"/>
        <v>0</v>
      </c>
      <c r="D338" s="313">
        <f t="shared" si="82"/>
        <v>0</v>
      </c>
      <c r="E338" s="313">
        <f t="shared" si="82"/>
        <v>0</v>
      </c>
      <c r="F338" s="313">
        <f t="shared" si="82"/>
        <v>1181.73</v>
      </c>
      <c r="G338" s="313">
        <f t="shared" si="82"/>
        <v>3586.7</v>
      </c>
      <c r="H338" s="313">
        <f t="shared" si="82"/>
        <v>0</v>
      </c>
      <c r="I338" s="313">
        <f t="shared" si="82"/>
        <v>6483.3899999999994</v>
      </c>
    </row>
    <row r="339" spans="1:9" ht="10.5">
      <c r="A339" s="318" t="s">
        <v>119</v>
      </c>
      <c r="B339" s="309"/>
      <c r="C339" s="309"/>
      <c r="D339" s="309"/>
      <c r="E339" s="309"/>
      <c r="F339" s="309"/>
      <c r="G339" s="309"/>
      <c r="H339" s="309"/>
      <c r="I339" s="309"/>
    </row>
    <row r="340" spans="1:9">
      <c r="A340" s="99" t="s">
        <v>120</v>
      </c>
      <c r="B340" s="303">
        <v>0</v>
      </c>
      <c r="C340" s="303">
        <v>0</v>
      </c>
      <c r="D340" s="303">
        <v>0</v>
      </c>
      <c r="E340" s="303">
        <v>0</v>
      </c>
      <c r="F340" s="303">
        <v>0</v>
      </c>
      <c r="G340" s="303">
        <v>2070.67</v>
      </c>
      <c r="H340" s="303">
        <v>0</v>
      </c>
      <c r="I340" s="303">
        <f>SUM(B340:H340)</f>
        <v>2070.67</v>
      </c>
    </row>
    <row r="341" spans="1:9">
      <c r="A341" s="99" t="s">
        <v>121</v>
      </c>
      <c r="B341" s="303">
        <v>0</v>
      </c>
      <c r="C341" s="303">
        <v>0</v>
      </c>
      <c r="D341" s="303">
        <v>0</v>
      </c>
      <c r="E341" s="303">
        <v>0</v>
      </c>
      <c r="F341" s="303">
        <v>55186.13</v>
      </c>
      <c r="G341" s="303">
        <v>0</v>
      </c>
      <c r="H341" s="303">
        <v>0</v>
      </c>
      <c r="I341" s="303">
        <f>SUM(B341:H341)</f>
        <v>55186.13</v>
      </c>
    </row>
    <row r="342" spans="1:9" ht="10.5">
      <c r="A342" s="319" t="s">
        <v>122</v>
      </c>
      <c r="B342" s="313">
        <f t="shared" ref="B342:I342" si="83">SUM(B340:B341)</f>
        <v>0</v>
      </c>
      <c r="C342" s="313">
        <f t="shared" si="83"/>
        <v>0</v>
      </c>
      <c r="D342" s="313">
        <f t="shared" si="83"/>
        <v>0</v>
      </c>
      <c r="E342" s="313">
        <f t="shared" si="83"/>
        <v>0</v>
      </c>
      <c r="F342" s="313">
        <f t="shared" si="83"/>
        <v>55186.13</v>
      </c>
      <c r="G342" s="313">
        <f t="shared" si="83"/>
        <v>2070.67</v>
      </c>
      <c r="H342" s="313">
        <f t="shared" si="83"/>
        <v>0</v>
      </c>
      <c r="I342" s="313">
        <f t="shared" si="83"/>
        <v>57256.799999999996</v>
      </c>
    </row>
    <row r="343" spans="1:9" ht="10.5">
      <c r="A343" s="318" t="s">
        <v>126</v>
      </c>
      <c r="B343" s="309"/>
      <c r="C343" s="309"/>
      <c r="D343" s="309"/>
      <c r="E343" s="309"/>
      <c r="F343" s="309"/>
      <c r="G343" s="309"/>
      <c r="H343" s="309"/>
      <c r="I343" s="309"/>
    </row>
    <row r="344" spans="1:9" ht="10.5">
      <c r="A344" s="320" t="s">
        <v>127</v>
      </c>
      <c r="B344" s="309"/>
      <c r="C344" s="309"/>
      <c r="D344" s="309"/>
      <c r="E344" s="309"/>
      <c r="F344" s="309"/>
      <c r="G344" s="309"/>
      <c r="H344" s="309"/>
      <c r="I344" s="309"/>
    </row>
    <row r="345" spans="1:9">
      <c r="A345" s="321" t="s">
        <v>128</v>
      </c>
      <c r="B345" s="303">
        <v>457.2</v>
      </c>
      <c r="C345" s="303">
        <v>0</v>
      </c>
      <c r="D345" s="303">
        <v>0</v>
      </c>
      <c r="E345" s="303">
        <v>0</v>
      </c>
      <c r="F345" s="303">
        <v>61797.58</v>
      </c>
      <c r="G345" s="303">
        <v>0</v>
      </c>
      <c r="H345" s="303">
        <v>0</v>
      </c>
      <c r="I345" s="303">
        <f>SUM(B345:H345)</f>
        <v>62254.78</v>
      </c>
    </row>
    <row r="346" spans="1:9">
      <c r="A346" s="321" t="s">
        <v>129</v>
      </c>
      <c r="B346" s="303">
        <v>4527.5</v>
      </c>
      <c r="C346" s="303">
        <v>0</v>
      </c>
      <c r="D346" s="303">
        <v>0</v>
      </c>
      <c r="E346" s="303">
        <v>0</v>
      </c>
      <c r="F346" s="303">
        <v>58165.08</v>
      </c>
      <c r="G346" s="303">
        <v>0</v>
      </c>
      <c r="H346" s="303">
        <v>0</v>
      </c>
      <c r="I346" s="303">
        <f>SUM(B346:H346)</f>
        <v>62692.58</v>
      </c>
    </row>
    <row r="347" spans="1:9">
      <c r="A347" s="321" t="s">
        <v>130</v>
      </c>
      <c r="B347" s="303">
        <v>2000.11</v>
      </c>
      <c r="C347" s="303">
        <v>0</v>
      </c>
      <c r="D347" s="303">
        <v>0</v>
      </c>
      <c r="E347" s="303">
        <v>0</v>
      </c>
      <c r="F347" s="303">
        <v>15168.52</v>
      </c>
      <c r="G347" s="303">
        <v>188.92</v>
      </c>
      <c r="H347" s="303">
        <v>0</v>
      </c>
      <c r="I347" s="303">
        <f>SUM(B347:H347)</f>
        <v>17357.55</v>
      </c>
    </row>
    <row r="348" spans="1:9">
      <c r="A348" s="321" t="s">
        <v>131</v>
      </c>
      <c r="B348" s="303">
        <v>1371.97</v>
      </c>
      <c r="C348" s="303">
        <v>0</v>
      </c>
      <c r="D348" s="303">
        <v>0</v>
      </c>
      <c r="E348" s="303">
        <v>0</v>
      </c>
      <c r="F348" s="303">
        <v>30425.05</v>
      </c>
      <c r="G348" s="303">
        <v>0</v>
      </c>
      <c r="H348" s="303">
        <v>0</v>
      </c>
      <c r="I348" s="303">
        <f>SUM(B348:H348)</f>
        <v>31797.02</v>
      </c>
    </row>
    <row r="349" spans="1:9">
      <c r="A349" s="321" t="s">
        <v>132</v>
      </c>
      <c r="B349" s="303">
        <v>8284.57</v>
      </c>
      <c r="C349" s="303">
        <v>0</v>
      </c>
      <c r="D349" s="303">
        <v>0</v>
      </c>
      <c r="E349" s="303">
        <v>0</v>
      </c>
      <c r="F349" s="303">
        <v>31092.57</v>
      </c>
      <c r="G349" s="303">
        <v>4435.12</v>
      </c>
      <c r="H349" s="303">
        <v>0</v>
      </c>
      <c r="I349" s="303">
        <f>SUM(B349:H349)</f>
        <v>43812.26</v>
      </c>
    </row>
    <row r="350" spans="1:9" ht="10.5">
      <c r="A350" s="322" t="s">
        <v>133</v>
      </c>
      <c r="B350" s="313">
        <f t="shared" ref="B350:I350" si="84">SUM(B345:B349)</f>
        <v>16641.349999999999</v>
      </c>
      <c r="C350" s="313">
        <f t="shared" si="84"/>
        <v>0</v>
      </c>
      <c r="D350" s="313">
        <f t="shared" si="84"/>
        <v>0</v>
      </c>
      <c r="E350" s="313">
        <f t="shared" si="84"/>
        <v>0</v>
      </c>
      <c r="F350" s="313">
        <f t="shared" si="84"/>
        <v>196648.8</v>
      </c>
      <c r="G350" s="313">
        <f t="shared" si="84"/>
        <v>4624.04</v>
      </c>
      <c r="H350" s="313">
        <f t="shared" si="84"/>
        <v>0</v>
      </c>
      <c r="I350" s="313">
        <f t="shared" si="84"/>
        <v>217914.19</v>
      </c>
    </row>
    <row r="351" spans="1:9" ht="10.5">
      <c r="A351" s="319" t="s">
        <v>134</v>
      </c>
      <c r="B351" s="313">
        <f t="shared" ref="B351:I351" si="85">SUM(B350)</f>
        <v>16641.349999999999</v>
      </c>
      <c r="C351" s="313">
        <f t="shared" si="85"/>
        <v>0</v>
      </c>
      <c r="D351" s="313">
        <f t="shared" si="85"/>
        <v>0</v>
      </c>
      <c r="E351" s="313">
        <f t="shared" si="85"/>
        <v>0</v>
      </c>
      <c r="F351" s="313">
        <f t="shared" si="85"/>
        <v>196648.8</v>
      </c>
      <c r="G351" s="313">
        <f t="shared" si="85"/>
        <v>4624.04</v>
      </c>
      <c r="H351" s="313">
        <f t="shared" si="85"/>
        <v>0</v>
      </c>
      <c r="I351" s="313">
        <f t="shared" si="85"/>
        <v>217914.19</v>
      </c>
    </row>
    <row r="352" spans="1:9" ht="10.5">
      <c r="A352" s="318" t="s">
        <v>157</v>
      </c>
      <c r="B352" s="309"/>
      <c r="C352" s="309"/>
      <c r="D352" s="309"/>
      <c r="E352" s="309"/>
      <c r="F352" s="309"/>
      <c r="G352" s="309"/>
      <c r="H352" s="309"/>
      <c r="I352" s="309"/>
    </row>
    <row r="353" spans="1:9">
      <c r="A353" s="99" t="s">
        <v>158</v>
      </c>
      <c r="B353" s="303">
        <v>14426</v>
      </c>
      <c r="C353" s="303">
        <v>0</v>
      </c>
      <c r="D353" s="303">
        <v>0</v>
      </c>
      <c r="E353" s="303">
        <v>0</v>
      </c>
      <c r="F353" s="303">
        <v>50129.67</v>
      </c>
      <c r="G353" s="303">
        <v>496590.68</v>
      </c>
      <c r="H353" s="303">
        <v>0</v>
      </c>
      <c r="I353" s="303">
        <f>SUM(B353:H353)</f>
        <v>561146.35</v>
      </c>
    </row>
    <row r="354" spans="1:9">
      <c r="A354" s="99" t="s">
        <v>159</v>
      </c>
      <c r="B354" s="303">
        <v>0</v>
      </c>
      <c r="C354" s="303">
        <v>0</v>
      </c>
      <c r="D354" s="303">
        <v>0</v>
      </c>
      <c r="E354" s="303">
        <v>0</v>
      </c>
      <c r="F354" s="303">
        <v>0</v>
      </c>
      <c r="G354" s="303">
        <v>12498.9</v>
      </c>
      <c r="H354" s="303">
        <v>0</v>
      </c>
      <c r="I354" s="303">
        <f>SUM(B354:H354)</f>
        <v>12498.9</v>
      </c>
    </row>
    <row r="355" spans="1:9" ht="10.5">
      <c r="A355" s="319" t="s">
        <v>160</v>
      </c>
      <c r="B355" s="313">
        <f t="shared" ref="B355:I355" si="86">SUM(B353:B354)</f>
        <v>14426</v>
      </c>
      <c r="C355" s="313">
        <f t="shared" si="86"/>
        <v>0</v>
      </c>
      <c r="D355" s="313">
        <f t="shared" si="86"/>
        <v>0</v>
      </c>
      <c r="E355" s="313">
        <f t="shared" si="86"/>
        <v>0</v>
      </c>
      <c r="F355" s="313">
        <f t="shared" si="86"/>
        <v>50129.67</v>
      </c>
      <c r="G355" s="313">
        <f t="shared" si="86"/>
        <v>509089.58</v>
      </c>
      <c r="H355" s="313">
        <f t="shared" si="86"/>
        <v>0</v>
      </c>
      <c r="I355" s="313">
        <f t="shared" si="86"/>
        <v>573645.25</v>
      </c>
    </row>
    <row r="356" spans="1:9" ht="10.5">
      <c r="A356" s="318" t="s">
        <v>135</v>
      </c>
      <c r="B356" s="309"/>
      <c r="C356" s="309"/>
      <c r="D356" s="309"/>
      <c r="E356" s="309"/>
      <c r="F356" s="309"/>
      <c r="G356" s="309"/>
      <c r="H356" s="309"/>
      <c r="I356" s="309"/>
    </row>
    <row r="357" spans="1:9" ht="10.5">
      <c r="A357" s="320" t="s">
        <v>136</v>
      </c>
      <c r="B357" s="309"/>
      <c r="C357" s="309"/>
      <c r="D357" s="309"/>
      <c r="E357" s="309"/>
      <c r="F357" s="309"/>
      <c r="G357" s="309"/>
      <c r="H357" s="309"/>
      <c r="I357" s="309"/>
    </row>
    <row r="358" spans="1:9">
      <c r="A358" s="321" t="s">
        <v>137</v>
      </c>
      <c r="B358" s="303">
        <v>0</v>
      </c>
      <c r="C358" s="303">
        <v>0</v>
      </c>
      <c r="D358" s="303">
        <v>0</v>
      </c>
      <c r="E358" s="303">
        <v>0</v>
      </c>
      <c r="F358" s="303">
        <v>0</v>
      </c>
      <c r="G358" s="303">
        <v>125000</v>
      </c>
      <c r="H358" s="303">
        <v>9236.77</v>
      </c>
      <c r="I358" s="303">
        <f>SUM(B358:H358)</f>
        <v>134236.76999999999</v>
      </c>
    </row>
    <row r="359" spans="1:9" ht="10.5">
      <c r="A359" s="322" t="s">
        <v>138</v>
      </c>
      <c r="B359" s="313">
        <f t="shared" ref="B359:I360" si="87">SUM(B358)</f>
        <v>0</v>
      </c>
      <c r="C359" s="313">
        <f t="shared" si="87"/>
        <v>0</v>
      </c>
      <c r="D359" s="313">
        <f t="shared" si="87"/>
        <v>0</v>
      </c>
      <c r="E359" s="313">
        <f t="shared" si="87"/>
        <v>0</v>
      </c>
      <c r="F359" s="313">
        <f t="shared" si="87"/>
        <v>0</v>
      </c>
      <c r="G359" s="313">
        <f t="shared" si="87"/>
        <v>125000</v>
      </c>
      <c r="H359" s="313">
        <f t="shared" si="87"/>
        <v>9236.77</v>
      </c>
      <c r="I359" s="313">
        <f t="shared" si="87"/>
        <v>134236.76999999999</v>
      </c>
    </row>
    <row r="360" spans="1:9" ht="10.5">
      <c r="A360" s="319" t="s">
        <v>139</v>
      </c>
      <c r="B360" s="313">
        <f t="shared" si="87"/>
        <v>0</v>
      </c>
      <c r="C360" s="313">
        <f t="shared" si="87"/>
        <v>0</v>
      </c>
      <c r="D360" s="313">
        <f t="shared" si="87"/>
        <v>0</v>
      </c>
      <c r="E360" s="313">
        <f t="shared" si="87"/>
        <v>0</v>
      </c>
      <c r="F360" s="313">
        <f t="shared" si="87"/>
        <v>0</v>
      </c>
      <c r="G360" s="313">
        <f t="shared" si="87"/>
        <v>125000</v>
      </c>
      <c r="H360" s="313">
        <f t="shared" si="87"/>
        <v>9236.77</v>
      </c>
      <c r="I360" s="313">
        <f t="shared" si="87"/>
        <v>134236.76999999999</v>
      </c>
    </row>
    <row r="361" spans="1:9" ht="10.5">
      <c r="A361" s="318" t="s">
        <v>63</v>
      </c>
      <c r="B361" s="309"/>
      <c r="C361" s="309"/>
      <c r="D361" s="309"/>
      <c r="E361" s="309"/>
      <c r="F361" s="309"/>
      <c r="G361" s="309"/>
      <c r="H361" s="309"/>
      <c r="I361" s="309"/>
    </row>
    <row r="362" spans="1:9" ht="10.5">
      <c r="A362" s="320" t="s">
        <v>71</v>
      </c>
      <c r="B362" s="309"/>
      <c r="C362" s="309"/>
      <c r="D362" s="309"/>
      <c r="E362" s="309"/>
      <c r="F362" s="309"/>
      <c r="G362" s="309"/>
      <c r="H362" s="309"/>
      <c r="I362" s="309"/>
    </row>
    <row r="363" spans="1:9">
      <c r="A363" s="321" t="s">
        <v>72</v>
      </c>
      <c r="B363" s="303">
        <v>22808.240000000002</v>
      </c>
      <c r="C363" s="303">
        <v>0</v>
      </c>
      <c r="D363" s="303">
        <v>0</v>
      </c>
      <c r="E363" s="303">
        <v>0</v>
      </c>
      <c r="F363" s="303">
        <v>117181.81</v>
      </c>
      <c r="G363" s="303">
        <v>18978.509999999998</v>
      </c>
      <c r="H363" s="303">
        <v>11653.75</v>
      </c>
      <c r="I363" s="303">
        <f>SUM(B363:H363)</f>
        <v>170622.31</v>
      </c>
    </row>
    <row r="364" spans="1:9" ht="10.5">
      <c r="A364" s="322" t="s">
        <v>73</v>
      </c>
      <c r="B364" s="313">
        <f t="shared" ref="B364:I364" si="88">SUM(B363)</f>
        <v>22808.240000000002</v>
      </c>
      <c r="C364" s="313">
        <f t="shared" si="88"/>
        <v>0</v>
      </c>
      <c r="D364" s="313">
        <f t="shared" si="88"/>
        <v>0</v>
      </c>
      <c r="E364" s="313">
        <f t="shared" si="88"/>
        <v>0</v>
      </c>
      <c r="F364" s="313">
        <f t="shared" si="88"/>
        <v>117181.81</v>
      </c>
      <c r="G364" s="313">
        <f t="shared" si="88"/>
        <v>18978.509999999998</v>
      </c>
      <c r="H364" s="313">
        <f t="shared" si="88"/>
        <v>11653.75</v>
      </c>
      <c r="I364" s="313">
        <f t="shared" si="88"/>
        <v>170622.31</v>
      </c>
    </row>
    <row r="365" spans="1:9" ht="10.5">
      <c r="A365" s="320" t="s">
        <v>161</v>
      </c>
      <c r="B365" s="309"/>
      <c r="C365" s="309"/>
      <c r="D365" s="309"/>
      <c r="E365" s="309"/>
      <c r="F365" s="309"/>
      <c r="G365" s="309"/>
      <c r="H365" s="309"/>
      <c r="I365" s="309"/>
    </row>
    <row r="366" spans="1:9">
      <c r="A366" s="321" t="s">
        <v>162</v>
      </c>
      <c r="B366" s="303">
        <v>0</v>
      </c>
      <c r="C366" s="303">
        <v>0</v>
      </c>
      <c r="D366" s="303">
        <v>0</v>
      </c>
      <c r="E366" s="303">
        <v>0</v>
      </c>
      <c r="F366" s="303">
        <v>259.08999999999997</v>
      </c>
      <c r="G366" s="303">
        <v>0</v>
      </c>
      <c r="H366" s="303">
        <v>0</v>
      </c>
      <c r="I366" s="303">
        <f>SUM(B366:H366)</f>
        <v>259.08999999999997</v>
      </c>
    </row>
    <row r="367" spans="1:9" ht="10.5">
      <c r="A367" s="322" t="s">
        <v>163</v>
      </c>
      <c r="B367" s="313">
        <f t="shared" ref="B367:I367" si="89">SUM(B366)</f>
        <v>0</v>
      </c>
      <c r="C367" s="313">
        <f t="shared" si="89"/>
        <v>0</v>
      </c>
      <c r="D367" s="313">
        <f t="shared" si="89"/>
        <v>0</v>
      </c>
      <c r="E367" s="313">
        <f t="shared" si="89"/>
        <v>0</v>
      </c>
      <c r="F367" s="313">
        <f t="shared" si="89"/>
        <v>259.08999999999997</v>
      </c>
      <c r="G367" s="313">
        <f t="shared" si="89"/>
        <v>0</v>
      </c>
      <c r="H367" s="313">
        <f t="shared" si="89"/>
        <v>0</v>
      </c>
      <c r="I367" s="313">
        <f t="shared" si="89"/>
        <v>259.08999999999997</v>
      </c>
    </row>
    <row r="368" spans="1:9" ht="10.5">
      <c r="A368" s="320" t="s">
        <v>74</v>
      </c>
      <c r="B368" s="309"/>
      <c r="C368" s="309"/>
      <c r="D368" s="309"/>
      <c r="E368" s="309"/>
      <c r="F368" s="309"/>
      <c r="G368" s="309"/>
      <c r="H368" s="309"/>
      <c r="I368" s="309"/>
    </row>
    <row r="369" spans="1:9">
      <c r="A369" s="321" t="s">
        <v>75</v>
      </c>
      <c r="B369" s="303">
        <v>0</v>
      </c>
      <c r="C369" s="303">
        <v>0</v>
      </c>
      <c r="D369" s="303">
        <v>0</v>
      </c>
      <c r="E369" s="303">
        <v>0</v>
      </c>
      <c r="F369" s="303">
        <v>1582.46</v>
      </c>
      <c r="G369" s="303">
        <v>414.83</v>
      </c>
      <c r="H369" s="303">
        <v>6.16</v>
      </c>
      <c r="I369" s="303">
        <f>SUM(B369:H369)</f>
        <v>2003.45</v>
      </c>
    </row>
    <row r="370" spans="1:9">
      <c r="A370" s="321" t="s">
        <v>76</v>
      </c>
      <c r="B370" s="303">
        <v>75.16</v>
      </c>
      <c r="C370" s="303">
        <v>0</v>
      </c>
      <c r="D370" s="303">
        <v>0</v>
      </c>
      <c r="E370" s="303">
        <v>0</v>
      </c>
      <c r="F370" s="303">
        <v>2344.89</v>
      </c>
      <c r="G370" s="303">
        <v>657.19</v>
      </c>
      <c r="H370" s="303">
        <v>251.8</v>
      </c>
      <c r="I370" s="303">
        <f>SUM(B370:H370)</f>
        <v>3329.04</v>
      </c>
    </row>
    <row r="371" spans="1:9">
      <c r="A371" s="321" t="s">
        <v>140</v>
      </c>
      <c r="B371" s="303">
        <v>0</v>
      </c>
      <c r="C371" s="303">
        <v>0</v>
      </c>
      <c r="D371" s="303">
        <v>0</v>
      </c>
      <c r="E371" s="303">
        <v>0</v>
      </c>
      <c r="F371" s="303">
        <v>0</v>
      </c>
      <c r="G371" s="303">
        <v>323.07</v>
      </c>
      <c r="H371" s="303">
        <v>0</v>
      </c>
      <c r="I371" s="303">
        <f>SUM(B371:H371)</f>
        <v>323.07</v>
      </c>
    </row>
    <row r="372" spans="1:9">
      <c r="A372" s="321" t="s">
        <v>77</v>
      </c>
      <c r="B372" s="303">
        <v>0</v>
      </c>
      <c r="C372" s="303">
        <v>0</v>
      </c>
      <c r="D372" s="303">
        <v>0</v>
      </c>
      <c r="E372" s="303">
        <v>0</v>
      </c>
      <c r="F372" s="303">
        <v>165.4</v>
      </c>
      <c r="G372" s="303">
        <v>14713.41</v>
      </c>
      <c r="H372" s="303">
        <v>548.17999999999995</v>
      </c>
      <c r="I372" s="303">
        <f>SUM(B372:H372)</f>
        <v>15426.99</v>
      </c>
    </row>
    <row r="373" spans="1:9" ht="10.5">
      <c r="A373" s="322" t="s">
        <v>78</v>
      </c>
      <c r="B373" s="313">
        <f t="shared" ref="B373:I373" si="90">SUM(B369:B372)</f>
        <v>75.16</v>
      </c>
      <c r="C373" s="313">
        <f t="shared" si="90"/>
        <v>0</v>
      </c>
      <c r="D373" s="313">
        <f t="shared" si="90"/>
        <v>0</v>
      </c>
      <c r="E373" s="313">
        <f t="shared" si="90"/>
        <v>0</v>
      </c>
      <c r="F373" s="313">
        <f t="shared" si="90"/>
        <v>4092.75</v>
      </c>
      <c r="G373" s="313">
        <f t="shared" si="90"/>
        <v>16108.5</v>
      </c>
      <c r="H373" s="313">
        <f t="shared" si="90"/>
        <v>806.14</v>
      </c>
      <c r="I373" s="313">
        <f t="shared" si="90"/>
        <v>21082.55</v>
      </c>
    </row>
    <row r="374" spans="1:9" ht="10.5">
      <c r="A374" s="320" t="s">
        <v>67</v>
      </c>
      <c r="B374" s="309"/>
      <c r="C374" s="309"/>
      <c r="D374" s="309"/>
      <c r="E374" s="309"/>
      <c r="F374" s="309"/>
      <c r="G374" s="309"/>
      <c r="H374" s="309"/>
      <c r="I374" s="309"/>
    </row>
    <row r="375" spans="1:9">
      <c r="A375" s="321" t="s">
        <v>69</v>
      </c>
      <c r="B375" s="303">
        <v>28.5</v>
      </c>
      <c r="C375" s="303">
        <v>0</v>
      </c>
      <c r="D375" s="303">
        <v>0</v>
      </c>
      <c r="E375" s="303">
        <v>0</v>
      </c>
      <c r="F375" s="303">
        <v>4726.16</v>
      </c>
      <c r="G375" s="303">
        <v>254.04</v>
      </c>
      <c r="H375" s="303">
        <v>182.53</v>
      </c>
      <c r="I375" s="303">
        <f>SUM(B375:H375)</f>
        <v>5191.2299999999996</v>
      </c>
    </row>
    <row r="376" spans="1:9">
      <c r="A376" s="321" t="s">
        <v>68</v>
      </c>
      <c r="B376" s="303">
        <v>0</v>
      </c>
      <c r="C376" s="303">
        <v>0</v>
      </c>
      <c r="D376" s="303">
        <v>0</v>
      </c>
      <c r="E376" s="303">
        <v>0</v>
      </c>
      <c r="F376" s="303">
        <v>4695.2700000000004</v>
      </c>
      <c r="G376" s="303">
        <v>210.18</v>
      </c>
      <c r="H376" s="303">
        <v>876.95</v>
      </c>
      <c r="I376" s="303">
        <f>SUM(B376:H376)</f>
        <v>5782.4000000000005</v>
      </c>
    </row>
    <row r="377" spans="1:9">
      <c r="A377" s="321" t="s">
        <v>164</v>
      </c>
      <c r="B377" s="303">
        <v>0</v>
      </c>
      <c r="C377" s="303">
        <v>0</v>
      </c>
      <c r="D377" s="303">
        <v>0</v>
      </c>
      <c r="E377" s="303">
        <v>0</v>
      </c>
      <c r="F377" s="303">
        <v>0</v>
      </c>
      <c r="G377" s="303">
        <v>43.66</v>
      </c>
      <c r="H377" s="303">
        <v>0</v>
      </c>
      <c r="I377" s="303">
        <f>SUM(B377:H377)</f>
        <v>43.66</v>
      </c>
    </row>
    <row r="378" spans="1:9">
      <c r="A378" s="321" t="s">
        <v>165</v>
      </c>
      <c r="B378" s="303">
        <v>0</v>
      </c>
      <c r="C378" s="303">
        <v>0</v>
      </c>
      <c r="D378" s="303">
        <v>0</v>
      </c>
      <c r="E378" s="303">
        <v>0</v>
      </c>
      <c r="F378" s="303">
        <v>3317.67</v>
      </c>
      <c r="G378" s="303">
        <v>791.77</v>
      </c>
      <c r="H378" s="303">
        <v>0</v>
      </c>
      <c r="I378" s="303">
        <f>SUM(B378:H378)</f>
        <v>4109.4400000000005</v>
      </c>
    </row>
    <row r="379" spans="1:9" ht="10.5">
      <c r="A379" s="322" t="s">
        <v>70</v>
      </c>
      <c r="B379" s="313">
        <f t="shared" ref="B379:I379" si="91">SUM(B375:B378)</f>
        <v>28.5</v>
      </c>
      <c r="C379" s="313">
        <f t="shared" si="91"/>
        <v>0</v>
      </c>
      <c r="D379" s="313">
        <f t="shared" si="91"/>
        <v>0</v>
      </c>
      <c r="E379" s="313">
        <f t="shared" si="91"/>
        <v>0</v>
      </c>
      <c r="F379" s="313">
        <f t="shared" si="91"/>
        <v>12739.1</v>
      </c>
      <c r="G379" s="313">
        <f t="shared" si="91"/>
        <v>1299.6500000000001</v>
      </c>
      <c r="H379" s="313">
        <f t="shared" si="91"/>
        <v>1059.48</v>
      </c>
      <c r="I379" s="313">
        <f t="shared" si="91"/>
        <v>15126.730000000001</v>
      </c>
    </row>
    <row r="380" spans="1:9" ht="10.5">
      <c r="A380" s="320" t="s">
        <v>64</v>
      </c>
      <c r="B380" s="309"/>
      <c r="C380" s="309"/>
      <c r="D380" s="309"/>
      <c r="E380" s="309"/>
      <c r="F380" s="309"/>
      <c r="G380" s="309"/>
      <c r="H380" s="309"/>
      <c r="I380" s="309"/>
    </row>
    <row r="381" spans="1:9">
      <c r="A381" s="321" t="s">
        <v>65</v>
      </c>
      <c r="B381" s="303">
        <v>0</v>
      </c>
      <c r="C381" s="303">
        <v>0</v>
      </c>
      <c r="D381" s="303">
        <v>0</v>
      </c>
      <c r="E381" s="303">
        <v>0</v>
      </c>
      <c r="F381" s="303">
        <v>2732.1</v>
      </c>
      <c r="G381" s="303">
        <v>0</v>
      </c>
      <c r="H381" s="303">
        <v>0</v>
      </c>
      <c r="I381" s="303">
        <f>SUM(B381:H381)</f>
        <v>2732.1</v>
      </c>
    </row>
    <row r="382" spans="1:9" ht="10.5">
      <c r="A382" s="322" t="s">
        <v>66</v>
      </c>
      <c r="B382" s="313">
        <f t="shared" ref="B382:I382" si="92">SUM(B381)</f>
        <v>0</v>
      </c>
      <c r="C382" s="313">
        <f t="shared" si="92"/>
        <v>0</v>
      </c>
      <c r="D382" s="313">
        <f t="shared" si="92"/>
        <v>0</v>
      </c>
      <c r="E382" s="313">
        <f t="shared" si="92"/>
        <v>0</v>
      </c>
      <c r="F382" s="313">
        <f t="shared" si="92"/>
        <v>2732.1</v>
      </c>
      <c r="G382" s="313">
        <f t="shared" si="92"/>
        <v>0</v>
      </c>
      <c r="H382" s="313">
        <f t="shared" si="92"/>
        <v>0</v>
      </c>
      <c r="I382" s="313">
        <f t="shared" si="92"/>
        <v>2732.1</v>
      </c>
    </row>
    <row r="383" spans="1:9" ht="10.5">
      <c r="A383" s="319" t="s">
        <v>79</v>
      </c>
      <c r="B383" s="313">
        <f t="shared" ref="B383:I383" si="93">SUM(B364,B367,B373,B379,B382)</f>
        <v>22911.9</v>
      </c>
      <c r="C383" s="313">
        <f t="shared" si="93"/>
        <v>0</v>
      </c>
      <c r="D383" s="313">
        <f t="shared" si="93"/>
        <v>0</v>
      </c>
      <c r="E383" s="313">
        <f t="shared" si="93"/>
        <v>0</v>
      </c>
      <c r="F383" s="313">
        <f t="shared" si="93"/>
        <v>137004.85</v>
      </c>
      <c r="G383" s="313">
        <f t="shared" si="93"/>
        <v>36386.659999999996</v>
      </c>
      <c r="H383" s="313">
        <f t="shared" si="93"/>
        <v>13519.369999999999</v>
      </c>
      <c r="I383" s="313">
        <f t="shared" si="93"/>
        <v>209822.78</v>
      </c>
    </row>
    <row r="384" spans="1:9" ht="10.5">
      <c r="A384" s="318" t="s">
        <v>166</v>
      </c>
      <c r="B384" s="309"/>
      <c r="C384" s="309"/>
      <c r="D384" s="309"/>
      <c r="E384" s="309"/>
      <c r="F384" s="309"/>
      <c r="G384" s="309"/>
      <c r="H384" s="309"/>
      <c r="I384" s="309"/>
    </row>
    <row r="385" spans="1:9">
      <c r="A385" s="99" t="s">
        <v>167</v>
      </c>
      <c r="B385" s="303">
        <v>0</v>
      </c>
      <c r="C385" s="303">
        <v>0</v>
      </c>
      <c r="D385" s="303">
        <v>0</v>
      </c>
      <c r="E385" s="303">
        <v>0</v>
      </c>
      <c r="F385" s="303">
        <v>4139.08</v>
      </c>
      <c r="G385" s="303">
        <v>0</v>
      </c>
      <c r="H385" s="303">
        <v>0</v>
      </c>
      <c r="I385" s="303">
        <f>SUM(B385:H385)</f>
        <v>4139.08</v>
      </c>
    </row>
    <row r="386" spans="1:9">
      <c r="A386" s="99" t="s">
        <v>168</v>
      </c>
      <c r="B386" s="303">
        <v>0</v>
      </c>
      <c r="C386" s="303">
        <v>0</v>
      </c>
      <c r="D386" s="303">
        <v>0</v>
      </c>
      <c r="E386" s="303">
        <v>0</v>
      </c>
      <c r="F386" s="303">
        <v>0</v>
      </c>
      <c r="G386" s="303">
        <v>52.2</v>
      </c>
      <c r="H386" s="303">
        <v>0</v>
      </c>
      <c r="I386" s="303">
        <f>SUM(B386:H386)</f>
        <v>52.2</v>
      </c>
    </row>
    <row r="387" spans="1:9" ht="10.5">
      <c r="A387" s="319" t="s">
        <v>169</v>
      </c>
      <c r="B387" s="313">
        <f t="shared" ref="B387:I387" si="94">SUM(B385:B386)</f>
        <v>0</v>
      </c>
      <c r="C387" s="313">
        <f t="shared" si="94"/>
        <v>0</v>
      </c>
      <c r="D387" s="313">
        <f t="shared" si="94"/>
        <v>0</v>
      </c>
      <c r="E387" s="313">
        <f t="shared" si="94"/>
        <v>0</v>
      </c>
      <c r="F387" s="313">
        <f t="shared" si="94"/>
        <v>4139.08</v>
      </c>
      <c r="G387" s="313">
        <f t="shared" si="94"/>
        <v>52.2</v>
      </c>
      <c r="H387" s="313">
        <f t="shared" si="94"/>
        <v>0</v>
      </c>
      <c r="I387" s="313">
        <f t="shared" si="94"/>
        <v>4191.28</v>
      </c>
    </row>
    <row r="388" spans="1:9" ht="10.5">
      <c r="A388" s="318" t="s">
        <v>58</v>
      </c>
      <c r="B388" s="309"/>
      <c r="C388" s="309"/>
      <c r="D388" s="309"/>
      <c r="E388" s="309"/>
      <c r="F388" s="309"/>
      <c r="G388" s="309"/>
      <c r="H388" s="309"/>
      <c r="I388" s="309"/>
    </row>
    <row r="389" spans="1:9">
      <c r="A389" s="99" t="s">
        <v>59</v>
      </c>
      <c r="B389" s="303">
        <v>0</v>
      </c>
      <c r="C389" s="303">
        <v>0</v>
      </c>
      <c r="D389" s="303">
        <v>0</v>
      </c>
      <c r="E389" s="303">
        <v>0</v>
      </c>
      <c r="F389" s="303">
        <v>1780.36</v>
      </c>
      <c r="G389" s="303">
        <v>823.97</v>
      </c>
      <c r="H389" s="303">
        <v>98.52</v>
      </c>
      <c r="I389" s="303">
        <f>SUM(B389:H389)</f>
        <v>2702.85</v>
      </c>
    </row>
    <row r="390" spans="1:9">
      <c r="A390" s="99" t="s">
        <v>61</v>
      </c>
      <c r="B390" s="303">
        <v>3.52</v>
      </c>
      <c r="C390" s="303">
        <v>0</v>
      </c>
      <c r="D390" s="303">
        <v>0</v>
      </c>
      <c r="E390" s="303">
        <v>0</v>
      </c>
      <c r="F390" s="303">
        <v>351.18</v>
      </c>
      <c r="G390" s="303">
        <v>5.26</v>
      </c>
      <c r="H390" s="303">
        <v>0</v>
      </c>
      <c r="I390" s="303">
        <f>SUM(B390:H390)</f>
        <v>359.96</v>
      </c>
    </row>
    <row r="391" spans="1:9">
      <c r="A391" s="99" t="s">
        <v>60</v>
      </c>
      <c r="B391" s="303">
        <v>8.16</v>
      </c>
      <c r="C391" s="303">
        <v>0</v>
      </c>
      <c r="D391" s="303">
        <v>0</v>
      </c>
      <c r="E391" s="303">
        <v>0</v>
      </c>
      <c r="F391" s="303">
        <v>202.15</v>
      </c>
      <c r="G391" s="303">
        <v>63.98</v>
      </c>
      <c r="H391" s="303">
        <v>45.53</v>
      </c>
      <c r="I391" s="303">
        <f>SUM(B391:H391)</f>
        <v>319.82000000000005</v>
      </c>
    </row>
    <row r="392" spans="1:9" ht="10.5">
      <c r="A392" s="319" t="s">
        <v>62</v>
      </c>
      <c r="B392" s="313">
        <f t="shared" ref="B392:I392" si="95">SUM(B389:B391)</f>
        <v>11.68</v>
      </c>
      <c r="C392" s="313">
        <f t="shared" si="95"/>
        <v>0</v>
      </c>
      <c r="D392" s="313">
        <f t="shared" si="95"/>
        <v>0</v>
      </c>
      <c r="E392" s="313">
        <f t="shared" si="95"/>
        <v>0</v>
      </c>
      <c r="F392" s="313">
        <f t="shared" si="95"/>
        <v>2333.69</v>
      </c>
      <c r="G392" s="313">
        <f t="shared" si="95"/>
        <v>893.21</v>
      </c>
      <c r="H392" s="313">
        <f t="shared" si="95"/>
        <v>144.05000000000001</v>
      </c>
      <c r="I392" s="313">
        <f t="shared" si="95"/>
        <v>3382.63</v>
      </c>
    </row>
    <row r="393" spans="1:9" ht="10.5">
      <c r="A393" s="312" t="s">
        <v>170</v>
      </c>
      <c r="B393" s="313">
        <f t="shared" ref="B393:I393" si="96">SUM(B313,B325,B332,B335,B338,B342,B351,B355,B360,B383,B387,B392)</f>
        <v>397786.3</v>
      </c>
      <c r="C393" s="313">
        <f t="shared" si="96"/>
        <v>0</v>
      </c>
      <c r="D393" s="313">
        <f t="shared" si="96"/>
        <v>0</v>
      </c>
      <c r="E393" s="313">
        <f t="shared" si="96"/>
        <v>0</v>
      </c>
      <c r="F393" s="313">
        <f t="shared" si="96"/>
        <v>2032858.5800000003</v>
      </c>
      <c r="G393" s="313">
        <f t="shared" si="96"/>
        <v>2031974.8499999996</v>
      </c>
      <c r="H393" s="313">
        <f t="shared" si="96"/>
        <v>113052.5</v>
      </c>
      <c r="I393" s="313">
        <f t="shared" si="96"/>
        <v>4575672.2299999995</v>
      </c>
    </row>
    <row r="394" spans="1:9" ht="10.5">
      <c r="A394" s="311" t="s">
        <v>171</v>
      </c>
      <c r="B394" s="309"/>
      <c r="C394" s="309"/>
      <c r="D394" s="309"/>
      <c r="E394" s="309"/>
      <c r="F394" s="309"/>
      <c r="G394" s="309"/>
      <c r="H394" s="309"/>
      <c r="I394" s="309"/>
    </row>
    <row r="395" spans="1:9" ht="10.5">
      <c r="A395" s="318" t="s">
        <v>86</v>
      </c>
      <c r="B395" s="309"/>
      <c r="C395" s="309"/>
      <c r="D395" s="309"/>
      <c r="E395" s="309"/>
      <c r="F395" s="309"/>
      <c r="G395" s="309"/>
      <c r="H395" s="309"/>
      <c r="I395" s="309"/>
    </row>
    <row r="396" spans="1:9">
      <c r="A396" s="99" t="s">
        <v>101</v>
      </c>
      <c r="B396" s="303">
        <v>0</v>
      </c>
      <c r="C396" s="303">
        <v>0</v>
      </c>
      <c r="D396" s="303">
        <v>0</v>
      </c>
      <c r="E396" s="303">
        <v>0</v>
      </c>
      <c r="F396" s="303">
        <v>30966.98</v>
      </c>
      <c r="G396" s="303">
        <v>0</v>
      </c>
      <c r="H396" s="303">
        <v>0</v>
      </c>
      <c r="I396" s="303">
        <f>SUM(B396:H396)</f>
        <v>30966.98</v>
      </c>
    </row>
    <row r="397" spans="1:9" ht="10.5">
      <c r="A397" s="320" t="s">
        <v>87</v>
      </c>
      <c r="B397" s="309"/>
      <c r="C397" s="309"/>
      <c r="D397" s="309"/>
      <c r="E397" s="309"/>
      <c r="F397" s="309"/>
      <c r="G397" s="309"/>
      <c r="H397" s="309"/>
      <c r="I397" s="309"/>
    </row>
    <row r="398" spans="1:9">
      <c r="A398" s="321" t="s">
        <v>88</v>
      </c>
      <c r="B398" s="303">
        <v>0</v>
      </c>
      <c r="C398" s="303">
        <v>0</v>
      </c>
      <c r="D398" s="303">
        <v>0</v>
      </c>
      <c r="E398" s="303">
        <v>0</v>
      </c>
      <c r="F398" s="303">
        <v>13.35</v>
      </c>
      <c r="G398" s="303">
        <v>0</v>
      </c>
      <c r="H398" s="303">
        <v>0</v>
      </c>
      <c r="I398" s="303">
        <f>SUM(B398:H398)</f>
        <v>13.35</v>
      </c>
    </row>
    <row r="399" spans="1:9">
      <c r="A399" s="321" t="s">
        <v>104</v>
      </c>
      <c r="B399" s="303">
        <v>0</v>
      </c>
      <c r="C399" s="303">
        <v>0</v>
      </c>
      <c r="D399" s="303">
        <v>0</v>
      </c>
      <c r="E399" s="303">
        <v>0</v>
      </c>
      <c r="F399" s="303">
        <v>170</v>
      </c>
      <c r="G399" s="303">
        <v>0</v>
      </c>
      <c r="H399" s="303">
        <v>0</v>
      </c>
      <c r="I399" s="303">
        <f>SUM(B399:H399)</f>
        <v>170</v>
      </c>
    </row>
    <row r="400" spans="1:9">
      <c r="A400" s="321" t="s">
        <v>90</v>
      </c>
      <c r="B400" s="303">
        <v>0</v>
      </c>
      <c r="C400" s="303">
        <v>0</v>
      </c>
      <c r="D400" s="303">
        <v>0</v>
      </c>
      <c r="E400" s="303">
        <v>0</v>
      </c>
      <c r="F400" s="303">
        <v>252.23</v>
      </c>
      <c r="G400" s="303">
        <v>0</v>
      </c>
      <c r="H400" s="303">
        <v>0</v>
      </c>
      <c r="I400" s="303">
        <f>SUM(B400:H400)</f>
        <v>252.23</v>
      </c>
    </row>
    <row r="401" spans="1:9" ht="10.5">
      <c r="A401" s="322" t="s">
        <v>91</v>
      </c>
      <c r="B401" s="313">
        <f t="shared" ref="B401:I401" si="97">SUM(B398:B400)</f>
        <v>0</v>
      </c>
      <c r="C401" s="313">
        <f t="shared" si="97"/>
        <v>0</v>
      </c>
      <c r="D401" s="313">
        <f t="shared" si="97"/>
        <v>0</v>
      </c>
      <c r="E401" s="313">
        <f t="shared" si="97"/>
        <v>0</v>
      </c>
      <c r="F401" s="313">
        <f t="shared" si="97"/>
        <v>435.58</v>
      </c>
      <c r="G401" s="313">
        <f t="shared" si="97"/>
        <v>0</v>
      </c>
      <c r="H401" s="313">
        <f t="shared" si="97"/>
        <v>0</v>
      </c>
      <c r="I401" s="313">
        <f t="shared" si="97"/>
        <v>435.58</v>
      </c>
    </row>
    <row r="402" spans="1:9" ht="10.5">
      <c r="A402" s="319" t="s">
        <v>92</v>
      </c>
      <c r="B402" s="313">
        <f t="shared" ref="B402:I402" si="98">SUM(B396,B401)</f>
        <v>0</v>
      </c>
      <c r="C402" s="313">
        <f t="shared" si="98"/>
        <v>0</v>
      </c>
      <c r="D402" s="313">
        <f t="shared" si="98"/>
        <v>0</v>
      </c>
      <c r="E402" s="313">
        <f t="shared" si="98"/>
        <v>0</v>
      </c>
      <c r="F402" s="313">
        <f t="shared" si="98"/>
        <v>31402.560000000001</v>
      </c>
      <c r="G402" s="313">
        <f t="shared" si="98"/>
        <v>0</v>
      </c>
      <c r="H402" s="313">
        <f t="shared" si="98"/>
        <v>0</v>
      </c>
      <c r="I402" s="313">
        <f t="shared" si="98"/>
        <v>31402.560000000001</v>
      </c>
    </row>
    <row r="403" spans="1:9" ht="10.5">
      <c r="A403" s="318" t="s">
        <v>83</v>
      </c>
      <c r="B403" s="309"/>
      <c r="C403" s="309"/>
      <c r="D403" s="309"/>
      <c r="E403" s="309"/>
      <c r="F403" s="309"/>
      <c r="G403" s="309"/>
      <c r="H403" s="309"/>
      <c r="I403" s="309"/>
    </row>
    <row r="404" spans="1:9">
      <c r="A404" s="99" t="s">
        <v>596</v>
      </c>
      <c r="B404" s="303">
        <v>0</v>
      </c>
      <c r="C404" s="303">
        <v>0</v>
      </c>
      <c r="D404" s="303">
        <v>0</v>
      </c>
      <c r="E404" s="303">
        <v>0</v>
      </c>
      <c r="F404" s="303">
        <v>4325.92</v>
      </c>
      <c r="G404" s="303">
        <v>0</v>
      </c>
      <c r="H404" s="303">
        <v>0</v>
      </c>
      <c r="I404" s="303">
        <f>SUM(B404:H404)</f>
        <v>4325.92</v>
      </c>
    </row>
    <row r="405" spans="1:9" ht="10.5">
      <c r="A405" s="319" t="s">
        <v>85</v>
      </c>
      <c r="B405" s="313">
        <f t="shared" ref="B405:I405" si="99">SUM(B404)</f>
        <v>0</v>
      </c>
      <c r="C405" s="313">
        <f t="shared" si="99"/>
        <v>0</v>
      </c>
      <c r="D405" s="313">
        <f t="shared" si="99"/>
        <v>0</v>
      </c>
      <c r="E405" s="313">
        <f t="shared" si="99"/>
        <v>0</v>
      </c>
      <c r="F405" s="313">
        <f t="shared" si="99"/>
        <v>4325.92</v>
      </c>
      <c r="G405" s="313">
        <f t="shared" si="99"/>
        <v>0</v>
      </c>
      <c r="H405" s="313">
        <f t="shared" si="99"/>
        <v>0</v>
      </c>
      <c r="I405" s="313">
        <f t="shared" si="99"/>
        <v>4325.92</v>
      </c>
    </row>
    <row r="406" spans="1:9" ht="10.5">
      <c r="A406" s="318" t="s">
        <v>54</v>
      </c>
      <c r="B406" s="309"/>
      <c r="C406" s="309"/>
      <c r="D406" s="309"/>
      <c r="E406" s="309"/>
      <c r="F406" s="309"/>
      <c r="G406" s="309"/>
      <c r="H406" s="309"/>
      <c r="I406" s="309"/>
    </row>
    <row r="407" spans="1:9">
      <c r="A407" s="99" t="s">
        <v>56</v>
      </c>
      <c r="B407" s="303">
        <v>0</v>
      </c>
      <c r="C407" s="303">
        <v>0</v>
      </c>
      <c r="D407" s="303">
        <v>0</v>
      </c>
      <c r="E407" s="303">
        <v>0</v>
      </c>
      <c r="F407" s="303">
        <v>535.04999999999995</v>
      </c>
      <c r="G407" s="303">
        <v>0</v>
      </c>
      <c r="H407" s="303">
        <v>0</v>
      </c>
      <c r="I407" s="303">
        <f>SUM(B407:H407)</f>
        <v>535.04999999999995</v>
      </c>
    </row>
    <row r="408" spans="1:9">
      <c r="A408" s="99" t="s">
        <v>55</v>
      </c>
      <c r="B408" s="303">
        <v>0</v>
      </c>
      <c r="C408" s="303">
        <v>0</v>
      </c>
      <c r="D408" s="303">
        <v>0</v>
      </c>
      <c r="E408" s="303">
        <v>0</v>
      </c>
      <c r="F408" s="303">
        <v>1159.04</v>
      </c>
      <c r="G408" s="303">
        <v>0</v>
      </c>
      <c r="H408" s="303">
        <v>0</v>
      </c>
      <c r="I408" s="303">
        <f>SUM(B408:H408)</f>
        <v>1159.04</v>
      </c>
    </row>
    <row r="409" spans="1:9">
      <c r="A409" s="99" t="s">
        <v>114</v>
      </c>
      <c r="B409" s="303">
        <v>0</v>
      </c>
      <c r="C409" s="303">
        <v>0</v>
      </c>
      <c r="D409" s="303">
        <v>0</v>
      </c>
      <c r="E409" s="303">
        <v>0</v>
      </c>
      <c r="F409" s="303">
        <v>124.97</v>
      </c>
      <c r="G409" s="303">
        <v>0</v>
      </c>
      <c r="H409" s="303">
        <v>0</v>
      </c>
      <c r="I409" s="303">
        <f>SUM(B409:H409)</f>
        <v>124.97</v>
      </c>
    </row>
    <row r="410" spans="1:9" ht="10.5">
      <c r="A410" s="319" t="s">
        <v>57</v>
      </c>
      <c r="B410" s="313">
        <f t="shared" ref="B410:I410" si="100">SUM(B407:B409)</f>
        <v>0</v>
      </c>
      <c r="C410" s="313">
        <f t="shared" si="100"/>
        <v>0</v>
      </c>
      <c r="D410" s="313">
        <f t="shared" si="100"/>
        <v>0</v>
      </c>
      <c r="E410" s="313">
        <f t="shared" si="100"/>
        <v>0</v>
      </c>
      <c r="F410" s="313">
        <f t="shared" si="100"/>
        <v>1819.06</v>
      </c>
      <c r="G410" s="313">
        <f t="shared" si="100"/>
        <v>0</v>
      </c>
      <c r="H410" s="313">
        <f t="shared" si="100"/>
        <v>0</v>
      </c>
      <c r="I410" s="313">
        <f t="shared" si="100"/>
        <v>1819.06</v>
      </c>
    </row>
    <row r="411" spans="1:9" ht="10.5">
      <c r="A411" s="318" t="s">
        <v>116</v>
      </c>
      <c r="B411" s="309"/>
      <c r="C411" s="309"/>
      <c r="D411" s="309"/>
      <c r="E411" s="309"/>
      <c r="F411" s="309"/>
      <c r="G411" s="309"/>
      <c r="H411" s="309"/>
      <c r="I411" s="309"/>
    </row>
    <row r="412" spans="1:9">
      <c r="A412" s="99" t="s">
        <v>117</v>
      </c>
      <c r="B412" s="303">
        <v>0</v>
      </c>
      <c r="C412" s="303">
        <v>0</v>
      </c>
      <c r="D412" s="303">
        <v>0</v>
      </c>
      <c r="E412" s="303">
        <v>0</v>
      </c>
      <c r="F412" s="303">
        <v>2021.1</v>
      </c>
      <c r="G412" s="303">
        <v>-15109</v>
      </c>
      <c r="H412" s="303">
        <v>0</v>
      </c>
      <c r="I412" s="303">
        <f>SUM(B412:H412)</f>
        <v>-13087.9</v>
      </c>
    </row>
    <row r="413" spans="1:9" ht="10.5">
      <c r="A413" s="319" t="s">
        <v>118</v>
      </c>
      <c r="B413" s="313">
        <f t="shared" ref="B413:I413" si="101">SUM(B412)</f>
        <v>0</v>
      </c>
      <c r="C413" s="313">
        <f t="shared" si="101"/>
        <v>0</v>
      </c>
      <c r="D413" s="313">
        <f t="shared" si="101"/>
        <v>0</v>
      </c>
      <c r="E413" s="313">
        <f t="shared" si="101"/>
        <v>0</v>
      </c>
      <c r="F413" s="313">
        <f t="shared" si="101"/>
        <v>2021.1</v>
      </c>
      <c r="G413" s="313">
        <f t="shared" si="101"/>
        <v>-15109</v>
      </c>
      <c r="H413" s="313">
        <f t="shared" si="101"/>
        <v>0</v>
      </c>
      <c r="I413" s="313">
        <f t="shared" si="101"/>
        <v>-13087.9</v>
      </c>
    </row>
    <row r="414" spans="1:9" ht="10.5">
      <c r="A414" s="318" t="s">
        <v>80</v>
      </c>
      <c r="B414" s="309"/>
      <c r="C414" s="309"/>
      <c r="D414" s="309"/>
      <c r="E414" s="309"/>
      <c r="F414" s="309"/>
      <c r="G414" s="309"/>
      <c r="H414" s="309"/>
      <c r="I414" s="309"/>
    </row>
    <row r="415" spans="1:9">
      <c r="A415" s="99" t="s">
        <v>81</v>
      </c>
      <c r="B415" s="303">
        <v>0</v>
      </c>
      <c r="C415" s="303">
        <v>0</v>
      </c>
      <c r="D415" s="303">
        <v>0</v>
      </c>
      <c r="E415" s="303">
        <v>0</v>
      </c>
      <c r="F415" s="303">
        <v>147.72</v>
      </c>
      <c r="G415" s="303">
        <v>0</v>
      </c>
      <c r="H415" s="303">
        <v>0</v>
      </c>
      <c r="I415" s="303">
        <f>SUM(B415:H415)</f>
        <v>147.72</v>
      </c>
    </row>
    <row r="416" spans="1:9" ht="10.5">
      <c r="A416" s="319" t="s">
        <v>82</v>
      </c>
      <c r="B416" s="313">
        <f t="shared" ref="B416:I416" si="102">SUM(B415)</f>
        <v>0</v>
      </c>
      <c r="C416" s="313">
        <f t="shared" si="102"/>
        <v>0</v>
      </c>
      <c r="D416" s="313">
        <f t="shared" si="102"/>
        <v>0</v>
      </c>
      <c r="E416" s="313">
        <f t="shared" si="102"/>
        <v>0</v>
      </c>
      <c r="F416" s="313">
        <f t="shared" si="102"/>
        <v>147.72</v>
      </c>
      <c r="G416" s="313">
        <f t="shared" si="102"/>
        <v>0</v>
      </c>
      <c r="H416" s="313">
        <f t="shared" si="102"/>
        <v>0</v>
      </c>
      <c r="I416" s="313">
        <f t="shared" si="102"/>
        <v>147.72</v>
      </c>
    </row>
    <row r="417" spans="1:9" ht="10.5">
      <c r="A417" s="318" t="s">
        <v>119</v>
      </c>
      <c r="B417" s="309"/>
      <c r="C417" s="309"/>
      <c r="D417" s="309"/>
      <c r="E417" s="309"/>
      <c r="F417" s="309"/>
      <c r="G417" s="309"/>
      <c r="H417" s="309"/>
      <c r="I417" s="309"/>
    </row>
    <row r="418" spans="1:9">
      <c r="A418" s="99" t="s">
        <v>120</v>
      </c>
      <c r="B418" s="303">
        <v>0</v>
      </c>
      <c r="C418" s="303">
        <v>0</v>
      </c>
      <c r="D418" s="303">
        <v>0</v>
      </c>
      <c r="E418" s="303">
        <v>0</v>
      </c>
      <c r="F418" s="303">
        <v>0</v>
      </c>
      <c r="G418" s="303">
        <v>1461.69</v>
      </c>
      <c r="H418" s="303">
        <v>0</v>
      </c>
      <c r="I418" s="303">
        <f>SUM(B418:H418)</f>
        <v>1461.69</v>
      </c>
    </row>
    <row r="419" spans="1:9">
      <c r="A419" s="99" t="s">
        <v>121</v>
      </c>
      <c r="B419" s="303">
        <v>0</v>
      </c>
      <c r="C419" s="303">
        <v>0</v>
      </c>
      <c r="D419" s="303">
        <v>0</v>
      </c>
      <c r="E419" s="303">
        <v>0</v>
      </c>
      <c r="F419" s="303">
        <v>9782.0300000000007</v>
      </c>
      <c r="G419" s="303">
        <v>0</v>
      </c>
      <c r="H419" s="303">
        <v>0</v>
      </c>
      <c r="I419" s="303">
        <f>SUM(B419:H419)</f>
        <v>9782.0300000000007</v>
      </c>
    </row>
    <row r="420" spans="1:9" ht="10.5">
      <c r="A420" s="319" t="s">
        <v>122</v>
      </c>
      <c r="B420" s="313">
        <f t="shared" ref="B420:I420" si="103">SUM(B418:B419)</f>
        <v>0</v>
      </c>
      <c r="C420" s="313">
        <f t="shared" si="103"/>
        <v>0</v>
      </c>
      <c r="D420" s="313">
        <f t="shared" si="103"/>
        <v>0</v>
      </c>
      <c r="E420" s="313">
        <f t="shared" si="103"/>
        <v>0</v>
      </c>
      <c r="F420" s="313">
        <f t="shared" si="103"/>
        <v>9782.0300000000007</v>
      </c>
      <c r="G420" s="313">
        <f t="shared" si="103"/>
        <v>1461.69</v>
      </c>
      <c r="H420" s="313">
        <f t="shared" si="103"/>
        <v>0</v>
      </c>
      <c r="I420" s="313">
        <f t="shared" si="103"/>
        <v>11243.720000000001</v>
      </c>
    </row>
    <row r="421" spans="1:9" ht="10.5">
      <c r="A421" s="318" t="s">
        <v>126</v>
      </c>
      <c r="B421" s="309"/>
      <c r="C421" s="309"/>
      <c r="D421" s="309"/>
      <c r="E421" s="309"/>
      <c r="F421" s="309"/>
      <c r="G421" s="309"/>
      <c r="H421" s="309"/>
      <c r="I421" s="309"/>
    </row>
    <row r="422" spans="1:9" ht="10.5">
      <c r="A422" s="320" t="s">
        <v>127</v>
      </c>
      <c r="B422" s="309"/>
      <c r="C422" s="309"/>
      <c r="D422" s="309"/>
      <c r="E422" s="309"/>
      <c r="F422" s="309"/>
      <c r="G422" s="309"/>
      <c r="H422" s="309"/>
      <c r="I422" s="309"/>
    </row>
    <row r="423" spans="1:9">
      <c r="A423" s="321" t="s">
        <v>131</v>
      </c>
      <c r="B423" s="303">
        <v>0</v>
      </c>
      <c r="C423" s="303">
        <v>0</v>
      </c>
      <c r="D423" s="303">
        <v>0</v>
      </c>
      <c r="E423" s="303">
        <v>0</v>
      </c>
      <c r="F423" s="303">
        <v>119.93</v>
      </c>
      <c r="G423" s="303">
        <v>0</v>
      </c>
      <c r="H423" s="303">
        <v>0</v>
      </c>
      <c r="I423" s="303">
        <f>SUM(B423:H423)</f>
        <v>119.93</v>
      </c>
    </row>
    <row r="424" spans="1:9" ht="10.5">
      <c r="A424" s="322" t="s">
        <v>133</v>
      </c>
      <c r="B424" s="313">
        <f t="shared" ref="B424:I425" si="104">SUM(B423)</f>
        <v>0</v>
      </c>
      <c r="C424" s="313">
        <f t="shared" si="104"/>
        <v>0</v>
      </c>
      <c r="D424" s="313">
        <f t="shared" si="104"/>
        <v>0</v>
      </c>
      <c r="E424" s="313">
        <f t="shared" si="104"/>
        <v>0</v>
      </c>
      <c r="F424" s="313">
        <f t="shared" si="104"/>
        <v>119.93</v>
      </c>
      <c r="G424" s="313">
        <f t="shared" si="104"/>
        <v>0</v>
      </c>
      <c r="H424" s="313">
        <f t="shared" si="104"/>
        <v>0</v>
      </c>
      <c r="I424" s="313">
        <f t="shared" si="104"/>
        <v>119.93</v>
      </c>
    </row>
    <row r="425" spans="1:9" ht="10.5">
      <c r="A425" s="319" t="s">
        <v>134</v>
      </c>
      <c r="B425" s="313">
        <f t="shared" si="104"/>
        <v>0</v>
      </c>
      <c r="C425" s="313">
        <f t="shared" si="104"/>
        <v>0</v>
      </c>
      <c r="D425" s="313">
        <f t="shared" si="104"/>
        <v>0</v>
      </c>
      <c r="E425" s="313">
        <f t="shared" si="104"/>
        <v>0</v>
      </c>
      <c r="F425" s="313">
        <f t="shared" si="104"/>
        <v>119.93</v>
      </c>
      <c r="G425" s="313">
        <f t="shared" si="104"/>
        <v>0</v>
      </c>
      <c r="H425" s="313">
        <f t="shared" si="104"/>
        <v>0</v>
      </c>
      <c r="I425" s="313">
        <f t="shared" si="104"/>
        <v>119.93</v>
      </c>
    </row>
    <row r="426" spans="1:9" ht="10.5">
      <c r="A426" s="318" t="s">
        <v>172</v>
      </c>
      <c r="B426" s="309"/>
      <c r="C426" s="309"/>
      <c r="D426" s="309"/>
      <c r="E426" s="309"/>
      <c r="F426" s="309"/>
      <c r="G426" s="309"/>
      <c r="H426" s="309"/>
      <c r="I426" s="309"/>
    </row>
    <row r="427" spans="1:9">
      <c r="A427" s="99" t="s">
        <v>173</v>
      </c>
      <c r="B427" s="303">
        <v>26721.31</v>
      </c>
      <c r="C427" s="303">
        <v>0</v>
      </c>
      <c r="D427" s="303">
        <v>0</v>
      </c>
      <c r="E427" s="303">
        <v>0</v>
      </c>
      <c r="F427" s="303">
        <v>52740.86</v>
      </c>
      <c r="G427" s="303">
        <v>45.32</v>
      </c>
      <c r="H427" s="303">
        <v>0</v>
      </c>
      <c r="I427" s="303">
        <f>SUM(B427:H427)</f>
        <v>79507.490000000005</v>
      </c>
    </row>
    <row r="428" spans="1:9">
      <c r="A428" s="99" t="s">
        <v>174</v>
      </c>
      <c r="B428" s="303">
        <v>0</v>
      </c>
      <c r="C428" s="303">
        <v>0</v>
      </c>
      <c r="D428" s="303">
        <v>0</v>
      </c>
      <c r="E428" s="303">
        <v>0</v>
      </c>
      <c r="F428" s="303">
        <v>45542.81</v>
      </c>
      <c r="G428" s="303">
        <v>38440.11</v>
      </c>
      <c r="H428" s="303">
        <v>0</v>
      </c>
      <c r="I428" s="303">
        <f>SUM(B428:H428)</f>
        <v>83982.92</v>
      </c>
    </row>
    <row r="429" spans="1:9">
      <c r="A429" s="99" t="s">
        <v>175</v>
      </c>
      <c r="B429" s="303">
        <v>0</v>
      </c>
      <c r="C429" s="303">
        <v>0</v>
      </c>
      <c r="D429" s="303">
        <v>0</v>
      </c>
      <c r="E429" s="303">
        <v>0</v>
      </c>
      <c r="F429" s="303">
        <v>25</v>
      </c>
      <c r="G429" s="303">
        <v>3158.83</v>
      </c>
      <c r="H429" s="303">
        <v>0</v>
      </c>
      <c r="I429" s="303">
        <f>SUM(B429:H429)</f>
        <v>3183.83</v>
      </c>
    </row>
    <row r="430" spans="1:9" ht="10.5">
      <c r="A430" s="319" t="s">
        <v>176</v>
      </c>
      <c r="B430" s="313">
        <f t="shared" ref="B430:I430" si="105">SUM(B427:B429)</f>
        <v>26721.31</v>
      </c>
      <c r="C430" s="313">
        <f t="shared" si="105"/>
        <v>0</v>
      </c>
      <c r="D430" s="313">
        <f t="shared" si="105"/>
        <v>0</v>
      </c>
      <c r="E430" s="313">
        <f t="shared" si="105"/>
        <v>0</v>
      </c>
      <c r="F430" s="313">
        <f t="shared" si="105"/>
        <v>98308.67</v>
      </c>
      <c r="G430" s="313">
        <f t="shared" si="105"/>
        <v>41644.26</v>
      </c>
      <c r="H430" s="313">
        <f t="shared" si="105"/>
        <v>0</v>
      </c>
      <c r="I430" s="313">
        <f t="shared" si="105"/>
        <v>166674.23999999999</v>
      </c>
    </row>
    <row r="431" spans="1:9" ht="10.5">
      <c r="A431" s="318" t="s">
        <v>157</v>
      </c>
      <c r="B431" s="309"/>
      <c r="C431" s="309"/>
      <c r="D431" s="309"/>
      <c r="E431" s="309"/>
      <c r="F431" s="309"/>
      <c r="G431" s="309"/>
      <c r="H431" s="309"/>
      <c r="I431" s="309"/>
    </row>
    <row r="432" spans="1:9">
      <c r="A432" s="99" t="s">
        <v>158</v>
      </c>
      <c r="B432" s="303">
        <v>0</v>
      </c>
      <c r="C432" s="303">
        <v>0</v>
      </c>
      <c r="D432" s="303">
        <v>0</v>
      </c>
      <c r="E432" s="303">
        <v>0</v>
      </c>
      <c r="F432" s="303">
        <v>0</v>
      </c>
      <c r="G432" s="303">
        <v>13132.59</v>
      </c>
      <c r="H432" s="303">
        <v>0</v>
      </c>
      <c r="I432" s="303">
        <f>SUM(B432:H432)</f>
        <v>13132.59</v>
      </c>
    </row>
    <row r="433" spans="1:9" ht="10.5">
      <c r="A433" s="319" t="s">
        <v>160</v>
      </c>
      <c r="B433" s="313">
        <f t="shared" ref="B433:I433" si="106">SUM(B432)</f>
        <v>0</v>
      </c>
      <c r="C433" s="313">
        <f t="shared" si="106"/>
        <v>0</v>
      </c>
      <c r="D433" s="313">
        <f t="shared" si="106"/>
        <v>0</v>
      </c>
      <c r="E433" s="313">
        <f t="shared" si="106"/>
        <v>0</v>
      </c>
      <c r="F433" s="313">
        <f t="shared" si="106"/>
        <v>0</v>
      </c>
      <c r="G433" s="313">
        <f t="shared" si="106"/>
        <v>13132.59</v>
      </c>
      <c r="H433" s="313">
        <f t="shared" si="106"/>
        <v>0</v>
      </c>
      <c r="I433" s="313">
        <f t="shared" si="106"/>
        <v>13132.59</v>
      </c>
    </row>
    <row r="434" spans="1:9" ht="10.5">
      <c r="A434" s="318" t="s">
        <v>63</v>
      </c>
      <c r="B434" s="309"/>
      <c r="C434" s="309"/>
      <c r="D434" s="309"/>
      <c r="E434" s="309"/>
      <c r="F434" s="309"/>
      <c r="G434" s="309"/>
      <c r="H434" s="309"/>
      <c r="I434" s="309"/>
    </row>
    <row r="435" spans="1:9" ht="10.5">
      <c r="A435" s="320" t="s">
        <v>71</v>
      </c>
      <c r="B435" s="309"/>
      <c r="C435" s="309"/>
      <c r="D435" s="309"/>
      <c r="E435" s="309"/>
      <c r="F435" s="309"/>
      <c r="G435" s="309"/>
      <c r="H435" s="309"/>
      <c r="I435" s="309"/>
    </row>
    <row r="436" spans="1:9">
      <c r="A436" s="321" t="s">
        <v>72</v>
      </c>
      <c r="B436" s="303">
        <v>0</v>
      </c>
      <c r="C436" s="303">
        <v>0</v>
      </c>
      <c r="D436" s="303">
        <v>0</v>
      </c>
      <c r="E436" s="303">
        <v>0</v>
      </c>
      <c r="F436" s="303">
        <v>14647.72</v>
      </c>
      <c r="G436" s="303">
        <v>0</v>
      </c>
      <c r="H436" s="303">
        <v>0</v>
      </c>
      <c r="I436" s="303">
        <f>SUM(B436:H436)</f>
        <v>14647.72</v>
      </c>
    </row>
    <row r="437" spans="1:9" ht="10.5">
      <c r="A437" s="322" t="s">
        <v>73</v>
      </c>
      <c r="B437" s="313">
        <f t="shared" ref="B437:I437" si="107">SUM(B436)</f>
        <v>0</v>
      </c>
      <c r="C437" s="313">
        <f t="shared" si="107"/>
        <v>0</v>
      </c>
      <c r="D437" s="313">
        <f t="shared" si="107"/>
        <v>0</v>
      </c>
      <c r="E437" s="313">
        <f t="shared" si="107"/>
        <v>0</v>
      </c>
      <c r="F437" s="313">
        <f t="shared" si="107"/>
        <v>14647.72</v>
      </c>
      <c r="G437" s="313">
        <f t="shared" si="107"/>
        <v>0</v>
      </c>
      <c r="H437" s="313">
        <f t="shared" si="107"/>
        <v>0</v>
      </c>
      <c r="I437" s="313">
        <f t="shared" si="107"/>
        <v>14647.72</v>
      </c>
    </row>
    <row r="438" spans="1:9" ht="10.5">
      <c r="A438" s="320" t="s">
        <v>74</v>
      </c>
      <c r="B438" s="309"/>
      <c r="C438" s="309"/>
      <c r="D438" s="309"/>
      <c r="E438" s="309"/>
      <c r="F438" s="309"/>
      <c r="G438" s="309"/>
      <c r="H438" s="309"/>
      <c r="I438" s="309"/>
    </row>
    <row r="439" spans="1:9">
      <c r="A439" s="321" t="s">
        <v>75</v>
      </c>
      <c r="B439" s="303">
        <v>0</v>
      </c>
      <c r="C439" s="303">
        <v>0</v>
      </c>
      <c r="D439" s="303">
        <v>0</v>
      </c>
      <c r="E439" s="303">
        <v>0</v>
      </c>
      <c r="F439" s="303">
        <v>89.11</v>
      </c>
      <c r="G439" s="303">
        <v>0</v>
      </c>
      <c r="H439" s="303">
        <v>0</v>
      </c>
      <c r="I439" s="303">
        <f>SUM(B439:H439)</f>
        <v>89.11</v>
      </c>
    </row>
    <row r="440" spans="1:9">
      <c r="A440" s="321" t="s">
        <v>76</v>
      </c>
      <c r="B440" s="303">
        <v>0</v>
      </c>
      <c r="C440" s="303">
        <v>0</v>
      </c>
      <c r="D440" s="303">
        <v>0</v>
      </c>
      <c r="E440" s="303">
        <v>0</v>
      </c>
      <c r="F440" s="303">
        <v>240.08</v>
      </c>
      <c r="G440" s="303">
        <v>0</v>
      </c>
      <c r="H440" s="303">
        <v>0</v>
      </c>
      <c r="I440" s="303">
        <f>SUM(B440:H440)</f>
        <v>240.08</v>
      </c>
    </row>
    <row r="441" spans="1:9">
      <c r="A441" s="321" t="s">
        <v>77</v>
      </c>
      <c r="B441" s="303">
        <v>0</v>
      </c>
      <c r="C441" s="303">
        <v>0</v>
      </c>
      <c r="D441" s="303">
        <v>0</v>
      </c>
      <c r="E441" s="303">
        <v>0</v>
      </c>
      <c r="F441" s="303">
        <v>20.68</v>
      </c>
      <c r="G441" s="303">
        <v>13163.33</v>
      </c>
      <c r="H441" s="303">
        <v>0</v>
      </c>
      <c r="I441" s="303">
        <f>SUM(B441:H441)</f>
        <v>13184.01</v>
      </c>
    </row>
    <row r="442" spans="1:9" ht="10.5">
      <c r="A442" s="322" t="s">
        <v>78</v>
      </c>
      <c r="B442" s="313">
        <f t="shared" ref="B442:I442" si="108">SUM(B439:B441)</f>
        <v>0</v>
      </c>
      <c r="C442" s="313">
        <f t="shared" si="108"/>
        <v>0</v>
      </c>
      <c r="D442" s="313">
        <f t="shared" si="108"/>
        <v>0</v>
      </c>
      <c r="E442" s="313">
        <f t="shared" si="108"/>
        <v>0</v>
      </c>
      <c r="F442" s="313">
        <f t="shared" si="108"/>
        <v>349.87</v>
      </c>
      <c r="G442" s="313">
        <f t="shared" si="108"/>
        <v>13163.33</v>
      </c>
      <c r="H442" s="313">
        <f t="shared" si="108"/>
        <v>0</v>
      </c>
      <c r="I442" s="313">
        <f t="shared" si="108"/>
        <v>13513.2</v>
      </c>
    </row>
    <row r="443" spans="1:9" ht="10.5">
      <c r="A443" s="320" t="s">
        <v>67</v>
      </c>
      <c r="B443" s="309"/>
      <c r="C443" s="309"/>
      <c r="D443" s="309"/>
      <c r="E443" s="309"/>
      <c r="F443" s="309"/>
      <c r="G443" s="309"/>
      <c r="H443" s="309"/>
      <c r="I443" s="309"/>
    </row>
    <row r="444" spans="1:9">
      <c r="A444" s="321" t="s">
        <v>69</v>
      </c>
      <c r="B444" s="303">
        <v>0</v>
      </c>
      <c r="C444" s="303">
        <v>0</v>
      </c>
      <c r="D444" s="303">
        <v>0</v>
      </c>
      <c r="E444" s="303">
        <v>0</v>
      </c>
      <c r="F444" s="303">
        <v>584.20000000000005</v>
      </c>
      <c r="G444" s="303">
        <v>0</v>
      </c>
      <c r="H444" s="303">
        <v>0</v>
      </c>
      <c r="I444" s="303">
        <f>SUM(B444:H444)</f>
        <v>584.20000000000005</v>
      </c>
    </row>
    <row r="445" spans="1:9">
      <c r="A445" s="321" t="s">
        <v>68</v>
      </c>
      <c r="B445" s="303">
        <v>0</v>
      </c>
      <c r="C445" s="303">
        <v>0</v>
      </c>
      <c r="D445" s="303">
        <v>0</v>
      </c>
      <c r="E445" s="303">
        <v>0</v>
      </c>
      <c r="F445" s="303">
        <v>586.91</v>
      </c>
      <c r="G445" s="303">
        <v>0</v>
      </c>
      <c r="H445" s="303">
        <v>0</v>
      </c>
      <c r="I445" s="303">
        <f>SUM(B445:H445)</f>
        <v>586.91</v>
      </c>
    </row>
    <row r="446" spans="1:9" ht="10.5">
      <c r="A446" s="322" t="s">
        <v>70</v>
      </c>
      <c r="B446" s="313">
        <f t="shared" ref="B446:I446" si="109">SUM(B444:B445)</f>
        <v>0</v>
      </c>
      <c r="C446" s="313">
        <f t="shared" si="109"/>
        <v>0</v>
      </c>
      <c r="D446" s="313">
        <f t="shared" si="109"/>
        <v>0</v>
      </c>
      <c r="E446" s="313">
        <f t="shared" si="109"/>
        <v>0</v>
      </c>
      <c r="F446" s="313">
        <f t="shared" si="109"/>
        <v>1171.1100000000001</v>
      </c>
      <c r="G446" s="313">
        <f t="shared" si="109"/>
        <v>0</v>
      </c>
      <c r="H446" s="313">
        <f t="shared" si="109"/>
        <v>0</v>
      </c>
      <c r="I446" s="313">
        <f t="shared" si="109"/>
        <v>1171.1100000000001</v>
      </c>
    </row>
    <row r="447" spans="1:9" ht="10.5">
      <c r="A447" s="320" t="s">
        <v>64</v>
      </c>
      <c r="B447" s="309"/>
      <c r="C447" s="309"/>
      <c r="D447" s="309"/>
      <c r="E447" s="309"/>
      <c r="F447" s="309"/>
      <c r="G447" s="309"/>
      <c r="H447" s="309"/>
      <c r="I447" s="309"/>
    </row>
    <row r="448" spans="1:9">
      <c r="A448" s="321" t="s">
        <v>65</v>
      </c>
      <c r="B448" s="303">
        <v>0</v>
      </c>
      <c r="C448" s="303">
        <v>0</v>
      </c>
      <c r="D448" s="303">
        <v>0</v>
      </c>
      <c r="E448" s="303">
        <v>0</v>
      </c>
      <c r="F448" s="303">
        <v>341.52</v>
      </c>
      <c r="G448" s="303">
        <v>0</v>
      </c>
      <c r="H448" s="303">
        <v>0</v>
      </c>
      <c r="I448" s="303">
        <f>SUM(B448:H448)</f>
        <v>341.52</v>
      </c>
    </row>
    <row r="449" spans="1:10" ht="10.5">
      <c r="A449" s="322" t="s">
        <v>66</v>
      </c>
      <c r="B449" s="313">
        <f t="shared" ref="B449:I449" si="110">SUM(B448)</f>
        <v>0</v>
      </c>
      <c r="C449" s="313">
        <f t="shared" si="110"/>
        <v>0</v>
      </c>
      <c r="D449" s="313">
        <f t="shared" si="110"/>
        <v>0</v>
      </c>
      <c r="E449" s="313">
        <f t="shared" si="110"/>
        <v>0</v>
      </c>
      <c r="F449" s="313">
        <f t="shared" si="110"/>
        <v>341.52</v>
      </c>
      <c r="G449" s="313">
        <f t="shared" si="110"/>
        <v>0</v>
      </c>
      <c r="H449" s="313">
        <f t="shared" si="110"/>
        <v>0</v>
      </c>
      <c r="I449" s="313">
        <f t="shared" si="110"/>
        <v>341.52</v>
      </c>
    </row>
    <row r="450" spans="1:10" ht="10.5">
      <c r="A450" s="319" t="s">
        <v>79</v>
      </c>
      <c r="B450" s="313">
        <f t="shared" ref="B450:I450" si="111">SUM(B437,B442,B446,B449)</f>
        <v>0</v>
      </c>
      <c r="C450" s="313">
        <f t="shared" si="111"/>
        <v>0</v>
      </c>
      <c r="D450" s="313">
        <f t="shared" si="111"/>
        <v>0</v>
      </c>
      <c r="E450" s="313">
        <f t="shared" si="111"/>
        <v>0</v>
      </c>
      <c r="F450" s="313">
        <f t="shared" si="111"/>
        <v>16510.22</v>
      </c>
      <c r="G450" s="313">
        <f t="shared" si="111"/>
        <v>13163.33</v>
      </c>
      <c r="H450" s="313">
        <f t="shared" si="111"/>
        <v>0</v>
      </c>
      <c r="I450" s="313">
        <f t="shared" si="111"/>
        <v>29673.55</v>
      </c>
    </row>
    <row r="451" spans="1:10" ht="10.5">
      <c r="A451" s="318" t="s">
        <v>166</v>
      </c>
      <c r="B451" s="309"/>
      <c r="C451" s="309"/>
      <c r="D451" s="309"/>
      <c r="E451" s="309"/>
      <c r="F451" s="309"/>
      <c r="G451" s="309"/>
      <c r="H451" s="309"/>
      <c r="I451" s="309"/>
    </row>
    <row r="452" spans="1:10">
      <c r="A452" s="99" t="s">
        <v>167</v>
      </c>
      <c r="B452" s="303">
        <v>0</v>
      </c>
      <c r="C452" s="303">
        <v>0</v>
      </c>
      <c r="D452" s="303">
        <v>0</v>
      </c>
      <c r="E452" s="303">
        <v>0</v>
      </c>
      <c r="F452" s="303">
        <v>13504.53</v>
      </c>
      <c r="G452" s="303">
        <v>0</v>
      </c>
      <c r="H452" s="303">
        <v>0</v>
      </c>
      <c r="I452" s="303">
        <f>SUM(B452:H452)</f>
        <v>13504.53</v>
      </c>
    </row>
    <row r="453" spans="1:10" ht="10.5">
      <c r="A453" s="319" t="s">
        <v>169</v>
      </c>
      <c r="B453" s="313">
        <f t="shared" ref="B453:I453" si="112">SUM(B452)</f>
        <v>0</v>
      </c>
      <c r="C453" s="313">
        <f t="shared" si="112"/>
        <v>0</v>
      </c>
      <c r="D453" s="313">
        <f t="shared" si="112"/>
        <v>0</v>
      </c>
      <c r="E453" s="313">
        <f t="shared" si="112"/>
        <v>0</v>
      </c>
      <c r="F453" s="313">
        <f t="shared" si="112"/>
        <v>13504.53</v>
      </c>
      <c r="G453" s="313">
        <f t="shared" si="112"/>
        <v>0</v>
      </c>
      <c r="H453" s="313">
        <f t="shared" si="112"/>
        <v>0</v>
      </c>
      <c r="I453" s="313">
        <f t="shared" si="112"/>
        <v>13504.53</v>
      </c>
    </row>
    <row r="454" spans="1:10" ht="10.5">
      <c r="A454" s="318" t="s">
        <v>58</v>
      </c>
      <c r="B454" s="309"/>
      <c r="C454" s="309"/>
      <c r="D454" s="309"/>
      <c r="E454" s="309"/>
      <c r="F454" s="309"/>
      <c r="G454" s="309"/>
      <c r="H454" s="309"/>
      <c r="I454" s="309"/>
    </row>
    <row r="455" spans="1:10">
      <c r="A455" s="99" t="s">
        <v>59</v>
      </c>
      <c r="B455" s="303">
        <v>0</v>
      </c>
      <c r="C455" s="303">
        <v>0</v>
      </c>
      <c r="D455" s="303">
        <v>0</v>
      </c>
      <c r="E455" s="303">
        <v>0</v>
      </c>
      <c r="F455" s="303">
        <v>222.52</v>
      </c>
      <c r="G455" s="303">
        <v>0</v>
      </c>
      <c r="H455" s="303">
        <v>0</v>
      </c>
      <c r="I455" s="303">
        <f>SUM(B455:H455)</f>
        <v>222.52</v>
      </c>
    </row>
    <row r="456" spans="1:10">
      <c r="A456" s="99" t="s">
        <v>61</v>
      </c>
      <c r="B456" s="303">
        <v>0</v>
      </c>
      <c r="C456" s="303">
        <v>0</v>
      </c>
      <c r="D456" s="303">
        <v>0</v>
      </c>
      <c r="E456" s="303">
        <v>0</v>
      </c>
      <c r="F456" s="303">
        <v>43.91</v>
      </c>
      <c r="G456" s="303">
        <v>0</v>
      </c>
      <c r="H456" s="303">
        <v>0</v>
      </c>
      <c r="I456" s="303">
        <f>SUM(B456:H456)</f>
        <v>43.91</v>
      </c>
    </row>
    <row r="457" spans="1:10">
      <c r="A457" s="99" t="s">
        <v>60</v>
      </c>
      <c r="B457" s="303">
        <v>0</v>
      </c>
      <c r="C457" s="303">
        <v>0</v>
      </c>
      <c r="D457" s="303">
        <v>0</v>
      </c>
      <c r="E457" s="303">
        <v>0</v>
      </c>
      <c r="F457" s="303">
        <v>25.25</v>
      </c>
      <c r="G457" s="303">
        <v>0</v>
      </c>
      <c r="H457" s="303">
        <v>0</v>
      </c>
      <c r="I457" s="303">
        <f>SUM(B457:H457)</f>
        <v>25.25</v>
      </c>
    </row>
    <row r="458" spans="1:10" ht="10.5">
      <c r="A458" s="319" t="s">
        <v>62</v>
      </c>
      <c r="B458" s="313">
        <f t="shared" ref="B458:I458" si="113">SUM(B455:B457)</f>
        <v>0</v>
      </c>
      <c r="C458" s="313">
        <f t="shared" si="113"/>
        <v>0</v>
      </c>
      <c r="D458" s="313">
        <f t="shared" si="113"/>
        <v>0</v>
      </c>
      <c r="E458" s="313">
        <f t="shared" si="113"/>
        <v>0</v>
      </c>
      <c r="F458" s="313">
        <f t="shared" si="113"/>
        <v>291.68</v>
      </c>
      <c r="G458" s="313">
        <f t="shared" si="113"/>
        <v>0</v>
      </c>
      <c r="H458" s="313">
        <f t="shared" si="113"/>
        <v>0</v>
      </c>
      <c r="I458" s="313">
        <f t="shared" si="113"/>
        <v>291.68</v>
      </c>
    </row>
    <row r="459" spans="1:10" ht="10.5">
      <c r="A459" s="312" t="s">
        <v>177</v>
      </c>
      <c r="B459" s="313">
        <f t="shared" ref="B459:I459" si="114">SUM(B402,B405,B410,B413,B416,B420,B425,B430,B433,B450,B453,B458)</f>
        <v>26721.31</v>
      </c>
      <c r="C459" s="313">
        <f t="shared" si="114"/>
        <v>0</v>
      </c>
      <c r="D459" s="313">
        <f t="shared" si="114"/>
        <v>0</v>
      </c>
      <c r="E459" s="313">
        <f t="shared" si="114"/>
        <v>0</v>
      </c>
      <c r="F459" s="313">
        <f t="shared" si="114"/>
        <v>178233.41999999998</v>
      </c>
      <c r="G459" s="313">
        <f t="shared" si="114"/>
        <v>54292.87000000001</v>
      </c>
      <c r="H459" s="313">
        <f t="shared" si="114"/>
        <v>0</v>
      </c>
      <c r="I459" s="313">
        <f t="shared" si="114"/>
        <v>259247.59999999998</v>
      </c>
    </row>
    <row r="460" spans="1:10" ht="10.5">
      <c r="A460" s="314" t="s">
        <v>178</v>
      </c>
      <c r="B460" s="313">
        <f t="shared" ref="B460:I460" si="115">SUM(B393,B459)</f>
        <v>424507.61</v>
      </c>
      <c r="C460" s="313">
        <f t="shared" si="115"/>
        <v>0</v>
      </c>
      <c r="D460" s="313">
        <f t="shared" si="115"/>
        <v>0</v>
      </c>
      <c r="E460" s="313">
        <f t="shared" si="115"/>
        <v>0</v>
      </c>
      <c r="F460" s="313">
        <f t="shared" si="115"/>
        <v>2211092.0000000005</v>
      </c>
      <c r="G460" s="313">
        <f t="shared" si="115"/>
        <v>2086267.7199999997</v>
      </c>
      <c r="H460" s="313">
        <f t="shared" si="115"/>
        <v>113052.5</v>
      </c>
      <c r="I460" s="313">
        <f t="shared" si="115"/>
        <v>4834919.8299999991</v>
      </c>
      <c r="J460" s="110">
        <v>4.2</v>
      </c>
    </row>
    <row r="461" spans="1:10" ht="10.5">
      <c r="A461" s="310" t="s">
        <v>179</v>
      </c>
      <c r="B461" s="309"/>
      <c r="C461" s="309"/>
      <c r="D461" s="309"/>
      <c r="E461" s="309"/>
      <c r="F461" s="309"/>
      <c r="G461" s="309"/>
      <c r="H461" s="309"/>
      <c r="I461" s="309"/>
    </row>
    <row r="462" spans="1:10" ht="10.5">
      <c r="A462" s="311" t="s">
        <v>180</v>
      </c>
      <c r="B462" s="309"/>
      <c r="C462" s="309"/>
      <c r="D462" s="309"/>
      <c r="E462" s="309"/>
      <c r="F462" s="309"/>
      <c r="G462" s="309"/>
      <c r="H462" s="309"/>
      <c r="I462" s="309"/>
    </row>
    <row r="463" spans="1:10" ht="10.5">
      <c r="A463" s="318" t="s">
        <v>86</v>
      </c>
      <c r="B463" s="309"/>
      <c r="C463" s="309"/>
      <c r="D463" s="309"/>
      <c r="E463" s="309"/>
      <c r="F463" s="309"/>
      <c r="G463" s="309"/>
      <c r="H463" s="309"/>
      <c r="I463" s="309"/>
    </row>
    <row r="464" spans="1:10">
      <c r="A464" s="99" t="s">
        <v>101</v>
      </c>
      <c r="B464" s="303">
        <v>0</v>
      </c>
      <c r="C464" s="303">
        <v>0</v>
      </c>
      <c r="D464" s="303">
        <v>0</v>
      </c>
      <c r="E464" s="303">
        <v>0</v>
      </c>
      <c r="F464" s="303">
        <v>332638.64</v>
      </c>
      <c r="G464" s="303">
        <v>133322.6</v>
      </c>
      <c r="H464" s="303">
        <v>0</v>
      </c>
      <c r="I464" s="303">
        <f>SUM(B464:H464)</f>
        <v>465961.24</v>
      </c>
    </row>
    <row r="465" spans="1:9">
      <c r="A465" s="99" t="s">
        <v>102</v>
      </c>
      <c r="B465" s="303">
        <v>0</v>
      </c>
      <c r="C465" s="303">
        <v>0</v>
      </c>
      <c r="D465" s="303">
        <v>0</v>
      </c>
      <c r="E465" s="303">
        <v>0</v>
      </c>
      <c r="F465" s="303">
        <v>0</v>
      </c>
      <c r="G465" s="303">
        <v>5301.72</v>
      </c>
      <c r="H465" s="303">
        <v>0</v>
      </c>
      <c r="I465" s="303">
        <f>SUM(B465:H465)</f>
        <v>5301.72</v>
      </c>
    </row>
    <row r="466" spans="1:9" ht="10.5">
      <c r="A466" s="320" t="s">
        <v>87</v>
      </c>
      <c r="B466" s="309"/>
      <c r="C466" s="309"/>
      <c r="D466" s="309"/>
      <c r="E466" s="309"/>
      <c r="F466" s="309"/>
      <c r="G466" s="309"/>
      <c r="H466" s="309"/>
      <c r="I466" s="309"/>
    </row>
    <row r="467" spans="1:9">
      <c r="A467" s="321" t="s">
        <v>88</v>
      </c>
      <c r="B467" s="303">
        <v>0</v>
      </c>
      <c r="C467" s="303">
        <v>0</v>
      </c>
      <c r="D467" s="303">
        <v>0</v>
      </c>
      <c r="E467" s="303">
        <v>0</v>
      </c>
      <c r="F467" s="303">
        <v>26.73</v>
      </c>
      <c r="G467" s="303">
        <v>739.78</v>
      </c>
      <c r="H467" s="303">
        <v>0</v>
      </c>
      <c r="I467" s="303">
        <f>SUM(B467:H467)</f>
        <v>766.51</v>
      </c>
    </row>
    <row r="468" spans="1:9">
      <c r="A468" s="321" t="s">
        <v>103</v>
      </c>
      <c r="B468" s="303">
        <v>0</v>
      </c>
      <c r="C468" s="303">
        <v>0</v>
      </c>
      <c r="D468" s="303">
        <v>0</v>
      </c>
      <c r="E468" s="303">
        <v>0</v>
      </c>
      <c r="F468" s="303">
        <v>118.27</v>
      </c>
      <c r="G468" s="303">
        <v>0</v>
      </c>
      <c r="H468" s="303">
        <v>0</v>
      </c>
      <c r="I468" s="303">
        <f>SUM(B468:H468)</f>
        <v>118.27</v>
      </c>
    </row>
    <row r="469" spans="1:9">
      <c r="A469" s="321" t="s">
        <v>89</v>
      </c>
      <c r="B469" s="303">
        <v>0</v>
      </c>
      <c r="C469" s="303">
        <v>0</v>
      </c>
      <c r="D469" s="303">
        <v>0</v>
      </c>
      <c r="E469" s="303">
        <v>0</v>
      </c>
      <c r="F469" s="303">
        <v>0</v>
      </c>
      <c r="G469" s="303">
        <v>5550.5</v>
      </c>
      <c r="H469" s="303">
        <v>0</v>
      </c>
      <c r="I469" s="303">
        <f>SUM(B469:H469)</f>
        <v>5550.5</v>
      </c>
    </row>
    <row r="470" spans="1:9">
      <c r="A470" s="321" t="s">
        <v>104</v>
      </c>
      <c r="B470" s="303">
        <v>0</v>
      </c>
      <c r="C470" s="303">
        <v>0</v>
      </c>
      <c r="D470" s="303">
        <v>0</v>
      </c>
      <c r="E470" s="303">
        <v>0</v>
      </c>
      <c r="F470" s="303">
        <v>210</v>
      </c>
      <c r="G470" s="303">
        <v>87.06</v>
      </c>
      <c r="H470" s="303">
        <v>0</v>
      </c>
      <c r="I470" s="303">
        <f>SUM(B470:H470)</f>
        <v>297.06</v>
      </c>
    </row>
    <row r="471" spans="1:9">
      <c r="A471" s="321" t="s">
        <v>90</v>
      </c>
      <c r="B471" s="303">
        <v>0</v>
      </c>
      <c r="C471" s="303">
        <v>0</v>
      </c>
      <c r="D471" s="303">
        <v>0</v>
      </c>
      <c r="E471" s="303">
        <v>0</v>
      </c>
      <c r="F471" s="303">
        <v>504.54</v>
      </c>
      <c r="G471" s="303">
        <v>531.12</v>
      </c>
      <c r="H471" s="303">
        <v>0</v>
      </c>
      <c r="I471" s="303">
        <f>SUM(B471:H471)</f>
        <v>1035.6600000000001</v>
      </c>
    </row>
    <row r="472" spans="1:9" ht="10.5">
      <c r="A472" s="322" t="s">
        <v>91</v>
      </c>
      <c r="B472" s="313">
        <f t="shared" ref="B472:I472" si="116">SUM(B467:B471)</f>
        <v>0</v>
      </c>
      <c r="C472" s="313">
        <f t="shared" si="116"/>
        <v>0</v>
      </c>
      <c r="D472" s="313">
        <f t="shared" si="116"/>
        <v>0</v>
      </c>
      <c r="E472" s="313">
        <f t="shared" si="116"/>
        <v>0</v>
      </c>
      <c r="F472" s="313">
        <f t="shared" si="116"/>
        <v>859.54</v>
      </c>
      <c r="G472" s="313">
        <f t="shared" si="116"/>
        <v>6908.46</v>
      </c>
      <c r="H472" s="313">
        <f t="shared" si="116"/>
        <v>0</v>
      </c>
      <c r="I472" s="313">
        <f t="shared" si="116"/>
        <v>7768</v>
      </c>
    </row>
    <row r="473" spans="1:9" ht="10.5">
      <c r="A473" s="319" t="s">
        <v>92</v>
      </c>
      <c r="B473" s="313">
        <f t="shared" ref="B473:I473" si="117">SUM(B464:B465,B472)</f>
        <v>0</v>
      </c>
      <c r="C473" s="313">
        <f t="shared" si="117"/>
        <v>0</v>
      </c>
      <c r="D473" s="313">
        <f t="shared" si="117"/>
        <v>0</v>
      </c>
      <c r="E473" s="313">
        <f t="shared" si="117"/>
        <v>0</v>
      </c>
      <c r="F473" s="313">
        <f t="shared" si="117"/>
        <v>333498.18</v>
      </c>
      <c r="G473" s="313">
        <f t="shared" si="117"/>
        <v>145532.78</v>
      </c>
      <c r="H473" s="313">
        <f t="shared" si="117"/>
        <v>0</v>
      </c>
      <c r="I473" s="313">
        <f t="shared" si="117"/>
        <v>479030.95999999996</v>
      </c>
    </row>
    <row r="474" spans="1:9" ht="10.5">
      <c r="A474" s="318" t="s">
        <v>83</v>
      </c>
      <c r="B474" s="309"/>
      <c r="C474" s="309"/>
      <c r="D474" s="309"/>
      <c r="E474" s="309"/>
      <c r="F474" s="309"/>
      <c r="G474" s="309"/>
      <c r="H474" s="309"/>
      <c r="I474" s="309"/>
    </row>
    <row r="475" spans="1:9">
      <c r="A475" s="99" t="s">
        <v>84</v>
      </c>
      <c r="B475" s="303">
        <v>0</v>
      </c>
      <c r="C475" s="303">
        <v>0</v>
      </c>
      <c r="D475" s="303">
        <v>0</v>
      </c>
      <c r="E475" s="303">
        <v>0</v>
      </c>
      <c r="F475" s="303">
        <v>0</v>
      </c>
      <c r="G475" s="303">
        <v>0</v>
      </c>
      <c r="H475" s="303">
        <v>132.34</v>
      </c>
      <c r="I475" s="303">
        <f t="shared" ref="I475:I482" si="118">SUM(B475:H475)</f>
        <v>132.34</v>
      </c>
    </row>
    <row r="476" spans="1:9">
      <c r="A476" s="99" t="s">
        <v>105</v>
      </c>
      <c r="B476" s="303">
        <v>0</v>
      </c>
      <c r="C476" s="303">
        <v>0</v>
      </c>
      <c r="D476" s="303">
        <v>0</v>
      </c>
      <c r="E476" s="303">
        <v>0</v>
      </c>
      <c r="F476" s="303">
        <v>0</v>
      </c>
      <c r="G476" s="303">
        <v>180.89</v>
      </c>
      <c r="H476" s="303">
        <v>0</v>
      </c>
      <c r="I476" s="303">
        <f t="shared" si="118"/>
        <v>180.89</v>
      </c>
    </row>
    <row r="477" spans="1:9">
      <c r="A477" s="99" t="s">
        <v>106</v>
      </c>
      <c r="B477" s="303">
        <v>0</v>
      </c>
      <c r="C477" s="303">
        <v>0</v>
      </c>
      <c r="D477" s="303">
        <v>0</v>
      </c>
      <c r="E477" s="303">
        <v>0</v>
      </c>
      <c r="F477" s="303">
        <v>0</v>
      </c>
      <c r="G477" s="303">
        <v>-180.89</v>
      </c>
      <c r="H477" s="303">
        <v>0</v>
      </c>
      <c r="I477" s="303">
        <f t="shared" si="118"/>
        <v>-180.89</v>
      </c>
    </row>
    <row r="478" spans="1:9">
      <c r="A478" s="99" t="s">
        <v>109</v>
      </c>
      <c r="B478" s="303">
        <v>0</v>
      </c>
      <c r="C478" s="303">
        <v>0</v>
      </c>
      <c r="D478" s="303">
        <v>0</v>
      </c>
      <c r="E478" s="303">
        <v>0</v>
      </c>
      <c r="F478" s="303">
        <v>0</v>
      </c>
      <c r="G478" s="303">
        <v>46.82</v>
      </c>
      <c r="H478" s="303">
        <v>0</v>
      </c>
      <c r="I478" s="303">
        <f t="shared" si="118"/>
        <v>46.82</v>
      </c>
    </row>
    <row r="479" spans="1:9">
      <c r="A479" s="99" t="s">
        <v>110</v>
      </c>
      <c r="B479" s="303">
        <v>0</v>
      </c>
      <c r="C479" s="303">
        <v>0</v>
      </c>
      <c r="D479" s="303">
        <v>0</v>
      </c>
      <c r="E479" s="303">
        <v>0</v>
      </c>
      <c r="F479" s="303">
        <v>0</v>
      </c>
      <c r="G479" s="303">
        <v>-46.82</v>
      </c>
      <c r="H479" s="303">
        <v>0</v>
      </c>
      <c r="I479" s="303">
        <f t="shared" si="118"/>
        <v>-46.82</v>
      </c>
    </row>
    <row r="480" spans="1:9">
      <c r="A480" s="99" t="s">
        <v>111</v>
      </c>
      <c r="B480" s="303">
        <v>0</v>
      </c>
      <c r="C480" s="303">
        <v>0</v>
      </c>
      <c r="D480" s="303">
        <v>0</v>
      </c>
      <c r="E480" s="303">
        <v>0</v>
      </c>
      <c r="F480" s="303">
        <v>0</v>
      </c>
      <c r="G480" s="303">
        <v>5757.22</v>
      </c>
      <c r="H480" s="303">
        <v>0</v>
      </c>
      <c r="I480" s="303">
        <f t="shared" si="118"/>
        <v>5757.22</v>
      </c>
    </row>
    <row r="481" spans="1:9">
      <c r="A481" s="99" t="s">
        <v>112</v>
      </c>
      <c r="B481" s="303">
        <v>0</v>
      </c>
      <c r="C481" s="303">
        <v>0</v>
      </c>
      <c r="D481" s="303">
        <v>0</v>
      </c>
      <c r="E481" s="303">
        <v>0</v>
      </c>
      <c r="F481" s="303">
        <v>0</v>
      </c>
      <c r="G481" s="303">
        <v>-5757.22</v>
      </c>
      <c r="H481" s="303">
        <v>0</v>
      </c>
      <c r="I481" s="303">
        <f t="shared" si="118"/>
        <v>-5757.22</v>
      </c>
    </row>
    <row r="482" spans="1:9">
      <c r="A482" s="99" t="s">
        <v>596</v>
      </c>
      <c r="B482" s="303">
        <v>0</v>
      </c>
      <c r="C482" s="303">
        <v>0</v>
      </c>
      <c r="D482" s="303">
        <v>0</v>
      </c>
      <c r="E482" s="303">
        <v>0</v>
      </c>
      <c r="F482" s="303">
        <v>44903.81</v>
      </c>
      <c r="G482" s="303">
        <v>9753.7199999999993</v>
      </c>
      <c r="H482" s="303">
        <v>0</v>
      </c>
      <c r="I482" s="303">
        <f t="shared" si="118"/>
        <v>54657.53</v>
      </c>
    </row>
    <row r="483" spans="1:9" ht="10.5">
      <c r="A483" s="319" t="s">
        <v>85</v>
      </c>
      <c r="B483" s="313">
        <f t="shared" ref="B483:I483" si="119">SUM(B475:B482)</f>
        <v>0</v>
      </c>
      <c r="C483" s="313">
        <f t="shared" si="119"/>
        <v>0</v>
      </c>
      <c r="D483" s="313">
        <f t="shared" si="119"/>
        <v>0</v>
      </c>
      <c r="E483" s="313">
        <f t="shared" si="119"/>
        <v>0</v>
      </c>
      <c r="F483" s="313">
        <f t="shared" si="119"/>
        <v>44903.81</v>
      </c>
      <c r="G483" s="313">
        <f t="shared" si="119"/>
        <v>9753.7199999999993</v>
      </c>
      <c r="H483" s="313">
        <f t="shared" si="119"/>
        <v>132.34</v>
      </c>
      <c r="I483" s="313">
        <f t="shared" si="119"/>
        <v>54789.869999999995</v>
      </c>
    </row>
    <row r="484" spans="1:9" ht="10.5">
      <c r="A484" s="318" t="s">
        <v>54</v>
      </c>
      <c r="B484" s="309"/>
      <c r="C484" s="309"/>
      <c r="D484" s="309"/>
      <c r="E484" s="309"/>
      <c r="F484" s="309"/>
      <c r="G484" s="309"/>
      <c r="H484" s="309"/>
      <c r="I484" s="309"/>
    </row>
    <row r="485" spans="1:9">
      <c r="A485" s="99" t="s">
        <v>56</v>
      </c>
      <c r="B485" s="303">
        <v>0</v>
      </c>
      <c r="C485" s="303">
        <v>0</v>
      </c>
      <c r="D485" s="303">
        <v>0</v>
      </c>
      <c r="E485" s="303">
        <v>0</v>
      </c>
      <c r="F485" s="303">
        <v>1070.1600000000001</v>
      </c>
      <c r="G485" s="303">
        <v>0</v>
      </c>
      <c r="H485" s="303">
        <v>0</v>
      </c>
      <c r="I485" s="303">
        <f>SUM(B485:H485)</f>
        <v>1070.1600000000001</v>
      </c>
    </row>
    <row r="486" spans="1:9">
      <c r="A486" s="99" t="s">
        <v>113</v>
      </c>
      <c r="B486" s="303">
        <v>0</v>
      </c>
      <c r="C486" s="303">
        <v>0</v>
      </c>
      <c r="D486" s="303">
        <v>0</v>
      </c>
      <c r="E486" s="303">
        <v>0</v>
      </c>
      <c r="F486" s="303">
        <v>0</v>
      </c>
      <c r="G486" s="303">
        <v>5883.41</v>
      </c>
      <c r="H486" s="303">
        <v>0</v>
      </c>
      <c r="I486" s="303">
        <f>SUM(B486:H486)</f>
        <v>5883.41</v>
      </c>
    </row>
    <row r="487" spans="1:9">
      <c r="A487" s="99" t="s">
        <v>55</v>
      </c>
      <c r="B487" s="303">
        <v>0</v>
      </c>
      <c r="C487" s="303">
        <v>0</v>
      </c>
      <c r="D487" s="303">
        <v>0</v>
      </c>
      <c r="E487" s="303">
        <v>0</v>
      </c>
      <c r="F487" s="303">
        <v>2318.04</v>
      </c>
      <c r="G487" s="303">
        <v>0</v>
      </c>
      <c r="H487" s="303">
        <v>0</v>
      </c>
      <c r="I487" s="303">
        <f>SUM(B487:H487)</f>
        <v>2318.04</v>
      </c>
    </row>
    <row r="488" spans="1:9">
      <c r="A488" s="99" t="s">
        <v>114</v>
      </c>
      <c r="B488" s="303">
        <v>0</v>
      </c>
      <c r="C488" s="303">
        <v>0</v>
      </c>
      <c r="D488" s="303">
        <v>0</v>
      </c>
      <c r="E488" s="303">
        <v>0</v>
      </c>
      <c r="F488" s="303">
        <v>1467.01</v>
      </c>
      <c r="G488" s="303">
        <v>11990.53</v>
      </c>
      <c r="H488" s="303">
        <v>0</v>
      </c>
      <c r="I488" s="303">
        <f>SUM(B488:H488)</f>
        <v>13457.54</v>
      </c>
    </row>
    <row r="489" spans="1:9">
      <c r="A489" s="99" t="s">
        <v>115</v>
      </c>
      <c r="B489" s="303">
        <v>0</v>
      </c>
      <c r="C489" s="303">
        <v>0</v>
      </c>
      <c r="D489" s="303">
        <v>0</v>
      </c>
      <c r="E489" s="303">
        <v>0</v>
      </c>
      <c r="F489" s="303">
        <v>0</v>
      </c>
      <c r="G489" s="303">
        <v>8679.0400000000009</v>
      </c>
      <c r="H489" s="303">
        <v>0</v>
      </c>
      <c r="I489" s="303">
        <f>SUM(B489:H489)</f>
        <v>8679.0400000000009</v>
      </c>
    </row>
    <row r="490" spans="1:9" ht="10.5">
      <c r="A490" s="319" t="s">
        <v>57</v>
      </c>
      <c r="B490" s="313">
        <f t="shared" ref="B490:I490" si="120">SUM(B485:B489)</f>
        <v>0</v>
      </c>
      <c r="C490" s="313">
        <f t="shared" si="120"/>
        <v>0</v>
      </c>
      <c r="D490" s="313">
        <f t="shared" si="120"/>
        <v>0</v>
      </c>
      <c r="E490" s="313">
        <f t="shared" si="120"/>
        <v>0</v>
      </c>
      <c r="F490" s="313">
        <f t="shared" si="120"/>
        <v>4855.21</v>
      </c>
      <c r="G490" s="313">
        <f t="shared" si="120"/>
        <v>26552.980000000003</v>
      </c>
      <c r="H490" s="313">
        <f t="shared" si="120"/>
        <v>0</v>
      </c>
      <c r="I490" s="313">
        <f t="shared" si="120"/>
        <v>31408.190000000002</v>
      </c>
    </row>
    <row r="491" spans="1:9" ht="10.5">
      <c r="A491" s="318" t="s">
        <v>116</v>
      </c>
      <c r="B491" s="309"/>
      <c r="C491" s="309"/>
      <c r="D491" s="309"/>
      <c r="E491" s="309"/>
      <c r="F491" s="309"/>
      <c r="G491" s="309"/>
      <c r="H491" s="309"/>
      <c r="I491" s="309"/>
    </row>
    <row r="492" spans="1:9">
      <c r="A492" s="99" t="s">
        <v>117</v>
      </c>
      <c r="B492" s="303">
        <v>0</v>
      </c>
      <c r="C492" s="303">
        <v>0</v>
      </c>
      <c r="D492" s="303">
        <v>0</v>
      </c>
      <c r="E492" s="303">
        <v>0</v>
      </c>
      <c r="F492" s="303">
        <v>96233.64</v>
      </c>
      <c r="G492" s="303">
        <v>1752.43</v>
      </c>
      <c r="H492" s="303">
        <v>0</v>
      </c>
      <c r="I492" s="303">
        <f>SUM(B492:H492)</f>
        <v>97986.069999999992</v>
      </c>
    </row>
    <row r="493" spans="1:9" ht="10.5">
      <c r="A493" s="319" t="s">
        <v>118</v>
      </c>
      <c r="B493" s="313">
        <f t="shared" ref="B493:I493" si="121">SUM(B492)</f>
        <v>0</v>
      </c>
      <c r="C493" s="313">
        <f t="shared" si="121"/>
        <v>0</v>
      </c>
      <c r="D493" s="313">
        <f t="shared" si="121"/>
        <v>0</v>
      </c>
      <c r="E493" s="313">
        <f t="shared" si="121"/>
        <v>0</v>
      </c>
      <c r="F493" s="313">
        <f t="shared" si="121"/>
        <v>96233.64</v>
      </c>
      <c r="G493" s="313">
        <f t="shared" si="121"/>
        <v>1752.43</v>
      </c>
      <c r="H493" s="313">
        <f t="shared" si="121"/>
        <v>0</v>
      </c>
      <c r="I493" s="313">
        <f t="shared" si="121"/>
        <v>97986.069999999992</v>
      </c>
    </row>
    <row r="494" spans="1:9" ht="10.5">
      <c r="A494" s="318" t="s">
        <v>80</v>
      </c>
      <c r="B494" s="309"/>
      <c r="C494" s="309"/>
      <c r="D494" s="309"/>
      <c r="E494" s="309"/>
      <c r="F494" s="309"/>
      <c r="G494" s="309"/>
      <c r="H494" s="309"/>
      <c r="I494" s="309"/>
    </row>
    <row r="495" spans="1:9">
      <c r="A495" s="99" t="s">
        <v>81</v>
      </c>
      <c r="B495" s="303">
        <v>0</v>
      </c>
      <c r="C495" s="303">
        <v>0</v>
      </c>
      <c r="D495" s="303">
        <v>0</v>
      </c>
      <c r="E495" s="303">
        <v>0</v>
      </c>
      <c r="F495" s="303">
        <v>295.38</v>
      </c>
      <c r="G495" s="303">
        <v>73.37</v>
      </c>
      <c r="H495" s="303">
        <v>0</v>
      </c>
      <c r="I495" s="303">
        <f>SUM(B495:H495)</f>
        <v>368.75</v>
      </c>
    </row>
    <row r="496" spans="1:9" ht="10.5">
      <c r="A496" s="319" t="s">
        <v>82</v>
      </c>
      <c r="B496" s="313">
        <f t="shared" ref="B496:I496" si="122">SUM(B495)</f>
        <v>0</v>
      </c>
      <c r="C496" s="313">
        <f t="shared" si="122"/>
        <v>0</v>
      </c>
      <c r="D496" s="313">
        <f t="shared" si="122"/>
        <v>0</v>
      </c>
      <c r="E496" s="313">
        <f t="shared" si="122"/>
        <v>0</v>
      </c>
      <c r="F496" s="313">
        <f t="shared" si="122"/>
        <v>295.38</v>
      </c>
      <c r="G496" s="313">
        <f t="shared" si="122"/>
        <v>73.37</v>
      </c>
      <c r="H496" s="313">
        <f t="shared" si="122"/>
        <v>0</v>
      </c>
      <c r="I496" s="313">
        <f t="shared" si="122"/>
        <v>368.75</v>
      </c>
    </row>
    <row r="497" spans="1:9" ht="10.5">
      <c r="A497" s="318" t="s">
        <v>119</v>
      </c>
      <c r="B497" s="309"/>
      <c r="C497" s="309"/>
      <c r="D497" s="309"/>
      <c r="E497" s="309"/>
      <c r="F497" s="309"/>
      <c r="G497" s="309"/>
      <c r="H497" s="309"/>
      <c r="I497" s="309"/>
    </row>
    <row r="498" spans="1:9">
      <c r="A498" s="99" t="s">
        <v>120</v>
      </c>
      <c r="B498" s="303">
        <v>0</v>
      </c>
      <c r="C498" s="303">
        <v>0</v>
      </c>
      <c r="D498" s="303">
        <v>0</v>
      </c>
      <c r="E498" s="303">
        <v>0</v>
      </c>
      <c r="F498" s="303">
        <v>0</v>
      </c>
      <c r="G498" s="303">
        <v>777.93</v>
      </c>
      <c r="H498" s="303">
        <v>0</v>
      </c>
      <c r="I498" s="303">
        <f>SUM(B498:H498)</f>
        <v>777.93</v>
      </c>
    </row>
    <row r="499" spans="1:9" ht="10.5">
      <c r="A499" s="319" t="s">
        <v>122</v>
      </c>
      <c r="B499" s="313">
        <f t="shared" ref="B499:I499" si="123">SUM(B498)</f>
        <v>0</v>
      </c>
      <c r="C499" s="313">
        <f t="shared" si="123"/>
        <v>0</v>
      </c>
      <c r="D499" s="313">
        <f t="shared" si="123"/>
        <v>0</v>
      </c>
      <c r="E499" s="313">
        <f t="shared" si="123"/>
        <v>0</v>
      </c>
      <c r="F499" s="313">
        <f t="shared" si="123"/>
        <v>0</v>
      </c>
      <c r="G499" s="313">
        <f t="shared" si="123"/>
        <v>777.93</v>
      </c>
      <c r="H499" s="313">
        <f t="shared" si="123"/>
        <v>0</v>
      </c>
      <c r="I499" s="313">
        <f t="shared" si="123"/>
        <v>777.93</v>
      </c>
    </row>
    <row r="500" spans="1:9" ht="10.5">
      <c r="A500" s="318" t="s">
        <v>123</v>
      </c>
      <c r="B500" s="309"/>
      <c r="C500" s="309"/>
      <c r="D500" s="309"/>
      <c r="E500" s="309"/>
      <c r="F500" s="309"/>
      <c r="G500" s="309"/>
      <c r="H500" s="309"/>
      <c r="I500" s="309"/>
    </row>
    <row r="501" spans="1:9">
      <c r="A501" s="99" t="s">
        <v>124</v>
      </c>
      <c r="B501" s="303">
        <v>0</v>
      </c>
      <c r="C501" s="303">
        <v>0</v>
      </c>
      <c r="D501" s="303">
        <v>0</v>
      </c>
      <c r="E501" s="303">
        <v>0</v>
      </c>
      <c r="F501" s="303">
        <v>0</v>
      </c>
      <c r="G501" s="303">
        <v>237.04</v>
      </c>
      <c r="H501" s="303">
        <v>0</v>
      </c>
      <c r="I501" s="303">
        <f>SUM(B501:H501)</f>
        <v>237.04</v>
      </c>
    </row>
    <row r="502" spans="1:9" ht="10.5">
      <c r="A502" s="319" t="s">
        <v>125</v>
      </c>
      <c r="B502" s="313">
        <f t="shared" ref="B502:I502" si="124">SUM(B501)</f>
        <v>0</v>
      </c>
      <c r="C502" s="313">
        <f t="shared" si="124"/>
        <v>0</v>
      </c>
      <c r="D502" s="313">
        <f t="shared" si="124"/>
        <v>0</v>
      </c>
      <c r="E502" s="313">
        <f t="shared" si="124"/>
        <v>0</v>
      </c>
      <c r="F502" s="313">
        <f t="shared" si="124"/>
        <v>0</v>
      </c>
      <c r="G502" s="313">
        <f t="shared" si="124"/>
        <v>237.04</v>
      </c>
      <c r="H502" s="313">
        <f t="shared" si="124"/>
        <v>0</v>
      </c>
      <c r="I502" s="313">
        <f t="shared" si="124"/>
        <v>237.04</v>
      </c>
    </row>
    <row r="503" spans="1:9" ht="10.5">
      <c r="A503" s="318" t="s">
        <v>126</v>
      </c>
      <c r="B503" s="309"/>
      <c r="C503" s="309"/>
      <c r="D503" s="309"/>
      <c r="E503" s="309"/>
      <c r="F503" s="309"/>
      <c r="G503" s="309"/>
      <c r="H503" s="309"/>
      <c r="I503" s="309"/>
    </row>
    <row r="504" spans="1:9" ht="10.5">
      <c r="A504" s="320" t="s">
        <v>127</v>
      </c>
      <c r="B504" s="309"/>
      <c r="C504" s="309"/>
      <c r="D504" s="309"/>
      <c r="E504" s="309"/>
      <c r="F504" s="309"/>
      <c r="G504" s="309"/>
      <c r="H504" s="309"/>
      <c r="I504" s="309"/>
    </row>
    <row r="505" spans="1:9">
      <c r="A505" s="321" t="s">
        <v>128</v>
      </c>
      <c r="B505" s="303">
        <v>0</v>
      </c>
      <c r="C505" s="303">
        <v>0</v>
      </c>
      <c r="D505" s="303">
        <v>0</v>
      </c>
      <c r="E505" s="303">
        <v>0</v>
      </c>
      <c r="F505" s="303">
        <v>5815.33</v>
      </c>
      <c r="G505" s="303">
        <v>4821.84</v>
      </c>
      <c r="H505" s="303">
        <v>0</v>
      </c>
      <c r="I505" s="303">
        <f>SUM(B505:H505)</f>
        <v>10637.17</v>
      </c>
    </row>
    <row r="506" spans="1:9">
      <c r="A506" s="321" t="s">
        <v>129</v>
      </c>
      <c r="B506" s="303">
        <v>0</v>
      </c>
      <c r="C506" s="303">
        <v>0</v>
      </c>
      <c r="D506" s="303">
        <v>0</v>
      </c>
      <c r="E506" s="303">
        <v>0</v>
      </c>
      <c r="F506" s="303">
        <v>2292.1799999999998</v>
      </c>
      <c r="G506" s="303">
        <v>4094.27</v>
      </c>
      <c r="H506" s="303">
        <v>0</v>
      </c>
      <c r="I506" s="303">
        <f>SUM(B506:H506)</f>
        <v>6386.45</v>
      </c>
    </row>
    <row r="507" spans="1:9">
      <c r="A507" s="321" t="s">
        <v>130</v>
      </c>
      <c r="B507" s="303">
        <v>0</v>
      </c>
      <c r="C507" s="303">
        <v>0</v>
      </c>
      <c r="D507" s="303">
        <v>0</v>
      </c>
      <c r="E507" s="303">
        <v>0</v>
      </c>
      <c r="F507" s="303">
        <v>1154.43</v>
      </c>
      <c r="G507" s="303">
        <v>851.93</v>
      </c>
      <c r="H507" s="303">
        <v>0</v>
      </c>
      <c r="I507" s="303">
        <f>SUM(B507:H507)</f>
        <v>2006.3600000000001</v>
      </c>
    </row>
    <row r="508" spans="1:9">
      <c r="A508" s="321" t="s">
        <v>131</v>
      </c>
      <c r="B508" s="303">
        <v>0</v>
      </c>
      <c r="C508" s="303">
        <v>0</v>
      </c>
      <c r="D508" s="303">
        <v>0</v>
      </c>
      <c r="E508" s="303">
        <v>0</v>
      </c>
      <c r="F508" s="303">
        <v>5293.21</v>
      </c>
      <c r="G508" s="303">
        <v>2667.7</v>
      </c>
      <c r="H508" s="303">
        <v>0</v>
      </c>
      <c r="I508" s="303">
        <f>SUM(B508:H508)</f>
        <v>7960.91</v>
      </c>
    </row>
    <row r="509" spans="1:9" ht="10.5">
      <c r="A509" s="322" t="s">
        <v>133</v>
      </c>
      <c r="B509" s="313">
        <f t="shared" ref="B509:I509" si="125">SUM(B505:B508)</f>
        <v>0</v>
      </c>
      <c r="C509" s="313">
        <f t="shared" si="125"/>
        <v>0</v>
      </c>
      <c r="D509" s="313">
        <f t="shared" si="125"/>
        <v>0</v>
      </c>
      <c r="E509" s="313">
        <f t="shared" si="125"/>
        <v>0</v>
      </c>
      <c r="F509" s="313">
        <f t="shared" si="125"/>
        <v>14555.150000000001</v>
      </c>
      <c r="G509" s="313">
        <f t="shared" si="125"/>
        <v>12435.740000000002</v>
      </c>
      <c r="H509" s="313">
        <f t="shared" si="125"/>
        <v>0</v>
      </c>
      <c r="I509" s="313">
        <f t="shared" si="125"/>
        <v>26990.89</v>
      </c>
    </row>
    <row r="510" spans="1:9" ht="10.5">
      <c r="A510" s="319" t="s">
        <v>134</v>
      </c>
      <c r="B510" s="313">
        <f t="shared" ref="B510:I510" si="126">SUM(B509)</f>
        <v>0</v>
      </c>
      <c r="C510" s="313">
        <f t="shared" si="126"/>
        <v>0</v>
      </c>
      <c r="D510" s="313">
        <f t="shared" si="126"/>
        <v>0</v>
      </c>
      <c r="E510" s="313">
        <f t="shared" si="126"/>
        <v>0</v>
      </c>
      <c r="F510" s="313">
        <f t="shared" si="126"/>
        <v>14555.150000000001</v>
      </c>
      <c r="G510" s="313">
        <f t="shared" si="126"/>
        <v>12435.740000000002</v>
      </c>
      <c r="H510" s="313">
        <f t="shared" si="126"/>
        <v>0</v>
      </c>
      <c r="I510" s="313">
        <f t="shared" si="126"/>
        <v>26990.89</v>
      </c>
    </row>
    <row r="511" spans="1:9" ht="10.5">
      <c r="A511" s="318" t="s">
        <v>135</v>
      </c>
      <c r="B511" s="309"/>
      <c r="C511" s="309"/>
      <c r="D511" s="309"/>
      <c r="E511" s="309"/>
      <c r="F511" s="309"/>
      <c r="G511" s="309"/>
      <c r="H511" s="309"/>
      <c r="I511" s="309"/>
    </row>
    <row r="512" spans="1:9" ht="10.5">
      <c r="A512" s="320" t="s">
        <v>136</v>
      </c>
      <c r="B512" s="309"/>
      <c r="C512" s="309"/>
      <c r="D512" s="309"/>
      <c r="E512" s="309"/>
      <c r="F512" s="309"/>
      <c r="G512" s="309"/>
      <c r="H512" s="309"/>
      <c r="I512" s="309"/>
    </row>
    <row r="513" spans="1:9">
      <c r="A513" s="321" t="s">
        <v>150</v>
      </c>
      <c r="B513" s="303">
        <v>0</v>
      </c>
      <c r="C513" s="303">
        <v>0</v>
      </c>
      <c r="D513" s="303">
        <v>0</v>
      </c>
      <c r="E513" s="303">
        <v>0</v>
      </c>
      <c r="F513" s="303">
        <v>945.86</v>
      </c>
      <c r="G513" s="303">
        <v>43054.07</v>
      </c>
      <c r="H513" s="303">
        <v>0</v>
      </c>
      <c r="I513" s="303">
        <f>SUM(B513:H513)</f>
        <v>43999.93</v>
      </c>
    </row>
    <row r="514" spans="1:9" ht="10.5">
      <c r="A514" s="322" t="s">
        <v>138</v>
      </c>
      <c r="B514" s="313">
        <f t="shared" ref="B514:I514" si="127">SUM(B513)</f>
        <v>0</v>
      </c>
      <c r="C514" s="313">
        <f t="shared" si="127"/>
        <v>0</v>
      </c>
      <c r="D514" s="313">
        <f t="shared" si="127"/>
        <v>0</v>
      </c>
      <c r="E514" s="313">
        <f t="shared" si="127"/>
        <v>0</v>
      </c>
      <c r="F514" s="313">
        <f t="shared" si="127"/>
        <v>945.86</v>
      </c>
      <c r="G514" s="313">
        <f t="shared" si="127"/>
        <v>43054.07</v>
      </c>
      <c r="H514" s="313">
        <f t="shared" si="127"/>
        <v>0</v>
      </c>
      <c r="I514" s="313">
        <f t="shared" si="127"/>
        <v>43999.93</v>
      </c>
    </row>
    <row r="515" spans="1:9" ht="10.5">
      <c r="A515" s="320" t="s">
        <v>181</v>
      </c>
      <c r="B515" s="309"/>
      <c r="C515" s="309"/>
      <c r="D515" s="309"/>
      <c r="E515" s="309"/>
      <c r="F515" s="309"/>
      <c r="G515" s="309"/>
      <c r="H515" s="309"/>
      <c r="I515" s="309"/>
    </row>
    <row r="516" spans="1:9">
      <c r="A516" s="321" t="s">
        <v>182</v>
      </c>
      <c r="B516" s="303">
        <v>0</v>
      </c>
      <c r="C516" s="303">
        <v>0</v>
      </c>
      <c r="D516" s="303">
        <v>0</v>
      </c>
      <c r="E516" s="303">
        <v>0</v>
      </c>
      <c r="F516" s="303">
        <v>54725.56</v>
      </c>
      <c r="G516" s="303">
        <v>133656.17000000001</v>
      </c>
      <c r="H516" s="303">
        <v>40815.25</v>
      </c>
      <c r="I516" s="303">
        <f>SUM(B516:H516)</f>
        <v>229196.98</v>
      </c>
    </row>
    <row r="517" spans="1:9" ht="10.5">
      <c r="A517" s="322" t="s">
        <v>183</v>
      </c>
      <c r="B517" s="313">
        <f t="shared" ref="B517:I517" si="128">SUM(B516)</f>
        <v>0</v>
      </c>
      <c r="C517" s="313">
        <f t="shared" si="128"/>
        <v>0</v>
      </c>
      <c r="D517" s="313">
        <f t="shared" si="128"/>
        <v>0</v>
      </c>
      <c r="E517" s="313">
        <f t="shared" si="128"/>
        <v>0</v>
      </c>
      <c r="F517" s="313">
        <f t="shared" si="128"/>
        <v>54725.56</v>
      </c>
      <c r="G517" s="313">
        <f t="shared" si="128"/>
        <v>133656.17000000001</v>
      </c>
      <c r="H517" s="313">
        <f t="shared" si="128"/>
        <v>40815.25</v>
      </c>
      <c r="I517" s="313">
        <f t="shared" si="128"/>
        <v>229196.98</v>
      </c>
    </row>
    <row r="518" spans="1:9" ht="10.5">
      <c r="A518" s="319" t="s">
        <v>139</v>
      </c>
      <c r="B518" s="313">
        <f t="shared" ref="B518:I518" si="129">SUM(B514,B517)</f>
        <v>0</v>
      </c>
      <c r="C518" s="313">
        <f t="shared" si="129"/>
        <v>0</v>
      </c>
      <c r="D518" s="313">
        <f t="shared" si="129"/>
        <v>0</v>
      </c>
      <c r="E518" s="313">
        <f t="shared" si="129"/>
        <v>0</v>
      </c>
      <c r="F518" s="313">
        <f t="shared" si="129"/>
        <v>55671.42</v>
      </c>
      <c r="G518" s="313">
        <f t="shared" si="129"/>
        <v>176710.24000000002</v>
      </c>
      <c r="H518" s="313">
        <f t="shared" si="129"/>
        <v>40815.25</v>
      </c>
      <c r="I518" s="313">
        <f t="shared" si="129"/>
        <v>273196.91000000003</v>
      </c>
    </row>
    <row r="519" spans="1:9" ht="10.5">
      <c r="A519" s="318" t="s">
        <v>63</v>
      </c>
      <c r="B519" s="309"/>
      <c r="C519" s="309"/>
      <c r="D519" s="309"/>
      <c r="E519" s="309"/>
      <c r="F519" s="309"/>
      <c r="G519" s="309"/>
      <c r="H519" s="309"/>
      <c r="I519" s="309"/>
    </row>
    <row r="520" spans="1:9" ht="10.5">
      <c r="A520" s="320" t="s">
        <v>71</v>
      </c>
      <c r="B520" s="309"/>
      <c r="C520" s="309"/>
      <c r="D520" s="309"/>
      <c r="E520" s="309"/>
      <c r="F520" s="309"/>
      <c r="G520" s="309"/>
      <c r="H520" s="309"/>
      <c r="I520" s="309"/>
    </row>
    <row r="521" spans="1:9">
      <c r="A521" s="321" t="s">
        <v>72</v>
      </c>
      <c r="B521" s="303">
        <v>0</v>
      </c>
      <c r="C521" s="303">
        <v>0</v>
      </c>
      <c r="D521" s="303">
        <v>0</v>
      </c>
      <c r="E521" s="303">
        <v>0</v>
      </c>
      <c r="F521" s="303">
        <v>29295.37</v>
      </c>
      <c r="G521" s="303">
        <v>19277.060000000001</v>
      </c>
      <c r="H521" s="303">
        <v>0</v>
      </c>
      <c r="I521" s="303">
        <f>SUM(B521:H521)</f>
        <v>48572.43</v>
      </c>
    </row>
    <row r="522" spans="1:9" ht="10.5">
      <c r="A522" s="322" t="s">
        <v>73</v>
      </c>
      <c r="B522" s="313">
        <f t="shared" ref="B522:I522" si="130">SUM(B521)</f>
        <v>0</v>
      </c>
      <c r="C522" s="313">
        <f t="shared" si="130"/>
        <v>0</v>
      </c>
      <c r="D522" s="313">
        <f t="shared" si="130"/>
        <v>0</v>
      </c>
      <c r="E522" s="313">
        <f t="shared" si="130"/>
        <v>0</v>
      </c>
      <c r="F522" s="313">
        <f t="shared" si="130"/>
        <v>29295.37</v>
      </c>
      <c r="G522" s="313">
        <f t="shared" si="130"/>
        <v>19277.060000000001</v>
      </c>
      <c r="H522" s="313">
        <f t="shared" si="130"/>
        <v>0</v>
      </c>
      <c r="I522" s="313">
        <f t="shared" si="130"/>
        <v>48572.43</v>
      </c>
    </row>
    <row r="523" spans="1:9" ht="10.5">
      <c r="A523" s="320" t="s">
        <v>74</v>
      </c>
      <c r="B523" s="309"/>
      <c r="C523" s="309"/>
      <c r="D523" s="309"/>
      <c r="E523" s="309"/>
      <c r="F523" s="309"/>
      <c r="G523" s="309"/>
      <c r="H523" s="309"/>
      <c r="I523" s="309"/>
    </row>
    <row r="524" spans="1:9">
      <c r="A524" s="321" t="s">
        <v>75</v>
      </c>
      <c r="B524" s="303">
        <v>0</v>
      </c>
      <c r="C524" s="303">
        <v>0</v>
      </c>
      <c r="D524" s="303">
        <v>0</v>
      </c>
      <c r="E524" s="303">
        <v>0</v>
      </c>
      <c r="F524" s="303">
        <v>178.23</v>
      </c>
      <c r="G524" s="303">
        <v>829.77</v>
      </c>
      <c r="H524" s="303">
        <v>0</v>
      </c>
      <c r="I524" s="303">
        <f>SUM(B524:H524)</f>
        <v>1008</v>
      </c>
    </row>
    <row r="525" spans="1:9">
      <c r="A525" s="321" t="s">
        <v>76</v>
      </c>
      <c r="B525" s="303">
        <v>0</v>
      </c>
      <c r="C525" s="303">
        <v>0</v>
      </c>
      <c r="D525" s="303">
        <v>0</v>
      </c>
      <c r="E525" s="303">
        <v>0</v>
      </c>
      <c r="F525" s="303">
        <v>480.16</v>
      </c>
      <c r="G525" s="303">
        <v>416.31</v>
      </c>
      <c r="H525" s="303">
        <v>0</v>
      </c>
      <c r="I525" s="303">
        <f>SUM(B525:H525)</f>
        <v>896.47</v>
      </c>
    </row>
    <row r="526" spans="1:9">
      <c r="A526" s="321" t="s">
        <v>140</v>
      </c>
      <c r="B526" s="303">
        <v>0</v>
      </c>
      <c r="C526" s="303">
        <v>0</v>
      </c>
      <c r="D526" s="303">
        <v>0</v>
      </c>
      <c r="E526" s="303">
        <v>0</v>
      </c>
      <c r="F526" s="303">
        <v>0</v>
      </c>
      <c r="G526" s="303">
        <v>646.14</v>
      </c>
      <c r="H526" s="303">
        <v>0</v>
      </c>
      <c r="I526" s="303">
        <f>SUM(B526:H526)</f>
        <v>646.14</v>
      </c>
    </row>
    <row r="527" spans="1:9">
      <c r="A527" s="321" t="s">
        <v>77</v>
      </c>
      <c r="B527" s="303">
        <v>0</v>
      </c>
      <c r="C527" s="303">
        <v>0</v>
      </c>
      <c r="D527" s="303">
        <v>0</v>
      </c>
      <c r="E527" s="303">
        <v>0</v>
      </c>
      <c r="F527" s="303">
        <v>307.99</v>
      </c>
      <c r="G527" s="303">
        <v>34539.730000000003</v>
      </c>
      <c r="H527" s="303">
        <v>83.69</v>
      </c>
      <c r="I527" s="303">
        <f>SUM(B527:H527)</f>
        <v>34931.410000000003</v>
      </c>
    </row>
    <row r="528" spans="1:9" ht="10.5">
      <c r="A528" s="322" t="s">
        <v>78</v>
      </c>
      <c r="B528" s="313">
        <f t="shared" ref="B528:I528" si="131">SUM(B524:B527)</f>
        <v>0</v>
      </c>
      <c r="C528" s="313">
        <f t="shared" si="131"/>
        <v>0</v>
      </c>
      <c r="D528" s="313">
        <f t="shared" si="131"/>
        <v>0</v>
      </c>
      <c r="E528" s="313">
        <f t="shared" si="131"/>
        <v>0</v>
      </c>
      <c r="F528" s="313">
        <f t="shared" si="131"/>
        <v>966.38</v>
      </c>
      <c r="G528" s="313">
        <f t="shared" si="131"/>
        <v>36431.950000000004</v>
      </c>
      <c r="H528" s="313">
        <f t="shared" si="131"/>
        <v>83.69</v>
      </c>
      <c r="I528" s="313">
        <f t="shared" si="131"/>
        <v>37482.020000000004</v>
      </c>
    </row>
    <row r="529" spans="1:9" ht="10.5">
      <c r="A529" s="320" t="s">
        <v>67</v>
      </c>
      <c r="B529" s="309"/>
      <c r="C529" s="309"/>
      <c r="D529" s="309"/>
      <c r="E529" s="309"/>
      <c r="F529" s="309"/>
      <c r="G529" s="309"/>
      <c r="H529" s="309"/>
      <c r="I529" s="309"/>
    </row>
    <row r="530" spans="1:9">
      <c r="A530" s="321" t="s">
        <v>69</v>
      </c>
      <c r="B530" s="303">
        <v>0</v>
      </c>
      <c r="C530" s="303">
        <v>0</v>
      </c>
      <c r="D530" s="303">
        <v>0</v>
      </c>
      <c r="E530" s="303">
        <v>0</v>
      </c>
      <c r="F530" s="303">
        <v>1168.3900000000001</v>
      </c>
      <c r="G530" s="303">
        <v>433.03</v>
      </c>
      <c r="H530" s="303">
        <v>0</v>
      </c>
      <c r="I530" s="303">
        <f>SUM(B530:H530)</f>
        <v>1601.42</v>
      </c>
    </row>
    <row r="531" spans="1:9">
      <c r="A531" s="321" t="s">
        <v>68</v>
      </c>
      <c r="B531" s="303">
        <v>0</v>
      </c>
      <c r="C531" s="303">
        <v>0</v>
      </c>
      <c r="D531" s="303">
        <v>0</v>
      </c>
      <c r="E531" s="303">
        <v>0</v>
      </c>
      <c r="F531" s="303">
        <v>1173.82</v>
      </c>
      <c r="G531" s="303">
        <v>297.35000000000002</v>
      </c>
      <c r="H531" s="303">
        <v>0</v>
      </c>
      <c r="I531" s="303">
        <f>SUM(B531:H531)</f>
        <v>1471.17</v>
      </c>
    </row>
    <row r="532" spans="1:9">
      <c r="A532" s="321" t="s">
        <v>165</v>
      </c>
      <c r="B532" s="303">
        <v>0</v>
      </c>
      <c r="C532" s="303">
        <v>0</v>
      </c>
      <c r="D532" s="303">
        <v>0</v>
      </c>
      <c r="E532" s="303">
        <v>0</v>
      </c>
      <c r="F532" s="303">
        <v>144.30000000000001</v>
      </c>
      <c r="G532" s="303">
        <v>0</v>
      </c>
      <c r="H532" s="303">
        <v>0</v>
      </c>
      <c r="I532" s="303">
        <f>SUM(B532:H532)</f>
        <v>144.30000000000001</v>
      </c>
    </row>
    <row r="533" spans="1:9" ht="10.5">
      <c r="A533" s="322" t="s">
        <v>70</v>
      </c>
      <c r="B533" s="313">
        <f t="shared" ref="B533:I533" si="132">SUM(B530:B532)</f>
        <v>0</v>
      </c>
      <c r="C533" s="313">
        <f t="shared" si="132"/>
        <v>0</v>
      </c>
      <c r="D533" s="313">
        <f t="shared" si="132"/>
        <v>0</v>
      </c>
      <c r="E533" s="313">
        <f t="shared" si="132"/>
        <v>0</v>
      </c>
      <c r="F533" s="313">
        <f t="shared" si="132"/>
        <v>2486.5100000000002</v>
      </c>
      <c r="G533" s="313">
        <f t="shared" si="132"/>
        <v>730.38</v>
      </c>
      <c r="H533" s="313">
        <f t="shared" si="132"/>
        <v>0</v>
      </c>
      <c r="I533" s="313">
        <f t="shared" si="132"/>
        <v>3216.8900000000003</v>
      </c>
    </row>
    <row r="534" spans="1:9" ht="10.5">
      <c r="A534" s="320" t="s">
        <v>64</v>
      </c>
      <c r="B534" s="309"/>
      <c r="C534" s="309"/>
      <c r="D534" s="309"/>
      <c r="E534" s="309"/>
      <c r="F534" s="309"/>
      <c r="G534" s="309"/>
      <c r="H534" s="309"/>
      <c r="I534" s="309"/>
    </row>
    <row r="535" spans="1:9">
      <c r="A535" s="321" t="s">
        <v>65</v>
      </c>
      <c r="B535" s="303">
        <v>0</v>
      </c>
      <c r="C535" s="303">
        <v>0</v>
      </c>
      <c r="D535" s="303">
        <v>0</v>
      </c>
      <c r="E535" s="303">
        <v>0</v>
      </c>
      <c r="F535" s="303">
        <v>682.97</v>
      </c>
      <c r="G535" s="303">
        <v>0</v>
      </c>
      <c r="H535" s="303">
        <v>0</v>
      </c>
      <c r="I535" s="303">
        <f>SUM(B535:H535)</f>
        <v>682.97</v>
      </c>
    </row>
    <row r="536" spans="1:9">
      <c r="A536" s="321" t="s">
        <v>184</v>
      </c>
      <c r="B536" s="303">
        <v>0</v>
      </c>
      <c r="C536" s="303">
        <v>0</v>
      </c>
      <c r="D536" s="303">
        <v>0</v>
      </c>
      <c r="E536" s="303">
        <v>0</v>
      </c>
      <c r="F536" s="303">
        <v>0</v>
      </c>
      <c r="G536" s="303">
        <v>32489.33</v>
      </c>
      <c r="H536" s="303">
        <v>0</v>
      </c>
      <c r="I536" s="303">
        <f>SUM(B536:H536)</f>
        <v>32489.33</v>
      </c>
    </row>
    <row r="537" spans="1:9" ht="10.5">
      <c r="A537" s="322" t="s">
        <v>66</v>
      </c>
      <c r="B537" s="313">
        <f t="shared" ref="B537:I537" si="133">SUM(B535:B536)</f>
        <v>0</v>
      </c>
      <c r="C537" s="313">
        <f t="shared" si="133"/>
        <v>0</v>
      </c>
      <c r="D537" s="313">
        <f t="shared" si="133"/>
        <v>0</v>
      </c>
      <c r="E537" s="313">
        <f t="shared" si="133"/>
        <v>0</v>
      </c>
      <c r="F537" s="313">
        <f t="shared" si="133"/>
        <v>682.97</v>
      </c>
      <c r="G537" s="313">
        <f t="shared" si="133"/>
        <v>32489.33</v>
      </c>
      <c r="H537" s="313">
        <f t="shared" si="133"/>
        <v>0</v>
      </c>
      <c r="I537" s="313">
        <f t="shared" si="133"/>
        <v>33172.300000000003</v>
      </c>
    </row>
    <row r="538" spans="1:9" ht="10.5">
      <c r="A538" s="319" t="s">
        <v>79</v>
      </c>
      <c r="B538" s="313">
        <f t="shared" ref="B538:I538" si="134">SUM(B522,B528,B533,B537)</f>
        <v>0</v>
      </c>
      <c r="C538" s="313">
        <f t="shared" si="134"/>
        <v>0</v>
      </c>
      <c r="D538" s="313">
        <f t="shared" si="134"/>
        <v>0</v>
      </c>
      <c r="E538" s="313">
        <f t="shared" si="134"/>
        <v>0</v>
      </c>
      <c r="F538" s="313">
        <f t="shared" si="134"/>
        <v>33431.230000000003</v>
      </c>
      <c r="G538" s="313">
        <f t="shared" si="134"/>
        <v>88928.72</v>
      </c>
      <c r="H538" s="313">
        <f t="shared" si="134"/>
        <v>83.69</v>
      </c>
      <c r="I538" s="313">
        <f t="shared" si="134"/>
        <v>122443.64000000001</v>
      </c>
    </row>
    <row r="539" spans="1:9" ht="10.5">
      <c r="A539" s="318" t="s">
        <v>166</v>
      </c>
      <c r="B539" s="309"/>
      <c r="C539" s="309"/>
      <c r="D539" s="309"/>
      <c r="E539" s="309"/>
      <c r="F539" s="309"/>
      <c r="G539" s="309"/>
      <c r="H539" s="309"/>
      <c r="I539" s="309"/>
    </row>
    <row r="540" spans="1:9">
      <c r="A540" s="99" t="s">
        <v>167</v>
      </c>
      <c r="B540" s="303">
        <v>0</v>
      </c>
      <c r="C540" s="303">
        <v>0</v>
      </c>
      <c r="D540" s="303">
        <v>0</v>
      </c>
      <c r="E540" s="303">
        <v>0</v>
      </c>
      <c r="F540" s="303">
        <v>8902.16</v>
      </c>
      <c r="G540" s="303">
        <v>0</v>
      </c>
      <c r="H540" s="303">
        <v>0</v>
      </c>
      <c r="I540" s="303">
        <f>SUM(B540:H540)</f>
        <v>8902.16</v>
      </c>
    </row>
    <row r="541" spans="1:9" ht="10.5">
      <c r="A541" s="319" t="s">
        <v>169</v>
      </c>
      <c r="B541" s="313">
        <f t="shared" ref="B541:I541" si="135">SUM(B540)</f>
        <v>0</v>
      </c>
      <c r="C541" s="313">
        <f t="shared" si="135"/>
        <v>0</v>
      </c>
      <c r="D541" s="313">
        <f t="shared" si="135"/>
        <v>0</v>
      </c>
      <c r="E541" s="313">
        <f t="shared" si="135"/>
        <v>0</v>
      </c>
      <c r="F541" s="313">
        <f t="shared" si="135"/>
        <v>8902.16</v>
      </c>
      <c r="G541" s="313">
        <f t="shared" si="135"/>
        <v>0</v>
      </c>
      <c r="H541" s="313">
        <f t="shared" si="135"/>
        <v>0</v>
      </c>
      <c r="I541" s="313">
        <f t="shared" si="135"/>
        <v>8902.16</v>
      </c>
    </row>
    <row r="542" spans="1:9" ht="10.5">
      <c r="A542" s="318" t="s">
        <v>58</v>
      </c>
      <c r="B542" s="309"/>
      <c r="C542" s="309"/>
      <c r="D542" s="309"/>
      <c r="E542" s="309"/>
      <c r="F542" s="309"/>
      <c r="G542" s="309"/>
      <c r="H542" s="309"/>
      <c r="I542" s="309"/>
    </row>
    <row r="543" spans="1:9">
      <c r="A543" s="99" t="s">
        <v>59</v>
      </c>
      <c r="B543" s="303">
        <v>0</v>
      </c>
      <c r="C543" s="303">
        <v>0</v>
      </c>
      <c r="D543" s="303">
        <v>0</v>
      </c>
      <c r="E543" s="303">
        <v>0</v>
      </c>
      <c r="F543" s="303">
        <v>660.86</v>
      </c>
      <c r="G543" s="303">
        <v>1647.87</v>
      </c>
      <c r="H543" s="303">
        <v>0</v>
      </c>
      <c r="I543" s="303">
        <f>SUM(B543:H543)</f>
        <v>2308.73</v>
      </c>
    </row>
    <row r="544" spans="1:9">
      <c r="A544" s="99" t="s">
        <v>61</v>
      </c>
      <c r="B544" s="303">
        <v>0</v>
      </c>
      <c r="C544" s="303">
        <v>0</v>
      </c>
      <c r="D544" s="303">
        <v>0</v>
      </c>
      <c r="E544" s="303">
        <v>0</v>
      </c>
      <c r="F544" s="303">
        <v>87.72</v>
      </c>
      <c r="G544" s="303">
        <v>10.6</v>
      </c>
      <c r="H544" s="303">
        <v>0</v>
      </c>
      <c r="I544" s="303">
        <f>SUM(B544:H544)</f>
        <v>98.32</v>
      </c>
    </row>
    <row r="545" spans="1:9">
      <c r="A545" s="99" t="s">
        <v>60</v>
      </c>
      <c r="B545" s="303">
        <v>0</v>
      </c>
      <c r="C545" s="303">
        <v>0</v>
      </c>
      <c r="D545" s="303">
        <v>0</v>
      </c>
      <c r="E545" s="303">
        <v>0</v>
      </c>
      <c r="F545" s="303">
        <v>50.65</v>
      </c>
      <c r="G545" s="303">
        <v>127.97</v>
      </c>
      <c r="H545" s="303">
        <v>0</v>
      </c>
      <c r="I545" s="303">
        <f>SUM(B545:H545)</f>
        <v>178.62</v>
      </c>
    </row>
    <row r="546" spans="1:9" ht="10.5">
      <c r="A546" s="319" t="s">
        <v>62</v>
      </c>
      <c r="B546" s="313">
        <f t="shared" ref="B546:I546" si="136">SUM(B543:B545)</f>
        <v>0</v>
      </c>
      <c r="C546" s="313">
        <f t="shared" si="136"/>
        <v>0</v>
      </c>
      <c r="D546" s="313">
        <f t="shared" si="136"/>
        <v>0</v>
      </c>
      <c r="E546" s="313">
        <f t="shared" si="136"/>
        <v>0</v>
      </c>
      <c r="F546" s="313">
        <f t="shared" si="136"/>
        <v>799.23</v>
      </c>
      <c r="G546" s="313">
        <f t="shared" si="136"/>
        <v>1786.4399999999998</v>
      </c>
      <c r="H546" s="313">
        <f t="shared" si="136"/>
        <v>0</v>
      </c>
      <c r="I546" s="313">
        <f t="shared" si="136"/>
        <v>2585.67</v>
      </c>
    </row>
    <row r="547" spans="1:9" ht="10.5">
      <c r="A547" s="312" t="s">
        <v>185</v>
      </c>
      <c r="B547" s="313">
        <f t="shared" ref="B547:I547" si="137">SUM(B473,B483,B490,B493,B496,B499,B502,B510,B518,B538,B541,B546)</f>
        <v>0</v>
      </c>
      <c r="C547" s="313">
        <f t="shared" si="137"/>
        <v>0</v>
      </c>
      <c r="D547" s="313">
        <f t="shared" si="137"/>
        <v>0</v>
      </c>
      <c r="E547" s="313">
        <f t="shared" si="137"/>
        <v>0</v>
      </c>
      <c r="F547" s="313">
        <f t="shared" si="137"/>
        <v>593145.41</v>
      </c>
      <c r="G547" s="313">
        <f t="shared" si="137"/>
        <v>464541.38999999996</v>
      </c>
      <c r="H547" s="313">
        <f t="shared" si="137"/>
        <v>41031.279999999999</v>
      </c>
      <c r="I547" s="313">
        <f t="shared" si="137"/>
        <v>1098718.0799999998</v>
      </c>
    </row>
    <row r="548" spans="1:9" ht="10.5">
      <c r="A548" s="311" t="s">
        <v>186</v>
      </c>
      <c r="B548" s="309"/>
      <c r="C548" s="309"/>
      <c r="D548" s="309"/>
      <c r="E548" s="309"/>
      <c r="F548" s="309"/>
      <c r="G548" s="309"/>
      <c r="H548" s="309"/>
      <c r="I548" s="309"/>
    </row>
    <row r="549" spans="1:9" ht="10.5">
      <c r="A549" s="318" t="s">
        <v>86</v>
      </c>
      <c r="B549" s="309"/>
      <c r="C549" s="309"/>
      <c r="D549" s="309"/>
      <c r="E549" s="309"/>
      <c r="F549" s="309"/>
      <c r="G549" s="309"/>
      <c r="H549" s="309"/>
      <c r="I549" s="309"/>
    </row>
    <row r="550" spans="1:9">
      <c r="A550" s="99" t="s">
        <v>101</v>
      </c>
      <c r="B550" s="303">
        <v>0</v>
      </c>
      <c r="C550" s="303">
        <v>0</v>
      </c>
      <c r="D550" s="303">
        <v>0</v>
      </c>
      <c r="E550" s="303">
        <v>0</v>
      </c>
      <c r="F550" s="303">
        <v>0</v>
      </c>
      <c r="G550" s="303">
        <v>176191.62</v>
      </c>
      <c r="H550" s="303">
        <v>0</v>
      </c>
      <c r="I550" s="303">
        <f>SUM(B550:H550)</f>
        <v>176191.62</v>
      </c>
    </row>
    <row r="551" spans="1:9">
      <c r="A551" s="99" t="s">
        <v>102</v>
      </c>
      <c r="B551" s="303">
        <v>0</v>
      </c>
      <c r="C551" s="303">
        <v>0</v>
      </c>
      <c r="D551" s="303">
        <v>0</v>
      </c>
      <c r="E551" s="303">
        <v>0</v>
      </c>
      <c r="F551" s="303">
        <v>0</v>
      </c>
      <c r="G551" s="303">
        <v>-10548.37</v>
      </c>
      <c r="H551" s="303">
        <v>0</v>
      </c>
      <c r="I551" s="303">
        <f>SUM(B551:H551)</f>
        <v>-10548.37</v>
      </c>
    </row>
    <row r="552" spans="1:9" ht="10.5">
      <c r="A552" s="320" t="s">
        <v>87</v>
      </c>
      <c r="B552" s="309"/>
      <c r="C552" s="309"/>
      <c r="D552" s="309"/>
      <c r="E552" s="309"/>
      <c r="F552" s="309"/>
      <c r="G552" s="309"/>
      <c r="H552" s="309"/>
      <c r="I552" s="309"/>
    </row>
    <row r="553" spans="1:9">
      <c r="A553" s="321" t="s">
        <v>88</v>
      </c>
      <c r="B553" s="303">
        <v>0</v>
      </c>
      <c r="C553" s="303">
        <v>0</v>
      </c>
      <c r="D553" s="303">
        <v>0</v>
      </c>
      <c r="E553" s="303">
        <v>0</v>
      </c>
      <c r="F553" s="303">
        <v>0</v>
      </c>
      <c r="G553" s="303">
        <v>739.78</v>
      </c>
      <c r="H553" s="303">
        <v>0</v>
      </c>
      <c r="I553" s="303">
        <f>SUM(B553:H553)</f>
        <v>739.78</v>
      </c>
    </row>
    <row r="554" spans="1:9">
      <c r="A554" s="321" t="s">
        <v>89</v>
      </c>
      <c r="B554" s="303">
        <v>0</v>
      </c>
      <c r="C554" s="303">
        <v>0</v>
      </c>
      <c r="D554" s="303">
        <v>0</v>
      </c>
      <c r="E554" s="303">
        <v>0</v>
      </c>
      <c r="F554" s="303">
        <v>0</v>
      </c>
      <c r="G554" s="303">
        <v>5550.5</v>
      </c>
      <c r="H554" s="303">
        <v>0</v>
      </c>
      <c r="I554" s="303">
        <f>SUM(B554:H554)</f>
        <v>5550.5</v>
      </c>
    </row>
    <row r="555" spans="1:9">
      <c r="A555" s="321" t="s">
        <v>104</v>
      </c>
      <c r="B555" s="303">
        <v>0</v>
      </c>
      <c r="C555" s="303">
        <v>0</v>
      </c>
      <c r="D555" s="303">
        <v>0</v>
      </c>
      <c r="E555" s="303">
        <v>0</v>
      </c>
      <c r="F555" s="303">
        <v>0</v>
      </c>
      <c r="G555" s="303">
        <v>92.37</v>
      </c>
      <c r="H555" s="303">
        <v>0</v>
      </c>
      <c r="I555" s="303">
        <f>SUM(B555:H555)</f>
        <v>92.37</v>
      </c>
    </row>
    <row r="556" spans="1:9">
      <c r="A556" s="321" t="s">
        <v>90</v>
      </c>
      <c r="B556" s="303">
        <v>0</v>
      </c>
      <c r="C556" s="303">
        <v>0</v>
      </c>
      <c r="D556" s="303">
        <v>0</v>
      </c>
      <c r="E556" s="303">
        <v>0</v>
      </c>
      <c r="F556" s="303">
        <v>0</v>
      </c>
      <c r="G556" s="303">
        <v>531.12</v>
      </c>
      <c r="H556" s="303">
        <v>0</v>
      </c>
      <c r="I556" s="303">
        <f>SUM(B556:H556)</f>
        <v>531.12</v>
      </c>
    </row>
    <row r="557" spans="1:9" ht="10.5">
      <c r="A557" s="322" t="s">
        <v>91</v>
      </c>
      <c r="B557" s="313">
        <f t="shared" ref="B557:I557" si="138">SUM(B553:B556)</f>
        <v>0</v>
      </c>
      <c r="C557" s="313">
        <f t="shared" si="138"/>
        <v>0</v>
      </c>
      <c r="D557" s="313">
        <f t="shared" si="138"/>
        <v>0</v>
      </c>
      <c r="E557" s="313">
        <f t="shared" si="138"/>
        <v>0</v>
      </c>
      <c r="F557" s="313">
        <f t="shared" si="138"/>
        <v>0</v>
      </c>
      <c r="G557" s="313">
        <f t="shared" si="138"/>
        <v>6913.7699999999995</v>
      </c>
      <c r="H557" s="313">
        <f t="shared" si="138"/>
        <v>0</v>
      </c>
      <c r="I557" s="313">
        <f t="shared" si="138"/>
        <v>6913.7699999999995</v>
      </c>
    </row>
    <row r="558" spans="1:9" ht="10.5">
      <c r="A558" s="319" t="s">
        <v>92</v>
      </c>
      <c r="B558" s="313">
        <f t="shared" ref="B558:I558" si="139">SUM(B550:B551,B557)</f>
        <v>0</v>
      </c>
      <c r="C558" s="313">
        <f t="shared" si="139"/>
        <v>0</v>
      </c>
      <c r="D558" s="313">
        <f t="shared" si="139"/>
        <v>0</v>
      </c>
      <c r="E558" s="313">
        <f t="shared" si="139"/>
        <v>0</v>
      </c>
      <c r="F558" s="313">
        <f t="shared" si="139"/>
        <v>0</v>
      </c>
      <c r="G558" s="313">
        <f t="shared" si="139"/>
        <v>172557.02</v>
      </c>
      <c r="H558" s="313">
        <f t="shared" si="139"/>
        <v>0</v>
      </c>
      <c r="I558" s="313">
        <f t="shared" si="139"/>
        <v>172557.02</v>
      </c>
    </row>
    <row r="559" spans="1:9" ht="10.5">
      <c r="A559" s="318" t="s">
        <v>83</v>
      </c>
      <c r="B559" s="309"/>
      <c r="C559" s="309"/>
      <c r="D559" s="309"/>
      <c r="E559" s="309"/>
      <c r="F559" s="309"/>
      <c r="G559" s="309"/>
      <c r="H559" s="309"/>
      <c r="I559" s="309"/>
    </row>
    <row r="560" spans="1:9">
      <c r="A560" s="99" t="s">
        <v>105</v>
      </c>
      <c r="B560" s="303">
        <v>0</v>
      </c>
      <c r="C560" s="303">
        <v>0</v>
      </c>
      <c r="D560" s="303">
        <v>0</v>
      </c>
      <c r="E560" s="303">
        <v>0</v>
      </c>
      <c r="F560" s="303">
        <v>0</v>
      </c>
      <c r="G560" s="303">
        <v>180.89</v>
      </c>
      <c r="H560" s="303">
        <v>0</v>
      </c>
      <c r="I560" s="303">
        <f t="shared" ref="I560:I568" si="140">SUM(B560:H560)</f>
        <v>180.89</v>
      </c>
    </row>
    <row r="561" spans="1:9">
      <c r="A561" s="99" t="s">
        <v>106</v>
      </c>
      <c r="B561" s="303">
        <v>0</v>
      </c>
      <c r="C561" s="303">
        <v>0</v>
      </c>
      <c r="D561" s="303">
        <v>0</v>
      </c>
      <c r="E561" s="303">
        <v>0</v>
      </c>
      <c r="F561" s="303">
        <v>0</v>
      </c>
      <c r="G561" s="303">
        <v>-180.89</v>
      </c>
      <c r="H561" s="303">
        <v>0</v>
      </c>
      <c r="I561" s="303">
        <f t="shared" si="140"/>
        <v>-180.89</v>
      </c>
    </row>
    <row r="562" spans="1:9">
      <c r="A562" s="99" t="s">
        <v>107</v>
      </c>
      <c r="B562" s="303">
        <v>0</v>
      </c>
      <c r="C562" s="303">
        <v>0</v>
      </c>
      <c r="D562" s="303">
        <v>0</v>
      </c>
      <c r="E562" s="303">
        <v>0</v>
      </c>
      <c r="F562" s="303">
        <v>0</v>
      </c>
      <c r="G562" s="303">
        <v>954.16</v>
      </c>
      <c r="H562" s="303">
        <v>0</v>
      </c>
      <c r="I562" s="303">
        <f t="shared" si="140"/>
        <v>954.16</v>
      </c>
    </row>
    <row r="563" spans="1:9">
      <c r="A563" s="99" t="s">
        <v>108</v>
      </c>
      <c r="B563" s="303">
        <v>0</v>
      </c>
      <c r="C563" s="303">
        <v>0</v>
      </c>
      <c r="D563" s="303">
        <v>0</v>
      </c>
      <c r="E563" s="303">
        <v>0</v>
      </c>
      <c r="F563" s="303">
        <v>0</v>
      </c>
      <c r="G563" s="303">
        <v>-954.16</v>
      </c>
      <c r="H563" s="303">
        <v>0</v>
      </c>
      <c r="I563" s="303">
        <f t="shared" si="140"/>
        <v>-954.16</v>
      </c>
    </row>
    <row r="564" spans="1:9">
      <c r="A564" s="99" t="s">
        <v>109</v>
      </c>
      <c r="B564" s="303">
        <v>0</v>
      </c>
      <c r="C564" s="303">
        <v>0</v>
      </c>
      <c r="D564" s="303">
        <v>0</v>
      </c>
      <c r="E564" s="303">
        <v>0</v>
      </c>
      <c r="F564" s="303">
        <v>0</v>
      </c>
      <c r="G564" s="303">
        <v>5105.3100000000004</v>
      </c>
      <c r="H564" s="303">
        <v>0</v>
      </c>
      <c r="I564" s="303">
        <f t="shared" si="140"/>
        <v>5105.3100000000004</v>
      </c>
    </row>
    <row r="565" spans="1:9">
      <c r="A565" s="99" t="s">
        <v>110</v>
      </c>
      <c r="B565" s="303">
        <v>0</v>
      </c>
      <c r="C565" s="303">
        <v>0</v>
      </c>
      <c r="D565" s="303">
        <v>0</v>
      </c>
      <c r="E565" s="303">
        <v>0</v>
      </c>
      <c r="F565" s="303">
        <v>0</v>
      </c>
      <c r="G565" s="303">
        <v>-5105.3100000000004</v>
      </c>
      <c r="H565" s="303">
        <v>0</v>
      </c>
      <c r="I565" s="303">
        <f t="shared" si="140"/>
        <v>-5105.3100000000004</v>
      </c>
    </row>
    <row r="566" spans="1:9">
      <c r="A566" s="99" t="s">
        <v>111</v>
      </c>
      <c r="B566" s="303">
        <v>0</v>
      </c>
      <c r="C566" s="303">
        <v>0</v>
      </c>
      <c r="D566" s="303">
        <v>0</v>
      </c>
      <c r="E566" s="303">
        <v>0</v>
      </c>
      <c r="F566" s="303">
        <v>0</v>
      </c>
      <c r="G566" s="303">
        <v>6245.26</v>
      </c>
      <c r="H566" s="303">
        <v>0</v>
      </c>
      <c r="I566" s="303">
        <f t="shared" si="140"/>
        <v>6245.26</v>
      </c>
    </row>
    <row r="567" spans="1:9">
      <c r="A567" s="99" t="s">
        <v>112</v>
      </c>
      <c r="B567" s="303">
        <v>0</v>
      </c>
      <c r="C567" s="303">
        <v>0</v>
      </c>
      <c r="D567" s="303">
        <v>0</v>
      </c>
      <c r="E567" s="303">
        <v>0</v>
      </c>
      <c r="F567" s="303">
        <v>0</v>
      </c>
      <c r="G567" s="303">
        <v>-6245.26</v>
      </c>
      <c r="H567" s="303">
        <v>0</v>
      </c>
      <c r="I567" s="303">
        <f t="shared" si="140"/>
        <v>-6245.26</v>
      </c>
    </row>
    <row r="568" spans="1:9">
      <c r="A568" s="99" t="s">
        <v>596</v>
      </c>
      <c r="B568" s="303">
        <v>0</v>
      </c>
      <c r="C568" s="303">
        <v>0</v>
      </c>
      <c r="D568" s="303">
        <v>0</v>
      </c>
      <c r="E568" s="303">
        <v>0</v>
      </c>
      <c r="F568" s="303">
        <v>0</v>
      </c>
      <c r="G568" s="303">
        <v>12540.57</v>
      </c>
      <c r="H568" s="303">
        <v>0</v>
      </c>
      <c r="I568" s="303">
        <f t="shared" si="140"/>
        <v>12540.57</v>
      </c>
    </row>
    <row r="569" spans="1:9" ht="10.5">
      <c r="A569" s="319" t="s">
        <v>85</v>
      </c>
      <c r="B569" s="313">
        <f t="shared" ref="B569:I569" si="141">SUM(B560:B568)</f>
        <v>0</v>
      </c>
      <c r="C569" s="313">
        <f t="shared" si="141"/>
        <v>0</v>
      </c>
      <c r="D569" s="313">
        <f t="shared" si="141"/>
        <v>0</v>
      </c>
      <c r="E569" s="313">
        <f t="shared" si="141"/>
        <v>0</v>
      </c>
      <c r="F569" s="313">
        <f t="shared" si="141"/>
        <v>0</v>
      </c>
      <c r="G569" s="313">
        <f t="shared" si="141"/>
        <v>12540.57</v>
      </c>
      <c r="H569" s="313">
        <f t="shared" si="141"/>
        <v>0</v>
      </c>
      <c r="I569" s="313">
        <f t="shared" si="141"/>
        <v>12540.57</v>
      </c>
    </row>
    <row r="570" spans="1:9" ht="10.5">
      <c r="A570" s="318" t="s">
        <v>54</v>
      </c>
      <c r="B570" s="309"/>
      <c r="C570" s="309"/>
      <c r="D570" s="309"/>
      <c r="E570" s="309"/>
      <c r="F570" s="309"/>
      <c r="G570" s="309"/>
      <c r="H570" s="309"/>
      <c r="I570" s="309"/>
    </row>
    <row r="571" spans="1:9">
      <c r="A571" s="99" t="s">
        <v>113</v>
      </c>
      <c r="B571" s="303">
        <v>0</v>
      </c>
      <c r="C571" s="303">
        <v>0</v>
      </c>
      <c r="D571" s="303">
        <v>0</v>
      </c>
      <c r="E571" s="303">
        <v>0</v>
      </c>
      <c r="F571" s="303">
        <v>0</v>
      </c>
      <c r="G571" s="303">
        <v>12551.13</v>
      </c>
      <c r="H571" s="303">
        <v>0</v>
      </c>
      <c r="I571" s="303">
        <f>SUM(B571:H571)</f>
        <v>12551.13</v>
      </c>
    </row>
    <row r="572" spans="1:9">
      <c r="A572" s="99" t="s">
        <v>114</v>
      </c>
      <c r="B572" s="303">
        <v>0</v>
      </c>
      <c r="C572" s="303">
        <v>0</v>
      </c>
      <c r="D572" s="303">
        <v>0</v>
      </c>
      <c r="E572" s="303">
        <v>0</v>
      </c>
      <c r="F572" s="303">
        <v>0</v>
      </c>
      <c r="G572" s="303">
        <v>25483.49</v>
      </c>
      <c r="H572" s="303">
        <v>0</v>
      </c>
      <c r="I572" s="303">
        <f>SUM(B572:H572)</f>
        <v>25483.49</v>
      </c>
    </row>
    <row r="573" spans="1:9" ht="10.5">
      <c r="A573" s="319" t="s">
        <v>57</v>
      </c>
      <c r="B573" s="313">
        <f t="shared" ref="B573:I573" si="142">SUM(B571:B572)</f>
        <v>0</v>
      </c>
      <c r="C573" s="313">
        <f t="shared" si="142"/>
        <v>0</v>
      </c>
      <c r="D573" s="313">
        <f t="shared" si="142"/>
        <v>0</v>
      </c>
      <c r="E573" s="313">
        <f t="shared" si="142"/>
        <v>0</v>
      </c>
      <c r="F573" s="313">
        <f t="shared" si="142"/>
        <v>0</v>
      </c>
      <c r="G573" s="313">
        <f t="shared" si="142"/>
        <v>38034.620000000003</v>
      </c>
      <c r="H573" s="313">
        <f t="shared" si="142"/>
        <v>0</v>
      </c>
      <c r="I573" s="313">
        <f t="shared" si="142"/>
        <v>38034.620000000003</v>
      </c>
    </row>
    <row r="574" spans="1:9" ht="10.5">
      <c r="A574" s="318" t="s">
        <v>116</v>
      </c>
      <c r="B574" s="309"/>
      <c r="C574" s="309"/>
      <c r="D574" s="309"/>
      <c r="E574" s="309"/>
      <c r="F574" s="309"/>
      <c r="G574" s="309"/>
      <c r="H574" s="309"/>
      <c r="I574" s="309"/>
    </row>
    <row r="575" spans="1:9">
      <c r="A575" s="99" t="s">
        <v>117</v>
      </c>
      <c r="B575" s="303">
        <v>0</v>
      </c>
      <c r="C575" s="303">
        <v>0</v>
      </c>
      <c r="D575" s="303">
        <v>0</v>
      </c>
      <c r="E575" s="303">
        <v>0</v>
      </c>
      <c r="F575" s="303">
        <v>0</v>
      </c>
      <c r="G575" s="303">
        <v>19940.45</v>
      </c>
      <c r="H575" s="303">
        <v>0</v>
      </c>
      <c r="I575" s="303">
        <f>SUM(B575:H575)</f>
        <v>19940.45</v>
      </c>
    </row>
    <row r="576" spans="1:9" ht="10.5">
      <c r="A576" s="319" t="s">
        <v>118</v>
      </c>
      <c r="B576" s="313">
        <f t="shared" ref="B576:I576" si="143">SUM(B575)</f>
        <v>0</v>
      </c>
      <c r="C576" s="313">
        <f t="shared" si="143"/>
        <v>0</v>
      </c>
      <c r="D576" s="313">
        <f t="shared" si="143"/>
        <v>0</v>
      </c>
      <c r="E576" s="313">
        <f t="shared" si="143"/>
        <v>0</v>
      </c>
      <c r="F576" s="313">
        <f t="shared" si="143"/>
        <v>0</v>
      </c>
      <c r="G576" s="313">
        <f t="shared" si="143"/>
        <v>19940.45</v>
      </c>
      <c r="H576" s="313">
        <f t="shared" si="143"/>
        <v>0</v>
      </c>
      <c r="I576" s="313">
        <f t="shared" si="143"/>
        <v>19940.45</v>
      </c>
    </row>
    <row r="577" spans="1:9" ht="10.5">
      <c r="A577" s="318" t="s">
        <v>80</v>
      </c>
      <c r="B577" s="309"/>
      <c r="C577" s="309"/>
      <c r="D577" s="309"/>
      <c r="E577" s="309"/>
      <c r="F577" s="309"/>
      <c r="G577" s="309"/>
      <c r="H577" s="309"/>
      <c r="I577" s="309"/>
    </row>
    <row r="578" spans="1:9">
      <c r="A578" s="99" t="s">
        <v>81</v>
      </c>
      <c r="B578" s="303">
        <v>0</v>
      </c>
      <c r="C578" s="303">
        <v>0</v>
      </c>
      <c r="D578" s="303">
        <v>0</v>
      </c>
      <c r="E578" s="303">
        <v>0</v>
      </c>
      <c r="F578" s="303">
        <v>0</v>
      </c>
      <c r="G578" s="303">
        <v>73.37</v>
      </c>
      <c r="H578" s="303">
        <v>0</v>
      </c>
      <c r="I578" s="303">
        <f>SUM(B578:H578)</f>
        <v>73.37</v>
      </c>
    </row>
    <row r="579" spans="1:9" ht="10.5">
      <c r="A579" s="319" t="s">
        <v>82</v>
      </c>
      <c r="B579" s="313">
        <f t="shared" ref="B579:I579" si="144">SUM(B578)</f>
        <v>0</v>
      </c>
      <c r="C579" s="313">
        <f t="shared" si="144"/>
        <v>0</v>
      </c>
      <c r="D579" s="313">
        <f t="shared" si="144"/>
        <v>0</v>
      </c>
      <c r="E579" s="313">
        <f t="shared" si="144"/>
        <v>0</v>
      </c>
      <c r="F579" s="313">
        <f t="shared" si="144"/>
        <v>0</v>
      </c>
      <c r="G579" s="313">
        <f t="shared" si="144"/>
        <v>73.37</v>
      </c>
      <c r="H579" s="313">
        <f t="shared" si="144"/>
        <v>0</v>
      </c>
      <c r="I579" s="313">
        <f t="shared" si="144"/>
        <v>73.37</v>
      </c>
    </row>
    <row r="580" spans="1:9" ht="10.5">
      <c r="A580" s="318" t="s">
        <v>119</v>
      </c>
      <c r="B580" s="309"/>
      <c r="C580" s="309"/>
      <c r="D580" s="309"/>
      <c r="E580" s="309"/>
      <c r="F580" s="309"/>
      <c r="G580" s="309"/>
      <c r="H580" s="309"/>
      <c r="I580" s="309"/>
    </row>
    <row r="581" spans="1:9">
      <c r="A581" s="99" t="s">
        <v>120</v>
      </c>
      <c r="B581" s="303">
        <v>0</v>
      </c>
      <c r="C581" s="303">
        <v>0</v>
      </c>
      <c r="D581" s="303">
        <v>0</v>
      </c>
      <c r="E581" s="303">
        <v>0</v>
      </c>
      <c r="F581" s="303">
        <v>0</v>
      </c>
      <c r="G581" s="303">
        <v>122.91</v>
      </c>
      <c r="H581" s="303">
        <v>0</v>
      </c>
      <c r="I581" s="303">
        <f>SUM(B581:H581)</f>
        <v>122.91</v>
      </c>
    </row>
    <row r="582" spans="1:9" ht="10.5">
      <c r="A582" s="319" t="s">
        <v>122</v>
      </c>
      <c r="B582" s="313">
        <f t="shared" ref="B582:I582" si="145">SUM(B581)</f>
        <v>0</v>
      </c>
      <c r="C582" s="313">
        <f t="shared" si="145"/>
        <v>0</v>
      </c>
      <c r="D582" s="313">
        <f t="shared" si="145"/>
        <v>0</v>
      </c>
      <c r="E582" s="313">
        <f t="shared" si="145"/>
        <v>0</v>
      </c>
      <c r="F582" s="313">
        <f t="shared" si="145"/>
        <v>0</v>
      </c>
      <c r="G582" s="313">
        <f t="shared" si="145"/>
        <v>122.91</v>
      </c>
      <c r="H582" s="313">
        <f t="shared" si="145"/>
        <v>0</v>
      </c>
      <c r="I582" s="313">
        <f t="shared" si="145"/>
        <v>122.91</v>
      </c>
    </row>
    <row r="583" spans="1:9" ht="10.5">
      <c r="A583" s="318" t="s">
        <v>123</v>
      </c>
      <c r="B583" s="309"/>
      <c r="C583" s="309"/>
      <c r="D583" s="309"/>
      <c r="E583" s="309"/>
      <c r="F583" s="309"/>
      <c r="G583" s="309"/>
      <c r="H583" s="309"/>
      <c r="I583" s="309"/>
    </row>
    <row r="584" spans="1:9">
      <c r="A584" s="99" t="s">
        <v>124</v>
      </c>
      <c r="B584" s="303">
        <v>0</v>
      </c>
      <c r="C584" s="303">
        <v>0</v>
      </c>
      <c r="D584" s="303">
        <v>0</v>
      </c>
      <c r="E584" s="303">
        <v>0</v>
      </c>
      <c r="F584" s="303">
        <v>0</v>
      </c>
      <c r="G584" s="303">
        <v>208.59</v>
      </c>
      <c r="H584" s="303">
        <v>0</v>
      </c>
      <c r="I584" s="303">
        <f>SUM(B584:H584)</f>
        <v>208.59</v>
      </c>
    </row>
    <row r="585" spans="1:9" ht="10.5">
      <c r="A585" s="319" t="s">
        <v>125</v>
      </c>
      <c r="B585" s="313">
        <f t="shared" ref="B585:I585" si="146">SUM(B584)</f>
        <v>0</v>
      </c>
      <c r="C585" s="313">
        <f t="shared" si="146"/>
        <v>0</v>
      </c>
      <c r="D585" s="313">
        <f t="shared" si="146"/>
        <v>0</v>
      </c>
      <c r="E585" s="313">
        <f t="shared" si="146"/>
        <v>0</v>
      </c>
      <c r="F585" s="313">
        <f t="shared" si="146"/>
        <v>0</v>
      </c>
      <c r="G585" s="313">
        <f t="shared" si="146"/>
        <v>208.59</v>
      </c>
      <c r="H585" s="313">
        <f t="shared" si="146"/>
        <v>0</v>
      </c>
      <c r="I585" s="313">
        <f t="shared" si="146"/>
        <v>208.59</v>
      </c>
    </row>
    <row r="586" spans="1:9" ht="10.5">
      <c r="A586" s="318" t="s">
        <v>126</v>
      </c>
      <c r="B586" s="309"/>
      <c r="C586" s="309"/>
      <c r="D586" s="309"/>
      <c r="E586" s="309"/>
      <c r="F586" s="309"/>
      <c r="G586" s="309"/>
      <c r="H586" s="309"/>
      <c r="I586" s="309"/>
    </row>
    <row r="587" spans="1:9" ht="10.5">
      <c r="A587" s="320" t="s">
        <v>127</v>
      </c>
      <c r="B587" s="309"/>
      <c r="C587" s="309"/>
      <c r="D587" s="309"/>
      <c r="E587" s="309"/>
      <c r="F587" s="309"/>
      <c r="G587" s="309"/>
      <c r="H587" s="309"/>
      <c r="I587" s="309"/>
    </row>
    <row r="588" spans="1:9">
      <c r="A588" s="321" t="s">
        <v>128</v>
      </c>
      <c r="B588" s="303">
        <v>0</v>
      </c>
      <c r="C588" s="303">
        <v>0</v>
      </c>
      <c r="D588" s="303">
        <v>0</v>
      </c>
      <c r="E588" s="303">
        <v>0</v>
      </c>
      <c r="F588" s="303">
        <v>0</v>
      </c>
      <c r="G588" s="303">
        <v>2371.7399999999998</v>
      </c>
      <c r="H588" s="303">
        <v>0</v>
      </c>
      <c r="I588" s="303">
        <f>SUM(B588:H588)</f>
        <v>2371.7399999999998</v>
      </c>
    </row>
    <row r="589" spans="1:9">
      <c r="A589" s="321" t="s">
        <v>129</v>
      </c>
      <c r="B589" s="303">
        <v>0</v>
      </c>
      <c r="C589" s="303">
        <v>0</v>
      </c>
      <c r="D589" s="303">
        <v>0</v>
      </c>
      <c r="E589" s="303">
        <v>0</v>
      </c>
      <c r="F589" s="303">
        <v>0</v>
      </c>
      <c r="G589" s="303">
        <v>1372.73</v>
      </c>
      <c r="H589" s="303">
        <v>0</v>
      </c>
      <c r="I589" s="303">
        <f>SUM(B589:H589)</f>
        <v>1372.73</v>
      </c>
    </row>
    <row r="590" spans="1:9">
      <c r="A590" s="321" t="s">
        <v>130</v>
      </c>
      <c r="B590" s="303">
        <v>0</v>
      </c>
      <c r="C590" s="303">
        <v>0</v>
      </c>
      <c r="D590" s="303">
        <v>0</v>
      </c>
      <c r="E590" s="303">
        <v>0</v>
      </c>
      <c r="F590" s="303">
        <v>0</v>
      </c>
      <c r="G590" s="303">
        <v>226.47</v>
      </c>
      <c r="H590" s="303">
        <v>0</v>
      </c>
      <c r="I590" s="303">
        <f>SUM(B590:H590)</f>
        <v>226.47</v>
      </c>
    </row>
    <row r="591" spans="1:9">
      <c r="A591" s="321" t="s">
        <v>131</v>
      </c>
      <c r="B591" s="303">
        <v>0</v>
      </c>
      <c r="C591" s="303">
        <v>0</v>
      </c>
      <c r="D591" s="303">
        <v>0</v>
      </c>
      <c r="E591" s="303">
        <v>0</v>
      </c>
      <c r="F591" s="303">
        <v>0</v>
      </c>
      <c r="G591" s="303">
        <v>1017.49</v>
      </c>
      <c r="H591" s="303">
        <v>0</v>
      </c>
      <c r="I591" s="303">
        <f>SUM(B591:H591)</f>
        <v>1017.49</v>
      </c>
    </row>
    <row r="592" spans="1:9" ht="10.5">
      <c r="A592" s="322" t="s">
        <v>133</v>
      </c>
      <c r="B592" s="313">
        <f t="shared" ref="B592:I592" si="147">SUM(B588:B591)</f>
        <v>0</v>
      </c>
      <c r="C592" s="313">
        <f t="shared" si="147"/>
        <v>0</v>
      </c>
      <c r="D592" s="313">
        <f t="shared" si="147"/>
        <v>0</v>
      </c>
      <c r="E592" s="313">
        <f t="shared" si="147"/>
        <v>0</v>
      </c>
      <c r="F592" s="313">
        <f t="shared" si="147"/>
        <v>0</v>
      </c>
      <c r="G592" s="313">
        <f t="shared" si="147"/>
        <v>4988.4299999999994</v>
      </c>
      <c r="H592" s="313">
        <f t="shared" si="147"/>
        <v>0</v>
      </c>
      <c r="I592" s="313">
        <f t="shared" si="147"/>
        <v>4988.4299999999994</v>
      </c>
    </row>
    <row r="593" spans="1:9" ht="10.5">
      <c r="A593" s="319" t="s">
        <v>134</v>
      </c>
      <c r="B593" s="313">
        <f t="shared" ref="B593:I593" si="148">SUM(B592)</f>
        <v>0</v>
      </c>
      <c r="C593" s="313">
        <f t="shared" si="148"/>
        <v>0</v>
      </c>
      <c r="D593" s="313">
        <f t="shared" si="148"/>
        <v>0</v>
      </c>
      <c r="E593" s="313">
        <f t="shared" si="148"/>
        <v>0</v>
      </c>
      <c r="F593" s="313">
        <f t="shared" si="148"/>
        <v>0</v>
      </c>
      <c r="G593" s="313">
        <f t="shared" si="148"/>
        <v>4988.4299999999994</v>
      </c>
      <c r="H593" s="313">
        <f t="shared" si="148"/>
        <v>0</v>
      </c>
      <c r="I593" s="313">
        <f t="shared" si="148"/>
        <v>4988.4299999999994</v>
      </c>
    </row>
    <row r="594" spans="1:9" ht="10.5">
      <c r="A594" s="318" t="s">
        <v>135</v>
      </c>
      <c r="B594" s="309"/>
      <c r="C594" s="309"/>
      <c r="D594" s="309"/>
      <c r="E594" s="309"/>
      <c r="F594" s="309"/>
      <c r="G594" s="309"/>
      <c r="H594" s="309"/>
      <c r="I594" s="309"/>
    </row>
    <row r="595" spans="1:9" ht="10.5">
      <c r="A595" s="320" t="s">
        <v>136</v>
      </c>
      <c r="B595" s="309"/>
      <c r="C595" s="309"/>
      <c r="D595" s="309"/>
      <c r="E595" s="309"/>
      <c r="F595" s="309"/>
      <c r="G595" s="309"/>
      <c r="H595" s="309"/>
      <c r="I595" s="309"/>
    </row>
    <row r="596" spans="1:9">
      <c r="A596" s="321" t="s">
        <v>150</v>
      </c>
      <c r="B596" s="303">
        <v>0</v>
      </c>
      <c r="C596" s="303">
        <v>0</v>
      </c>
      <c r="D596" s="303">
        <v>0</v>
      </c>
      <c r="E596" s="303">
        <v>0</v>
      </c>
      <c r="F596" s="303">
        <v>0</v>
      </c>
      <c r="G596" s="303">
        <v>2518.52</v>
      </c>
      <c r="H596" s="303">
        <v>0</v>
      </c>
      <c r="I596" s="303">
        <f>SUM(B596:H596)</f>
        <v>2518.52</v>
      </c>
    </row>
    <row r="597" spans="1:9" ht="10.5">
      <c r="A597" s="322" t="s">
        <v>138</v>
      </c>
      <c r="B597" s="313">
        <f t="shared" ref="B597:I597" si="149">SUM(B596)</f>
        <v>0</v>
      </c>
      <c r="C597" s="313">
        <f t="shared" si="149"/>
        <v>0</v>
      </c>
      <c r="D597" s="313">
        <f t="shared" si="149"/>
        <v>0</v>
      </c>
      <c r="E597" s="313">
        <f t="shared" si="149"/>
        <v>0</v>
      </c>
      <c r="F597" s="313">
        <f t="shared" si="149"/>
        <v>0</v>
      </c>
      <c r="G597" s="313">
        <f t="shared" si="149"/>
        <v>2518.52</v>
      </c>
      <c r="H597" s="313">
        <f t="shared" si="149"/>
        <v>0</v>
      </c>
      <c r="I597" s="313">
        <f t="shared" si="149"/>
        <v>2518.52</v>
      </c>
    </row>
    <row r="598" spans="1:9" ht="10.5">
      <c r="A598" s="320" t="s">
        <v>187</v>
      </c>
      <c r="B598" s="309"/>
      <c r="C598" s="309"/>
      <c r="D598" s="309"/>
      <c r="E598" s="309"/>
      <c r="F598" s="309"/>
      <c r="G598" s="309"/>
      <c r="H598" s="309"/>
      <c r="I598" s="309"/>
    </row>
    <row r="599" spans="1:9">
      <c r="A599" s="321" t="s">
        <v>188</v>
      </c>
      <c r="B599" s="303">
        <v>17090.37</v>
      </c>
      <c r="C599" s="303">
        <v>0</v>
      </c>
      <c r="D599" s="303">
        <v>0</v>
      </c>
      <c r="E599" s="303">
        <v>0</v>
      </c>
      <c r="F599" s="303">
        <v>13749.14</v>
      </c>
      <c r="G599" s="303">
        <v>56676.81</v>
      </c>
      <c r="H599" s="303">
        <v>12945.01</v>
      </c>
      <c r="I599" s="303">
        <f>SUM(B599:H599)</f>
        <v>100461.32999999999</v>
      </c>
    </row>
    <row r="600" spans="1:9">
      <c r="A600" s="321" t="s">
        <v>189</v>
      </c>
      <c r="B600" s="303">
        <v>0</v>
      </c>
      <c r="C600" s="303">
        <v>0</v>
      </c>
      <c r="D600" s="303">
        <v>0</v>
      </c>
      <c r="E600" s="303">
        <v>0</v>
      </c>
      <c r="F600" s="303">
        <v>0</v>
      </c>
      <c r="G600" s="303">
        <v>39546.06</v>
      </c>
      <c r="H600" s="303">
        <v>0</v>
      </c>
      <c r="I600" s="303">
        <f>SUM(B600:H600)</f>
        <v>39546.06</v>
      </c>
    </row>
    <row r="601" spans="1:9">
      <c r="A601" s="321" t="s">
        <v>190</v>
      </c>
      <c r="B601" s="303">
        <v>77413.25</v>
      </c>
      <c r="C601" s="303">
        <v>0</v>
      </c>
      <c r="D601" s="303">
        <v>0</v>
      </c>
      <c r="E601" s="303">
        <v>0</v>
      </c>
      <c r="F601" s="303">
        <v>2855.75</v>
      </c>
      <c r="G601" s="303">
        <v>65680.350000000006</v>
      </c>
      <c r="H601" s="303">
        <v>0</v>
      </c>
      <c r="I601" s="303">
        <f>SUM(B601:H601)</f>
        <v>145949.35</v>
      </c>
    </row>
    <row r="602" spans="1:9">
      <c r="A602" s="321" t="s">
        <v>191</v>
      </c>
      <c r="B602" s="303">
        <v>0</v>
      </c>
      <c r="C602" s="303">
        <v>0</v>
      </c>
      <c r="D602" s="303">
        <v>0</v>
      </c>
      <c r="E602" s="303">
        <v>0</v>
      </c>
      <c r="F602" s="303">
        <v>0</v>
      </c>
      <c r="G602" s="303">
        <v>10379.57</v>
      </c>
      <c r="H602" s="303">
        <v>0</v>
      </c>
      <c r="I602" s="303">
        <f>SUM(B602:H602)</f>
        <v>10379.57</v>
      </c>
    </row>
    <row r="603" spans="1:9">
      <c r="A603" s="321" t="s">
        <v>192</v>
      </c>
      <c r="B603" s="303">
        <v>0</v>
      </c>
      <c r="C603" s="303">
        <v>0</v>
      </c>
      <c r="D603" s="303">
        <v>0</v>
      </c>
      <c r="E603" s="303">
        <v>0</v>
      </c>
      <c r="F603" s="303">
        <v>0</v>
      </c>
      <c r="G603" s="303">
        <v>616.85</v>
      </c>
      <c r="H603" s="303">
        <v>0</v>
      </c>
      <c r="I603" s="303">
        <f>SUM(B603:H603)</f>
        <v>616.85</v>
      </c>
    </row>
    <row r="604" spans="1:9" ht="10.5">
      <c r="A604" s="322" t="s">
        <v>193</v>
      </c>
      <c r="B604" s="313">
        <f t="shared" ref="B604:I604" si="150">SUM(B599:B603)</f>
        <v>94503.62</v>
      </c>
      <c r="C604" s="313">
        <f t="shared" si="150"/>
        <v>0</v>
      </c>
      <c r="D604" s="313">
        <f t="shared" si="150"/>
        <v>0</v>
      </c>
      <c r="E604" s="313">
        <f t="shared" si="150"/>
        <v>0</v>
      </c>
      <c r="F604" s="313">
        <f t="shared" si="150"/>
        <v>16604.89</v>
      </c>
      <c r="G604" s="313">
        <f t="shared" si="150"/>
        <v>172899.64</v>
      </c>
      <c r="H604" s="313">
        <f t="shared" si="150"/>
        <v>12945.01</v>
      </c>
      <c r="I604" s="313">
        <f t="shared" si="150"/>
        <v>296953.15999999997</v>
      </c>
    </row>
    <row r="605" spans="1:9" ht="10.5">
      <c r="A605" s="319" t="s">
        <v>139</v>
      </c>
      <c r="B605" s="313">
        <f t="shared" ref="B605:I605" si="151">SUM(B597,B604)</f>
        <v>94503.62</v>
      </c>
      <c r="C605" s="313">
        <f t="shared" si="151"/>
        <v>0</v>
      </c>
      <c r="D605" s="313">
        <f t="shared" si="151"/>
        <v>0</v>
      </c>
      <c r="E605" s="313">
        <f t="shared" si="151"/>
        <v>0</v>
      </c>
      <c r="F605" s="313">
        <f t="shared" si="151"/>
        <v>16604.89</v>
      </c>
      <c r="G605" s="313">
        <f t="shared" si="151"/>
        <v>175418.16</v>
      </c>
      <c r="H605" s="313">
        <f t="shared" si="151"/>
        <v>12945.01</v>
      </c>
      <c r="I605" s="313">
        <f t="shared" si="151"/>
        <v>299471.68</v>
      </c>
    </row>
    <row r="606" spans="1:9" ht="10.5">
      <c r="A606" s="318" t="s">
        <v>63</v>
      </c>
      <c r="B606" s="309"/>
      <c r="C606" s="309"/>
      <c r="D606" s="309"/>
      <c r="E606" s="309"/>
      <c r="F606" s="309"/>
      <c r="G606" s="309"/>
      <c r="H606" s="309"/>
      <c r="I606" s="309"/>
    </row>
    <row r="607" spans="1:9" ht="10.5">
      <c r="A607" s="320" t="s">
        <v>71</v>
      </c>
      <c r="B607" s="309"/>
      <c r="C607" s="309"/>
      <c r="D607" s="309"/>
      <c r="E607" s="309"/>
      <c r="F607" s="309"/>
      <c r="G607" s="309"/>
      <c r="H607" s="309"/>
      <c r="I607" s="309"/>
    </row>
    <row r="608" spans="1:9">
      <c r="A608" s="321" t="s">
        <v>72</v>
      </c>
      <c r="B608" s="303">
        <v>0</v>
      </c>
      <c r="C608" s="303">
        <v>0</v>
      </c>
      <c r="D608" s="303">
        <v>0</v>
      </c>
      <c r="E608" s="303">
        <v>0</v>
      </c>
      <c r="F608" s="303">
        <v>0</v>
      </c>
      <c r="G608" s="303">
        <v>19277.060000000001</v>
      </c>
      <c r="H608" s="303">
        <v>0</v>
      </c>
      <c r="I608" s="303">
        <f>SUM(B608:H608)</f>
        <v>19277.060000000001</v>
      </c>
    </row>
    <row r="609" spans="1:9">
      <c r="A609" s="321" t="s">
        <v>151</v>
      </c>
      <c r="B609" s="303">
        <v>0</v>
      </c>
      <c r="C609" s="303">
        <v>0</v>
      </c>
      <c r="D609" s="303">
        <v>0</v>
      </c>
      <c r="E609" s="303">
        <v>0</v>
      </c>
      <c r="F609" s="303">
        <v>0</v>
      </c>
      <c r="G609" s="303">
        <v>526.52</v>
      </c>
      <c r="H609" s="303">
        <v>0</v>
      </c>
      <c r="I609" s="303">
        <f>SUM(B609:H609)</f>
        <v>526.52</v>
      </c>
    </row>
    <row r="610" spans="1:9" ht="10.5">
      <c r="A610" s="322" t="s">
        <v>73</v>
      </c>
      <c r="B610" s="313">
        <f t="shared" ref="B610:I610" si="152">SUM(B608:B609)</f>
        <v>0</v>
      </c>
      <c r="C610" s="313">
        <f t="shared" si="152"/>
        <v>0</v>
      </c>
      <c r="D610" s="313">
        <f t="shared" si="152"/>
        <v>0</v>
      </c>
      <c r="E610" s="313">
        <f t="shared" si="152"/>
        <v>0</v>
      </c>
      <c r="F610" s="313">
        <f t="shared" si="152"/>
        <v>0</v>
      </c>
      <c r="G610" s="313">
        <f t="shared" si="152"/>
        <v>19803.580000000002</v>
      </c>
      <c r="H610" s="313">
        <f t="shared" si="152"/>
        <v>0</v>
      </c>
      <c r="I610" s="313">
        <f t="shared" si="152"/>
        <v>19803.580000000002</v>
      </c>
    </row>
    <row r="611" spans="1:9" ht="10.5">
      <c r="A611" s="320" t="s">
        <v>74</v>
      </c>
      <c r="B611" s="309"/>
      <c r="C611" s="309"/>
      <c r="D611" s="309"/>
      <c r="E611" s="309"/>
      <c r="F611" s="309"/>
      <c r="G611" s="309"/>
      <c r="H611" s="309"/>
      <c r="I611" s="309"/>
    </row>
    <row r="612" spans="1:9">
      <c r="A612" s="321" t="s">
        <v>75</v>
      </c>
      <c r="B612" s="303">
        <v>0</v>
      </c>
      <c r="C612" s="303">
        <v>0</v>
      </c>
      <c r="D612" s="303">
        <v>0</v>
      </c>
      <c r="E612" s="303">
        <v>0</v>
      </c>
      <c r="F612" s="303">
        <v>0</v>
      </c>
      <c r="G612" s="303">
        <v>829.77</v>
      </c>
      <c r="H612" s="303">
        <v>0</v>
      </c>
      <c r="I612" s="303">
        <f>SUM(B612:H612)</f>
        <v>829.77</v>
      </c>
    </row>
    <row r="613" spans="1:9">
      <c r="A613" s="321" t="s">
        <v>76</v>
      </c>
      <c r="B613" s="303">
        <v>0</v>
      </c>
      <c r="C613" s="303">
        <v>0</v>
      </c>
      <c r="D613" s="303">
        <v>0</v>
      </c>
      <c r="E613" s="303">
        <v>0</v>
      </c>
      <c r="F613" s="303">
        <v>0</v>
      </c>
      <c r="G613" s="303">
        <v>416.31</v>
      </c>
      <c r="H613" s="303">
        <v>0</v>
      </c>
      <c r="I613" s="303">
        <f>SUM(B613:H613)</f>
        <v>416.31</v>
      </c>
    </row>
    <row r="614" spans="1:9">
      <c r="A614" s="321" t="s">
        <v>140</v>
      </c>
      <c r="B614" s="303">
        <v>0</v>
      </c>
      <c r="C614" s="303">
        <v>0</v>
      </c>
      <c r="D614" s="303">
        <v>0</v>
      </c>
      <c r="E614" s="303">
        <v>0</v>
      </c>
      <c r="F614" s="303">
        <v>0</v>
      </c>
      <c r="G614" s="303">
        <v>646.14</v>
      </c>
      <c r="H614" s="303">
        <v>0</v>
      </c>
      <c r="I614" s="303">
        <f>SUM(B614:H614)</f>
        <v>646.14</v>
      </c>
    </row>
    <row r="615" spans="1:9">
      <c r="A615" s="321" t="s">
        <v>77</v>
      </c>
      <c r="B615" s="303">
        <v>0</v>
      </c>
      <c r="C615" s="303">
        <v>0</v>
      </c>
      <c r="D615" s="303">
        <v>0</v>
      </c>
      <c r="E615" s="303">
        <v>0</v>
      </c>
      <c r="F615" s="303">
        <v>0</v>
      </c>
      <c r="G615" s="303">
        <v>2376.19</v>
      </c>
      <c r="H615" s="303">
        <v>0</v>
      </c>
      <c r="I615" s="303">
        <f>SUM(B615:H615)</f>
        <v>2376.19</v>
      </c>
    </row>
    <row r="616" spans="1:9" ht="10.5">
      <c r="A616" s="322" t="s">
        <v>78</v>
      </c>
      <c r="B616" s="313">
        <f t="shared" ref="B616:I616" si="153">SUM(B612:B615)</f>
        <v>0</v>
      </c>
      <c r="C616" s="313">
        <f t="shared" si="153"/>
        <v>0</v>
      </c>
      <c r="D616" s="313">
        <f t="shared" si="153"/>
        <v>0</v>
      </c>
      <c r="E616" s="313">
        <f t="shared" si="153"/>
        <v>0</v>
      </c>
      <c r="F616" s="313">
        <f t="shared" si="153"/>
        <v>0</v>
      </c>
      <c r="G616" s="313">
        <f t="shared" si="153"/>
        <v>4268.41</v>
      </c>
      <c r="H616" s="313">
        <f t="shared" si="153"/>
        <v>0</v>
      </c>
      <c r="I616" s="313">
        <f t="shared" si="153"/>
        <v>4268.41</v>
      </c>
    </row>
    <row r="617" spans="1:9" ht="10.5">
      <c r="A617" s="320" t="s">
        <v>67</v>
      </c>
      <c r="B617" s="309"/>
      <c r="C617" s="309"/>
      <c r="D617" s="309"/>
      <c r="E617" s="309"/>
      <c r="F617" s="309"/>
      <c r="G617" s="309"/>
      <c r="H617" s="309"/>
      <c r="I617" s="309"/>
    </row>
    <row r="618" spans="1:9">
      <c r="A618" s="321" t="s">
        <v>69</v>
      </c>
      <c r="B618" s="303">
        <v>0</v>
      </c>
      <c r="C618" s="303">
        <v>0</v>
      </c>
      <c r="D618" s="303">
        <v>0</v>
      </c>
      <c r="E618" s="303">
        <v>0</v>
      </c>
      <c r="F618" s="303">
        <v>0</v>
      </c>
      <c r="G618" s="303">
        <v>491.23</v>
      </c>
      <c r="H618" s="303">
        <v>0</v>
      </c>
      <c r="I618" s="303">
        <f>SUM(B618:H618)</f>
        <v>491.23</v>
      </c>
    </row>
    <row r="619" spans="1:9">
      <c r="A619" s="321" t="s">
        <v>68</v>
      </c>
      <c r="B619" s="303">
        <v>0</v>
      </c>
      <c r="C619" s="303">
        <v>0</v>
      </c>
      <c r="D619" s="303">
        <v>0</v>
      </c>
      <c r="E619" s="303">
        <v>0</v>
      </c>
      <c r="F619" s="303">
        <v>0</v>
      </c>
      <c r="G619" s="303">
        <v>297.35000000000002</v>
      </c>
      <c r="H619" s="303">
        <v>0</v>
      </c>
      <c r="I619" s="303">
        <f>SUM(B619:H619)</f>
        <v>297.35000000000002</v>
      </c>
    </row>
    <row r="620" spans="1:9" ht="10.5">
      <c r="A620" s="322" t="s">
        <v>70</v>
      </c>
      <c r="B620" s="313">
        <f t="shared" ref="B620:I620" si="154">SUM(B618:B619)</f>
        <v>0</v>
      </c>
      <c r="C620" s="313">
        <f t="shared" si="154"/>
        <v>0</v>
      </c>
      <c r="D620" s="313">
        <f t="shared" si="154"/>
        <v>0</v>
      </c>
      <c r="E620" s="313">
        <f t="shared" si="154"/>
        <v>0</v>
      </c>
      <c r="F620" s="313">
        <f t="shared" si="154"/>
        <v>0</v>
      </c>
      <c r="G620" s="313">
        <f t="shared" si="154"/>
        <v>788.58</v>
      </c>
      <c r="H620" s="313">
        <f t="shared" si="154"/>
        <v>0</v>
      </c>
      <c r="I620" s="313">
        <f t="shared" si="154"/>
        <v>788.58</v>
      </c>
    </row>
    <row r="621" spans="1:9" ht="10.5">
      <c r="A621" s="320" t="s">
        <v>64</v>
      </c>
      <c r="B621" s="309"/>
      <c r="C621" s="309"/>
      <c r="D621" s="309"/>
      <c r="E621" s="309"/>
      <c r="F621" s="309"/>
      <c r="G621" s="309"/>
      <c r="H621" s="309"/>
      <c r="I621" s="309"/>
    </row>
    <row r="622" spans="1:9">
      <c r="A622" s="321" t="s">
        <v>194</v>
      </c>
      <c r="B622" s="303">
        <v>0</v>
      </c>
      <c r="C622" s="303">
        <v>0</v>
      </c>
      <c r="D622" s="303">
        <v>0</v>
      </c>
      <c r="E622" s="303">
        <v>0</v>
      </c>
      <c r="F622" s="303">
        <v>0</v>
      </c>
      <c r="G622" s="303">
        <v>11179.99</v>
      </c>
      <c r="H622" s="303">
        <v>0</v>
      </c>
      <c r="I622" s="303">
        <f>SUM(B622:H622)</f>
        <v>11179.99</v>
      </c>
    </row>
    <row r="623" spans="1:9" ht="10.5">
      <c r="A623" s="322" t="s">
        <v>66</v>
      </c>
      <c r="B623" s="313">
        <f t="shared" ref="B623:I623" si="155">SUM(B622)</f>
        <v>0</v>
      </c>
      <c r="C623" s="313">
        <f t="shared" si="155"/>
        <v>0</v>
      </c>
      <c r="D623" s="313">
        <f t="shared" si="155"/>
        <v>0</v>
      </c>
      <c r="E623" s="313">
        <f t="shared" si="155"/>
        <v>0</v>
      </c>
      <c r="F623" s="313">
        <f t="shared" si="155"/>
        <v>0</v>
      </c>
      <c r="G623" s="313">
        <f t="shared" si="155"/>
        <v>11179.99</v>
      </c>
      <c r="H623" s="313">
        <f t="shared" si="155"/>
        <v>0</v>
      </c>
      <c r="I623" s="313">
        <f t="shared" si="155"/>
        <v>11179.99</v>
      </c>
    </row>
    <row r="624" spans="1:9" ht="10.5">
      <c r="A624" s="319" t="s">
        <v>79</v>
      </c>
      <c r="B624" s="313">
        <f t="shared" ref="B624:I624" si="156">SUM(B610,B616,B620,B623)</f>
        <v>0</v>
      </c>
      <c r="C624" s="313">
        <f t="shared" si="156"/>
        <v>0</v>
      </c>
      <c r="D624" s="313">
        <f t="shared" si="156"/>
        <v>0</v>
      </c>
      <c r="E624" s="313">
        <f t="shared" si="156"/>
        <v>0</v>
      </c>
      <c r="F624" s="313">
        <f t="shared" si="156"/>
        <v>0</v>
      </c>
      <c r="G624" s="313">
        <f t="shared" si="156"/>
        <v>36040.560000000005</v>
      </c>
      <c r="H624" s="313">
        <f t="shared" si="156"/>
        <v>0</v>
      </c>
      <c r="I624" s="313">
        <f t="shared" si="156"/>
        <v>36040.560000000005</v>
      </c>
    </row>
    <row r="625" spans="1:9" ht="10.5">
      <c r="A625" s="318" t="s">
        <v>166</v>
      </c>
      <c r="B625" s="309"/>
      <c r="C625" s="309"/>
      <c r="D625" s="309"/>
      <c r="E625" s="309"/>
      <c r="F625" s="309"/>
      <c r="G625" s="309"/>
      <c r="H625" s="309"/>
      <c r="I625" s="309"/>
    </row>
    <row r="626" spans="1:9">
      <c r="A626" s="99" t="s">
        <v>167</v>
      </c>
      <c r="B626" s="303">
        <v>0</v>
      </c>
      <c r="C626" s="303">
        <v>0</v>
      </c>
      <c r="D626" s="303">
        <v>0</v>
      </c>
      <c r="E626" s="303">
        <v>0</v>
      </c>
      <c r="F626" s="303">
        <v>0</v>
      </c>
      <c r="G626" s="303">
        <v>284.12</v>
      </c>
      <c r="H626" s="303">
        <v>0</v>
      </c>
      <c r="I626" s="303">
        <f>SUM(B626:H626)</f>
        <v>284.12</v>
      </c>
    </row>
    <row r="627" spans="1:9">
      <c r="A627" s="99" t="s">
        <v>195</v>
      </c>
      <c r="B627" s="303">
        <v>0</v>
      </c>
      <c r="C627" s="303">
        <v>0</v>
      </c>
      <c r="D627" s="303">
        <v>0</v>
      </c>
      <c r="E627" s="303">
        <v>0</v>
      </c>
      <c r="F627" s="303">
        <v>0</v>
      </c>
      <c r="G627" s="303">
        <v>10187.18</v>
      </c>
      <c r="H627" s="303">
        <v>0</v>
      </c>
      <c r="I627" s="303">
        <f>SUM(B627:H627)</f>
        <v>10187.18</v>
      </c>
    </row>
    <row r="628" spans="1:9" ht="10.5">
      <c r="A628" s="319" t="s">
        <v>169</v>
      </c>
      <c r="B628" s="313">
        <f t="shared" ref="B628:I628" si="157">SUM(B626:B627)</f>
        <v>0</v>
      </c>
      <c r="C628" s="313">
        <f t="shared" si="157"/>
        <v>0</v>
      </c>
      <c r="D628" s="313">
        <f t="shared" si="157"/>
        <v>0</v>
      </c>
      <c r="E628" s="313">
        <f t="shared" si="157"/>
        <v>0</v>
      </c>
      <c r="F628" s="313">
        <f t="shared" si="157"/>
        <v>0</v>
      </c>
      <c r="G628" s="313">
        <f t="shared" si="157"/>
        <v>10471.300000000001</v>
      </c>
      <c r="H628" s="313">
        <f t="shared" si="157"/>
        <v>0</v>
      </c>
      <c r="I628" s="313">
        <f t="shared" si="157"/>
        <v>10471.300000000001</v>
      </c>
    </row>
    <row r="629" spans="1:9" ht="10.5">
      <c r="A629" s="318" t="s">
        <v>58</v>
      </c>
      <c r="B629" s="309"/>
      <c r="C629" s="309"/>
      <c r="D629" s="309"/>
      <c r="E629" s="309"/>
      <c r="F629" s="309"/>
      <c r="G629" s="309"/>
      <c r="H629" s="309"/>
      <c r="I629" s="309"/>
    </row>
    <row r="630" spans="1:9">
      <c r="A630" s="99" t="s">
        <v>59</v>
      </c>
      <c r="B630" s="303">
        <v>0</v>
      </c>
      <c r="C630" s="303">
        <v>0</v>
      </c>
      <c r="D630" s="303">
        <v>0</v>
      </c>
      <c r="E630" s="303">
        <v>0</v>
      </c>
      <c r="F630" s="303">
        <v>0</v>
      </c>
      <c r="G630" s="303">
        <v>1647.87</v>
      </c>
      <c r="H630" s="303">
        <v>0</v>
      </c>
      <c r="I630" s="303">
        <f>SUM(B630:H630)</f>
        <v>1647.87</v>
      </c>
    </row>
    <row r="631" spans="1:9">
      <c r="A631" s="99" t="s">
        <v>61</v>
      </c>
      <c r="B631" s="303">
        <v>0</v>
      </c>
      <c r="C631" s="303">
        <v>0</v>
      </c>
      <c r="D631" s="303">
        <v>0</v>
      </c>
      <c r="E631" s="303">
        <v>0</v>
      </c>
      <c r="F631" s="303">
        <v>0</v>
      </c>
      <c r="G631" s="303">
        <v>10.6</v>
      </c>
      <c r="H631" s="303">
        <v>0</v>
      </c>
      <c r="I631" s="303">
        <f>SUM(B631:H631)</f>
        <v>10.6</v>
      </c>
    </row>
    <row r="632" spans="1:9">
      <c r="A632" s="99" t="s">
        <v>60</v>
      </c>
      <c r="B632" s="303">
        <v>0</v>
      </c>
      <c r="C632" s="303">
        <v>0</v>
      </c>
      <c r="D632" s="303">
        <v>0</v>
      </c>
      <c r="E632" s="303">
        <v>0</v>
      </c>
      <c r="F632" s="303">
        <v>0</v>
      </c>
      <c r="G632" s="303">
        <v>127.97</v>
      </c>
      <c r="H632" s="303">
        <v>0</v>
      </c>
      <c r="I632" s="303">
        <f>SUM(B632:H632)</f>
        <v>127.97</v>
      </c>
    </row>
    <row r="633" spans="1:9" ht="10.5">
      <c r="A633" s="319" t="s">
        <v>62</v>
      </c>
      <c r="B633" s="313">
        <f t="shared" ref="B633:I633" si="158">SUM(B630:B632)</f>
        <v>0</v>
      </c>
      <c r="C633" s="313">
        <f t="shared" si="158"/>
        <v>0</v>
      </c>
      <c r="D633" s="313">
        <f t="shared" si="158"/>
        <v>0</v>
      </c>
      <c r="E633" s="313">
        <f t="shared" si="158"/>
        <v>0</v>
      </c>
      <c r="F633" s="313">
        <f t="shared" si="158"/>
        <v>0</v>
      </c>
      <c r="G633" s="313">
        <f t="shared" si="158"/>
        <v>1786.4399999999998</v>
      </c>
      <c r="H633" s="313">
        <f t="shared" si="158"/>
        <v>0</v>
      </c>
      <c r="I633" s="313">
        <f t="shared" si="158"/>
        <v>1786.4399999999998</v>
      </c>
    </row>
    <row r="634" spans="1:9" ht="10.5">
      <c r="A634" s="312" t="s">
        <v>196</v>
      </c>
      <c r="B634" s="313">
        <f t="shared" ref="B634:I634" si="159">SUM(B558,B569,B573,B576,B579,B582,B585,B593,B605,B624,B628,B633)</f>
        <v>94503.62</v>
      </c>
      <c r="C634" s="313">
        <f t="shared" si="159"/>
        <v>0</v>
      </c>
      <c r="D634" s="313">
        <f t="shared" si="159"/>
        <v>0</v>
      </c>
      <c r="E634" s="313">
        <f t="shared" si="159"/>
        <v>0</v>
      </c>
      <c r="F634" s="313">
        <f t="shared" si="159"/>
        <v>16604.89</v>
      </c>
      <c r="G634" s="313">
        <f t="shared" si="159"/>
        <v>472182.42</v>
      </c>
      <c r="H634" s="313">
        <f t="shared" si="159"/>
        <v>12945.01</v>
      </c>
      <c r="I634" s="313">
        <f t="shared" si="159"/>
        <v>596235.94000000006</v>
      </c>
    </row>
    <row r="635" spans="1:9" ht="10.5">
      <c r="A635" s="311" t="s">
        <v>197</v>
      </c>
      <c r="B635" s="309"/>
      <c r="C635" s="309"/>
      <c r="D635" s="309"/>
      <c r="E635" s="309"/>
      <c r="F635" s="309"/>
      <c r="G635" s="309"/>
      <c r="H635" s="309"/>
      <c r="I635" s="309"/>
    </row>
    <row r="636" spans="1:9" ht="10.5">
      <c r="A636" s="318" t="s">
        <v>86</v>
      </c>
      <c r="B636" s="309"/>
      <c r="C636" s="309"/>
      <c r="D636" s="309"/>
      <c r="E636" s="309"/>
      <c r="F636" s="309"/>
      <c r="G636" s="309"/>
      <c r="H636" s="309"/>
      <c r="I636" s="309"/>
    </row>
    <row r="637" spans="1:9">
      <c r="A637" s="99" t="s">
        <v>101</v>
      </c>
      <c r="B637" s="303">
        <v>0</v>
      </c>
      <c r="C637" s="303">
        <v>0</v>
      </c>
      <c r="D637" s="303">
        <v>0</v>
      </c>
      <c r="E637" s="303">
        <v>0</v>
      </c>
      <c r="F637" s="303">
        <v>0</v>
      </c>
      <c r="G637" s="303">
        <v>65257.5</v>
      </c>
      <c r="H637" s="303">
        <v>0</v>
      </c>
      <c r="I637" s="303">
        <f>SUM(B637:H637)</f>
        <v>65257.5</v>
      </c>
    </row>
    <row r="638" spans="1:9">
      <c r="A638" s="99" t="s">
        <v>102</v>
      </c>
      <c r="B638" s="303">
        <v>0</v>
      </c>
      <c r="C638" s="303">
        <v>0</v>
      </c>
      <c r="D638" s="303">
        <v>0</v>
      </c>
      <c r="E638" s="303">
        <v>0</v>
      </c>
      <c r="F638" s="303">
        <v>0</v>
      </c>
      <c r="G638" s="303">
        <v>700.84</v>
      </c>
      <c r="H638" s="303">
        <v>0</v>
      </c>
      <c r="I638" s="303">
        <f>SUM(B638:H638)</f>
        <v>700.84</v>
      </c>
    </row>
    <row r="639" spans="1:9" ht="10.5">
      <c r="A639" s="320" t="s">
        <v>87</v>
      </c>
      <c r="B639" s="309"/>
      <c r="C639" s="309"/>
      <c r="D639" s="309"/>
      <c r="E639" s="309"/>
      <c r="F639" s="309"/>
      <c r="G639" s="309"/>
      <c r="H639" s="309"/>
      <c r="I639" s="309"/>
    </row>
    <row r="640" spans="1:9">
      <c r="A640" s="321" t="s">
        <v>88</v>
      </c>
      <c r="B640" s="303">
        <v>0</v>
      </c>
      <c r="C640" s="303">
        <v>0</v>
      </c>
      <c r="D640" s="303">
        <v>0</v>
      </c>
      <c r="E640" s="303">
        <v>0</v>
      </c>
      <c r="F640" s="303">
        <v>0</v>
      </c>
      <c r="G640" s="303">
        <v>369.88</v>
      </c>
      <c r="H640" s="303">
        <v>0</v>
      </c>
      <c r="I640" s="303">
        <f>SUM(B640:H640)</f>
        <v>369.88</v>
      </c>
    </row>
    <row r="641" spans="1:9">
      <c r="A641" s="321" t="s">
        <v>89</v>
      </c>
      <c r="B641" s="303">
        <v>0</v>
      </c>
      <c r="C641" s="303">
        <v>0</v>
      </c>
      <c r="D641" s="303">
        <v>0</v>
      </c>
      <c r="E641" s="303">
        <v>0</v>
      </c>
      <c r="F641" s="303">
        <v>0</v>
      </c>
      <c r="G641" s="303">
        <v>2775.25</v>
      </c>
      <c r="H641" s="303">
        <v>2457.11</v>
      </c>
      <c r="I641" s="303">
        <f>SUM(B641:H641)</f>
        <v>5232.3600000000006</v>
      </c>
    </row>
    <row r="642" spans="1:9">
      <c r="A642" s="321" t="s">
        <v>90</v>
      </c>
      <c r="B642" s="303">
        <v>0</v>
      </c>
      <c r="C642" s="303">
        <v>0</v>
      </c>
      <c r="D642" s="303">
        <v>0</v>
      </c>
      <c r="E642" s="303">
        <v>0</v>
      </c>
      <c r="F642" s="303">
        <v>0</v>
      </c>
      <c r="G642" s="303">
        <v>265.56</v>
      </c>
      <c r="H642" s="303">
        <v>0</v>
      </c>
      <c r="I642" s="303">
        <f>SUM(B642:H642)</f>
        <v>265.56</v>
      </c>
    </row>
    <row r="643" spans="1:9" ht="10.5">
      <c r="A643" s="322" t="s">
        <v>91</v>
      </c>
      <c r="B643" s="313">
        <f t="shared" ref="B643:I643" si="160">SUM(B640:B642)</f>
        <v>0</v>
      </c>
      <c r="C643" s="313">
        <f t="shared" si="160"/>
        <v>0</v>
      </c>
      <c r="D643" s="313">
        <f t="shared" si="160"/>
        <v>0</v>
      </c>
      <c r="E643" s="313">
        <f t="shared" si="160"/>
        <v>0</v>
      </c>
      <c r="F643" s="313">
        <f t="shared" si="160"/>
        <v>0</v>
      </c>
      <c r="G643" s="313">
        <f t="shared" si="160"/>
        <v>3410.69</v>
      </c>
      <c r="H643" s="313">
        <f t="shared" si="160"/>
        <v>2457.11</v>
      </c>
      <c r="I643" s="313">
        <f t="shared" si="160"/>
        <v>5867.8000000000011</v>
      </c>
    </row>
    <row r="644" spans="1:9" ht="10.5">
      <c r="A644" s="319" t="s">
        <v>92</v>
      </c>
      <c r="B644" s="313">
        <f t="shared" ref="B644:I644" si="161">SUM(B637:B638,B643)</f>
        <v>0</v>
      </c>
      <c r="C644" s="313">
        <f t="shared" si="161"/>
        <v>0</v>
      </c>
      <c r="D644" s="313">
        <f t="shared" si="161"/>
        <v>0</v>
      </c>
      <c r="E644" s="313">
        <f t="shared" si="161"/>
        <v>0</v>
      </c>
      <c r="F644" s="313">
        <f t="shared" si="161"/>
        <v>0</v>
      </c>
      <c r="G644" s="313">
        <f t="shared" si="161"/>
        <v>69369.03</v>
      </c>
      <c r="H644" s="313">
        <f t="shared" si="161"/>
        <v>2457.11</v>
      </c>
      <c r="I644" s="313">
        <f t="shared" si="161"/>
        <v>71826.14</v>
      </c>
    </row>
    <row r="645" spans="1:9" ht="10.5">
      <c r="A645" s="318" t="s">
        <v>83</v>
      </c>
      <c r="B645" s="309"/>
      <c r="C645" s="309"/>
      <c r="D645" s="309"/>
      <c r="E645" s="309"/>
      <c r="F645" s="309"/>
      <c r="G645" s="309"/>
      <c r="H645" s="309"/>
      <c r="I645" s="309"/>
    </row>
    <row r="646" spans="1:9">
      <c r="A646" s="99" t="s">
        <v>105</v>
      </c>
      <c r="B646" s="303">
        <v>0</v>
      </c>
      <c r="C646" s="303">
        <v>0</v>
      </c>
      <c r="D646" s="303">
        <v>0</v>
      </c>
      <c r="E646" s="303">
        <v>0</v>
      </c>
      <c r="F646" s="303">
        <v>0</v>
      </c>
      <c r="G646" s="303">
        <v>180.89</v>
      </c>
      <c r="H646" s="303">
        <v>0</v>
      </c>
      <c r="I646" s="303">
        <f>SUM(B646:H646)</f>
        <v>180.89</v>
      </c>
    </row>
    <row r="647" spans="1:9">
      <c r="A647" s="99" t="s">
        <v>106</v>
      </c>
      <c r="B647" s="303">
        <v>0</v>
      </c>
      <c r="C647" s="303">
        <v>0</v>
      </c>
      <c r="D647" s="303">
        <v>0</v>
      </c>
      <c r="E647" s="303">
        <v>0</v>
      </c>
      <c r="F647" s="303">
        <v>0</v>
      </c>
      <c r="G647" s="303">
        <v>-180.89</v>
      </c>
      <c r="H647" s="303">
        <v>0</v>
      </c>
      <c r="I647" s="303">
        <f>SUM(B647:H647)</f>
        <v>-180.89</v>
      </c>
    </row>
    <row r="648" spans="1:9">
      <c r="A648" s="99" t="s">
        <v>111</v>
      </c>
      <c r="B648" s="303">
        <v>0</v>
      </c>
      <c r="C648" s="303">
        <v>0</v>
      </c>
      <c r="D648" s="303">
        <v>0</v>
      </c>
      <c r="E648" s="303">
        <v>0</v>
      </c>
      <c r="F648" s="303">
        <v>0</v>
      </c>
      <c r="G648" s="303">
        <v>3441.99</v>
      </c>
      <c r="H648" s="303">
        <v>0</v>
      </c>
      <c r="I648" s="303">
        <f>SUM(B648:H648)</f>
        <v>3441.99</v>
      </c>
    </row>
    <row r="649" spans="1:9">
      <c r="A649" s="99" t="s">
        <v>112</v>
      </c>
      <c r="B649" s="303">
        <v>0</v>
      </c>
      <c r="C649" s="303">
        <v>0</v>
      </c>
      <c r="D649" s="303">
        <v>0</v>
      </c>
      <c r="E649" s="303">
        <v>0</v>
      </c>
      <c r="F649" s="303">
        <v>0</v>
      </c>
      <c r="G649" s="303">
        <v>-3441.99</v>
      </c>
      <c r="H649" s="303">
        <v>0</v>
      </c>
      <c r="I649" s="303">
        <f>SUM(B649:H649)</f>
        <v>-3441.99</v>
      </c>
    </row>
    <row r="650" spans="1:9">
      <c r="A650" s="99" t="s">
        <v>596</v>
      </c>
      <c r="B650" s="303">
        <v>0</v>
      </c>
      <c r="C650" s="303">
        <v>0</v>
      </c>
      <c r="D650" s="303">
        <v>0</v>
      </c>
      <c r="E650" s="303">
        <v>0</v>
      </c>
      <c r="F650" s="303">
        <v>0</v>
      </c>
      <c r="G650" s="303">
        <v>4856.51</v>
      </c>
      <c r="H650" s="303">
        <v>0</v>
      </c>
      <c r="I650" s="303">
        <f>SUM(B650:H650)</f>
        <v>4856.51</v>
      </c>
    </row>
    <row r="651" spans="1:9" ht="10.5">
      <c r="A651" s="319" t="s">
        <v>85</v>
      </c>
      <c r="B651" s="313">
        <f t="shared" ref="B651:I651" si="162">SUM(B646:B650)</f>
        <v>0</v>
      </c>
      <c r="C651" s="313">
        <f t="shared" si="162"/>
        <v>0</v>
      </c>
      <c r="D651" s="313">
        <f t="shared" si="162"/>
        <v>0</v>
      </c>
      <c r="E651" s="313">
        <f t="shared" si="162"/>
        <v>0</v>
      </c>
      <c r="F651" s="313">
        <f t="shared" si="162"/>
        <v>0</v>
      </c>
      <c r="G651" s="313">
        <f t="shared" si="162"/>
        <v>4856.51</v>
      </c>
      <c r="H651" s="313">
        <f t="shared" si="162"/>
        <v>0</v>
      </c>
      <c r="I651" s="313">
        <f t="shared" si="162"/>
        <v>4856.51</v>
      </c>
    </row>
    <row r="652" spans="1:9" ht="10.5">
      <c r="A652" s="318" t="s">
        <v>54</v>
      </c>
      <c r="B652" s="309"/>
      <c r="C652" s="309"/>
      <c r="D652" s="309"/>
      <c r="E652" s="309"/>
      <c r="F652" s="309"/>
      <c r="G652" s="309"/>
      <c r="H652" s="309"/>
      <c r="I652" s="309"/>
    </row>
    <row r="653" spans="1:9">
      <c r="A653" s="99" t="s">
        <v>113</v>
      </c>
      <c r="B653" s="303">
        <v>0</v>
      </c>
      <c r="C653" s="303">
        <v>0</v>
      </c>
      <c r="D653" s="303">
        <v>0</v>
      </c>
      <c r="E653" s="303">
        <v>0</v>
      </c>
      <c r="F653" s="303">
        <v>0</v>
      </c>
      <c r="G653" s="303">
        <v>3147.45</v>
      </c>
      <c r="H653" s="303">
        <v>0</v>
      </c>
      <c r="I653" s="303">
        <f>SUM(B653:H653)</f>
        <v>3147.45</v>
      </c>
    </row>
    <row r="654" spans="1:9">
      <c r="A654" s="99" t="s">
        <v>114</v>
      </c>
      <c r="B654" s="303">
        <v>0</v>
      </c>
      <c r="C654" s="303">
        <v>0</v>
      </c>
      <c r="D654" s="303">
        <v>0</v>
      </c>
      <c r="E654" s="303">
        <v>0</v>
      </c>
      <c r="F654" s="303">
        <v>0</v>
      </c>
      <c r="G654" s="303">
        <v>10446.58</v>
      </c>
      <c r="H654" s="303">
        <v>0</v>
      </c>
      <c r="I654" s="303">
        <f>SUM(B654:H654)</f>
        <v>10446.58</v>
      </c>
    </row>
    <row r="655" spans="1:9" ht="10.5">
      <c r="A655" s="319" t="s">
        <v>57</v>
      </c>
      <c r="B655" s="313">
        <f t="shared" ref="B655:I655" si="163">SUM(B653:B654)</f>
        <v>0</v>
      </c>
      <c r="C655" s="313">
        <f t="shared" si="163"/>
        <v>0</v>
      </c>
      <c r="D655" s="313">
        <f t="shared" si="163"/>
        <v>0</v>
      </c>
      <c r="E655" s="313">
        <f t="shared" si="163"/>
        <v>0</v>
      </c>
      <c r="F655" s="313">
        <f t="shared" si="163"/>
        <v>0</v>
      </c>
      <c r="G655" s="313">
        <f t="shared" si="163"/>
        <v>13594.029999999999</v>
      </c>
      <c r="H655" s="313">
        <f t="shared" si="163"/>
        <v>0</v>
      </c>
      <c r="I655" s="313">
        <f t="shared" si="163"/>
        <v>13594.029999999999</v>
      </c>
    </row>
    <row r="656" spans="1:9" ht="10.5">
      <c r="A656" s="318" t="s">
        <v>116</v>
      </c>
      <c r="B656" s="309"/>
      <c r="C656" s="309"/>
      <c r="D656" s="309"/>
      <c r="E656" s="309"/>
      <c r="F656" s="309"/>
      <c r="G656" s="309"/>
      <c r="H656" s="309"/>
      <c r="I656" s="309"/>
    </row>
    <row r="657" spans="1:9">
      <c r="A657" s="99" t="s">
        <v>117</v>
      </c>
      <c r="B657" s="303">
        <v>0</v>
      </c>
      <c r="C657" s="303">
        <v>0</v>
      </c>
      <c r="D657" s="303">
        <v>0</v>
      </c>
      <c r="E657" s="303">
        <v>0</v>
      </c>
      <c r="F657" s="303">
        <v>0</v>
      </c>
      <c r="G657" s="303">
        <v>1135.8</v>
      </c>
      <c r="H657" s="303">
        <v>0</v>
      </c>
      <c r="I657" s="303">
        <f>SUM(B657:H657)</f>
        <v>1135.8</v>
      </c>
    </row>
    <row r="658" spans="1:9" ht="10.5">
      <c r="A658" s="319" t="s">
        <v>118</v>
      </c>
      <c r="B658" s="313">
        <f t="shared" ref="B658:I658" si="164">SUM(B657)</f>
        <v>0</v>
      </c>
      <c r="C658" s="313">
        <f t="shared" si="164"/>
        <v>0</v>
      </c>
      <c r="D658" s="313">
        <f t="shared" si="164"/>
        <v>0</v>
      </c>
      <c r="E658" s="313">
        <f t="shared" si="164"/>
        <v>0</v>
      </c>
      <c r="F658" s="313">
        <f t="shared" si="164"/>
        <v>0</v>
      </c>
      <c r="G658" s="313">
        <f t="shared" si="164"/>
        <v>1135.8</v>
      </c>
      <c r="H658" s="313">
        <f t="shared" si="164"/>
        <v>0</v>
      </c>
      <c r="I658" s="313">
        <f t="shared" si="164"/>
        <v>1135.8</v>
      </c>
    </row>
    <row r="659" spans="1:9" ht="10.5">
      <c r="A659" s="318" t="s">
        <v>80</v>
      </c>
      <c r="B659" s="309"/>
      <c r="C659" s="309"/>
      <c r="D659" s="309"/>
      <c r="E659" s="309"/>
      <c r="F659" s="309"/>
      <c r="G659" s="309"/>
      <c r="H659" s="309"/>
      <c r="I659" s="309"/>
    </row>
    <row r="660" spans="1:9">
      <c r="A660" s="99" t="s">
        <v>81</v>
      </c>
      <c r="B660" s="303">
        <v>0</v>
      </c>
      <c r="C660" s="303">
        <v>0</v>
      </c>
      <c r="D660" s="303">
        <v>0</v>
      </c>
      <c r="E660" s="303">
        <v>0</v>
      </c>
      <c r="F660" s="303">
        <v>0</v>
      </c>
      <c r="G660" s="303">
        <v>36.659999999999997</v>
      </c>
      <c r="H660" s="303">
        <v>0</v>
      </c>
      <c r="I660" s="303">
        <f>SUM(B660:H660)</f>
        <v>36.659999999999997</v>
      </c>
    </row>
    <row r="661" spans="1:9" ht="10.5">
      <c r="A661" s="319" t="s">
        <v>82</v>
      </c>
      <c r="B661" s="313">
        <f t="shared" ref="B661:I661" si="165">SUM(B660)</f>
        <v>0</v>
      </c>
      <c r="C661" s="313">
        <f t="shared" si="165"/>
        <v>0</v>
      </c>
      <c r="D661" s="313">
        <f t="shared" si="165"/>
        <v>0</v>
      </c>
      <c r="E661" s="313">
        <f t="shared" si="165"/>
        <v>0</v>
      </c>
      <c r="F661" s="313">
        <f t="shared" si="165"/>
        <v>0</v>
      </c>
      <c r="G661" s="313">
        <f t="shared" si="165"/>
        <v>36.659999999999997</v>
      </c>
      <c r="H661" s="313">
        <f t="shared" si="165"/>
        <v>0</v>
      </c>
      <c r="I661" s="313">
        <f t="shared" si="165"/>
        <v>36.659999999999997</v>
      </c>
    </row>
    <row r="662" spans="1:9" ht="10.5">
      <c r="A662" s="318" t="s">
        <v>119</v>
      </c>
      <c r="B662" s="309"/>
      <c r="C662" s="309"/>
      <c r="D662" s="309"/>
      <c r="E662" s="309"/>
      <c r="F662" s="309"/>
      <c r="G662" s="309"/>
      <c r="H662" s="309"/>
      <c r="I662" s="309"/>
    </row>
    <row r="663" spans="1:9">
      <c r="A663" s="99" t="s">
        <v>120</v>
      </c>
      <c r="B663" s="303">
        <v>0</v>
      </c>
      <c r="C663" s="303">
        <v>0</v>
      </c>
      <c r="D663" s="303">
        <v>0</v>
      </c>
      <c r="E663" s="303">
        <v>0</v>
      </c>
      <c r="F663" s="303">
        <v>0</v>
      </c>
      <c r="G663" s="303">
        <v>10589.06</v>
      </c>
      <c r="H663" s="303">
        <v>0</v>
      </c>
      <c r="I663" s="303">
        <f>SUM(B663:H663)</f>
        <v>10589.06</v>
      </c>
    </row>
    <row r="664" spans="1:9" ht="10.5">
      <c r="A664" s="319" t="s">
        <v>122</v>
      </c>
      <c r="B664" s="313">
        <f t="shared" ref="B664:I664" si="166">SUM(B663)</f>
        <v>0</v>
      </c>
      <c r="C664" s="313">
        <f t="shared" si="166"/>
        <v>0</v>
      </c>
      <c r="D664" s="313">
        <f t="shared" si="166"/>
        <v>0</v>
      </c>
      <c r="E664" s="313">
        <f t="shared" si="166"/>
        <v>0</v>
      </c>
      <c r="F664" s="313">
        <f t="shared" si="166"/>
        <v>0</v>
      </c>
      <c r="G664" s="313">
        <f t="shared" si="166"/>
        <v>10589.06</v>
      </c>
      <c r="H664" s="313">
        <f t="shared" si="166"/>
        <v>0</v>
      </c>
      <c r="I664" s="313">
        <f t="shared" si="166"/>
        <v>10589.06</v>
      </c>
    </row>
    <row r="665" spans="1:9" ht="10.5">
      <c r="A665" s="318" t="s">
        <v>123</v>
      </c>
      <c r="B665" s="309"/>
      <c r="C665" s="309"/>
      <c r="D665" s="309"/>
      <c r="E665" s="309"/>
      <c r="F665" s="309"/>
      <c r="G665" s="309"/>
      <c r="H665" s="309"/>
      <c r="I665" s="309"/>
    </row>
    <row r="666" spans="1:9">
      <c r="A666" s="99" t="s">
        <v>124</v>
      </c>
      <c r="B666" s="303">
        <v>0</v>
      </c>
      <c r="C666" s="303">
        <v>0</v>
      </c>
      <c r="D666" s="303">
        <v>0</v>
      </c>
      <c r="E666" s="303">
        <v>0</v>
      </c>
      <c r="F666" s="303">
        <v>0</v>
      </c>
      <c r="G666" s="303">
        <v>445.63</v>
      </c>
      <c r="H666" s="303">
        <v>0</v>
      </c>
      <c r="I666" s="303">
        <f>SUM(B666:H666)</f>
        <v>445.63</v>
      </c>
    </row>
    <row r="667" spans="1:9" ht="10.5">
      <c r="A667" s="319" t="s">
        <v>125</v>
      </c>
      <c r="B667" s="313">
        <f t="shared" ref="B667:I667" si="167">SUM(B666)</f>
        <v>0</v>
      </c>
      <c r="C667" s="313">
        <f t="shared" si="167"/>
        <v>0</v>
      </c>
      <c r="D667" s="313">
        <f t="shared" si="167"/>
        <v>0</v>
      </c>
      <c r="E667" s="313">
        <f t="shared" si="167"/>
        <v>0</v>
      </c>
      <c r="F667" s="313">
        <f t="shared" si="167"/>
        <v>0</v>
      </c>
      <c r="G667" s="313">
        <f t="shared" si="167"/>
        <v>445.63</v>
      </c>
      <c r="H667" s="313">
        <f t="shared" si="167"/>
        <v>0</v>
      </c>
      <c r="I667" s="313">
        <f t="shared" si="167"/>
        <v>445.63</v>
      </c>
    </row>
    <row r="668" spans="1:9" ht="10.5">
      <c r="A668" s="318" t="s">
        <v>126</v>
      </c>
      <c r="B668" s="309"/>
      <c r="C668" s="309"/>
      <c r="D668" s="309"/>
      <c r="E668" s="309"/>
      <c r="F668" s="309"/>
      <c r="G668" s="309"/>
      <c r="H668" s="309"/>
      <c r="I668" s="309"/>
    </row>
    <row r="669" spans="1:9" ht="10.5">
      <c r="A669" s="320" t="s">
        <v>127</v>
      </c>
      <c r="B669" s="309"/>
      <c r="C669" s="309"/>
      <c r="D669" s="309"/>
      <c r="E669" s="309"/>
      <c r="F669" s="309"/>
      <c r="G669" s="309"/>
      <c r="H669" s="309"/>
      <c r="I669" s="309"/>
    </row>
    <row r="670" spans="1:9">
      <c r="A670" s="321" t="s">
        <v>128</v>
      </c>
      <c r="B670" s="303">
        <v>0</v>
      </c>
      <c r="C670" s="303">
        <v>0</v>
      </c>
      <c r="D670" s="303">
        <v>0</v>
      </c>
      <c r="E670" s="303">
        <v>0</v>
      </c>
      <c r="F670" s="303">
        <v>0</v>
      </c>
      <c r="G670" s="303">
        <v>820.26</v>
      </c>
      <c r="H670" s="303">
        <v>0</v>
      </c>
      <c r="I670" s="303">
        <f>SUM(B670:H670)</f>
        <v>820.26</v>
      </c>
    </row>
    <row r="671" spans="1:9">
      <c r="A671" s="321" t="s">
        <v>129</v>
      </c>
      <c r="B671" s="303">
        <v>0</v>
      </c>
      <c r="C671" s="303">
        <v>0</v>
      </c>
      <c r="D671" s="303">
        <v>0</v>
      </c>
      <c r="E671" s="303">
        <v>0</v>
      </c>
      <c r="F671" s="303">
        <v>0</v>
      </c>
      <c r="G671" s="303">
        <v>746.6</v>
      </c>
      <c r="H671" s="303">
        <v>0</v>
      </c>
      <c r="I671" s="303">
        <f>SUM(B671:H671)</f>
        <v>746.6</v>
      </c>
    </row>
    <row r="672" spans="1:9">
      <c r="A672" s="321" t="s">
        <v>130</v>
      </c>
      <c r="B672" s="303">
        <v>0</v>
      </c>
      <c r="C672" s="303">
        <v>0</v>
      </c>
      <c r="D672" s="303">
        <v>0</v>
      </c>
      <c r="E672" s="303">
        <v>0</v>
      </c>
      <c r="F672" s="303">
        <v>0</v>
      </c>
      <c r="G672" s="303">
        <v>300.75</v>
      </c>
      <c r="H672" s="303">
        <v>0</v>
      </c>
      <c r="I672" s="303">
        <f>SUM(B672:H672)</f>
        <v>300.75</v>
      </c>
    </row>
    <row r="673" spans="1:9">
      <c r="A673" s="321" t="s">
        <v>131</v>
      </c>
      <c r="B673" s="303">
        <v>0</v>
      </c>
      <c r="C673" s="303">
        <v>0</v>
      </c>
      <c r="D673" s="303">
        <v>0</v>
      </c>
      <c r="E673" s="303">
        <v>0</v>
      </c>
      <c r="F673" s="303">
        <v>0</v>
      </c>
      <c r="G673" s="303">
        <v>517.30999999999995</v>
      </c>
      <c r="H673" s="303">
        <v>0</v>
      </c>
      <c r="I673" s="303">
        <f>SUM(B673:H673)</f>
        <v>517.30999999999995</v>
      </c>
    </row>
    <row r="674" spans="1:9" ht="10.5">
      <c r="A674" s="322" t="s">
        <v>133</v>
      </c>
      <c r="B674" s="313">
        <f t="shared" ref="B674:I674" si="168">SUM(B670:B673)</f>
        <v>0</v>
      </c>
      <c r="C674" s="313">
        <f t="shared" si="168"/>
        <v>0</v>
      </c>
      <c r="D674" s="313">
        <f t="shared" si="168"/>
        <v>0</v>
      </c>
      <c r="E674" s="313">
        <f t="shared" si="168"/>
        <v>0</v>
      </c>
      <c r="F674" s="313">
        <f t="shared" si="168"/>
        <v>0</v>
      </c>
      <c r="G674" s="313">
        <f t="shared" si="168"/>
        <v>2384.92</v>
      </c>
      <c r="H674" s="313">
        <f t="shared" si="168"/>
        <v>0</v>
      </c>
      <c r="I674" s="313">
        <f t="shared" si="168"/>
        <v>2384.92</v>
      </c>
    </row>
    <row r="675" spans="1:9" ht="10.5">
      <c r="A675" s="319" t="s">
        <v>134</v>
      </c>
      <c r="B675" s="313">
        <f t="shared" ref="B675:I675" si="169">SUM(B674)</f>
        <v>0</v>
      </c>
      <c r="C675" s="313">
        <f t="shared" si="169"/>
        <v>0</v>
      </c>
      <c r="D675" s="313">
        <f t="shared" si="169"/>
        <v>0</v>
      </c>
      <c r="E675" s="313">
        <f t="shared" si="169"/>
        <v>0</v>
      </c>
      <c r="F675" s="313">
        <f t="shared" si="169"/>
        <v>0</v>
      </c>
      <c r="G675" s="313">
        <f t="shared" si="169"/>
        <v>2384.92</v>
      </c>
      <c r="H675" s="313">
        <f t="shared" si="169"/>
        <v>0</v>
      </c>
      <c r="I675" s="313">
        <f t="shared" si="169"/>
        <v>2384.92</v>
      </c>
    </row>
    <row r="676" spans="1:9" ht="10.5">
      <c r="A676" s="318" t="s">
        <v>63</v>
      </c>
      <c r="B676" s="309"/>
      <c r="C676" s="309"/>
      <c r="D676" s="309"/>
      <c r="E676" s="309"/>
      <c r="F676" s="309"/>
      <c r="G676" s="309"/>
      <c r="H676" s="309"/>
      <c r="I676" s="309"/>
    </row>
    <row r="677" spans="1:9" ht="10.5">
      <c r="A677" s="320" t="s">
        <v>71</v>
      </c>
      <c r="B677" s="309"/>
      <c r="C677" s="309"/>
      <c r="D677" s="309"/>
      <c r="E677" s="309"/>
      <c r="F677" s="309"/>
      <c r="G677" s="309"/>
      <c r="H677" s="309"/>
      <c r="I677" s="309"/>
    </row>
    <row r="678" spans="1:9">
      <c r="A678" s="321" t="s">
        <v>72</v>
      </c>
      <c r="B678" s="303">
        <v>0</v>
      </c>
      <c r="C678" s="303">
        <v>0</v>
      </c>
      <c r="D678" s="303">
        <v>0</v>
      </c>
      <c r="E678" s="303">
        <v>0</v>
      </c>
      <c r="F678" s="303">
        <v>0</v>
      </c>
      <c r="G678" s="303">
        <v>9638.56</v>
      </c>
      <c r="H678" s="303">
        <v>0</v>
      </c>
      <c r="I678" s="303">
        <f>SUM(B678:H678)</f>
        <v>9638.56</v>
      </c>
    </row>
    <row r="679" spans="1:9" ht="10.5">
      <c r="A679" s="322" t="s">
        <v>73</v>
      </c>
      <c r="B679" s="313">
        <f t="shared" ref="B679:I679" si="170">SUM(B678)</f>
        <v>0</v>
      </c>
      <c r="C679" s="313">
        <f t="shared" si="170"/>
        <v>0</v>
      </c>
      <c r="D679" s="313">
        <f t="shared" si="170"/>
        <v>0</v>
      </c>
      <c r="E679" s="313">
        <f t="shared" si="170"/>
        <v>0</v>
      </c>
      <c r="F679" s="313">
        <f t="shared" si="170"/>
        <v>0</v>
      </c>
      <c r="G679" s="313">
        <f t="shared" si="170"/>
        <v>9638.56</v>
      </c>
      <c r="H679" s="313">
        <f t="shared" si="170"/>
        <v>0</v>
      </c>
      <c r="I679" s="313">
        <f t="shared" si="170"/>
        <v>9638.56</v>
      </c>
    </row>
    <row r="680" spans="1:9" ht="10.5">
      <c r="A680" s="320" t="s">
        <v>74</v>
      </c>
      <c r="B680" s="309"/>
      <c r="C680" s="309"/>
      <c r="D680" s="309"/>
      <c r="E680" s="309"/>
      <c r="F680" s="309"/>
      <c r="G680" s="309"/>
      <c r="H680" s="309"/>
      <c r="I680" s="309"/>
    </row>
    <row r="681" spans="1:9">
      <c r="A681" s="321" t="s">
        <v>75</v>
      </c>
      <c r="B681" s="303">
        <v>0</v>
      </c>
      <c r="C681" s="303">
        <v>0</v>
      </c>
      <c r="D681" s="303">
        <v>0</v>
      </c>
      <c r="E681" s="303">
        <v>0</v>
      </c>
      <c r="F681" s="303">
        <v>0</v>
      </c>
      <c r="G681" s="303">
        <v>414.89</v>
      </c>
      <c r="H681" s="303">
        <v>0</v>
      </c>
      <c r="I681" s="303">
        <f>SUM(B681:H681)</f>
        <v>414.89</v>
      </c>
    </row>
    <row r="682" spans="1:9">
      <c r="A682" s="321" t="s">
        <v>76</v>
      </c>
      <c r="B682" s="303">
        <v>0</v>
      </c>
      <c r="C682" s="303">
        <v>0</v>
      </c>
      <c r="D682" s="303">
        <v>0</v>
      </c>
      <c r="E682" s="303">
        <v>0</v>
      </c>
      <c r="F682" s="303">
        <v>0</v>
      </c>
      <c r="G682" s="303">
        <v>208.07</v>
      </c>
      <c r="H682" s="303">
        <v>0</v>
      </c>
      <c r="I682" s="303">
        <f>SUM(B682:H682)</f>
        <v>208.07</v>
      </c>
    </row>
    <row r="683" spans="1:9">
      <c r="A683" s="321" t="s">
        <v>140</v>
      </c>
      <c r="B683" s="303">
        <v>0</v>
      </c>
      <c r="C683" s="303">
        <v>0</v>
      </c>
      <c r="D683" s="303">
        <v>0</v>
      </c>
      <c r="E683" s="303">
        <v>0</v>
      </c>
      <c r="F683" s="303">
        <v>0</v>
      </c>
      <c r="G683" s="303">
        <v>323.20999999999998</v>
      </c>
      <c r="H683" s="303">
        <v>0</v>
      </c>
      <c r="I683" s="303">
        <f>SUM(B683:H683)</f>
        <v>323.20999999999998</v>
      </c>
    </row>
    <row r="684" spans="1:9">
      <c r="A684" s="321" t="s">
        <v>77</v>
      </c>
      <c r="B684" s="303">
        <v>0</v>
      </c>
      <c r="C684" s="303">
        <v>0</v>
      </c>
      <c r="D684" s="303">
        <v>0</v>
      </c>
      <c r="E684" s="303">
        <v>0</v>
      </c>
      <c r="F684" s="303">
        <v>0</v>
      </c>
      <c r="G684" s="303">
        <v>1173.75</v>
      </c>
      <c r="H684" s="303">
        <v>0</v>
      </c>
      <c r="I684" s="303">
        <f>SUM(B684:H684)</f>
        <v>1173.75</v>
      </c>
    </row>
    <row r="685" spans="1:9" ht="10.5">
      <c r="A685" s="322" t="s">
        <v>78</v>
      </c>
      <c r="B685" s="313">
        <f t="shared" ref="B685:I685" si="171">SUM(B681:B684)</f>
        <v>0</v>
      </c>
      <c r="C685" s="313">
        <f t="shared" si="171"/>
        <v>0</v>
      </c>
      <c r="D685" s="313">
        <f t="shared" si="171"/>
        <v>0</v>
      </c>
      <c r="E685" s="313">
        <f t="shared" si="171"/>
        <v>0</v>
      </c>
      <c r="F685" s="313">
        <f t="shared" si="171"/>
        <v>0</v>
      </c>
      <c r="G685" s="313">
        <f t="shared" si="171"/>
        <v>2119.92</v>
      </c>
      <c r="H685" s="313">
        <f t="shared" si="171"/>
        <v>0</v>
      </c>
      <c r="I685" s="313">
        <f t="shared" si="171"/>
        <v>2119.92</v>
      </c>
    </row>
    <row r="686" spans="1:9" ht="10.5">
      <c r="A686" s="320" t="s">
        <v>67</v>
      </c>
      <c r="B686" s="309"/>
      <c r="C686" s="309"/>
      <c r="D686" s="309"/>
      <c r="E686" s="309"/>
      <c r="F686" s="309"/>
      <c r="G686" s="309"/>
      <c r="H686" s="309"/>
      <c r="I686" s="309"/>
    </row>
    <row r="687" spans="1:9">
      <c r="A687" s="321" t="s">
        <v>69</v>
      </c>
      <c r="B687" s="303">
        <v>0</v>
      </c>
      <c r="C687" s="303">
        <v>0</v>
      </c>
      <c r="D687" s="303">
        <v>0</v>
      </c>
      <c r="E687" s="303">
        <v>0</v>
      </c>
      <c r="F687" s="303">
        <v>0</v>
      </c>
      <c r="G687" s="303">
        <v>216.56</v>
      </c>
      <c r="H687" s="303">
        <v>0</v>
      </c>
      <c r="I687" s="303">
        <f>SUM(B687:H687)</f>
        <v>216.56</v>
      </c>
    </row>
    <row r="688" spans="1:9">
      <c r="A688" s="321" t="s">
        <v>68</v>
      </c>
      <c r="B688" s="303">
        <v>0</v>
      </c>
      <c r="C688" s="303">
        <v>0</v>
      </c>
      <c r="D688" s="303">
        <v>0</v>
      </c>
      <c r="E688" s="303">
        <v>0</v>
      </c>
      <c r="F688" s="303">
        <v>0</v>
      </c>
      <c r="G688" s="303">
        <v>148.63999999999999</v>
      </c>
      <c r="H688" s="303">
        <v>0</v>
      </c>
      <c r="I688" s="303">
        <f>SUM(B688:H688)</f>
        <v>148.63999999999999</v>
      </c>
    </row>
    <row r="689" spans="1:9" ht="10.5">
      <c r="A689" s="322" t="s">
        <v>70</v>
      </c>
      <c r="B689" s="313">
        <f t="shared" ref="B689:I689" si="172">SUM(B687:B688)</f>
        <v>0</v>
      </c>
      <c r="C689" s="313">
        <f t="shared" si="172"/>
        <v>0</v>
      </c>
      <c r="D689" s="313">
        <f t="shared" si="172"/>
        <v>0</v>
      </c>
      <c r="E689" s="313">
        <f t="shared" si="172"/>
        <v>0</v>
      </c>
      <c r="F689" s="313">
        <f t="shared" si="172"/>
        <v>0</v>
      </c>
      <c r="G689" s="313">
        <f t="shared" si="172"/>
        <v>365.2</v>
      </c>
      <c r="H689" s="313">
        <f t="shared" si="172"/>
        <v>0</v>
      </c>
      <c r="I689" s="313">
        <f t="shared" si="172"/>
        <v>365.2</v>
      </c>
    </row>
    <row r="690" spans="1:9" ht="10.5">
      <c r="A690" s="319" t="s">
        <v>79</v>
      </c>
      <c r="B690" s="313">
        <f t="shared" ref="B690:I690" si="173">SUM(B679,B685,B689)</f>
        <v>0</v>
      </c>
      <c r="C690" s="313">
        <f t="shared" si="173"/>
        <v>0</v>
      </c>
      <c r="D690" s="313">
        <f t="shared" si="173"/>
        <v>0</v>
      </c>
      <c r="E690" s="313">
        <f t="shared" si="173"/>
        <v>0</v>
      </c>
      <c r="F690" s="313">
        <f t="shared" si="173"/>
        <v>0</v>
      </c>
      <c r="G690" s="313">
        <f t="shared" si="173"/>
        <v>12123.68</v>
      </c>
      <c r="H690" s="313">
        <f t="shared" si="173"/>
        <v>0</v>
      </c>
      <c r="I690" s="313">
        <f t="shared" si="173"/>
        <v>12123.68</v>
      </c>
    </row>
    <row r="691" spans="1:9" ht="10.5">
      <c r="A691" s="318" t="s">
        <v>166</v>
      </c>
      <c r="B691" s="309"/>
      <c r="C691" s="309"/>
      <c r="D691" s="309"/>
      <c r="E691" s="309"/>
      <c r="F691" s="309"/>
      <c r="G691" s="309"/>
      <c r="H691" s="309"/>
      <c r="I691" s="309"/>
    </row>
    <row r="692" spans="1:9">
      <c r="A692" s="99" t="s">
        <v>167</v>
      </c>
      <c r="B692" s="303">
        <v>0</v>
      </c>
      <c r="C692" s="303">
        <v>0</v>
      </c>
      <c r="D692" s="303">
        <v>0</v>
      </c>
      <c r="E692" s="303">
        <v>0</v>
      </c>
      <c r="F692" s="303">
        <v>0</v>
      </c>
      <c r="G692" s="303">
        <v>275.01</v>
      </c>
      <c r="H692" s="303">
        <v>0</v>
      </c>
      <c r="I692" s="303">
        <f>SUM(B692:H692)</f>
        <v>275.01</v>
      </c>
    </row>
    <row r="693" spans="1:9" ht="10.5">
      <c r="A693" s="319" t="s">
        <v>169</v>
      </c>
      <c r="B693" s="313">
        <f t="shared" ref="B693:I693" si="174">SUM(B692)</f>
        <v>0</v>
      </c>
      <c r="C693" s="313">
        <f t="shared" si="174"/>
        <v>0</v>
      </c>
      <c r="D693" s="313">
        <f t="shared" si="174"/>
        <v>0</v>
      </c>
      <c r="E693" s="313">
        <f t="shared" si="174"/>
        <v>0</v>
      </c>
      <c r="F693" s="313">
        <f t="shared" si="174"/>
        <v>0</v>
      </c>
      <c r="G693" s="313">
        <f t="shared" si="174"/>
        <v>275.01</v>
      </c>
      <c r="H693" s="313">
        <f t="shared" si="174"/>
        <v>0</v>
      </c>
      <c r="I693" s="313">
        <f t="shared" si="174"/>
        <v>275.01</v>
      </c>
    </row>
    <row r="694" spans="1:9" ht="10.5">
      <c r="A694" s="318" t="s">
        <v>58</v>
      </c>
      <c r="B694" s="309"/>
      <c r="C694" s="309"/>
      <c r="D694" s="309"/>
      <c r="E694" s="309"/>
      <c r="F694" s="309"/>
      <c r="G694" s="309"/>
      <c r="H694" s="309"/>
      <c r="I694" s="309"/>
    </row>
    <row r="695" spans="1:9">
      <c r="A695" s="99" t="s">
        <v>59</v>
      </c>
      <c r="B695" s="303">
        <v>0</v>
      </c>
      <c r="C695" s="303">
        <v>0</v>
      </c>
      <c r="D695" s="303">
        <v>0</v>
      </c>
      <c r="E695" s="303">
        <v>0</v>
      </c>
      <c r="F695" s="303">
        <v>0</v>
      </c>
      <c r="G695" s="303">
        <v>823.86</v>
      </c>
      <c r="H695" s="303">
        <v>0</v>
      </c>
      <c r="I695" s="303">
        <f>SUM(B695:H695)</f>
        <v>823.86</v>
      </c>
    </row>
    <row r="696" spans="1:9">
      <c r="A696" s="99" t="s">
        <v>61</v>
      </c>
      <c r="B696" s="303">
        <v>0</v>
      </c>
      <c r="C696" s="303">
        <v>0</v>
      </c>
      <c r="D696" s="303">
        <v>0</v>
      </c>
      <c r="E696" s="303">
        <v>0</v>
      </c>
      <c r="F696" s="303">
        <v>0</v>
      </c>
      <c r="G696" s="303">
        <v>5.36</v>
      </c>
      <c r="H696" s="303">
        <v>0</v>
      </c>
      <c r="I696" s="303">
        <f>SUM(B696:H696)</f>
        <v>5.36</v>
      </c>
    </row>
    <row r="697" spans="1:9">
      <c r="A697" s="99" t="s">
        <v>60</v>
      </c>
      <c r="B697" s="303">
        <v>0</v>
      </c>
      <c r="C697" s="303">
        <v>0</v>
      </c>
      <c r="D697" s="303">
        <v>0</v>
      </c>
      <c r="E697" s="303">
        <v>0</v>
      </c>
      <c r="F697" s="303">
        <v>0</v>
      </c>
      <c r="G697" s="303">
        <v>64.260000000000005</v>
      </c>
      <c r="H697" s="303">
        <v>0</v>
      </c>
      <c r="I697" s="303">
        <f>SUM(B697:H697)</f>
        <v>64.260000000000005</v>
      </c>
    </row>
    <row r="698" spans="1:9" ht="10.5">
      <c r="A698" s="319" t="s">
        <v>62</v>
      </c>
      <c r="B698" s="313">
        <f t="shared" ref="B698:I698" si="175">SUM(B695:B697)</f>
        <v>0</v>
      </c>
      <c r="C698" s="313">
        <f t="shared" si="175"/>
        <v>0</v>
      </c>
      <c r="D698" s="313">
        <f t="shared" si="175"/>
        <v>0</v>
      </c>
      <c r="E698" s="313">
        <f t="shared" si="175"/>
        <v>0</v>
      </c>
      <c r="F698" s="313">
        <f t="shared" si="175"/>
        <v>0</v>
      </c>
      <c r="G698" s="313">
        <f t="shared" si="175"/>
        <v>893.48</v>
      </c>
      <c r="H698" s="313">
        <f t="shared" si="175"/>
        <v>0</v>
      </c>
      <c r="I698" s="313">
        <f t="shared" si="175"/>
        <v>893.48</v>
      </c>
    </row>
    <row r="699" spans="1:9" ht="10.5">
      <c r="A699" s="312" t="s">
        <v>198</v>
      </c>
      <c r="B699" s="313">
        <f t="shared" ref="B699:I699" si="176">SUM(B644,B651,B655,B658,B661,B664,B667,B675,B690,B693,B698)</f>
        <v>0</v>
      </c>
      <c r="C699" s="313">
        <f t="shared" si="176"/>
        <v>0</v>
      </c>
      <c r="D699" s="313">
        <f t="shared" si="176"/>
        <v>0</v>
      </c>
      <c r="E699" s="313">
        <f t="shared" si="176"/>
        <v>0</v>
      </c>
      <c r="F699" s="313">
        <f t="shared" si="176"/>
        <v>0</v>
      </c>
      <c r="G699" s="313">
        <f t="shared" si="176"/>
        <v>115703.81</v>
      </c>
      <c r="H699" s="313">
        <f t="shared" si="176"/>
        <v>2457.11</v>
      </c>
      <c r="I699" s="313">
        <f t="shared" si="176"/>
        <v>118160.91999999998</v>
      </c>
    </row>
    <row r="700" spans="1:9" ht="10.5">
      <c r="A700" s="311" t="s">
        <v>199</v>
      </c>
      <c r="B700" s="309"/>
      <c r="C700" s="309"/>
      <c r="D700" s="309"/>
      <c r="E700" s="309"/>
      <c r="F700" s="309"/>
      <c r="G700" s="309"/>
      <c r="H700" s="309"/>
      <c r="I700" s="309"/>
    </row>
    <row r="701" spans="1:9" ht="10.5">
      <c r="A701" s="318" t="s">
        <v>86</v>
      </c>
      <c r="B701" s="309"/>
      <c r="C701" s="309"/>
      <c r="D701" s="309"/>
      <c r="E701" s="309"/>
      <c r="F701" s="309"/>
      <c r="G701" s="309"/>
      <c r="H701" s="309"/>
      <c r="I701" s="309"/>
    </row>
    <row r="702" spans="1:9">
      <c r="A702" s="99" t="s">
        <v>101</v>
      </c>
      <c r="B702" s="303">
        <v>66936.490000000005</v>
      </c>
      <c r="C702" s="303">
        <v>0</v>
      </c>
      <c r="D702" s="303">
        <v>0</v>
      </c>
      <c r="E702" s="303">
        <v>0</v>
      </c>
      <c r="F702" s="303">
        <v>53512.86</v>
      </c>
      <c r="G702" s="303">
        <v>387123.65</v>
      </c>
      <c r="H702" s="303">
        <v>0</v>
      </c>
      <c r="I702" s="303">
        <f>SUM(B702:H702)</f>
        <v>507573</v>
      </c>
    </row>
    <row r="703" spans="1:9">
      <c r="A703" s="99" t="s">
        <v>102</v>
      </c>
      <c r="B703" s="303">
        <v>0</v>
      </c>
      <c r="C703" s="303">
        <v>0</v>
      </c>
      <c r="D703" s="303">
        <v>0</v>
      </c>
      <c r="E703" s="303">
        <v>0</v>
      </c>
      <c r="F703" s="303">
        <v>0</v>
      </c>
      <c r="G703" s="303">
        <v>17998.95</v>
      </c>
      <c r="H703" s="303">
        <v>0</v>
      </c>
      <c r="I703" s="303">
        <f>SUM(B703:H703)</f>
        <v>17998.95</v>
      </c>
    </row>
    <row r="704" spans="1:9" ht="10.5">
      <c r="A704" s="320" t="s">
        <v>87</v>
      </c>
      <c r="B704" s="309"/>
      <c r="C704" s="309"/>
      <c r="D704" s="309"/>
      <c r="E704" s="309"/>
      <c r="F704" s="309"/>
      <c r="G704" s="309"/>
      <c r="H704" s="309"/>
      <c r="I704" s="309"/>
    </row>
    <row r="705" spans="1:9">
      <c r="A705" s="321" t="s">
        <v>88</v>
      </c>
      <c r="B705" s="303">
        <v>0</v>
      </c>
      <c r="C705" s="303">
        <v>0</v>
      </c>
      <c r="D705" s="303">
        <v>0</v>
      </c>
      <c r="E705" s="303">
        <v>0</v>
      </c>
      <c r="F705" s="303">
        <v>142.41999999999999</v>
      </c>
      <c r="G705" s="303">
        <v>369.9</v>
      </c>
      <c r="H705" s="303">
        <v>0</v>
      </c>
      <c r="I705" s="303">
        <f>SUM(B705:H705)</f>
        <v>512.31999999999994</v>
      </c>
    </row>
    <row r="706" spans="1:9">
      <c r="A706" s="321" t="s">
        <v>89</v>
      </c>
      <c r="B706" s="303">
        <v>0</v>
      </c>
      <c r="C706" s="303">
        <v>0</v>
      </c>
      <c r="D706" s="303">
        <v>0</v>
      </c>
      <c r="E706" s="303">
        <v>0</v>
      </c>
      <c r="F706" s="303">
        <v>13.99</v>
      </c>
      <c r="G706" s="303">
        <v>3263.97</v>
      </c>
      <c r="H706" s="303">
        <v>0</v>
      </c>
      <c r="I706" s="303">
        <f>SUM(B706:H706)</f>
        <v>3277.9599999999996</v>
      </c>
    </row>
    <row r="707" spans="1:9">
      <c r="A707" s="321" t="s">
        <v>104</v>
      </c>
      <c r="B707" s="303">
        <v>0</v>
      </c>
      <c r="C707" s="303">
        <v>0</v>
      </c>
      <c r="D707" s="303">
        <v>0</v>
      </c>
      <c r="E707" s="303">
        <v>0</v>
      </c>
      <c r="F707" s="303">
        <v>340</v>
      </c>
      <c r="G707" s="303">
        <v>0</v>
      </c>
      <c r="H707" s="303">
        <v>0</v>
      </c>
      <c r="I707" s="303">
        <f>SUM(B707:H707)</f>
        <v>340</v>
      </c>
    </row>
    <row r="708" spans="1:9">
      <c r="A708" s="321" t="s">
        <v>90</v>
      </c>
      <c r="B708" s="303">
        <v>0</v>
      </c>
      <c r="C708" s="303">
        <v>0</v>
      </c>
      <c r="D708" s="303">
        <v>0</v>
      </c>
      <c r="E708" s="303">
        <v>0</v>
      </c>
      <c r="F708" s="303">
        <v>504.47</v>
      </c>
      <c r="G708" s="303">
        <v>1195.3399999999999</v>
      </c>
      <c r="H708" s="303">
        <v>0</v>
      </c>
      <c r="I708" s="303">
        <f>SUM(B708:H708)</f>
        <v>1699.81</v>
      </c>
    </row>
    <row r="709" spans="1:9" ht="10.5">
      <c r="A709" s="322" t="s">
        <v>91</v>
      </c>
      <c r="B709" s="313">
        <f t="shared" ref="B709:I709" si="177">SUM(B705:B708)</f>
        <v>0</v>
      </c>
      <c r="C709" s="313">
        <f t="shared" si="177"/>
        <v>0</v>
      </c>
      <c r="D709" s="313">
        <f t="shared" si="177"/>
        <v>0</v>
      </c>
      <c r="E709" s="313">
        <f t="shared" si="177"/>
        <v>0</v>
      </c>
      <c r="F709" s="313">
        <f t="shared" si="177"/>
        <v>1000.88</v>
      </c>
      <c r="G709" s="313">
        <f t="shared" si="177"/>
        <v>4829.21</v>
      </c>
      <c r="H709" s="313">
        <f t="shared" si="177"/>
        <v>0</v>
      </c>
      <c r="I709" s="313">
        <f t="shared" si="177"/>
        <v>5830.09</v>
      </c>
    </row>
    <row r="710" spans="1:9" ht="10.5">
      <c r="A710" s="319" t="s">
        <v>92</v>
      </c>
      <c r="B710" s="313">
        <f t="shared" ref="B710:I710" si="178">SUM(B702:B703,B709)</f>
        <v>66936.490000000005</v>
      </c>
      <c r="C710" s="313">
        <f t="shared" si="178"/>
        <v>0</v>
      </c>
      <c r="D710" s="313">
        <f t="shared" si="178"/>
        <v>0</v>
      </c>
      <c r="E710" s="313">
        <f t="shared" si="178"/>
        <v>0</v>
      </c>
      <c r="F710" s="313">
        <f t="shared" si="178"/>
        <v>54513.74</v>
      </c>
      <c r="G710" s="313">
        <f t="shared" si="178"/>
        <v>409951.81000000006</v>
      </c>
      <c r="H710" s="313">
        <f t="shared" si="178"/>
        <v>0</v>
      </c>
      <c r="I710" s="313">
        <f t="shared" si="178"/>
        <v>531402.03999999992</v>
      </c>
    </row>
    <row r="711" spans="1:9" ht="10.5">
      <c r="A711" s="318" t="s">
        <v>83</v>
      </c>
      <c r="B711" s="309"/>
      <c r="C711" s="309"/>
      <c r="D711" s="309"/>
      <c r="E711" s="309"/>
      <c r="F711" s="309"/>
      <c r="G711" s="309"/>
      <c r="H711" s="309"/>
      <c r="I711" s="309"/>
    </row>
    <row r="712" spans="1:9">
      <c r="A712" s="99" t="s">
        <v>145</v>
      </c>
      <c r="B712" s="303">
        <v>266.95999999999998</v>
      </c>
      <c r="C712" s="303">
        <v>0</v>
      </c>
      <c r="D712" s="303">
        <v>0</v>
      </c>
      <c r="E712" s="303">
        <v>0</v>
      </c>
      <c r="F712" s="303">
        <v>0</v>
      </c>
      <c r="G712" s="303">
        <v>0</v>
      </c>
      <c r="H712" s="303">
        <v>0</v>
      </c>
      <c r="I712" s="303">
        <f t="shared" ref="I712:I719" si="179">SUM(B712:H712)</f>
        <v>266.95999999999998</v>
      </c>
    </row>
    <row r="713" spans="1:9">
      <c r="A713" s="99" t="s">
        <v>105</v>
      </c>
      <c r="B713" s="303">
        <v>0</v>
      </c>
      <c r="C713" s="303">
        <v>0</v>
      </c>
      <c r="D713" s="303">
        <v>0</v>
      </c>
      <c r="E713" s="303">
        <v>0</v>
      </c>
      <c r="F713" s="303">
        <v>0</v>
      </c>
      <c r="G713" s="303">
        <v>90.43</v>
      </c>
      <c r="H713" s="303">
        <v>0</v>
      </c>
      <c r="I713" s="303">
        <f t="shared" si="179"/>
        <v>90.43</v>
      </c>
    </row>
    <row r="714" spans="1:9">
      <c r="A714" s="99" t="s">
        <v>106</v>
      </c>
      <c r="B714" s="303">
        <v>0</v>
      </c>
      <c r="C714" s="303">
        <v>0</v>
      </c>
      <c r="D714" s="303">
        <v>0</v>
      </c>
      <c r="E714" s="303">
        <v>0</v>
      </c>
      <c r="F714" s="303">
        <v>0</v>
      </c>
      <c r="G714" s="303">
        <v>-90.43</v>
      </c>
      <c r="H714" s="303">
        <v>0</v>
      </c>
      <c r="I714" s="303">
        <f t="shared" si="179"/>
        <v>-90.43</v>
      </c>
    </row>
    <row r="715" spans="1:9">
      <c r="A715" s="99" t="s">
        <v>109</v>
      </c>
      <c r="B715" s="303">
        <v>0</v>
      </c>
      <c r="C715" s="303">
        <v>0</v>
      </c>
      <c r="D715" s="303">
        <v>0</v>
      </c>
      <c r="E715" s="303">
        <v>0</v>
      </c>
      <c r="F715" s="303">
        <v>0</v>
      </c>
      <c r="G715" s="303">
        <v>370.63</v>
      </c>
      <c r="H715" s="303">
        <v>0</v>
      </c>
      <c r="I715" s="303">
        <f t="shared" si="179"/>
        <v>370.63</v>
      </c>
    </row>
    <row r="716" spans="1:9">
      <c r="A716" s="99" t="s">
        <v>110</v>
      </c>
      <c r="B716" s="303">
        <v>0</v>
      </c>
      <c r="C716" s="303">
        <v>0</v>
      </c>
      <c r="D716" s="303">
        <v>0</v>
      </c>
      <c r="E716" s="303">
        <v>0</v>
      </c>
      <c r="F716" s="303">
        <v>0</v>
      </c>
      <c r="G716" s="303">
        <v>-370.62</v>
      </c>
      <c r="H716" s="303">
        <v>0</v>
      </c>
      <c r="I716" s="303">
        <f t="shared" si="179"/>
        <v>-370.62</v>
      </c>
    </row>
    <row r="717" spans="1:9">
      <c r="A717" s="99" t="s">
        <v>111</v>
      </c>
      <c r="B717" s="303">
        <v>0</v>
      </c>
      <c r="C717" s="303">
        <v>0</v>
      </c>
      <c r="D717" s="303">
        <v>0</v>
      </c>
      <c r="E717" s="303">
        <v>0</v>
      </c>
      <c r="F717" s="303">
        <v>0</v>
      </c>
      <c r="G717" s="303">
        <v>1253.75</v>
      </c>
      <c r="H717" s="303">
        <v>0</v>
      </c>
      <c r="I717" s="303">
        <f t="shared" si="179"/>
        <v>1253.75</v>
      </c>
    </row>
    <row r="718" spans="1:9">
      <c r="A718" s="99" t="s">
        <v>112</v>
      </c>
      <c r="B718" s="303">
        <v>0</v>
      </c>
      <c r="C718" s="303">
        <v>0</v>
      </c>
      <c r="D718" s="303">
        <v>0</v>
      </c>
      <c r="E718" s="303">
        <v>0</v>
      </c>
      <c r="F718" s="303">
        <v>0</v>
      </c>
      <c r="G718" s="303">
        <v>-1253.78</v>
      </c>
      <c r="H718" s="303">
        <v>0</v>
      </c>
      <c r="I718" s="303">
        <f t="shared" si="179"/>
        <v>-1253.78</v>
      </c>
    </row>
    <row r="719" spans="1:9">
      <c r="A719" s="99" t="s">
        <v>596</v>
      </c>
      <c r="B719" s="303">
        <v>5730</v>
      </c>
      <c r="C719" s="303">
        <v>0</v>
      </c>
      <c r="D719" s="303">
        <v>0</v>
      </c>
      <c r="E719" s="303">
        <v>0</v>
      </c>
      <c r="F719" s="303">
        <v>5870.19</v>
      </c>
      <c r="G719" s="303">
        <v>16520.580000000002</v>
      </c>
      <c r="H719" s="303">
        <v>0</v>
      </c>
      <c r="I719" s="303">
        <f t="shared" si="179"/>
        <v>28120.77</v>
      </c>
    </row>
    <row r="720" spans="1:9" ht="10.5">
      <c r="A720" s="319" t="s">
        <v>85</v>
      </c>
      <c r="B720" s="313">
        <f t="shared" ref="B720:I720" si="180">SUM(B712:B719)</f>
        <v>5996.96</v>
      </c>
      <c r="C720" s="313">
        <f t="shared" si="180"/>
        <v>0</v>
      </c>
      <c r="D720" s="313">
        <f t="shared" si="180"/>
        <v>0</v>
      </c>
      <c r="E720" s="313">
        <f t="shared" si="180"/>
        <v>0</v>
      </c>
      <c r="F720" s="313">
        <f t="shared" si="180"/>
        <v>5870.19</v>
      </c>
      <c r="G720" s="313">
        <f t="shared" si="180"/>
        <v>16520.560000000001</v>
      </c>
      <c r="H720" s="313">
        <f t="shared" si="180"/>
        <v>0</v>
      </c>
      <c r="I720" s="313">
        <f t="shared" si="180"/>
        <v>28387.71</v>
      </c>
    </row>
    <row r="721" spans="1:9" ht="10.5">
      <c r="A721" s="318" t="s">
        <v>54</v>
      </c>
      <c r="B721" s="309"/>
      <c r="C721" s="309"/>
      <c r="D721" s="309"/>
      <c r="E721" s="309"/>
      <c r="F721" s="309"/>
      <c r="G721" s="309"/>
      <c r="H721" s="309"/>
      <c r="I721" s="309"/>
    </row>
    <row r="722" spans="1:9">
      <c r="A722" s="99" t="s">
        <v>56</v>
      </c>
      <c r="B722" s="303">
        <v>0</v>
      </c>
      <c r="C722" s="303">
        <v>0</v>
      </c>
      <c r="D722" s="303">
        <v>0</v>
      </c>
      <c r="E722" s="303">
        <v>0</v>
      </c>
      <c r="F722" s="303">
        <v>1070.1099999999999</v>
      </c>
      <c r="G722" s="303">
        <v>0</v>
      </c>
      <c r="H722" s="303">
        <v>0</v>
      </c>
      <c r="I722" s="303">
        <f>SUM(B722:H722)</f>
        <v>1070.1099999999999</v>
      </c>
    </row>
    <row r="723" spans="1:9">
      <c r="A723" s="99" t="s">
        <v>113</v>
      </c>
      <c r="B723" s="303">
        <v>0</v>
      </c>
      <c r="C723" s="303">
        <v>0</v>
      </c>
      <c r="D723" s="303">
        <v>0</v>
      </c>
      <c r="E723" s="303">
        <v>0</v>
      </c>
      <c r="F723" s="303">
        <v>0</v>
      </c>
      <c r="G723" s="303">
        <v>1015.96</v>
      </c>
      <c r="H723" s="303">
        <v>0</v>
      </c>
      <c r="I723" s="303">
        <f>SUM(B723:H723)</f>
        <v>1015.96</v>
      </c>
    </row>
    <row r="724" spans="1:9">
      <c r="A724" s="99" t="s">
        <v>55</v>
      </c>
      <c r="B724" s="303">
        <v>4593.68</v>
      </c>
      <c r="C724" s="303">
        <v>0</v>
      </c>
      <c r="D724" s="303">
        <v>0</v>
      </c>
      <c r="E724" s="303">
        <v>0</v>
      </c>
      <c r="F724" s="303">
        <v>2318.1</v>
      </c>
      <c r="G724" s="303">
        <v>0</v>
      </c>
      <c r="H724" s="303">
        <v>0</v>
      </c>
      <c r="I724" s="303">
        <f>SUM(B724:H724)</f>
        <v>6911.7800000000007</v>
      </c>
    </row>
    <row r="725" spans="1:9">
      <c r="A725" s="99" t="s">
        <v>114</v>
      </c>
      <c r="B725" s="303">
        <v>0</v>
      </c>
      <c r="C725" s="303">
        <v>0</v>
      </c>
      <c r="D725" s="303">
        <v>0</v>
      </c>
      <c r="E725" s="303">
        <v>0</v>
      </c>
      <c r="F725" s="303">
        <v>811.57</v>
      </c>
      <c r="G725" s="303">
        <v>8488.69</v>
      </c>
      <c r="H725" s="303">
        <v>0</v>
      </c>
      <c r="I725" s="303">
        <f>SUM(B725:H725)</f>
        <v>9300.26</v>
      </c>
    </row>
    <row r="726" spans="1:9">
      <c r="A726" s="99" t="s">
        <v>115</v>
      </c>
      <c r="B726" s="303">
        <v>0</v>
      </c>
      <c r="C726" s="303">
        <v>0</v>
      </c>
      <c r="D726" s="303">
        <v>0</v>
      </c>
      <c r="E726" s="303">
        <v>0</v>
      </c>
      <c r="F726" s="303">
        <v>0</v>
      </c>
      <c r="G726" s="303">
        <v>23524.99</v>
      </c>
      <c r="H726" s="303">
        <v>0</v>
      </c>
      <c r="I726" s="303">
        <f>SUM(B726:H726)</f>
        <v>23524.99</v>
      </c>
    </row>
    <row r="727" spans="1:9" ht="10.5">
      <c r="A727" s="319" t="s">
        <v>57</v>
      </c>
      <c r="B727" s="313">
        <f t="shared" ref="B727:I727" si="181">SUM(B722:B726)</f>
        <v>4593.68</v>
      </c>
      <c r="C727" s="313">
        <f t="shared" si="181"/>
        <v>0</v>
      </c>
      <c r="D727" s="313">
        <f t="shared" si="181"/>
        <v>0</v>
      </c>
      <c r="E727" s="313">
        <f t="shared" si="181"/>
        <v>0</v>
      </c>
      <c r="F727" s="313">
        <f t="shared" si="181"/>
        <v>4199.78</v>
      </c>
      <c r="G727" s="313">
        <f t="shared" si="181"/>
        <v>33029.64</v>
      </c>
      <c r="H727" s="313">
        <f t="shared" si="181"/>
        <v>0</v>
      </c>
      <c r="I727" s="313">
        <f t="shared" si="181"/>
        <v>41823.100000000006</v>
      </c>
    </row>
    <row r="728" spans="1:9" ht="10.5">
      <c r="A728" s="318" t="s">
        <v>116</v>
      </c>
      <c r="B728" s="309"/>
      <c r="C728" s="309"/>
      <c r="D728" s="309"/>
      <c r="E728" s="309"/>
      <c r="F728" s="309"/>
      <c r="G728" s="309"/>
      <c r="H728" s="309"/>
      <c r="I728" s="309"/>
    </row>
    <row r="729" spans="1:9">
      <c r="A729" s="99" t="s">
        <v>117</v>
      </c>
      <c r="B729" s="303">
        <v>0</v>
      </c>
      <c r="C729" s="303">
        <v>0</v>
      </c>
      <c r="D729" s="303">
        <v>0</v>
      </c>
      <c r="E729" s="303">
        <v>0</v>
      </c>
      <c r="F729" s="303">
        <v>33.54</v>
      </c>
      <c r="G729" s="303">
        <v>12244.23</v>
      </c>
      <c r="H729" s="303">
        <v>0</v>
      </c>
      <c r="I729" s="303">
        <f>SUM(B729:H729)</f>
        <v>12277.77</v>
      </c>
    </row>
    <row r="730" spans="1:9" ht="10.5">
      <c r="A730" s="319" t="s">
        <v>118</v>
      </c>
      <c r="B730" s="313">
        <f t="shared" ref="B730:I730" si="182">SUM(B729)</f>
        <v>0</v>
      </c>
      <c r="C730" s="313">
        <f t="shared" si="182"/>
        <v>0</v>
      </c>
      <c r="D730" s="313">
        <f t="shared" si="182"/>
        <v>0</v>
      </c>
      <c r="E730" s="313">
        <f t="shared" si="182"/>
        <v>0</v>
      </c>
      <c r="F730" s="313">
        <f t="shared" si="182"/>
        <v>33.54</v>
      </c>
      <c r="G730" s="313">
        <f t="shared" si="182"/>
        <v>12244.23</v>
      </c>
      <c r="H730" s="313">
        <f t="shared" si="182"/>
        <v>0</v>
      </c>
      <c r="I730" s="313">
        <f t="shared" si="182"/>
        <v>12277.77</v>
      </c>
    </row>
    <row r="731" spans="1:9" ht="10.5">
      <c r="A731" s="318" t="s">
        <v>80</v>
      </c>
      <c r="B731" s="309"/>
      <c r="C731" s="309"/>
      <c r="D731" s="309"/>
      <c r="E731" s="309"/>
      <c r="F731" s="309"/>
      <c r="G731" s="309"/>
      <c r="H731" s="309"/>
      <c r="I731" s="309"/>
    </row>
    <row r="732" spans="1:9">
      <c r="A732" s="99" t="s">
        <v>81</v>
      </c>
      <c r="B732" s="303">
        <v>147.87</v>
      </c>
      <c r="C732" s="303">
        <v>0</v>
      </c>
      <c r="D732" s="303">
        <v>0</v>
      </c>
      <c r="E732" s="303">
        <v>0</v>
      </c>
      <c r="F732" s="303">
        <v>295.43</v>
      </c>
      <c r="G732" s="303">
        <v>43.67</v>
      </c>
      <c r="H732" s="303">
        <v>0</v>
      </c>
      <c r="I732" s="303">
        <f>SUM(B732:H732)</f>
        <v>486.97</v>
      </c>
    </row>
    <row r="733" spans="1:9" ht="10.5">
      <c r="A733" s="319" t="s">
        <v>82</v>
      </c>
      <c r="B733" s="313">
        <f t="shared" ref="B733:I733" si="183">SUM(B732)</f>
        <v>147.87</v>
      </c>
      <c r="C733" s="313">
        <f t="shared" si="183"/>
        <v>0</v>
      </c>
      <c r="D733" s="313">
        <f t="shared" si="183"/>
        <v>0</v>
      </c>
      <c r="E733" s="313">
        <f t="shared" si="183"/>
        <v>0</v>
      </c>
      <c r="F733" s="313">
        <f t="shared" si="183"/>
        <v>295.43</v>
      </c>
      <c r="G733" s="313">
        <f t="shared" si="183"/>
        <v>43.67</v>
      </c>
      <c r="H733" s="313">
        <f t="shared" si="183"/>
        <v>0</v>
      </c>
      <c r="I733" s="313">
        <f t="shared" si="183"/>
        <v>486.97</v>
      </c>
    </row>
    <row r="734" spans="1:9" ht="10.5">
      <c r="A734" s="318" t="s">
        <v>119</v>
      </c>
      <c r="B734" s="309"/>
      <c r="C734" s="309"/>
      <c r="D734" s="309"/>
      <c r="E734" s="309"/>
      <c r="F734" s="309"/>
      <c r="G734" s="309"/>
      <c r="H734" s="309"/>
      <c r="I734" s="309"/>
    </row>
    <row r="735" spans="1:9">
      <c r="A735" s="99" t="s">
        <v>120</v>
      </c>
      <c r="B735" s="303">
        <v>0</v>
      </c>
      <c r="C735" s="303">
        <v>0</v>
      </c>
      <c r="D735" s="303">
        <v>0</v>
      </c>
      <c r="E735" s="303">
        <v>0</v>
      </c>
      <c r="F735" s="303">
        <v>0</v>
      </c>
      <c r="G735" s="303">
        <v>588.5</v>
      </c>
      <c r="H735" s="303">
        <v>0</v>
      </c>
      <c r="I735" s="303">
        <f>SUM(B735:H735)</f>
        <v>588.5</v>
      </c>
    </row>
    <row r="736" spans="1:9" ht="10.5">
      <c r="A736" s="319" t="s">
        <v>122</v>
      </c>
      <c r="B736" s="313">
        <f t="shared" ref="B736:I736" si="184">SUM(B735)</f>
        <v>0</v>
      </c>
      <c r="C736" s="313">
        <f t="shared" si="184"/>
        <v>0</v>
      </c>
      <c r="D736" s="313">
        <f t="shared" si="184"/>
        <v>0</v>
      </c>
      <c r="E736" s="313">
        <f t="shared" si="184"/>
        <v>0</v>
      </c>
      <c r="F736" s="313">
        <f t="shared" si="184"/>
        <v>0</v>
      </c>
      <c r="G736" s="313">
        <f t="shared" si="184"/>
        <v>588.5</v>
      </c>
      <c r="H736" s="313">
        <f t="shared" si="184"/>
        <v>0</v>
      </c>
      <c r="I736" s="313">
        <f t="shared" si="184"/>
        <v>588.5</v>
      </c>
    </row>
    <row r="737" spans="1:9" ht="10.5">
      <c r="A737" s="318" t="s">
        <v>126</v>
      </c>
      <c r="B737" s="309"/>
      <c r="C737" s="309"/>
      <c r="D737" s="309"/>
      <c r="E737" s="309"/>
      <c r="F737" s="309"/>
      <c r="G737" s="309"/>
      <c r="H737" s="309"/>
      <c r="I737" s="309"/>
    </row>
    <row r="738" spans="1:9" ht="10.5">
      <c r="A738" s="320" t="s">
        <v>127</v>
      </c>
      <c r="B738" s="309"/>
      <c r="C738" s="309"/>
      <c r="D738" s="309"/>
      <c r="E738" s="309"/>
      <c r="F738" s="309"/>
      <c r="G738" s="309"/>
      <c r="H738" s="309"/>
      <c r="I738" s="309"/>
    </row>
    <row r="739" spans="1:9">
      <c r="A739" s="321" t="s">
        <v>128</v>
      </c>
      <c r="B739" s="303">
        <v>0</v>
      </c>
      <c r="C739" s="303">
        <v>0</v>
      </c>
      <c r="D739" s="303">
        <v>0</v>
      </c>
      <c r="E739" s="303">
        <v>0</v>
      </c>
      <c r="F739" s="303">
        <v>0</v>
      </c>
      <c r="G739" s="303">
        <v>25606.83</v>
      </c>
      <c r="H739" s="303">
        <v>0</v>
      </c>
      <c r="I739" s="303">
        <f>SUM(B739:H739)</f>
        <v>25606.83</v>
      </c>
    </row>
    <row r="740" spans="1:9">
      <c r="A740" s="321" t="s">
        <v>129</v>
      </c>
      <c r="B740" s="303">
        <v>0</v>
      </c>
      <c r="C740" s="303">
        <v>0</v>
      </c>
      <c r="D740" s="303">
        <v>0</v>
      </c>
      <c r="E740" s="303">
        <v>0</v>
      </c>
      <c r="F740" s="303">
        <v>0</v>
      </c>
      <c r="G740" s="303">
        <v>21619.24</v>
      </c>
      <c r="H740" s="303">
        <v>0</v>
      </c>
      <c r="I740" s="303">
        <f>SUM(B740:H740)</f>
        <v>21619.24</v>
      </c>
    </row>
    <row r="741" spans="1:9">
      <c r="A741" s="321" t="s">
        <v>130</v>
      </c>
      <c r="B741" s="303">
        <v>0</v>
      </c>
      <c r="C741" s="303">
        <v>0</v>
      </c>
      <c r="D741" s="303">
        <v>0</v>
      </c>
      <c r="E741" s="303">
        <v>0</v>
      </c>
      <c r="F741" s="303">
        <v>2898.05</v>
      </c>
      <c r="G741" s="303">
        <v>7356.86</v>
      </c>
      <c r="H741" s="303">
        <v>1787.18</v>
      </c>
      <c r="I741" s="303">
        <f>SUM(B741:H741)</f>
        <v>12042.09</v>
      </c>
    </row>
    <row r="742" spans="1:9">
      <c r="A742" s="321" t="s">
        <v>131</v>
      </c>
      <c r="B742" s="303">
        <v>0</v>
      </c>
      <c r="C742" s="303">
        <v>0</v>
      </c>
      <c r="D742" s="303">
        <v>0</v>
      </c>
      <c r="E742" s="303">
        <v>0</v>
      </c>
      <c r="F742" s="303">
        <v>386.49</v>
      </c>
      <c r="G742" s="303">
        <v>4903.5200000000004</v>
      </c>
      <c r="H742" s="303">
        <v>0</v>
      </c>
      <c r="I742" s="303">
        <f>SUM(B742:H742)</f>
        <v>5290.01</v>
      </c>
    </row>
    <row r="743" spans="1:9">
      <c r="A743" s="321" t="s">
        <v>132</v>
      </c>
      <c r="B743" s="303">
        <v>0</v>
      </c>
      <c r="C743" s="303">
        <v>0</v>
      </c>
      <c r="D743" s="303">
        <v>0</v>
      </c>
      <c r="E743" s="303">
        <v>0</v>
      </c>
      <c r="F743" s="303">
        <v>0</v>
      </c>
      <c r="G743" s="303">
        <v>1791.23</v>
      </c>
      <c r="H743" s="303">
        <v>0</v>
      </c>
      <c r="I743" s="303">
        <f>SUM(B743:H743)</f>
        <v>1791.23</v>
      </c>
    </row>
    <row r="744" spans="1:9" ht="10.5">
      <c r="A744" s="322" t="s">
        <v>133</v>
      </c>
      <c r="B744" s="313">
        <f t="shared" ref="B744:I744" si="185">SUM(B739:B743)</f>
        <v>0</v>
      </c>
      <c r="C744" s="313">
        <f t="shared" si="185"/>
        <v>0</v>
      </c>
      <c r="D744" s="313">
        <f t="shared" si="185"/>
        <v>0</v>
      </c>
      <c r="E744" s="313">
        <f t="shared" si="185"/>
        <v>0</v>
      </c>
      <c r="F744" s="313">
        <f t="shared" si="185"/>
        <v>3284.54</v>
      </c>
      <c r="G744" s="313">
        <f t="shared" si="185"/>
        <v>61277.680000000015</v>
      </c>
      <c r="H744" s="313">
        <f t="shared" si="185"/>
        <v>1787.18</v>
      </c>
      <c r="I744" s="313">
        <f t="shared" si="185"/>
        <v>66349.400000000009</v>
      </c>
    </row>
    <row r="745" spans="1:9" ht="10.5">
      <c r="A745" s="319" t="s">
        <v>134</v>
      </c>
      <c r="B745" s="313">
        <f t="shared" ref="B745:I745" si="186">SUM(B744)</f>
        <v>0</v>
      </c>
      <c r="C745" s="313">
        <f t="shared" si="186"/>
        <v>0</v>
      </c>
      <c r="D745" s="313">
        <f t="shared" si="186"/>
        <v>0</v>
      </c>
      <c r="E745" s="313">
        <f t="shared" si="186"/>
        <v>0</v>
      </c>
      <c r="F745" s="313">
        <f t="shared" si="186"/>
        <v>3284.54</v>
      </c>
      <c r="G745" s="313">
        <f t="shared" si="186"/>
        <v>61277.680000000015</v>
      </c>
      <c r="H745" s="313">
        <f t="shared" si="186"/>
        <v>1787.18</v>
      </c>
      <c r="I745" s="313">
        <f t="shared" si="186"/>
        <v>66349.400000000009</v>
      </c>
    </row>
    <row r="746" spans="1:9" ht="10.5">
      <c r="A746" s="318" t="s">
        <v>172</v>
      </c>
      <c r="B746" s="309"/>
      <c r="C746" s="309"/>
      <c r="D746" s="309"/>
      <c r="E746" s="309"/>
      <c r="F746" s="309"/>
      <c r="G746" s="309"/>
      <c r="H746" s="309"/>
      <c r="I746" s="309"/>
    </row>
    <row r="747" spans="1:9">
      <c r="A747" s="99" t="s">
        <v>175</v>
      </c>
      <c r="B747" s="303">
        <v>0</v>
      </c>
      <c r="C747" s="303">
        <v>0</v>
      </c>
      <c r="D747" s="303">
        <v>0</v>
      </c>
      <c r="E747" s="303">
        <v>0</v>
      </c>
      <c r="F747" s="303">
        <v>0</v>
      </c>
      <c r="G747" s="303">
        <v>299.89999999999998</v>
      </c>
      <c r="H747" s="303">
        <v>0</v>
      </c>
      <c r="I747" s="303">
        <f>SUM(B747:H747)</f>
        <v>299.89999999999998</v>
      </c>
    </row>
    <row r="748" spans="1:9" ht="10.5">
      <c r="A748" s="319" t="s">
        <v>176</v>
      </c>
      <c r="B748" s="313">
        <f t="shared" ref="B748:I748" si="187">SUM(B747)</f>
        <v>0</v>
      </c>
      <c r="C748" s="313">
        <f t="shared" si="187"/>
        <v>0</v>
      </c>
      <c r="D748" s="313">
        <f t="shared" si="187"/>
        <v>0</v>
      </c>
      <c r="E748" s="313">
        <f t="shared" si="187"/>
        <v>0</v>
      </c>
      <c r="F748" s="313">
        <f t="shared" si="187"/>
        <v>0</v>
      </c>
      <c r="G748" s="313">
        <f t="shared" si="187"/>
        <v>299.89999999999998</v>
      </c>
      <c r="H748" s="313">
        <f t="shared" si="187"/>
        <v>0</v>
      </c>
      <c r="I748" s="313">
        <f t="shared" si="187"/>
        <v>299.89999999999998</v>
      </c>
    </row>
    <row r="749" spans="1:9" ht="10.5">
      <c r="A749" s="318" t="s">
        <v>135</v>
      </c>
      <c r="B749" s="309"/>
      <c r="C749" s="309"/>
      <c r="D749" s="309"/>
      <c r="E749" s="309"/>
      <c r="F749" s="309"/>
      <c r="G749" s="309"/>
      <c r="H749" s="309"/>
      <c r="I749" s="309"/>
    </row>
    <row r="750" spans="1:9" ht="10.5">
      <c r="A750" s="320" t="s">
        <v>136</v>
      </c>
      <c r="B750" s="309"/>
      <c r="C750" s="309"/>
      <c r="D750" s="309"/>
      <c r="E750" s="309"/>
      <c r="F750" s="309"/>
      <c r="G750" s="309"/>
      <c r="H750" s="309"/>
      <c r="I750" s="309"/>
    </row>
    <row r="751" spans="1:9">
      <c r="A751" s="321" t="s">
        <v>137</v>
      </c>
      <c r="B751" s="303">
        <v>0</v>
      </c>
      <c r="C751" s="303">
        <v>0</v>
      </c>
      <c r="D751" s="303">
        <v>0</v>
      </c>
      <c r="E751" s="303">
        <v>0</v>
      </c>
      <c r="F751" s="303">
        <v>0</v>
      </c>
      <c r="G751" s="303">
        <v>157062.60999999999</v>
      </c>
      <c r="H751" s="303">
        <v>0</v>
      </c>
      <c r="I751" s="303">
        <f>SUM(B751:H751)</f>
        <v>157062.60999999999</v>
      </c>
    </row>
    <row r="752" spans="1:9">
      <c r="A752" s="321" t="s">
        <v>150</v>
      </c>
      <c r="B752" s="303">
        <v>0</v>
      </c>
      <c r="C752" s="303">
        <v>0</v>
      </c>
      <c r="D752" s="303">
        <v>0</v>
      </c>
      <c r="E752" s="303">
        <v>0</v>
      </c>
      <c r="F752" s="303">
        <v>3375.99</v>
      </c>
      <c r="G752" s="303">
        <v>0</v>
      </c>
      <c r="H752" s="303">
        <v>0</v>
      </c>
      <c r="I752" s="303">
        <f>SUM(B752:H752)</f>
        <v>3375.99</v>
      </c>
    </row>
    <row r="753" spans="1:9" ht="10.5">
      <c r="A753" s="322" t="s">
        <v>138</v>
      </c>
      <c r="B753" s="313">
        <f t="shared" ref="B753:I753" si="188">SUM(B751:B752)</f>
        <v>0</v>
      </c>
      <c r="C753" s="313">
        <f t="shared" si="188"/>
        <v>0</v>
      </c>
      <c r="D753" s="313">
        <f t="shared" si="188"/>
        <v>0</v>
      </c>
      <c r="E753" s="313">
        <f t="shared" si="188"/>
        <v>0</v>
      </c>
      <c r="F753" s="313">
        <f t="shared" si="188"/>
        <v>3375.99</v>
      </c>
      <c r="G753" s="313">
        <f t="shared" si="188"/>
        <v>157062.60999999999</v>
      </c>
      <c r="H753" s="313">
        <f t="shared" si="188"/>
        <v>0</v>
      </c>
      <c r="I753" s="313">
        <f t="shared" si="188"/>
        <v>160438.59999999998</v>
      </c>
    </row>
    <row r="754" spans="1:9" ht="10.5">
      <c r="A754" s="320" t="s">
        <v>187</v>
      </c>
      <c r="B754" s="309"/>
      <c r="C754" s="309"/>
      <c r="D754" s="309"/>
      <c r="E754" s="309"/>
      <c r="F754" s="309"/>
      <c r="G754" s="309"/>
      <c r="H754" s="309"/>
      <c r="I754" s="309"/>
    </row>
    <row r="755" spans="1:9">
      <c r="A755" s="321" t="s">
        <v>190</v>
      </c>
      <c r="B755" s="303">
        <v>88201.99</v>
      </c>
      <c r="C755" s="303">
        <v>0</v>
      </c>
      <c r="D755" s="303">
        <v>0</v>
      </c>
      <c r="E755" s="303">
        <v>0</v>
      </c>
      <c r="F755" s="303">
        <v>0</v>
      </c>
      <c r="G755" s="303">
        <v>0</v>
      </c>
      <c r="H755" s="303">
        <v>0</v>
      </c>
      <c r="I755" s="303">
        <f>SUM(B755:H755)</f>
        <v>88201.99</v>
      </c>
    </row>
    <row r="756" spans="1:9" ht="10.5">
      <c r="A756" s="322" t="s">
        <v>193</v>
      </c>
      <c r="B756" s="313">
        <f t="shared" ref="B756:I756" si="189">SUM(B755)</f>
        <v>88201.99</v>
      </c>
      <c r="C756" s="313">
        <f t="shared" si="189"/>
        <v>0</v>
      </c>
      <c r="D756" s="313">
        <f t="shared" si="189"/>
        <v>0</v>
      </c>
      <c r="E756" s="313">
        <f t="shared" si="189"/>
        <v>0</v>
      </c>
      <c r="F756" s="313">
        <f t="shared" si="189"/>
        <v>0</v>
      </c>
      <c r="G756" s="313">
        <f t="shared" si="189"/>
        <v>0</v>
      </c>
      <c r="H756" s="313">
        <f t="shared" si="189"/>
        <v>0</v>
      </c>
      <c r="I756" s="313">
        <f t="shared" si="189"/>
        <v>88201.99</v>
      </c>
    </row>
    <row r="757" spans="1:9" ht="10.5">
      <c r="A757" s="319" t="s">
        <v>139</v>
      </c>
      <c r="B757" s="313">
        <f t="shared" ref="B757:I757" si="190">SUM(B753,B756)</f>
        <v>88201.99</v>
      </c>
      <c r="C757" s="313">
        <f t="shared" si="190"/>
        <v>0</v>
      </c>
      <c r="D757" s="313">
        <f t="shared" si="190"/>
        <v>0</v>
      </c>
      <c r="E757" s="313">
        <f t="shared" si="190"/>
        <v>0</v>
      </c>
      <c r="F757" s="313">
        <f t="shared" si="190"/>
        <v>3375.99</v>
      </c>
      <c r="G757" s="313">
        <f t="shared" si="190"/>
        <v>157062.60999999999</v>
      </c>
      <c r="H757" s="313">
        <f t="shared" si="190"/>
        <v>0</v>
      </c>
      <c r="I757" s="313">
        <f t="shared" si="190"/>
        <v>248640.58999999997</v>
      </c>
    </row>
    <row r="758" spans="1:9" ht="10.5">
      <c r="A758" s="318" t="s">
        <v>63</v>
      </c>
      <c r="B758" s="309"/>
      <c r="C758" s="309"/>
      <c r="D758" s="309"/>
      <c r="E758" s="309"/>
      <c r="F758" s="309"/>
      <c r="G758" s="309"/>
      <c r="H758" s="309"/>
      <c r="I758" s="309"/>
    </row>
    <row r="759" spans="1:9" ht="10.5">
      <c r="A759" s="320" t="s">
        <v>71</v>
      </c>
      <c r="B759" s="309"/>
      <c r="C759" s="309"/>
      <c r="D759" s="309"/>
      <c r="E759" s="309"/>
      <c r="F759" s="309"/>
      <c r="G759" s="309"/>
      <c r="H759" s="309"/>
      <c r="I759" s="309"/>
    </row>
    <row r="760" spans="1:9">
      <c r="A760" s="321" t="s">
        <v>72</v>
      </c>
      <c r="B760" s="303">
        <v>70914.259999999995</v>
      </c>
      <c r="C760" s="303">
        <v>0</v>
      </c>
      <c r="D760" s="303">
        <v>0</v>
      </c>
      <c r="E760" s="303">
        <v>0</v>
      </c>
      <c r="F760" s="303">
        <v>29295.46</v>
      </c>
      <c r="G760" s="303">
        <v>26582.28</v>
      </c>
      <c r="H760" s="303">
        <v>0</v>
      </c>
      <c r="I760" s="303">
        <f>SUM(B760:H760)</f>
        <v>126792</v>
      </c>
    </row>
    <row r="761" spans="1:9">
      <c r="A761" s="321" t="s">
        <v>151</v>
      </c>
      <c r="B761" s="303">
        <v>0</v>
      </c>
      <c r="C761" s="303">
        <v>0</v>
      </c>
      <c r="D761" s="303">
        <v>0</v>
      </c>
      <c r="E761" s="303">
        <v>0</v>
      </c>
      <c r="F761" s="303">
        <v>158.13</v>
      </c>
      <c r="G761" s="303">
        <v>4011.86</v>
      </c>
      <c r="H761" s="303">
        <v>4573.6899999999996</v>
      </c>
      <c r="I761" s="303">
        <f>SUM(B761:H761)</f>
        <v>8743.68</v>
      </c>
    </row>
    <row r="762" spans="1:9" ht="10.5">
      <c r="A762" s="322" t="s">
        <v>73</v>
      </c>
      <c r="B762" s="313">
        <f t="shared" ref="B762:I762" si="191">SUM(B760:B761)</f>
        <v>70914.259999999995</v>
      </c>
      <c r="C762" s="313">
        <f t="shared" si="191"/>
        <v>0</v>
      </c>
      <c r="D762" s="313">
        <f t="shared" si="191"/>
        <v>0</v>
      </c>
      <c r="E762" s="313">
        <f t="shared" si="191"/>
        <v>0</v>
      </c>
      <c r="F762" s="313">
        <f t="shared" si="191"/>
        <v>29453.59</v>
      </c>
      <c r="G762" s="313">
        <f t="shared" si="191"/>
        <v>30594.14</v>
      </c>
      <c r="H762" s="313">
        <f t="shared" si="191"/>
        <v>4573.6899999999996</v>
      </c>
      <c r="I762" s="313">
        <f t="shared" si="191"/>
        <v>135535.67999999999</v>
      </c>
    </row>
    <row r="763" spans="1:9" ht="10.5">
      <c r="A763" s="320" t="s">
        <v>74</v>
      </c>
      <c r="B763" s="309"/>
      <c r="C763" s="309"/>
      <c r="D763" s="309"/>
      <c r="E763" s="309"/>
      <c r="F763" s="309"/>
      <c r="G763" s="309"/>
      <c r="H763" s="309"/>
      <c r="I763" s="309"/>
    </row>
    <row r="764" spans="1:9">
      <c r="A764" s="321" t="s">
        <v>75</v>
      </c>
      <c r="B764" s="303">
        <v>0</v>
      </c>
      <c r="C764" s="303">
        <v>0</v>
      </c>
      <c r="D764" s="303">
        <v>0</v>
      </c>
      <c r="E764" s="303">
        <v>0</v>
      </c>
      <c r="F764" s="303">
        <v>275.01</v>
      </c>
      <c r="G764" s="303">
        <v>548.97</v>
      </c>
      <c r="H764" s="303">
        <v>0</v>
      </c>
      <c r="I764" s="303">
        <f>SUM(B764:H764)</f>
        <v>823.98</v>
      </c>
    </row>
    <row r="765" spans="1:9">
      <c r="A765" s="321" t="s">
        <v>76</v>
      </c>
      <c r="B765" s="303">
        <v>75.16</v>
      </c>
      <c r="C765" s="303">
        <v>0</v>
      </c>
      <c r="D765" s="303">
        <v>0</v>
      </c>
      <c r="E765" s="303">
        <v>0</v>
      </c>
      <c r="F765" s="303">
        <v>493.12</v>
      </c>
      <c r="G765" s="303">
        <v>218.66</v>
      </c>
      <c r="H765" s="303">
        <v>5252.02</v>
      </c>
      <c r="I765" s="303">
        <f>SUM(B765:H765)</f>
        <v>6038.96</v>
      </c>
    </row>
    <row r="766" spans="1:9">
      <c r="A766" s="321" t="s">
        <v>140</v>
      </c>
      <c r="B766" s="303">
        <v>0</v>
      </c>
      <c r="C766" s="303">
        <v>0</v>
      </c>
      <c r="D766" s="303">
        <v>0</v>
      </c>
      <c r="E766" s="303">
        <v>0</v>
      </c>
      <c r="F766" s="303">
        <v>0</v>
      </c>
      <c r="G766" s="303">
        <v>15203.22</v>
      </c>
      <c r="H766" s="303">
        <v>0</v>
      </c>
      <c r="I766" s="303">
        <f>SUM(B766:H766)</f>
        <v>15203.22</v>
      </c>
    </row>
    <row r="767" spans="1:9">
      <c r="A767" s="321" t="s">
        <v>77</v>
      </c>
      <c r="B767" s="303">
        <v>0</v>
      </c>
      <c r="C767" s="303">
        <v>0</v>
      </c>
      <c r="D767" s="303">
        <v>0</v>
      </c>
      <c r="E767" s="303">
        <v>0</v>
      </c>
      <c r="F767" s="303">
        <v>41.35</v>
      </c>
      <c r="G767" s="303">
        <v>2414.88</v>
      </c>
      <c r="H767" s="303">
        <v>0</v>
      </c>
      <c r="I767" s="303">
        <f>SUM(B767:H767)</f>
        <v>2456.23</v>
      </c>
    </row>
    <row r="768" spans="1:9" ht="10.5">
      <c r="A768" s="322" t="s">
        <v>78</v>
      </c>
      <c r="B768" s="313">
        <f t="shared" ref="B768:I768" si="192">SUM(B764:B767)</f>
        <v>75.16</v>
      </c>
      <c r="C768" s="313">
        <f t="shared" si="192"/>
        <v>0</v>
      </c>
      <c r="D768" s="313">
        <f t="shared" si="192"/>
        <v>0</v>
      </c>
      <c r="E768" s="313">
        <f t="shared" si="192"/>
        <v>0</v>
      </c>
      <c r="F768" s="313">
        <f t="shared" si="192"/>
        <v>809.48</v>
      </c>
      <c r="G768" s="313">
        <f t="shared" si="192"/>
        <v>18385.73</v>
      </c>
      <c r="H768" s="313">
        <f t="shared" si="192"/>
        <v>5252.02</v>
      </c>
      <c r="I768" s="313">
        <f t="shared" si="192"/>
        <v>24522.39</v>
      </c>
    </row>
    <row r="769" spans="1:10" ht="10.5">
      <c r="A769" s="320" t="s">
        <v>67</v>
      </c>
      <c r="B769" s="309"/>
      <c r="C769" s="309"/>
      <c r="D769" s="309"/>
      <c r="E769" s="309"/>
      <c r="F769" s="309"/>
      <c r="G769" s="309"/>
      <c r="H769" s="309"/>
      <c r="I769" s="309"/>
    </row>
    <row r="770" spans="1:10">
      <c r="A770" s="321" t="s">
        <v>69</v>
      </c>
      <c r="B770" s="303">
        <v>28.5</v>
      </c>
      <c r="C770" s="303">
        <v>0</v>
      </c>
      <c r="D770" s="303">
        <v>0</v>
      </c>
      <c r="E770" s="303">
        <v>0</v>
      </c>
      <c r="F770" s="303">
        <v>1168.42</v>
      </c>
      <c r="G770" s="303">
        <v>246.63</v>
      </c>
      <c r="H770" s="303">
        <v>0</v>
      </c>
      <c r="I770" s="303">
        <f>SUM(B770:H770)</f>
        <v>1443.5500000000002</v>
      </c>
    </row>
    <row r="771" spans="1:10">
      <c r="A771" s="321" t="s">
        <v>68</v>
      </c>
      <c r="B771" s="303">
        <v>0</v>
      </c>
      <c r="C771" s="303">
        <v>0</v>
      </c>
      <c r="D771" s="303">
        <v>0</v>
      </c>
      <c r="E771" s="303">
        <v>0</v>
      </c>
      <c r="F771" s="303">
        <v>1173.82</v>
      </c>
      <c r="G771" s="303">
        <v>148.68</v>
      </c>
      <c r="H771" s="303">
        <v>0</v>
      </c>
      <c r="I771" s="303">
        <f>SUM(B771:H771)</f>
        <v>1322.5</v>
      </c>
    </row>
    <row r="772" spans="1:10">
      <c r="A772" s="321" t="s">
        <v>200</v>
      </c>
      <c r="B772" s="303">
        <v>0</v>
      </c>
      <c r="C772" s="303">
        <v>0</v>
      </c>
      <c r="D772" s="303">
        <v>0</v>
      </c>
      <c r="E772" s="303">
        <v>0</v>
      </c>
      <c r="F772" s="303">
        <v>0</v>
      </c>
      <c r="G772" s="303">
        <v>29.9</v>
      </c>
      <c r="H772" s="303">
        <v>0</v>
      </c>
      <c r="I772" s="303">
        <f>SUM(B772:H772)</f>
        <v>29.9</v>
      </c>
    </row>
    <row r="773" spans="1:10">
      <c r="A773" s="321" t="s">
        <v>165</v>
      </c>
      <c r="B773" s="303">
        <v>0</v>
      </c>
      <c r="C773" s="303">
        <v>0</v>
      </c>
      <c r="D773" s="303">
        <v>0</v>
      </c>
      <c r="E773" s="303">
        <v>0</v>
      </c>
      <c r="F773" s="303">
        <v>501.36</v>
      </c>
      <c r="G773" s="303">
        <v>1511.58</v>
      </c>
      <c r="H773" s="303">
        <v>0</v>
      </c>
      <c r="I773" s="303">
        <f>SUM(B773:H773)</f>
        <v>2012.94</v>
      </c>
    </row>
    <row r="774" spans="1:10" ht="10.5">
      <c r="A774" s="322" t="s">
        <v>70</v>
      </c>
      <c r="B774" s="313">
        <f t="shared" ref="B774:I774" si="193">SUM(B770:B773)</f>
        <v>28.5</v>
      </c>
      <c r="C774" s="313">
        <f t="shared" si="193"/>
        <v>0</v>
      </c>
      <c r="D774" s="313">
        <f t="shared" si="193"/>
        <v>0</v>
      </c>
      <c r="E774" s="313">
        <f t="shared" si="193"/>
        <v>0</v>
      </c>
      <c r="F774" s="313">
        <f t="shared" si="193"/>
        <v>2843.6</v>
      </c>
      <c r="G774" s="313">
        <f t="shared" si="193"/>
        <v>1936.79</v>
      </c>
      <c r="H774" s="313">
        <f t="shared" si="193"/>
        <v>0</v>
      </c>
      <c r="I774" s="313">
        <f t="shared" si="193"/>
        <v>4808.8900000000003</v>
      </c>
    </row>
    <row r="775" spans="1:10" ht="10.5">
      <c r="A775" s="320" t="s">
        <v>64</v>
      </c>
      <c r="B775" s="309"/>
      <c r="C775" s="309"/>
      <c r="D775" s="309"/>
      <c r="E775" s="309"/>
      <c r="F775" s="309"/>
      <c r="G775" s="309"/>
      <c r="H775" s="309"/>
      <c r="I775" s="309"/>
    </row>
    <row r="776" spans="1:10">
      <c r="A776" s="321" t="s">
        <v>194</v>
      </c>
      <c r="B776" s="303">
        <v>0</v>
      </c>
      <c r="C776" s="303">
        <v>0</v>
      </c>
      <c r="D776" s="303">
        <v>0</v>
      </c>
      <c r="E776" s="303">
        <v>0</v>
      </c>
      <c r="F776" s="303">
        <v>5842.49</v>
      </c>
      <c r="G776" s="303">
        <v>66058.210000000006</v>
      </c>
      <c r="H776" s="303">
        <v>399.95</v>
      </c>
      <c r="I776" s="303">
        <f>SUM(B776:H776)</f>
        <v>72300.650000000009</v>
      </c>
    </row>
    <row r="777" spans="1:10">
      <c r="A777" s="321" t="s">
        <v>65</v>
      </c>
      <c r="B777" s="303">
        <v>0</v>
      </c>
      <c r="C777" s="303">
        <v>0</v>
      </c>
      <c r="D777" s="303">
        <v>0</v>
      </c>
      <c r="E777" s="303">
        <v>0</v>
      </c>
      <c r="F777" s="303">
        <v>683.03</v>
      </c>
      <c r="G777" s="303">
        <v>0</v>
      </c>
      <c r="H777" s="303">
        <v>0</v>
      </c>
      <c r="I777" s="303">
        <f>SUM(B777:H777)</f>
        <v>683.03</v>
      </c>
    </row>
    <row r="778" spans="1:10" ht="10.5">
      <c r="A778" s="322" t="s">
        <v>66</v>
      </c>
      <c r="B778" s="313">
        <f t="shared" ref="B778:I778" si="194">SUM(B776:B777)</f>
        <v>0</v>
      </c>
      <c r="C778" s="313">
        <f t="shared" si="194"/>
        <v>0</v>
      </c>
      <c r="D778" s="313">
        <f t="shared" si="194"/>
        <v>0</v>
      </c>
      <c r="E778" s="313">
        <f t="shared" si="194"/>
        <v>0</v>
      </c>
      <c r="F778" s="313">
        <f t="shared" si="194"/>
        <v>6525.5199999999995</v>
      </c>
      <c r="G778" s="313">
        <f t="shared" si="194"/>
        <v>66058.210000000006</v>
      </c>
      <c r="H778" s="313">
        <f t="shared" si="194"/>
        <v>399.95</v>
      </c>
      <c r="I778" s="313">
        <f t="shared" si="194"/>
        <v>72983.680000000008</v>
      </c>
    </row>
    <row r="779" spans="1:10" ht="10.5">
      <c r="A779" s="319" t="s">
        <v>79</v>
      </c>
      <c r="B779" s="313">
        <f t="shared" ref="B779:I779" si="195">SUM(B762,B768,B774,B778)</f>
        <v>71017.919999999998</v>
      </c>
      <c r="C779" s="313">
        <f t="shared" si="195"/>
        <v>0</v>
      </c>
      <c r="D779" s="313">
        <f t="shared" si="195"/>
        <v>0</v>
      </c>
      <c r="E779" s="313">
        <f t="shared" si="195"/>
        <v>0</v>
      </c>
      <c r="F779" s="313">
        <f t="shared" si="195"/>
        <v>39632.189999999995</v>
      </c>
      <c r="G779" s="313">
        <f t="shared" si="195"/>
        <v>116974.87</v>
      </c>
      <c r="H779" s="313">
        <f t="shared" si="195"/>
        <v>10225.66</v>
      </c>
      <c r="I779" s="313">
        <f t="shared" si="195"/>
        <v>237850.64</v>
      </c>
    </row>
    <row r="780" spans="1:10" ht="10.5">
      <c r="A780" s="318" t="s">
        <v>166</v>
      </c>
      <c r="B780" s="309"/>
      <c r="C780" s="309"/>
      <c r="D780" s="309"/>
      <c r="E780" s="309"/>
      <c r="F780" s="309"/>
      <c r="G780" s="309"/>
      <c r="H780" s="309"/>
      <c r="I780" s="309"/>
    </row>
    <row r="781" spans="1:10">
      <c r="A781" s="99" t="s">
        <v>167</v>
      </c>
      <c r="B781" s="303">
        <v>2941.47</v>
      </c>
      <c r="C781" s="303">
        <v>353.51</v>
      </c>
      <c r="D781" s="303">
        <v>353.51</v>
      </c>
      <c r="E781" s="303">
        <v>353.51</v>
      </c>
      <c r="F781" s="303">
        <v>0</v>
      </c>
      <c r="G781" s="303">
        <v>135</v>
      </c>
      <c r="H781" s="303">
        <v>0</v>
      </c>
      <c r="I781" s="303">
        <f>SUM(B781:H781)</f>
        <v>4137</v>
      </c>
    </row>
    <row r="782" spans="1:10">
      <c r="A782" s="99" t="s">
        <v>168</v>
      </c>
      <c r="B782" s="303">
        <v>0</v>
      </c>
      <c r="C782" s="303">
        <v>0</v>
      </c>
      <c r="D782" s="303">
        <v>0</v>
      </c>
      <c r="E782" s="303">
        <v>0</v>
      </c>
      <c r="F782" s="303">
        <v>222.53</v>
      </c>
      <c r="G782" s="303">
        <v>10.62</v>
      </c>
      <c r="H782" s="303">
        <v>389.78</v>
      </c>
      <c r="I782" s="303">
        <f>SUM(B782:H782)</f>
        <v>622.92999999999995</v>
      </c>
    </row>
    <row r="783" spans="1:10">
      <c r="A783" s="99" t="s">
        <v>195</v>
      </c>
      <c r="B783" s="303">
        <v>0</v>
      </c>
      <c r="C783" s="303">
        <v>0</v>
      </c>
      <c r="D783" s="303">
        <v>0</v>
      </c>
      <c r="E783" s="303">
        <v>0</v>
      </c>
      <c r="F783" s="303">
        <v>0</v>
      </c>
      <c r="G783" s="303">
        <v>31396.06</v>
      </c>
      <c r="H783" s="303">
        <v>0</v>
      </c>
      <c r="I783" s="303">
        <f>SUM(B783:H783)</f>
        <v>31396.06</v>
      </c>
    </row>
    <row r="784" spans="1:10" ht="10.5">
      <c r="A784" s="319" t="s">
        <v>169</v>
      </c>
      <c r="B784" s="313">
        <f t="shared" ref="B784:I784" si="196">SUM(B781:B783)</f>
        <v>2941.47</v>
      </c>
      <c r="C784" s="313">
        <f t="shared" si="196"/>
        <v>353.51</v>
      </c>
      <c r="D784" s="313">
        <f t="shared" si="196"/>
        <v>353.51</v>
      </c>
      <c r="E784" s="313">
        <f t="shared" si="196"/>
        <v>353.51</v>
      </c>
      <c r="F784" s="313">
        <f t="shared" si="196"/>
        <v>222.53</v>
      </c>
      <c r="G784" s="313">
        <f t="shared" si="196"/>
        <v>31541.68</v>
      </c>
      <c r="H784" s="313">
        <f t="shared" si="196"/>
        <v>389.78</v>
      </c>
      <c r="I784" s="313">
        <f t="shared" si="196"/>
        <v>36155.990000000005</v>
      </c>
      <c r="J784">
        <v>5</v>
      </c>
    </row>
    <row r="785" spans="1:10" ht="10.5">
      <c r="A785" s="318" t="s">
        <v>58</v>
      </c>
      <c r="B785" s="309"/>
      <c r="C785" s="309"/>
      <c r="D785" s="309"/>
      <c r="E785" s="309"/>
      <c r="F785" s="309"/>
      <c r="G785" s="309"/>
      <c r="H785" s="309"/>
      <c r="I785" s="309"/>
    </row>
    <row r="786" spans="1:10">
      <c r="A786" s="99" t="s">
        <v>59</v>
      </c>
      <c r="B786" s="303">
        <v>0</v>
      </c>
      <c r="C786" s="303">
        <v>0</v>
      </c>
      <c r="D786" s="303">
        <v>0</v>
      </c>
      <c r="E786" s="303">
        <v>0</v>
      </c>
      <c r="F786" s="303">
        <v>804.82</v>
      </c>
      <c r="G786" s="303">
        <v>971.28</v>
      </c>
      <c r="H786" s="303">
        <v>-883.76</v>
      </c>
      <c r="I786" s="303">
        <f>SUM(B786:H786)</f>
        <v>892.33999999999992</v>
      </c>
    </row>
    <row r="787" spans="1:10">
      <c r="A787" s="99" t="s">
        <v>61</v>
      </c>
      <c r="B787" s="303">
        <v>1.52</v>
      </c>
      <c r="C787" s="303">
        <v>0</v>
      </c>
      <c r="D787" s="303">
        <v>0</v>
      </c>
      <c r="E787" s="303">
        <v>0</v>
      </c>
      <c r="F787" s="303">
        <v>87.76</v>
      </c>
      <c r="G787" s="303">
        <v>6.12</v>
      </c>
      <c r="H787" s="303">
        <v>0</v>
      </c>
      <c r="I787" s="303">
        <f>SUM(B787:H787)</f>
        <v>95.4</v>
      </c>
    </row>
    <row r="788" spans="1:10">
      <c r="A788" s="99" t="s">
        <v>60</v>
      </c>
      <c r="B788" s="303">
        <v>3.5</v>
      </c>
      <c r="C788" s="303">
        <v>0</v>
      </c>
      <c r="D788" s="303">
        <v>0</v>
      </c>
      <c r="E788" s="303">
        <v>0</v>
      </c>
      <c r="F788" s="303">
        <v>50.57</v>
      </c>
      <c r="G788" s="303">
        <v>75.67</v>
      </c>
      <c r="H788" s="303">
        <v>-313.83999999999997</v>
      </c>
      <c r="I788" s="303">
        <f>SUM(B788:H788)</f>
        <v>-184.09999999999997</v>
      </c>
    </row>
    <row r="789" spans="1:10" ht="10.5">
      <c r="A789" s="319" t="s">
        <v>62</v>
      </c>
      <c r="B789" s="313">
        <f t="shared" ref="B789:I789" si="197">SUM(B786:B788)</f>
        <v>5.0199999999999996</v>
      </c>
      <c r="C789" s="313">
        <f t="shared" si="197"/>
        <v>0</v>
      </c>
      <c r="D789" s="313">
        <f t="shared" si="197"/>
        <v>0</v>
      </c>
      <c r="E789" s="313">
        <f t="shared" si="197"/>
        <v>0</v>
      </c>
      <c r="F789" s="313">
        <f t="shared" si="197"/>
        <v>943.15000000000009</v>
      </c>
      <c r="G789" s="313">
        <f t="shared" si="197"/>
        <v>1053.07</v>
      </c>
      <c r="H789" s="313">
        <f t="shared" si="197"/>
        <v>-1197.5999999999999</v>
      </c>
      <c r="I789" s="313">
        <f t="shared" si="197"/>
        <v>803.63999999999987</v>
      </c>
    </row>
    <row r="790" spans="1:10" ht="10.5">
      <c r="A790" s="312" t="s">
        <v>201</v>
      </c>
      <c r="B790" s="313">
        <f t="shared" ref="B790:I790" si="198">SUM(B710,B720,B727,B730,B733,B736,B745,B748,B757,B779,B784,B789)</f>
        <v>239841.39999999997</v>
      </c>
      <c r="C790" s="313">
        <f t="shared" si="198"/>
        <v>353.51</v>
      </c>
      <c r="D790" s="313">
        <f t="shared" si="198"/>
        <v>353.51</v>
      </c>
      <c r="E790" s="313">
        <f t="shared" si="198"/>
        <v>353.51</v>
      </c>
      <c r="F790" s="313">
        <f t="shared" si="198"/>
        <v>112371.07999999999</v>
      </c>
      <c r="G790" s="313">
        <f t="shared" si="198"/>
        <v>840588.22000000009</v>
      </c>
      <c r="H790" s="313">
        <f t="shared" si="198"/>
        <v>11205.02</v>
      </c>
      <c r="I790" s="313">
        <f t="shared" si="198"/>
        <v>1205066.2499999998</v>
      </c>
    </row>
    <row r="791" spans="1:10" ht="10.5">
      <c r="A791" s="314" t="s">
        <v>202</v>
      </c>
      <c r="B791" s="313">
        <f t="shared" ref="B791:I791" si="199">SUM(B547,B634,B699,B790)</f>
        <v>334345.01999999996</v>
      </c>
      <c r="C791" s="313">
        <f t="shared" si="199"/>
        <v>353.51</v>
      </c>
      <c r="D791" s="313">
        <f t="shared" si="199"/>
        <v>353.51</v>
      </c>
      <c r="E791" s="313">
        <f t="shared" si="199"/>
        <v>353.51</v>
      </c>
      <c r="F791" s="313">
        <f t="shared" si="199"/>
        <v>722121.38</v>
      </c>
      <c r="G791" s="313">
        <f t="shared" si="199"/>
        <v>1893015.8399999999</v>
      </c>
      <c r="H791" s="313">
        <f t="shared" si="199"/>
        <v>67638.42</v>
      </c>
      <c r="I791" s="313">
        <f t="shared" si="199"/>
        <v>3018181.1899999995</v>
      </c>
      <c r="J791" s="109">
        <v>4.3</v>
      </c>
    </row>
    <row r="792" spans="1:10" ht="10.5">
      <c r="A792" s="310" t="s">
        <v>597</v>
      </c>
      <c r="B792" s="309"/>
      <c r="C792" s="309"/>
      <c r="D792" s="309"/>
      <c r="E792" s="309"/>
      <c r="F792" s="309"/>
      <c r="G792" s="309"/>
      <c r="H792" s="309"/>
      <c r="I792" s="309"/>
    </row>
    <row r="793" spans="1:10" ht="10.5">
      <c r="A793" s="311" t="s">
        <v>63</v>
      </c>
      <c r="B793" s="309"/>
      <c r="C793" s="309"/>
      <c r="D793" s="309"/>
      <c r="E793" s="309"/>
      <c r="F793" s="309"/>
      <c r="G793" s="309"/>
      <c r="H793" s="309"/>
      <c r="I793" s="309"/>
    </row>
    <row r="794" spans="1:10" ht="10.5">
      <c r="A794" s="318" t="s">
        <v>74</v>
      </c>
      <c r="B794" s="309"/>
      <c r="C794" s="309"/>
      <c r="D794" s="309"/>
      <c r="E794" s="309"/>
      <c r="F794" s="309"/>
      <c r="G794" s="309"/>
      <c r="H794" s="309"/>
      <c r="I794" s="309"/>
    </row>
    <row r="795" spans="1:10">
      <c r="A795" s="99" t="s">
        <v>75</v>
      </c>
      <c r="B795" s="303">
        <v>0</v>
      </c>
      <c r="C795" s="303">
        <v>0</v>
      </c>
      <c r="D795" s="303">
        <v>0</v>
      </c>
      <c r="E795" s="303">
        <v>0</v>
      </c>
      <c r="F795" s="303">
        <v>0</v>
      </c>
      <c r="G795" s="303">
        <v>5.35</v>
      </c>
      <c r="H795" s="303">
        <v>0</v>
      </c>
      <c r="I795" s="303">
        <f>SUM(B795:H795)</f>
        <v>5.35</v>
      </c>
    </row>
    <row r="796" spans="1:10" ht="10.5">
      <c r="A796" s="319" t="s">
        <v>78</v>
      </c>
      <c r="B796" s="313">
        <f t="shared" ref="B796:I798" si="200">SUM(B795)</f>
        <v>0</v>
      </c>
      <c r="C796" s="313">
        <f t="shared" si="200"/>
        <v>0</v>
      </c>
      <c r="D796" s="313">
        <f t="shared" si="200"/>
        <v>0</v>
      </c>
      <c r="E796" s="313">
        <f t="shared" si="200"/>
        <v>0</v>
      </c>
      <c r="F796" s="313">
        <f t="shared" si="200"/>
        <v>0</v>
      </c>
      <c r="G796" s="313">
        <f t="shared" si="200"/>
        <v>5.35</v>
      </c>
      <c r="H796" s="313">
        <f t="shared" si="200"/>
        <v>0</v>
      </c>
      <c r="I796" s="313">
        <f t="shared" si="200"/>
        <v>5.35</v>
      </c>
    </row>
    <row r="797" spans="1:10" ht="10.5">
      <c r="A797" s="312" t="s">
        <v>79</v>
      </c>
      <c r="B797" s="313">
        <f t="shared" si="200"/>
        <v>0</v>
      </c>
      <c r="C797" s="313">
        <f t="shared" si="200"/>
        <v>0</v>
      </c>
      <c r="D797" s="313">
        <f t="shared" si="200"/>
        <v>0</v>
      </c>
      <c r="E797" s="313">
        <f t="shared" si="200"/>
        <v>0</v>
      </c>
      <c r="F797" s="313">
        <f t="shared" si="200"/>
        <v>0</v>
      </c>
      <c r="G797" s="313">
        <f t="shared" si="200"/>
        <v>5.35</v>
      </c>
      <c r="H797" s="313">
        <f t="shared" si="200"/>
        <v>0</v>
      </c>
      <c r="I797" s="313">
        <f t="shared" si="200"/>
        <v>5.35</v>
      </c>
    </row>
    <row r="798" spans="1:10" ht="10.5">
      <c r="A798" s="314" t="s">
        <v>598</v>
      </c>
      <c r="B798" s="313">
        <f t="shared" si="200"/>
        <v>0</v>
      </c>
      <c r="C798" s="313">
        <f t="shared" si="200"/>
        <v>0</v>
      </c>
      <c r="D798" s="313">
        <f t="shared" si="200"/>
        <v>0</v>
      </c>
      <c r="E798" s="313">
        <f t="shared" si="200"/>
        <v>0</v>
      </c>
      <c r="F798" s="313">
        <f t="shared" si="200"/>
        <v>0</v>
      </c>
      <c r="G798" s="313">
        <f t="shared" si="200"/>
        <v>5.35</v>
      </c>
      <c r="H798" s="313">
        <f t="shared" si="200"/>
        <v>0</v>
      </c>
      <c r="I798" s="313">
        <f t="shared" si="200"/>
        <v>5.35</v>
      </c>
      <c r="J798">
        <v>4.3</v>
      </c>
    </row>
    <row r="799" spans="1:10" ht="10.5">
      <c r="A799" s="315" t="s">
        <v>203</v>
      </c>
      <c r="B799" s="313">
        <f t="shared" ref="B799:I799" si="201">SUM(B126,B298,B460,B791,B798)</f>
        <v>855575.54999999993</v>
      </c>
      <c r="C799" s="313">
        <f t="shared" si="201"/>
        <v>353.51</v>
      </c>
      <c r="D799" s="313">
        <f t="shared" si="201"/>
        <v>353.51</v>
      </c>
      <c r="E799" s="313">
        <f t="shared" si="201"/>
        <v>353.51</v>
      </c>
      <c r="F799" s="313">
        <f t="shared" si="201"/>
        <v>3848519.46</v>
      </c>
      <c r="G799" s="313">
        <f t="shared" si="201"/>
        <v>6921947.0199999986</v>
      </c>
      <c r="H799" s="313">
        <f t="shared" si="201"/>
        <v>663037.7300000001</v>
      </c>
      <c r="I799" s="313">
        <f t="shared" si="201"/>
        <v>12290140.289999999</v>
      </c>
      <c r="J799">
        <v>4</v>
      </c>
    </row>
    <row r="800" spans="1:10" ht="10.5">
      <c r="A800" s="306" t="s">
        <v>204</v>
      </c>
      <c r="B800" s="307">
        <f t="shared" ref="B800:I800" si="202">B91-B799</f>
        <v>-855575.54999999993</v>
      </c>
      <c r="C800" s="307">
        <f t="shared" si="202"/>
        <v>-353.51</v>
      </c>
      <c r="D800" s="307">
        <f t="shared" si="202"/>
        <v>-353.51</v>
      </c>
      <c r="E800" s="307">
        <f t="shared" si="202"/>
        <v>-353.51</v>
      </c>
      <c r="F800" s="307">
        <f t="shared" si="202"/>
        <v>-3917607.4899999998</v>
      </c>
      <c r="G800" s="307">
        <f t="shared" si="202"/>
        <v>-1830849.4299999969</v>
      </c>
      <c r="H800" s="307">
        <f t="shared" si="202"/>
        <v>-976969.9700000002</v>
      </c>
      <c r="I800" s="307">
        <f t="shared" si="202"/>
        <v>-7582062.9699999979</v>
      </c>
      <c r="J800">
        <v>5</v>
      </c>
    </row>
    <row r="801" spans="1:10" ht="10.5">
      <c r="A801" s="323" t="s">
        <v>205</v>
      </c>
      <c r="B801" s="324"/>
      <c r="C801" s="324"/>
      <c r="D801" s="324"/>
      <c r="E801" s="324"/>
      <c r="F801" s="324"/>
      <c r="G801" s="324"/>
      <c r="H801" s="324"/>
      <c r="I801" s="324"/>
    </row>
    <row r="802" spans="1:10" ht="10.5">
      <c r="A802" s="5" t="s">
        <v>206</v>
      </c>
      <c r="B802" s="302"/>
      <c r="C802" s="302"/>
      <c r="D802" s="302"/>
      <c r="E802" s="302"/>
      <c r="F802" s="302"/>
      <c r="G802" s="302"/>
      <c r="H802" s="302"/>
      <c r="I802" s="302"/>
    </row>
    <row r="803" spans="1:10" ht="10.5">
      <c r="A803" s="95" t="s">
        <v>207</v>
      </c>
      <c r="B803" s="302"/>
      <c r="C803" s="302"/>
      <c r="D803" s="302"/>
      <c r="E803" s="302"/>
      <c r="F803" s="302"/>
      <c r="G803" s="302"/>
      <c r="H803" s="302"/>
      <c r="I803" s="302"/>
    </row>
    <row r="804" spans="1:10">
      <c r="A804" s="8" t="s">
        <v>208</v>
      </c>
      <c r="B804" s="303">
        <v>360.29</v>
      </c>
      <c r="C804" s="303">
        <v>0</v>
      </c>
      <c r="D804" s="303">
        <v>0</v>
      </c>
      <c r="E804" s="303">
        <v>0</v>
      </c>
      <c r="F804" s="303">
        <v>0</v>
      </c>
      <c r="G804" s="303">
        <v>316876.68</v>
      </c>
      <c r="H804" s="303">
        <v>0</v>
      </c>
      <c r="I804" s="303">
        <f>SUM(B804:H804)</f>
        <v>317236.96999999997</v>
      </c>
      <c r="J804">
        <v>6.4</v>
      </c>
    </row>
    <row r="805" spans="1:10" ht="10.5">
      <c r="A805" s="325" t="s">
        <v>209</v>
      </c>
      <c r="B805" s="305">
        <f t="shared" ref="B805:I806" si="203">SUM(B804)</f>
        <v>360.29</v>
      </c>
      <c r="C805" s="305">
        <f t="shared" si="203"/>
        <v>0</v>
      </c>
      <c r="D805" s="305">
        <f t="shared" si="203"/>
        <v>0</v>
      </c>
      <c r="E805" s="305">
        <f t="shared" si="203"/>
        <v>0</v>
      </c>
      <c r="F805" s="305">
        <f t="shared" si="203"/>
        <v>0</v>
      </c>
      <c r="G805" s="305">
        <f t="shared" si="203"/>
        <v>316876.68</v>
      </c>
      <c r="H805" s="305">
        <f t="shared" si="203"/>
        <v>0</v>
      </c>
      <c r="I805" s="305">
        <f t="shared" si="203"/>
        <v>317236.96999999997</v>
      </c>
    </row>
    <row r="806" spans="1:10" ht="10.5">
      <c r="A806" s="106" t="s">
        <v>210</v>
      </c>
      <c r="B806" s="305">
        <f t="shared" si="203"/>
        <v>360.29</v>
      </c>
      <c r="C806" s="305">
        <f t="shared" si="203"/>
        <v>0</v>
      </c>
      <c r="D806" s="305">
        <f t="shared" si="203"/>
        <v>0</v>
      </c>
      <c r="E806" s="305">
        <f t="shared" si="203"/>
        <v>0</v>
      </c>
      <c r="F806" s="305">
        <f t="shared" si="203"/>
        <v>0</v>
      </c>
      <c r="G806" s="305">
        <f t="shared" si="203"/>
        <v>316876.68</v>
      </c>
      <c r="H806" s="305">
        <f t="shared" si="203"/>
        <v>0</v>
      </c>
      <c r="I806" s="305">
        <f t="shared" si="203"/>
        <v>317236.96999999997</v>
      </c>
    </row>
    <row r="807" spans="1:10" ht="10.5">
      <c r="A807" s="5" t="s">
        <v>211</v>
      </c>
      <c r="B807" s="302"/>
      <c r="C807" s="302"/>
      <c r="D807" s="302"/>
      <c r="E807" s="302"/>
      <c r="F807" s="302"/>
      <c r="G807" s="302"/>
      <c r="H807" s="302"/>
      <c r="I807" s="302"/>
    </row>
    <row r="808" spans="1:10">
      <c r="A808" s="6" t="s">
        <v>212</v>
      </c>
      <c r="B808" s="303">
        <v>0</v>
      </c>
      <c r="C808" s="303">
        <v>0</v>
      </c>
      <c r="D808" s="303">
        <v>0</v>
      </c>
      <c r="E808" s="303">
        <v>0</v>
      </c>
      <c r="F808" s="303">
        <v>-0.17</v>
      </c>
      <c r="G808" s="303">
        <v>44.53</v>
      </c>
      <c r="H808" s="303">
        <v>0.23</v>
      </c>
      <c r="I808" s="303">
        <f>SUM(B808:H808)</f>
        <v>44.589999999999996</v>
      </c>
      <c r="J808">
        <v>6.2</v>
      </c>
    </row>
    <row r="809" spans="1:10">
      <c r="A809" s="6" t="s">
        <v>213</v>
      </c>
      <c r="B809" s="303">
        <v>0</v>
      </c>
      <c r="C809" s="303">
        <v>-69.52</v>
      </c>
      <c r="D809" s="303">
        <v>-15.9</v>
      </c>
      <c r="E809" s="303">
        <v>-483.7</v>
      </c>
      <c r="F809" s="303">
        <v>113793.97</v>
      </c>
      <c r="G809" s="303">
        <v>-80214.509999999995</v>
      </c>
      <c r="H809" s="303">
        <v>10832.94</v>
      </c>
      <c r="I809" s="303">
        <f>SUM(B809:H809)</f>
        <v>43843.280000000013</v>
      </c>
      <c r="J809">
        <v>6.2</v>
      </c>
    </row>
    <row r="810" spans="1:10">
      <c r="A810" s="6" t="s">
        <v>214</v>
      </c>
      <c r="B810" s="303">
        <v>0</v>
      </c>
      <c r="C810" s="303">
        <v>0</v>
      </c>
      <c r="D810" s="303">
        <v>0</v>
      </c>
      <c r="E810" s="303">
        <v>0</v>
      </c>
      <c r="F810" s="303">
        <v>-3593.37</v>
      </c>
      <c r="G810" s="303">
        <v>-8.76</v>
      </c>
      <c r="H810" s="303">
        <v>7868.31</v>
      </c>
      <c r="I810" s="303">
        <f>SUM(B810:H810)</f>
        <v>4266.18</v>
      </c>
      <c r="J810">
        <v>6.2</v>
      </c>
    </row>
    <row r="811" spans="1:10" ht="10.5">
      <c r="A811" s="95" t="s">
        <v>215</v>
      </c>
      <c r="B811" s="302"/>
      <c r="C811" s="302"/>
      <c r="D811" s="302"/>
      <c r="E811" s="302"/>
      <c r="F811" s="302"/>
      <c r="G811" s="302"/>
      <c r="H811" s="302"/>
      <c r="I811" s="302"/>
    </row>
    <row r="812" spans="1:10">
      <c r="A812" s="8" t="s">
        <v>216</v>
      </c>
      <c r="B812" s="303">
        <v>0</v>
      </c>
      <c r="C812" s="303">
        <v>0</v>
      </c>
      <c r="D812" s="303">
        <v>0</v>
      </c>
      <c r="E812" s="303">
        <v>0</v>
      </c>
      <c r="F812" s="303">
        <v>0</v>
      </c>
      <c r="G812" s="303">
        <v>402.67</v>
      </c>
      <c r="H812" s="303">
        <v>0</v>
      </c>
      <c r="I812" s="303">
        <f>SUM(B812:H812)</f>
        <v>402.67</v>
      </c>
      <c r="J812" s="78">
        <v>6.1</v>
      </c>
    </row>
    <row r="813" spans="1:10">
      <c r="A813" s="8" t="s">
        <v>217</v>
      </c>
      <c r="B813" s="303">
        <v>0</v>
      </c>
      <c r="C813" s="303">
        <v>0</v>
      </c>
      <c r="D813" s="303">
        <v>0</v>
      </c>
      <c r="E813" s="303">
        <v>0</v>
      </c>
      <c r="F813" s="303">
        <v>0</v>
      </c>
      <c r="G813" s="303">
        <v>212.95</v>
      </c>
      <c r="H813" s="303">
        <v>0</v>
      </c>
      <c r="I813" s="303">
        <f>SUM(B813:H813)</f>
        <v>212.95</v>
      </c>
      <c r="J813" s="78">
        <v>6.1</v>
      </c>
    </row>
    <row r="814" spans="1:10">
      <c r="A814" s="8" t="s">
        <v>218</v>
      </c>
      <c r="B814" s="303">
        <v>174.26</v>
      </c>
      <c r="C814" s="303">
        <v>121.03</v>
      </c>
      <c r="D814" s="303">
        <v>127.56</v>
      </c>
      <c r="E814" s="303">
        <v>262.22000000000003</v>
      </c>
      <c r="F814" s="303">
        <v>1142.42</v>
      </c>
      <c r="G814" s="303">
        <v>13730.5</v>
      </c>
      <c r="H814" s="303">
        <v>3465.77</v>
      </c>
      <c r="I814" s="303">
        <f>SUM(B814:H814)</f>
        <v>19023.759999999998</v>
      </c>
      <c r="J814" s="78">
        <v>6.1</v>
      </c>
    </row>
    <row r="815" spans="1:10" ht="10.5">
      <c r="A815" s="96" t="s">
        <v>219</v>
      </c>
      <c r="B815" s="304">
        <f t="shared" ref="B815:I815" si="204">SUM(B812:B814)</f>
        <v>174.26</v>
      </c>
      <c r="C815" s="304">
        <f t="shared" si="204"/>
        <v>121.03</v>
      </c>
      <c r="D815" s="304">
        <f t="shared" si="204"/>
        <v>127.56</v>
      </c>
      <c r="E815" s="304">
        <f t="shared" si="204"/>
        <v>262.22000000000003</v>
      </c>
      <c r="F815" s="304">
        <f t="shared" si="204"/>
        <v>1142.42</v>
      </c>
      <c r="G815" s="304">
        <f t="shared" si="204"/>
        <v>14346.12</v>
      </c>
      <c r="H815" s="304">
        <f t="shared" si="204"/>
        <v>3465.77</v>
      </c>
      <c r="I815" s="304">
        <f t="shared" si="204"/>
        <v>19639.379999999997</v>
      </c>
      <c r="J815" s="77"/>
    </row>
    <row r="816" spans="1:10">
      <c r="A816" s="6" t="s">
        <v>220</v>
      </c>
      <c r="B816" s="303">
        <v>0</v>
      </c>
      <c r="C816" s="303">
        <v>0</v>
      </c>
      <c r="D816" s="303">
        <v>0</v>
      </c>
      <c r="E816" s="303">
        <v>0</v>
      </c>
      <c r="F816" s="303">
        <v>-12260.9</v>
      </c>
      <c r="G816" s="303">
        <v>58842.25</v>
      </c>
      <c r="H816" s="303">
        <v>-749.23</v>
      </c>
      <c r="I816" s="303">
        <f>SUM(B816:H816)</f>
        <v>45832.119999999995</v>
      </c>
      <c r="J816" s="77">
        <v>6.1</v>
      </c>
    </row>
    <row r="817" spans="1:10" ht="10.5">
      <c r="A817" s="97" t="s">
        <v>221</v>
      </c>
      <c r="B817" s="304">
        <f t="shared" ref="B817:H817" si="205">-1*(SUM(B808:B810,B815:B816))</f>
        <v>-174.26</v>
      </c>
      <c r="C817" s="304">
        <f t="shared" si="205"/>
        <v>-51.510000000000005</v>
      </c>
      <c r="D817" s="304">
        <f t="shared" si="205"/>
        <v>-111.66</v>
      </c>
      <c r="E817" s="304">
        <f t="shared" si="205"/>
        <v>221.47999999999996</v>
      </c>
      <c r="F817" s="304">
        <f t="shared" si="205"/>
        <v>-99081.950000000012</v>
      </c>
      <c r="G817" s="304">
        <f t="shared" si="205"/>
        <v>6990.3699999999953</v>
      </c>
      <c r="H817" s="304">
        <f t="shared" si="205"/>
        <v>-21418.02</v>
      </c>
      <c r="I817" s="304">
        <f>-1*SUM(I808:I810,I815:I816)</f>
        <v>-113625.55</v>
      </c>
    </row>
    <row r="818" spans="1:10" ht="10.5">
      <c r="A818" s="323" t="s">
        <v>222</v>
      </c>
      <c r="B818" s="324">
        <f t="shared" ref="B818:I818" si="206">B806+B817</f>
        <v>186.03000000000003</v>
      </c>
      <c r="C818" s="324">
        <f t="shared" si="206"/>
        <v>-51.510000000000005</v>
      </c>
      <c r="D818" s="324">
        <f t="shared" si="206"/>
        <v>-111.66</v>
      </c>
      <c r="E818" s="324">
        <f t="shared" si="206"/>
        <v>221.47999999999996</v>
      </c>
      <c r="F818" s="324">
        <f t="shared" si="206"/>
        <v>-99081.950000000012</v>
      </c>
      <c r="G818" s="324">
        <f t="shared" si="206"/>
        <v>323867.05</v>
      </c>
      <c r="H818" s="324">
        <f t="shared" si="206"/>
        <v>-21418.02</v>
      </c>
      <c r="I818" s="324">
        <f t="shared" si="206"/>
        <v>203611.41999999998</v>
      </c>
      <c r="J818">
        <v>6</v>
      </c>
    </row>
    <row r="819" spans="1:10" ht="10.5">
      <c r="A819" s="306" t="s">
        <v>223</v>
      </c>
      <c r="B819" s="307">
        <f t="shared" ref="B819:I819" si="207">B800+B818+0</f>
        <v>-855389.5199999999</v>
      </c>
      <c r="C819" s="307">
        <f t="shared" si="207"/>
        <v>-405.02</v>
      </c>
      <c r="D819" s="307">
        <f t="shared" si="207"/>
        <v>-465.16999999999996</v>
      </c>
      <c r="E819" s="307">
        <f t="shared" si="207"/>
        <v>-132.03000000000003</v>
      </c>
      <c r="F819" s="307">
        <f t="shared" si="207"/>
        <v>-4016689.44</v>
      </c>
      <c r="G819" s="307">
        <f t="shared" si="207"/>
        <v>-1506982.3799999969</v>
      </c>
      <c r="H819" s="307">
        <f t="shared" si="207"/>
        <v>-998387.99000000022</v>
      </c>
      <c r="I819" s="307">
        <f t="shared" si="207"/>
        <v>-7378451.549999998</v>
      </c>
      <c r="J819">
        <v>7</v>
      </c>
    </row>
    <row r="820" spans="1:10" ht="10.5">
      <c r="A820" s="3" t="s">
        <v>224</v>
      </c>
      <c r="B820" s="302"/>
      <c r="C820" s="302"/>
      <c r="D820" s="302"/>
      <c r="E820" s="302"/>
      <c r="F820" s="302"/>
      <c r="G820" s="302"/>
      <c r="H820" s="302"/>
      <c r="I820" s="302"/>
    </row>
    <row r="821" spans="1:10" ht="10.5">
      <c r="A821" s="5" t="s">
        <v>225</v>
      </c>
      <c r="B821" s="302"/>
      <c r="C821" s="302"/>
      <c r="D821" s="302"/>
      <c r="E821" s="302"/>
      <c r="F821" s="302"/>
      <c r="G821" s="302"/>
      <c r="H821" s="302"/>
      <c r="I821" s="302"/>
    </row>
    <row r="822" spans="1:10">
      <c r="A822" s="6" t="s">
        <v>463</v>
      </c>
      <c r="B822" s="303">
        <v>0</v>
      </c>
      <c r="C822" s="303">
        <v>0</v>
      </c>
      <c r="D822" s="303">
        <v>0</v>
      </c>
      <c r="E822" s="303">
        <v>0</v>
      </c>
      <c r="F822" s="303">
        <v>0</v>
      </c>
      <c r="G822" s="303">
        <v>0</v>
      </c>
      <c r="H822" s="303">
        <v>83934.5</v>
      </c>
      <c r="I822" s="303">
        <f>SUM(B822:H822)</f>
        <v>83934.5</v>
      </c>
    </row>
    <row r="823" spans="1:10">
      <c r="A823" s="6" t="s">
        <v>226</v>
      </c>
      <c r="B823" s="303">
        <v>-15762.04</v>
      </c>
      <c r="C823" s="303">
        <v>0</v>
      </c>
      <c r="D823" s="303">
        <v>0</v>
      </c>
      <c r="E823" s="303">
        <v>0</v>
      </c>
      <c r="F823" s="303">
        <v>-63044.47</v>
      </c>
      <c r="G823" s="303">
        <v>0</v>
      </c>
      <c r="H823" s="303">
        <v>-18733.11</v>
      </c>
      <c r="I823" s="303">
        <f>SUM(B823:H823)</f>
        <v>-97539.62000000001</v>
      </c>
    </row>
    <row r="824" spans="1:10" ht="10.5">
      <c r="A824" s="106" t="s">
        <v>227</v>
      </c>
      <c r="B824" s="305">
        <f t="shared" ref="B824:I824" si="208">SUM(B822:B823)</f>
        <v>-15762.04</v>
      </c>
      <c r="C824" s="305">
        <f t="shared" si="208"/>
        <v>0</v>
      </c>
      <c r="D824" s="305">
        <f t="shared" si="208"/>
        <v>0</v>
      </c>
      <c r="E824" s="305">
        <f t="shared" si="208"/>
        <v>0</v>
      </c>
      <c r="F824" s="305">
        <f t="shared" si="208"/>
        <v>-63044.47</v>
      </c>
      <c r="G824" s="305">
        <f t="shared" si="208"/>
        <v>0</v>
      </c>
      <c r="H824" s="305">
        <f t="shared" si="208"/>
        <v>65201.39</v>
      </c>
      <c r="I824" s="305">
        <f t="shared" si="208"/>
        <v>-13605.12000000001</v>
      </c>
    </row>
    <row r="825" spans="1:10" ht="10.5">
      <c r="A825" s="7" t="s">
        <v>228</v>
      </c>
      <c r="B825" s="305">
        <f t="shared" ref="B825:I825" si="209">SUM(B824)</f>
        <v>-15762.04</v>
      </c>
      <c r="C825" s="305">
        <f t="shared" si="209"/>
        <v>0</v>
      </c>
      <c r="D825" s="305">
        <f t="shared" si="209"/>
        <v>0</v>
      </c>
      <c r="E825" s="305">
        <f t="shared" si="209"/>
        <v>0</v>
      </c>
      <c r="F825" s="305">
        <f t="shared" si="209"/>
        <v>-63044.47</v>
      </c>
      <c r="G825" s="305">
        <f t="shared" si="209"/>
        <v>0</v>
      </c>
      <c r="H825" s="305">
        <f t="shared" si="209"/>
        <v>65201.39</v>
      </c>
      <c r="I825" s="305">
        <f t="shared" si="209"/>
        <v>-13605.12000000001</v>
      </c>
      <c r="J825">
        <v>8</v>
      </c>
    </row>
    <row r="826" spans="1:10" ht="10.5">
      <c r="A826" s="306" t="s">
        <v>28</v>
      </c>
      <c r="B826" s="307">
        <f t="shared" ref="B826:I826" si="210">B819+B825</f>
        <v>-871151.55999999994</v>
      </c>
      <c r="C826" s="307">
        <f t="shared" si="210"/>
        <v>-405.02</v>
      </c>
      <c r="D826" s="307">
        <f t="shared" si="210"/>
        <v>-465.16999999999996</v>
      </c>
      <c r="E826" s="307">
        <f t="shared" si="210"/>
        <v>-132.03000000000003</v>
      </c>
      <c r="F826" s="307">
        <f t="shared" si="210"/>
        <v>-4079733.91</v>
      </c>
      <c r="G826" s="307">
        <f t="shared" si="210"/>
        <v>-1506982.3799999969</v>
      </c>
      <c r="H826" s="307">
        <f t="shared" si="210"/>
        <v>-933186.60000000021</v>
      </c>
      <c r="I826" s="307">
        <f t="shared" si="210"/>
        <v>-7392056.6699999981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C61A1-D09E-454F-B6D9-D450A69BE518}">
  <dimension ref="A1:O120"/>
  <sheetViews>
    <sheetView topLeftCell="A34" workbookViewId="0">
      <selection activeCell="L68" sqref="L68"/>
    </sheetView>
  </sheetViews>
  <sheetFormatPr defaultRowHeight="10"/>
  <cols>
    <col min="1" max="1" width="38.77734375" bestFit="1" customWidth="1"/>
    <col min="2" max="2" width="5.33203125" bestFit="1" customWidth="1"/>
    <col min="3" max="3" width="10.109375" bestFit="1" customWidth="1"/>
    <col min="4" max="4" width="17.109375" bestFit="1" customWidth="1"/>
    <col min="5" max="5" width="38.33203125" customWidth="1"/>
    <col min="6" max="6" width="12.44140625" bestFit="1" customWidth="1"/>
    <col min="7" max="8" width="10.77734375" bestFit="1" customWidth="1"/>
    <col min="9" max="9" width="11.44140625" bestFit="1" customWidth="1"/>
    <col min="10" max="10" width="30.33203125" bestFit="1" customWidth="1"/>
    <col min="11" max="11" width="9.44140625" bestFit="1" customWidth="1"/>
    <col min="12" max="12" width="14" bestFit="1" customWidth="1"/>
  </cols>
  <sheetData>
    <row r="1" spans="1:11" ht="15.5">
      <c r="A1" s="337" t="s">
        <v>0</v>
      </c>
      <c r="B1" s="337"/>
      <c r="C1" s="337"/>
      <c r="D1" s="337"/>
      <c r="E1" s="337"/>
      <c r="F1" s="337"/>
    </row>
    <row r="2" spans="1:11" ht="15.5">
      <c r="A2" s="337" t="s">
        <v>0</v>
      </c>
      <c r="B2" s="337"/>
      <c r="C2" s="337"/>
      <c r="D2" s="337"/>
      <c r="E2" s="337"/>
      <c r="F2" s="337"/>
      <c r="H2" s="223" t="s">
        <v>715</v>
      </c>
    </row>
    <row r="3" spans="1:11" ht="18">
      <c r="A3" s="336" t="s">
        <v>713</v>
      </c>
      <c r="B3" s="336"/>
      <c r="C3" s="336"/>
      <c r="D3" s="336"/>
      <c r="E3" s="336"/>
      <c r="F3" s="336"/>
    </row>
    <row r="4" spans="1:11" ht="18">
      <c r="A4" s="336" t="s">
        <v>712</v>
      </c>
      <c r="B4" s="336"/>
      <c r="C4" s="336"/>
      <c r="D4" s="336"/>
      <c r="E4" s="336"/>
      <c r="F4" s="336"/>
    </row>
    <row r="5" spans="1:11" ht="18">
      <c r="A5" s="336" t="s">
        <v>4</v>
      </c>
      <c r="B5" s="336"/>
      <c r="C5" s="336"/>
      <c r="D5" s="336"/>
      <c r="E5" s="336"/>
      <c r="F5" s="336"/>
    </row>
    <row r="6" spans="1:11" ht="18">
      <c r="A6" s="336" t="s">
        <v>4</v>
      </c>
      <c r="B6" s="336"/>
      <c r="C6" s="336"/>
      <c r="D6" s="336"/>
      <c r="E6" s="336"/>
      <c r="F6" s="336"/>
    </row>
    <row r="7" spans="1:11">
      <c r="A7" s="1" t="s">
        <v>5</v>
      </c>
      <c r="B7" s="1" t="s">
        <v>711</v>
      </c>
      <c r="C7" s="1" t="s">
        <v>710</v>
      </c>
      <c r="D7" s="1" t="s">
        <v>709</v>
      </c>
      <c r="E7" s="1" t="s">
        <v>708</v>
      </c>
      <c r="F7" s="2" t="s">
        <v>14</v>
      </c>
    </row>
    <row r="8" spans="1:11" ht="13">
      <c r="A8" s="3" t="s">
        <v>321</v>
      </c>
      <c r="B8" s="3"/>
      <c r="C8" s="210"/>
      <c r="D8" s="3"/>
      <c r="E8" s="3"/>
      <c r="F8" s="88">
        <v>0</v>
      </c>
      <c r="J8" s="220" t="s">
        <v>707</v>
      </c>
      <c r="K8" s="218">
        <v>425.37</v>
      </c>
    </row>
    <row r="9" spans="1:11" ht="13">
      <c r="A9" s="5" t="s">
        <v>320</v>
      </c>
      <c r="B9" s="214"/>
      <c r="C9" s="215"/>
      <c r="D9" s="214"/>
      <c r="E9" s="214"/>
      <c r="F9" s="89">
        <v>0</v>
      </c>
      <c r="J9" s="221" t="s">
        <v>706</v>
      </c>
      <c r="K9" s="216">
        <v>-225.34</v>
      </c>
    </row>
    <row r="10" spans="1:11" ht="13">
      <c r="A10" s="95" t="s">
        <v>319</v>
      </c>
      <c r="B10" s="214"/>
      <c r="C10" s="215"/>
      <c r="D10" s="214"/>
      <c r="E10" s="214"/>
      <c r="F10" s="89">
        <v>0</v>
      </c>
      <c r="J10" s="220" t="s">
        <v>705</v>
      </c>
      <c r="K10" s="218">
        <v>2889.67</v>
      </c>
    </row>
    <row r="11" spans="1:11" ht="13">
      <c r="A11" s="98" t="s">
        <v>318</v>
      </c>
      <c r="B11" s="214"/>
      <c r="C11" s="215"/>
      <c r="D11" s="214"/>
      <c r="E11" s="214"/>
      <c r="F11" s="89">
        <v>0</v>
      </c>
      <c r="J11" s="220" t="s">
        <v>704</v>
      </c>
      <c r="K11" s="218">
        <v>550.75</v>
      </c>
    </row>
    <row r="12" spans="1:11" ht="13">
      <c r="A12" s="99"/>
      <c r="B12" s="214" t="s">
        <v>656</v>
      </c>
      <c r="C12" s="215">
        <v>44389</v>
      </c>
      <c r="D12" s="214" t="s">
        <v>703</v>
      </c>
      <c r="E12" s="209" t="s">
        <v>651</v>
      </c>
      <c r="F12" s="89">
        <v>1068.79</v>
      </c>
      <c r="G12" s="213">
        <f>-K12</f>
        <v>3295.07</v>
      </c>
      <c r="H12" s="222">
        <f t="shared" ref="H12:H25" si="0">+F12-G12</f>
        <v>-2226.2800000000002</v>
      </c>
      <c r="J12" s="221" t="s">
        <v>702</v>
      </c>
      <c r="K12" s="216">
        <v>-3295.07</v>
      </c>
    </row>
    <row r="13" spans="1:11" ht="13">
      <c r="A13" s="99"/>
      <c r="B13" s="214" t="s">
        <v>656</v>
      </c>
      <c r="C13" s="215">
        <v>44486</v>
      </c>
      <c r="D13" s="214" t="s">
        <v>701</v>
      </c>
      <c r="E13" s="209" t="s">
        <v>700</v>
      </c>
      <c r="F13" s="89">
        <v>652.27</v>
      </c>
      <c r="G13" s="213">
        <f>-K13</f>
        <v>997.27</v>
      </c>
      <c r="H13" s="222">
        <f t="shared" si="0"/>
        <v>-345</v>
      </c>
      <c r="J13" s="221" t="s">
        <v>699</v>
      </c>
      <c r="K13" s="216">
        <v>-997.27</v>
      </c>
    </row>
    <row r="14" spans="1:11" ht="13">
      <c r="A14" s="99"/>
      <c r="B14" s="214" t="s">
        <v>656</v>
      </c>
      <c r="C14" s="215">
        <v>44515</v>
      </c>
      <c r="D14" s="214" t="s">
        <v>698</v>
      </c>
      <c r="E14" s="209" t="s">
        <v>690</v>
      </c>
      <c r="F14" s="89">
        <v>929.99</v>
      </c>
      <c r="G14" s="213">
        <f>-K14</f>
        <v>1871.48</v>
      </c>
      <c r="H14" s="212">
        <f t="shared" si="0"/>
        <v>-941.49</v>
      </c>
      <c r="J14" s="221" t="s">
        <v>697</v>
      </c>
      <c r="K14" s="216">
        <v>-1871.48</v>
      </c>
    </row>
    <row r="15" spans="1:11" ht="13">
      <c r="A15" s="99"/>
      <c r="B15" s="214" t="s">
        <v>656</v>
      </c>
      <c r="C15" s="215">
        <v>44530</v>
      </c>
      <c r="D15" s="214" t="s">
        <v>696</v>
      </c>
      <c r="E15" s="209" t="s">
        <v>665</v>
      </c>
      <c r="F15" s="89">
        <v>11709.22</v>
      </c>
      <c r="G15" s="213">
        <f>-K20-F26</f>
        <v>11708.289999999997</v>
      </c>
      <c r="H15" s="212">
        <f t="shared" si="0"/>
        <v>0.93000000000211003</v>
      </c>
      <c r="J15" s="221" t="s">
        <v>695</v>
      </c>
      <c r="K15" s="216">
        <v>-716.95</v>
      </c>
    </row>
    <row r="16" spans="1:11" ht="13">
      <c r="A16" s="99"/>
      <c r="B16" s="214" t="s">
        <v>656</v>
      </c>
      <c r="C16" s="215">
        <v>44531</v>
      </c>
      <c r="D16" s="214" t="s">
        <v>694</v>
      </c>
      <c r="E16" s="209" t="s">
        <v>693</v>
      </c>
      <c r="F16" s="89">
        <v>5000</v>
      </c>
      <c r="G16" s="213">
        <f>-K19</f>
        <v>5000</v>
      </c>
      <c r="H16" s="212">
        <f t="shared" si="0"/>
        <v>0</v>
      </c>
      <c r="J16" s="221" t="s">
        <v>692</v>
      </c>
      <c r="K16" s="216">
        <v>-4411.58</v>
      </c>
    </row>
    <row r="17" spans="1:11" ht="13">
      <c r="A17" s="99"/>
      <c r="B17" s="214" t="s">
        <v>656</v>
      </c>
      <c r="C17" s="215">
        <v>44545</v>
      </c>
      <c r="D17" s="214" t="s">
        <v>691</v>
      </c>
      <c r="E17" s="214" t="s">
        <v>690</v>
      </c>
      <c r="F17" s="89">
        <v>931.26</v>
      </c>
      <c r="H17" s="212">
        <f t="shared" si="0"/>
        <v>931.26</v>
      </c>
      <c r="J17" s="221" t="s">
        <v>689</v>
      </c>
      <c r="K17" s="216">
        <v>-4467.7299999999996</v>
      </c>
    </row>
    <row r="18" spans="1:11" ht="13">
      <c r="A18" s="99"/>
      <c r="B18" s="214" t="s">
        <v>656</v>
      </c>
      <c r="C18" s="215">
        <v>44551</v>
      </c>
      <c r="D18" s="214" t="s">
        <v>688</v>
      </c>
      <c r="E18" s="209" t="s">
        <v>687</v>
      </c>
      <c r="F18" s="89">
        <v>724.71</v>
      </c>
      <c r="G18" s="213">
        <f>-K15</f>
        <v>716.95</v>
      </c>
      <c r="H18" s="212">
        <f t="shared" si="0"/>
        <v>7.7599999999999909</v>
      </c>
      <c r="J18" s="221" t="s">
        <v>686</v>
      </c>
      <c r="K18" s="216">
        <v>-17115.93</v>
      </c>
    </row>
    <row r="19" spans="1:11" ht="13">
      <c r="A19" s="99"/>
      <c r="B19" s="214" t="s">
        <v>656</v>
      </c>
      <c r="C19" s="215">
        <v>44551</v>
      </c>
      <c r="D19" s="214" t="s">
        <v>685</v>
      </c>
      <c r="E19" s="209" t="s">
        <v>684</v>
      </c>
      <c r="F19" s="89">
        <v>982</v>
      </c>
      <c r="G19" s="213">
        <f>-K24</f>
        <v>977.43</v>
      </c>
      <c r="H19" s="212">
        <f t="shared" si="0"/>
        <v>4.57000000000005</v>
      </c>
      <c r="J19" s="221" t="s">
        <v>683</v>
      </c>
      <c r="K19" s="216">
        <v>-5000</v>
      </c>
    </row>
    <row r="20" spans="1:11" ht="13">
      <c r="A20" s="99"/>
      <c r="B20" s="214" t="s">
        <v>656</v>
      </c>
      <c r="C20" s="215">
        <v>44552</v>
      </c>
      <c r="D20" s="214" t="s">
        <v>682</v>
      </c>
      <c r="E20" s="209" t="s">
        <v>681</v>
      </c>
      <c r="F20" s="89">
        <v>4058.7</v>
      </c>
      <c r="G20" s="213">
        <f>-K27</f>
        <v>4039.87</v>
      </c>
      <c r="H20" s="212">
        <f t="shared" si="0"/>
        <v>18.829999999999927</v>
      </c>
      <c r="J20" s="221" t="s">
        <v>680</v>
      </c>
      <c r="K20" s="216">
        <v>-18923.349999999999</v>
      </c>
    </row>
    <row r="21" spans="1:11" ht="13">
      <c r="A21" s="99"/>
      <c r="B21" s="214" t="s">
        <v>656</v>
      </c>
      <c r="C21" s="215">
        <v>44557</v>
      </c>
      <c r="D21" s="214" t="s">
        <v>679</v>
      </c>
      <c r="E21" s="209" t="s">
        <v>676</v>
      </c>
      <c r="F21" s="89">
        <v>140</v>
      </c>
      <c r="H21" s="212">
        <f t="shared" si="0"/>
        <v>140</v>
      </c>
      <c r="J21" s="221" t="s">
        <v>678</v>
      </c>
      <c r="K21" s="216">
        <v>-25220.29</v>
      </c>
    </row>
    <row r="22" spans="1:11" ht="13">
      <c r="A22" s="99"/>
      <c r="B22" s="214" t="s">
        <v>656</v>
      </c>
      <c r="C22" s="215">
        <v>44557</v>
      </c>
      <c r="D22" s="214" t="s">
        <v>677</v>
      </c>
      <c r="E22" s="209" t="s">
        <v>676</v>
      </c>
      <c r="F22" s="89">
        <v>17070</v>
      </c>
      <c r="G22" s="213">
        <f>-K18</f>
        <v>17115.93</v>
      </c>
      <c r="H22" s="212">
        <f t="shared" si="0"/>
        <v>-45.930000000000291</v>
      </c>
      <c r="J22" s="220" t="s">
        <v>675</v>
      </c>
      <c r="K22" s="218">
        <v>-3605.76</v>
      </c>
    </row>
    <row r="23" spans="1:11" ht="13">
      <c r="A23" s="99"/>
      <c r="B23" s="214" t="s">
        <v>656</v>
      </c>
      <c r="C23" s="215">
        <v>44559</v>
      </c>
      <c r="D23" s="214" t="s">
        <v>674</v>
      </c>
      <c r="E23" s="209" t="s">
        <v>668</v>
      </c>
      <c r="F23" s="89">
        <v>3200</v>
      </c>
      <c r="G23" s="48">
        <f>-K17-F25</f>
        <v>3175.4399999999996</v>
      </c>
      <c r="H23" s="212">
        <f t="shared" si="0"/>
        <v>24.5600000000004</v>
      </c>
      <c r="J23" s="219" t="s">
        <v>673</v>
      </c>
      <c r="K23" s="218">
        <v>112.22</v>
      </c>
    </row>
    <row r="24" spans="1:11" ht="13">
      <c r="A24" s="99"/>
      <c r="B24" s="214" t="s">
        <v>656</v>
      </c>
      <c r="C24" s="215">
        <v>44561</v>
      </c>
      <c r="D24" s="214" t="s">
        <v>672</v>
      </c>
      <c r="E24" s="209" t="s">
        <v>671</v>
      </c>
      <c r="F24" s="89">
        <v>72.349999999999994</v>
      </c>
      <c r="G24" s="213">
        <f>-K9</f>
        <v>225.34</v>
      </c>
      <c r="H24" s="222">
        <f t="shared" si="0"/>
        <v>-152.99</v>
      </c>
      <c r="J24" s="217" t="s">
        <v>670</v>
      </c>
      <c r="K24" s="216">
        <v>-977.43</v>
      </c>
    </row>
    <row r="25" spans="1:11" ht="13">
      <c r="A25" s="99"/>
      <c r="B25" s="214" t="s">
        <v>656</v>
      </c>
      <c r="C25" s="215">
        <v>44561</v>
      </c>
      <c r="D25" s="214" t="s">
        <v>669</v>
      </c>
      <c r="E25" s="209" t="s">
        <v>668</v>
      </c>
      <c r="F25" s="89">
        <v>1292.29</v>
      </c>
      <c r="H25" s="212">
        <f t="shared" si="0"/>
        <v>1292.29</v>
      </c>
      <c r="J25" s="217" t="s">
        <v>667</v>
      </c>
      <c r="K25" s="216">
        <v>-26898.71</v>
      </c>
    </row>
    <row r="26" spans="1:11" ht="13">
      <c r="A26" s="99"/>
      <c r="B26" s="214" t="s">
        <v>656</v>
      </c>
      <c r="C26" s="215">
        <v>44561</v>
      </c>
      <c r="D26" s="214" t="s">
        <v>666</v>
      </c>
      <c r="E26" s="209" t="s">
        <v>665</v>
      </c>
      <c r="F26" s="89">
        <v>7215.06</v>
      </c>
      <c r="H26" s="212"/>
      <c r="J26" s="217" t="s">
        <v>664</v>
      </c>
      <c r="K26" s="216">
        <v>-20</v>
      </c>
    </row>
    <row r="27" spans="1:11" ht="13">
      <c r="A27" s="99"/>
      <c r="B27" s="214" t="s">
        <v>656</v>
      </c>
      <c r="C27" s="215">
        <v>44561</v>
      </c>
      <c r="D27" s="214" t="s">
        <v>663</v>
      </c>
      <c r="E27" s="209" t="s">
        <v>662</v>
      </c>
      <c r="F27" s="89">
        <v>26898.720000000001</v>
      </c>
      <c r="G27" s="213">
        <f>-K25</f>
        <v>26898.71</v>
      </c>
      <c r="H27" s="212">
        <f>+F27-G27</f>
        <v>1.0000000002037268E-2</v>
      </c>
      <c r="J27" s="217" t="s">
        <v>661</v>
      </c>
      <c r="K27" s="216">
        <v>-4039.87</v>
      </c>
    </row>
    <row r="28" spans="1:11">
      <c r="A28" s="99"/>
      <c r="B28" s="214" t="s">
        <v>656</v>
      </c>
      <c r="C28" s="215">
        <v>44561</v>
      </c>
      <c r="D28" s="214" t="s">
        <v>660</v>
      </c>
      <c r="E28" s="209" t="s">
        <v>659</v>
      </c>
      <c r="F28" s="89">
        <v>25220.29</v>
      </c>
      <c r="G28" s="213">
        <f>-K21</f>
        <v>25220.29</v>
      </c>
      <c r="H28" s="212">
        <f>+F28-G28</f>
        <v>0</v>
      </c>
    </row>
    <row r="29" spans="1:11">
      <c r="A29" s="99"/>
      <c r="B29" s="214" t="s">
        <v>656</v>
      </c>
      <c r="C29" s="215">
        <v>44561</v>
      </c>
      <c r="D29" s="214" t="s">
        <v>658</v>
      </c>
      <c r="E29" s="209" t="s">
        <v>657</v>
      </c>
      <c r="F29" s="89">
        <v>20</v>
      </c>
      <c r="G29" s="213">
        <f>-K26</f>
        <v>20</v>
      </c>
      <c r="H29" s="212">
        <f>+F29-G29</f>
        <v>0</v>
      </c>
    </row>
    <row r="30" spans="1:11">
      <c r="A30" s="99"/>
      <c r="B30" s="214" t="s">
        <v>656</v>
      </c>
      <c r="C30" s="215">
        <v>44561</v>
      </c>
      <c r="D30" s="214" t="s">
        <v>655</v>
      </c>
      <c r="E30" s="209" t="s">
        <v>654</v>
      </c>
      <c r="F30" s="89">
        <v>4411.58</v>
      </c>
      <c r="G30" s="213">
        <f>-K16</f>
        <v>4411.58</v>
      </c>
      <c r="H30" s="212">
        <f>+F30-G30</f>
        <v>0</v>
      </c>
    </row>
    <row r="31" spans="1:11" ht="10.5">
      <c r="A31" s="100" t="s">
        <v>653</v>
      </c>
      <c r="B31" s="101"/>
      <c r="C31" s="211"/>
      <c r="D31" s="101"/>
      <c r="E31" s="101"/>
      <c r="F31" s="90">
        <f>SUM(F11:F30)</f>
        <v>111597.23</v>
      </c>
    </row>
    <row r="32" spans="1:11" ht="10.5">
      <c r="A32" s="96" t="s">
        <v>317</v>
      </c>
      <c r="B32" s="101"/>
      <c r="C32" s="211"/>
      <c r="D32" s="101"/>
      <c r="E32" s="101"/>
      <c r="F32" s="90">
        <f>SUM(F10,F31)</f>
        <v>111597.23</v>
      </c>
    </row>
    <row r="33" spans="1:12" ht="10.5">
      <c r="A33" s="97" t="s">
        <v>313</v>
      </c>
      <c r="B33" s="101"/>
      <c r="C33" s="211"/>
      <c r="D33" s="101"/>
      <c r="E33" s="101"/>
      <c r="F33" s="90">
        <f>SUM(F9,F32)</f>
        <v>111597.23</v>
      </c>
    </row>
    <row r="34" spans="1:12" ht="10.5">
      <c r="A34" s="3" t="s">
        <v>262</v>
      </c>
      <c r="B34" s="3"/>
      <c r="C34" s="210"/>
      <c r="D34" s="3"/>
      <c r="E34" s="3"/>
      <c r="F34" s="88">
        <f>F33+0+0</f>
        <v>111597.23</v>
      </c>
    </row>
    <row r="35" spans="1:12" ht="10.5">
      <c r="A35" s="3" t="s">
        <v>261</v>
      </c>
      <c r="B35" s="3"/>
      <c r="C35" s="210"/>
      <c r="D35" s="3"/>
      <c r="E35" s="3"/>
      <c r="F35" s="88">
        <f>0-F34</f>
        <v>-111597.23</v>
      </c>
    </row>
    <row r="36" spans="1:12" ht="10.5">
      <c r="A36" s="3" t="s">
        <v>260</v>
      </c>
      <c r="B36" s="3"/>
      <c r="C36" s="210"/>
      <c r="D36" s="3"/>
      <c r="E36" s="3"/>
      <c r="F36" s="88">
        <f>F35+0+0</f>
        <v>-111597.23</v>
      </c>
    </row>
    <row r="37" spans="1:12" ht="10.5">
      <c r="A37" s="3" t="s">
        <v>259</v>
      </c>
      <c r="B37" s="3"/>
      <c r="C37" s="210"/>
      <c r="D37" s="3"/>
      <c r="E37" s="3"/>
      <c r="F37" s="88">
        <f>F36-0</f>
        <v>-111597.23</v>
      </c>
    </row>
    <row r="46" spans="1:12" ht="15.5">
      <c r="A46" s="337" t="s">
        <v>0</v>
      </c>
      <c r="B46" s="337"/>
      <c r="C46" s="337"/>
      <c r="D46" s="337"/>
      <c r="E46" s="337"/>
      <c r="F46" s="337"/>
      <c r="G46" s="337"/>
      <c r="H46" s="337"/>
      <c r="I46" s="337"/>
      <c r="J46" s="337"/>
      <c r="K46" s="337"/>
      <c r="L46" s="337"/>
    </row>
    <row r="47" spans="1:12" ht="15.5">
      <c r="A47" s="337" t="s">
        <v>0</v>
      </c>
      <c r="B47" s="337"/>
      <c r="C47" s="337"/>
      <c r="D47" s="337"/>
      <c r="E47" s="337"/>
      <c r="F47" s="337"/>
      <c r="G47" s="337"/>
      <c r="H47" s="337"/>
      <c r="I47" s="337"/>
      <c r="J47" s="337"/>
      <c r="K47" s="337"/>
      <c r="L47" s="337"/>
    </row>
    <row r="48" spans="1:12" ht="18">
      <c r="A48" s="336" t="s">
        <v>767</v>
      </c>
      <c r="B48" s="336"/>
      <c r="C48" s="336"/>
      <c r="D48" s="336"/>
      <c r="E48" s="336"/>
      <c r="F48" s="336"/>
      <c r="G48" s="336"/>
      <c r="H48" s="336"/>
      <c r="I48" s="336"/>
      <c r="J48" s="336"/>
      <c r="K48" s="336"/>
      <c r="L48" s="336"/>
    </row>
    <row r="49" spans="1:15" ht="18">
      <c r="A49" s="336" t="s">
        <v>768</v>
      </c>
      <c r="B49" s="336"/>
      <c r="C49" s="336"/>
      <c r="D49" s="336"/>
      <c r="E49" s="336"/>
      <c r="F49" s="336"/>
      <c r="G49" s="336"/>
      <c r="H49" s="336"/>
      <c r="I49" s="336"/>
      <c r="J49" s="336"/>
      <c r="K49" s="336"/>
      <c r="L49" s="336"/>
    </row>
    <row r="50" spans="1:15" ht="18">
      <c r="A50" s="336" t="s">
        <v>4</v>
      </c>
      <c r="B50" s="336"/>
      <c r="C50" s="336"/>
      <c r="D50" s="336"/>
      <c r="E50" s="336"/>
      <c r="F50" s="336"/>
      <c r="G50" s="336"/>
      <c r="H50" s="336"/>
      <c r="I50" s="336"/>
      <c r="J50" s="336"/>
      <c r="K50" s="336"/>
      <c r="L50" s="336"/>
    </row>
    <row r="51" spans="1:15" ht="18">
      <c r="A51" s="336" t="s">
        <v>4</v>
      </c>
      <c r="B51" s="336"/>
      <c r="C51" s="336"/>
      <c r="D51" s="336"/>
      <c r="E51" s="336"/>
      <c r="F51" s="336"/>
      <c r="G51" s="336"/>
      <c r="H51" s="336"/>
      <c r="I51" s="336"/>
      <c r="J51" s="336"/>
      <c r="K51" s="336"/>
      <c r="L51" s="336"/>
    </row>
    <row r="52" spans="1:15">
      <c r="A52" s="1" t="s">
        <v>769</v>
      </c>
      <c r="B52" s="1" t="s">
        <v>711</v>
      </c>
      <c r="C52" s="1" t="s">
        <v>710</v>
      </c>
      <c r="D52" s="1" t="s">
        <v>770</v>
      </c>
      <c r="E52" s="1" t="s">
        <v>771</v>
      </c>
      <c r="F52" s="1" t="s">
        <v>772</v>
      </c>
      <c r="G52" s="2" t="s">
        <v>773</v>
      </c>
      <c r="H52" s="2" t="s">
        <v>774</v>
      </c>
      <c r="I52" s="2" t="s">
        <v>775</v>
      </c>
      <c r="J52" s="2" t="s">
        <v>776</v>
      </c>
      <c r="K52" s="1" t="s">
        <v>777</v>
      </c>
      <c r="L52" s="2" t="s">
        <v>778</v>
      </c>
    </row>
    <row r="53" spans="1:15" ht="10.5">
      <c r="A53" s="3" t="s">
        <v>779</v>
      </c>
      <c r="B53" s="214"/>
      <c r="C53" s="215"/>
      <c r="D53" s="214"/>
      <c r="E53" s="214"/>
      <c r="F53" s="215"/>
      <c r="G53" s="89"/>
      <c r="H53" s="89"/>
      <c r="I53" s="89">
        <v>0</v>
      </c>
      <c r="J53" s="287"/>
      <c r="K53" s="214"/>
      <c r="L53" s="287"/>
    </row>
    <row r="54" spans="1:15" ht="10.5">
      <c r="A54" s="5" t="s">
        <v>320</v>
      </c>
      <c r="B54" s="214"/>
      <c r="C54" s="215"/>
      <c r="D54" s="214"/>
      <c r="E54" s="214"/>
      <c r="F54" s="215"/>
      <c r="G54" s="89"/>
      <c r="H54" s="89"/>
      <c r="I54" s="89">
        <v>0</v>
      </c>
      <c r="J54" s="287"/>
      <c r="K54" s="214"/>
      <c r="L54" s="287"/>
    </row>
    <row r="55" spans="1:15" ht="10.5">
      <c r="A55" s="95" t="s">
        <v>671</v>
      </c>
      <c r="B55" s="214"/>
      <c r="C55" s="215"/>
      <c r="D55" s="214"/>
      <c r="E55" s="214"/>
      <c r="F55" s="215"/>
      <c r="G55" s="89"/>
      <c r="H55" s="89"/>
      <c r="I55" s="89">
        <v>0</v>
      </c>
      <c r="J55" s="287"/>
      <c r="K55" s="214"/>
      <c r="L55" s="287"/>
    </row>
    <row r="56" spans="1:15">
      <c r="A56" s="8"/>
      <c r="B56" s="214" t="s">
        <v>656</v>
      </c>
      <c r="C56" s="215">
        <v>44561</v>
      </c>
      <c r="D56" s="214" t="s">
        <v>672</v>
      </c>
      <c r="E56" s="214" t="s">
        <v>780</v>
      </c>
      <c r="F56" s="215" t="s">
        <v>774</v>
      </c>
      <c r="G56" s="89">
        <v>72.349999999999994</v>
      </c>
      <c r="H56" s="89"/>
      <c r="I56" s="89">
        <f t="shared" ref="I56:I116" si="1">I55+H56-G56</f>
        <v>-72.349999999999994</v>
      </c>
      <c r="J56" s="288">
        <v>225</v>
      </c>
      <c r="K56" s="214" t="s">
        <v>716</v>
      </c>
      <c r="L56" s="287" t="s">
        <v>781</v>
      </c>
      <c r="M56" t="s">
        <v>873</v>
      </c>
      <c r="N56" t="s">
        <v>874</v>
      </c>
      <c r="O56" s="297">
        <f>+J65+J61+J57+J56</f>
        <v>2855</v>
      </c>
    </row>
    <row r="57" spans="1:15">
      <c r="A57" s="8"/>
      <c r="B57" s="214" t="s">
        <v>656</v>
      </c>
      <c r="C57" s="215">
        <v>44573</v>
      </c>
      <c r="D57" s="214" t="s">
        <v>782</v>
      </c>
      <c r="E57" s="214" t="s">
        <v>783</v>
      </c>
      <c r="F57" s="215">
        <v>44573</v>
      </c>
      <c r="G57" s="89">
        <v>6977.5</v>
      </c>
      <c r="H57" s="89"/>
      <c r="I57" s="89">
        <f t="shared" si="1"/>
        <v>-7049.85</v>
      </c>
      <c r="J57" s="289">
        <v>21714</v>
      </c>
      <c r="K57" s="214" t="s">
        <v>716</v>
      </c>
      <c r="L57" s="287" t="s">
        <v>784</v>
      </c>
    </row>
    <row r="58" spans="1:15">
      <c r="A58" s="8"/>
      <c r="B58" s="214" t="s">
        <v>785</v>
      </c>
      <c r="C58" s="215">
        <v>44573</v>
      </c>
      <c r="D58" s="214" t="s">
        <v>782</v>
      </c>
      <c r="E58" s="214" t="s">
        <v>783</v>
      </c>
      <c r="F58" s="215"/>
      <c r="G58" s="89"/>
      <c r="H58" s="89">
        <v>917.42</v>
      </c>
      <c r="I58" s="89">
        <f t="shared" si="1"/>
        <v>-6132.43</v>
      </c>
      <c r="J58" s="288">
        <v>-2855</v>
      </c>
      <c r="K58" s="214" t="s">
        <v>716</v>
      </c>
      <c r="L58" s="287" t="s">
        <v>784</v>
      </c>
    </row>
    <row r="59" spans="1:15">
      <c r="A59" s="8"/>
      <c r="B59" s="214" t="s">
        <v>786</v>
      </c>
      <c r="C59" s="215">
        <v>44573</v>
      </c>
      <c r="D59" s="214" t="s">
        <v>787</v>
      </c>
      <c r="E59" s="214"/>
      <c r="F59" s="215"/>
      <c r="G59" s="89">
        <v>0.01</v>
      </c>
      <c r="H59" s="89"/>
      <c r="I59" s="89">
        <f t="shared" si="1"/>
        <v>-6132.4400000000005</v>
      </c>
      <c r="J59" s="288"/>
      <c r="K59" s="214" t="s">
        <v>462</v>
      </c>
      <c r="L59" s="287" t="s">
        <v>788</v>
      </c>
    </row>
    <row r="60" spans="1:15">
      <c r="A60" s="8"/>
      <c r="B60" s="214" t="s">
        <v>789</v>
      </c>
      <c r="C60" s="215">
        <v>44573</v>
      </c>
      <c r="D60" s="214" t="s">
        <v>790</v>
      </c>
      <c r="E60" s="214" t="s">
        <v>791</v>
      </c>
      <c r="F60" s="215" t="s">
        <v>774</v>
      </c>
      <c r="G60" s="89">
        <v>917.42</v>
      </c>
      <c r="H60" s="89"/>
      <c r="I60" s="89">
        <f t="shared" si="1"/>
        <v>-7049.8600000000006</v>
      </c>
      <c r="J60" s="288">
        <v>2855</v>
      </c>
      <c r="K60" s="214" t="s">
        <v>716</v>
      </c>
      <c r="L60" s="287" t="s">
        <v>784</v>
      </c>
    </row>
    <row r="61" spans="1:15">
      <c r="A61" s="8"/>
      <c r="B61" s="214" t="s">
        <v>656</v>
      </c>
      <c r="C61" s="215">
        <v>44581</v>
      </c>
      <c r="D61" s="214" t="s">
        <v>792</v>
      </c>
      <c r="E61" s="214" t="s">
        <v>793</v>
      </c>
      <c r="F61" s="215" t="s">
        <v>774</v>
      </c>
      <c r="G61" s="89">
        <v>3294.19</v>
      </c>
      <c r="H61" s="89"/>
      <c r="I61" s="89">
        <f t="shared" si="1"/>
        <v>-10344.050000000001</v>
      </c>
      <c r="J61" s="289">
        <v>10324</v>
      </c>
      <c r="K61" s="214" t="s">
        <v>716</v>
      </c>
      <c r="L61" s="287" t="s">
        <v>794</v>
      </c>
    </row>
    <row r="62" spans="1:15">
      <c r="A62" s="8"/>
      <c r="B62" s="214" t="s">
        <v>786</v>
      </c>
      <c r="C62" s="215">
        <v>44592</v>
      </c>
      <c r="D62" s="214" t="s">
        <v>795</v>
      </c>
      <c r="E62" s="214"/>
      <c r="F62" s="215"/>
      <c r="G62" s="89"/>
      <c r="H62" s="89">
        <v>222.25</v>
      </c>
      <c r="I62" s="89">
        <f t="shared" si="1"/>
        <v>-10121.800000000001</v>
      </c>
      <c r="J62" s="287"/>
      <c r="K62" s="214" t="s">
        <v>462</v>
      </c>
      <c r="L62" s="287" t="s">
        <v>788</v>
      </c>
    </row>
    <row r="63" spans="1:15">
      <c r="A63" s="8"/>
      <c r="B63" s="214" t="s">
        <v>786</v>
      </c>
      <c r="C63" s="215">
        <v>44593</v>
      </c>
      <c r="D63" s="214" t="s">
        <v>796</v>
      </c>
      <c r="E63" s="214"/>
      <c r="F63" s="215" t="s">
        <v>774</v>
      </c>
      <c r="G63" s="89">
        <v>222.25</v>
      </c>
      <c r="H63" s="89"/>
      <c r="I63" s="89">
        <f t="shared" si="1"/>
        <v>-10344.050000000001</v>
      </c>
      <c r="J63" s="287"/>
      <c r="K63" s="214" t="s">
        <v>462</v>
      </c>
      <c r="L63" s="287" t="s">
        <v>788</v>
      </c>
    </row>
    <row r="64" spans="1:15">
      <c r="A64" s="8"/>
      <c r="B64" s="214" t="s">
        <v>656</v>
      </c>
      <c r="C64" s="215">
        <v>44599</v>
      </c>
      <c r="D64" s="214" t="s">
        <v>797</v>
      </c>
      <c r="E64" s="214" t="s">
        <v>798</v>
      </c>
      <c r="F64" s="215" t="s">
        <v>774</v>
      </c>
      <c r="G64" s="89">
        <v>1375.59</v>
      </c>
      <c r="H64" s="89"/>
      <c r="I64" s="89">
        <f t="shared" si="1"/>
        <v>-11719.640000000001</v>
      </c>
      <c r="J64" s="290">
        <v>4395</v>
      </c>
      <c r="K64" s="214" t="s">
        <v>716</v>
      </c>
      <c r="L64" s="287" t="s">
        <v>799</v>
      </c>
    </row>
    <row r="65" spans="1:12">
      <c r="A65" s="8"/>
      <c r="B65" s="214" t="s">
        <v>800</v>
      </c>
      <c r="C65" s="215">
        <v>44599</v>
      </c>
      <c r="D65" s="214"/>
      <c r="E65" s="214"/>
      <c r="F65" s="215"/>
      <c r="G65" s="89"/>
      <c r="H65" s="89">
        <v>9204.3799999999992</v>
      </c>
      <c r="I65" s="89">
        <f t="shared" si="1"/>
        <v>-2515.260000000002</v>
      </c>
      <c r="J65" s="289">
        <v>-29408</v>
      </c>
      <c r="K65" s="214" t="s">
        <v>716</v>
      </c>
      <c r="L65" s="287" t="s">
        <v>799</v>
      </c>
    </row>
    <row r="66" spans="1:12">
      <c r="A66" s="8"/>
      <c r="B66" s="214" t="s">
        <v>786</v>
      </c>
      <c r="C66" s="215">
        <v>44599</v>
      </c>
      <c r="D66" s="214" t="s">
        <v>801</v>
      </c>
      <c r="E66" s="214"/>
      <c r="F66" s="215"/>
      <c r="G66" s="89"/>
      <c r="H66" s="89">
        <v>1.92</v>
      </c>
      <c r="I66" s="89">
        <f t="shared" si="1"/>
        <v>-2513.340000000002</v>
      </c>
      <c r="J66" s="287"/>
      <c r="K66" s="214" t="s">
        <v>462</v>
      </c>
      <c r="L66" s="287" t="s">
        <v>788</v>
      </c>
    </row>
    <row r="67" spans="1:12">
      <c r="A67" s="8"/>
      <c r="B67" s="214" t="s">
        <v>786</v>
      </c>
      <c r="C67" s="215">
        <v>44599</v>
      </c>
      <c r="D67" s="214" t="s">
        <v>802</v>
      </c>
      <c r="E67" s="214"/>
      <c r="F67" s="215"/>
      <c r="G67" s="89"/>
      <c r="H67" s="89">
        <v>220.32</v>
      </c>
      <c r="I67" s="89">
        <f t="shared" si="1"/>
        <v>-2293.0200000000018</v>
      </c>
      <c r="J67" s="287"/>
      <c r="K67" s="214" t="s">
        <v>462</v>
      </c>
      <c r="L67" s="287" t="s">
        <v>788</v>
      </c>
    </row>
    <row r="68" spans="1:12">
      <c r="A68" s="8"/>
      <c r="B68" s="214" t="s">
        <v>656</v>
      </c>
      <c r="C68" s="215">
        <v>44613</v>
      </c>
      <c r="D68" s="214" t="s">
        <v>803</v>
      </c>
      <c r="E68" s="214" t="s">
        <v>804</v>
      </c>
      <c r="F68" s="215" t="s">
        <v>774</v>
      </c>
      <c r="G68" s="89">
        <v>1193.1400000000001</v>
      </c>
      <c r="H68" s="89"/>
      <c r="I68" s="89">
        <f t="shared" si="1"/>
        <v>-3486.1600000000017</v>
      </c>
      <c r="J68" s="290">
        <v>3830</v>
      </c>
      <c r="K68" s="214" t="s">
        <v>716</v>
      </c>
      <c r="L68" s="287" t="s">
        <v>805</v>
      </c>
    </row>
    <row r="69" spans="1:12">
      <c r="A69" s="8"/>
      <c r="B69" s="214" t="s">
        <v>786</v>
      </c>
      <c r="C69" s="215">
        <v>44613</v>
      </c>
      <c r="D69" s="214" t="s">
        <v>806</v>
      </c>
      <c r="E69" s="214"/>
      <c r="F69" s="215"/>
      <c r="G69" s="89">
        <v>0.01</v>
      </c>
      <c r="H69" s="89"/>
      <c r="I69" s="89">
        <f t="shared" si="1"/>
        <v>-3486.1700000000019</v>
      </c>
      <c r="J69" s="290"/>
      <c r="K69" s="214" t="s">
        <v>462</v>
      </c>
      <c r="L69" s="287" t="s">
        <v>788</v>
      </c>
    </row>
    <row r="70" spans="1:12">
      <c r="A70" s="8"/>
      <c r="B70" s="214" t="s">
        <v>786</v>
      </c>
      <c r="C70" s="215">
        <v>44620</v>
      </c>
      <c r="D70" s="214" t="s">
        <v>807</v>
      </c>
      <c r="E70" s="214"/>
      <c r="F70" s="215"/>
      <c r="G70" s="89"/>
      <c r="H70" s="89">
        <v>28.6</v>
      </c>
      <c r="I70" s="89">
        <f t="shared" si="1"/>
        <v>-3457.570000000002</v>
      </c>
      <c r="J70" s="290"/>
      <c r="K70" s="214" t="s">
        <v>462</v>
      </c>
      <c r="L70" s="287" t="s">
        <v>788</v>
      </c>
    </row>
    <row r="71" spans="1:12">
      <c r="A71" s="8"/>
      <c r="B71" s="214" t="s">
        <v>786</v>
      </c>
      <c r="C71" s="215">
        <v>44621</v>
      </c>
      <c r="D71" s="214" t="s">
        <v>808</v>
      </c>
      <c r="E71" s="214"/>
      <c r="F71" s="215" t="s">
        <v>774</v>
      </c>
      <c r="G71" s="89">
        <v>28.6</v>
      </c>
      <c r="H71" s="89"/>
      <c r="I71" s="89">
        <f t="shared" si="1"/>
        <v>-3486.1700000000019</v>
      </c>
      <c r="J71" s="290"/>
      <c r="K71" s="214" t="s">
        <v>462</v>
      </c>
      <c r="L71" s="287" t="s">
        <v>788</v>
      </c>
    </row>
    <row r="72" spans="1:12">
      <c r="A72" s="8"/>
      <c r="B72" s="214" t="s">
        <v>656</v>
      </c>
      <c r="C72" s="215">
        <v>44629</v>
      </c>
      <c r="D72" s="214" t="s">
        <v>809</v>
      </c>
      <c r="E72" s="214" t="s">
        <v>810</v>
      </c>
      <c r="F72" s="215" t="s">
        <v>774</v>
      </c>
      <c r="G72" s="89">
        <v>3091.96</v>
      </c>
      <c r="H72" s="89"/>
      <c r="I72" s="89">
        <f t="shared" si="1"/>
        <v>-6578.1300000000019</v>
      </c>
      <c r="J72" s="290">
        <v>10154</v>
      </c>
      <c r="K72" s="214" t="s">
        <v>716</v>
      </c>
      <c r="L72" s="287" t="s">
        <v>811</v>
      </c>
    </row>
    <row r="73" spans="1:12">
      <c r="A73" s="8"/>
      <c r="B73" s="214" t="s">
        <v>656</v>
      </c>
      <c r="C73" s="215">
        <v>44630</v>
      </c>
      <c r="D73" s="214" t="s">
        <v>812</v>
      </c>
      <c r="E73" s="214" t="s">
        <v>813</v>
      </c>
      <c r="F73" s="215" t="s">
        <v>774</v>
      </c>
      <c r="G73" s="89">
        <v>2381.23</v>
      </c>
      <c r="H73" s="89"/>
      <c r="I73" s="89">
        <f t="shared" si="1"/>
        <v>-8959.3600000000024</v>
      </c>
      <c r="J73" s="290">
        <v>7789</v>
      </c>
      <c r="K73" s="214" t="s">
        <v>716</v>
      </c>
      <c r="L73" s="287" t="s">
        <v>814</v>
      </c>
    </row>
    <row r="74" spans="1:12">
      <c r="A74" s="8"/>
      <c r="B74" s="214" t="s">
        <v>800</v>
      </c>
      <c r="C74" s="215">
        <v>44635</v>
      </c>
      <c r="D74" s="214"/>
      <c r="E74" s="214"/>
      <c r="F74" s="215"/>
      <c r="G74" s="89"/>
      <c r="H74" s="89">
        <v>7961.06</v>
      </c>
      <c r="I74" s="89">
        <f t="shared" si="1"/>
        <v>-998.300000000002</v>
      </c>
      <c r="J74" s="290">
        <v>-26168</v>
      </c>
      <c r="K74" s="214" t="s">
        <v>716</v>
      </c>
      <c r="L74" s="287" t="s">
        <v>815</v>
      </c>
    </row>
    <row r="75" spans="1:12">
      <c r="A75" s="8"/>
      <c r="B75" s="214" t="s">
        <v>786</v>
      </c>
      <c r="C75" s="215">
        <v>44635</v>
      </c>
      <c r="D75" s="214" t="s">
        <v>816</v>
      </c>
      <c r="E75" s="214"/>
      <c r="F75" s="215"/>
      <c r="G75" s="89"/>
      <c r="H75" s="89">
        <v>66.45</v>
      </c>
      <c r="I75" s="89">
        <f t="shared" si="1"/>
        <v>-931.85000000000196</v>
      </c>
      <c r="J75" s="287"/>
      <c r="K75" s="214" t="s">
        <v>462</v>
      </c>
      <c r="L75" s="287" t="s">
        <v>788</v>
      </c>
    </row>
    <row r="76" spans="1:12">
      <c r="A76" s="8"/>
      <c r="B76" s="214" t="s">
        <v>786</v>
      </c>
      <c r="C76" s="215">
        <v>44635</v>
      </c>
      <c r="D76" s="214" t="s">
        <v>817</v>
      </c>
      <c r="E76" s="214"/>
      <c r="F76" s="215"/>
      <c r="G76" s="89"/>
      <c r="H76" s="89">
        <v>14.41</v>
      </c>
      <c r="I76" s="89">
        <f t="shared" si="1"/>
        <v>-917.44000000000199</v>
      </c>
      <c r="J76" s="287"/>
      <c r="K76" s="214" t="s">
        <v>462</v>
      </c>
      <c r="L76" s="287" t="s">
        <v>788</v>
      </c>
    </row>
    <row r="77" spans="1:12">
      <c r="A77" s="8"/>
      <c r="B77" s="214" t="s">
        <v>786</v>
      </c>
      <c r="C77" s="215">
        <v>44635</v>
      </c>
      <c r="D77" s="214" t="s">
        <v>818</v>
      </c>
      <c r="E77" s="214"/>
      <c r="F77" s="215"/>
      <c r="G77" s="89"/>
      <c r="H77" s="89">
        <v>0.01</v>
      </c>
      <c r="I77" s="89">
        <f t="shared" si="1"/>
        <v>-917.430000000002</v>
      </c>
      <c r="J77" s="287"/>
      <c r="K77" s="214" t="s">
        <v>462</v>
      </c>
      <c r="L77" s="287" t="s">
        <v>788</v>
      </c>
    </row>
    <row r="78" spans="1:12">
      <c r="A78" s="8"/>
      <c r="B78" s="214" t="s">
        <v>786</v>
      </c>
      <c r="C78" s="215">
        <v>44651</v>
      </c>
      <c r="D78" s="214" t="s">
        <v>819</v>
      </c>
      <c r="E78" s="214"/>
      <c r="F78" s="215"/>
      <c r="G78" s="89"/>
      <c r="H78" s="89">
        <v>0.01</v>
      </c>
      <c r="I78" s="89">
        <f t="shared" si="1"/>
        <v>-917.42000000000201</v>
      </c>
      <c r="J78" s="287"/>
      <c r="K78" s="214" t="s">
        <v>462</v>
      </c>
      <c r="L78" s="287" t="s">
        <v>788</v>
      </c>
    </row>
    <row r="79" spans="1:12">
      <c r="A79" s="8"/>
      <c r="B79" s="214" t="s">
        <v>786</v>
      </c>
      <c r="C79" s="215">
        <v>44652</v>
      </c>
      <c r="D79" s="214" t="s">
        <v>820</v>
      </c>
      <c r="E79" s="214"/>
      <c r="F79" s="215" t="s">
        <v>774</v>
      </c>
      <c r="G79" s="89">
        <v>0.01</v>
      </c>
      <c r="H79" s="89"/>
      <c r="I79" s="89">
        <f t="shared" si="1"/>
        <v>-917.430000000002</v>
      </c>
      <c r="J79" s="287"/>
      <c r="K79" s="214" t="s">
        <v>462</v>
      </c>
      <c r="L79" s="287" t="s">
        <v>788</v>
      </c>
    </row>
    <row r="80" spans="1:12">
      <c r="A80" s="8"/>
      <c r="B80" s="214" t="s">
        <v>786</v>
      </c>
      <c r="C80" s="215">
        <v>44681</v>
      </c>
      <c r="D80" s="214" t="s">
        <v>821</v>
      </c>
      <c r="E80" s="214"/>
      <c r="F80" s="215"/>
      <c r="G80" s="89"/>
      <c r="H80" s="89">
        <v>0.01</v>
      </c>
      <c r="I80" s="89">
        <f t="shared" si="1"/>
        <v>-917.42000000000201</v>
      </c>
      <c r="J80" s="287"/>
      <c r="K80" s="214" t="s">
        <v>462</v>
      </c>
      <c r="L80" s="287" t="s">
        <v>788</v>
      </c>
    </row>
    <row r="81" spans="1:12">
      <c r="A81" s="8"/>
      <c r="B81" s="214" t="s">
        <v>786</v>
      </c>
      <c r="C81" s="215">
        <v>44682</v>
      </c>
      <c r="D81" s="214" t="s">
        <v>822</v>
      </c>
      <c r="E81" s="214"/>
      <c r="F81" s="215" t="s">
        <v>774</v>
      </c>
      <c r="G81" s="89">
        <v>0.01</v>
      </c>
      <c r="H81" s="89"/>
      <c r="I81" s="89">
        <f t="shared" si="1"/>
        <v>-917.430000000002</v>
      </c>
      <c r="J81" s="287"/>
      <c r="K81" s="214" t="s">
        <v>462</v>
      </c>
      <c r="L81" s="287" t="s">
        <v>788</v>
      </c>
    </row>
    <row r="82" spans="1:12">
      <c r="A82" s="8"/>
      <c r="B82" s="214" t="s">
        <v>656</v>
      </c>
      <c r="C82" s="215">
        <v>44696</v>
      </c>
      <c r="D82" s="214" t="s">
        <v>823</v>
      </c>
      <c r="E82" s="214" t="s">
        <v>824</v>
      </c>
      <c r="F82" s="215" t="s">
        <v>774</v>
      </c>
      <c r="G82" s="89">
        <v>3027.55</v>
      </c>
      <c r="H82" s="89"/>
      <c r="I82" s="89">
        <f t="shared" si="1"/>
        <v>-3944.9800000000023</v>
      </c>
      <c r="J82" s="290">
        <v>10330</v>
      </c>
      <c r="K82" s="214" t="s">
        <v>716</v>
      </c>
      <c r="L82" s="287" t="s">
        <v>825</v>
      </c>
    </row>
    <row r="83" spans="1:12">
      <c r="A83" s="8"/>
      <c r="B83" s="214" t="s">
        <v>786</v>
      </c>
      <c r="C83" s="215">
        <v>44696</v>
      </c>
      <c r="D83" s="214" t="s">
        <v>826</v>
      </c>
      <c r="E83" s="214"/>
      <c r="F83" s="215"/>
      <c r="G83" s="89"/>
      <c r="H83" s="89">
        <v>0.01</v>
      </c>
      <c r="I83" s="89">
        <f t="shared" si="1"/>
        <v>-3944.9700000000021</v>
      </c>
      <c r="J83" s="290"/>
      <c r="K83" s="214" t="s">
        <v>462</v>
      </c>
      <c r="L83" s="287" t="s">
        <v>788</v>
      </c>
    </row>
    <row r="84" spans="1:12">
      <c r="A84" s="8"/>
      <c r="B84" s="214" t="s">
        <v>656</v>
      </c>
      <c r="C84" s="215">
        <v>44703</v>
      </c>
      <c r="D84" s="214" t="s">
        <v>827</v>
      </c>
      <c r="E84" s="214" t="s">
        <v>828</v>
      </c>
      <c r="F84" s="215" t="s">
        <v>774</v>
      </c>
      <c r="G84" s="89">
        <v>280.14999999999998</v>
      </c>
      <c r="H84" s="89"/>
      <c r="I84" s="89">
        <f t="shared" si="1"/>
        <v>-4225.1200000000017</v>
      </c>
      <c r="J84" s="290">
        <v>941</v>
      </c>
      <c r="K84" s="214" t="s">
        <v>716</v>
      </c>
      <c r="L84" s="287" t="s">
        <v>829</v>
      </c>
    </row>
    <row r="85" spans="1:12">
      <c r="A85" s="8"/>
      <c r="B85" s="214" t="s">
        <v>786</v>
      </c>
      <c r="C85" s="215">
        <v>44703</v>
      </c>
      <c r="D85" s="214" t="s">
        <v>830</v>
      </c>
      <c r="E85" s="214"/>
      <c r="F85" s="215"/>
      <c r="G85" s="89"/>
      <c r="H85" s="89">
        <v>0.01</v>
      </c>
      <c r="I85" s="89">
        <f t="shared" si="1"/>
        <v>-4225.1100000000015</v>
      </c>
      <c r="J85" s="290"/>
      <c r="K85" s="214" t="s">
        <v>462</v>
      </c>
      <c r="L85" s="287" t="s">
        <v>788</v>
      </c>
    </row>
    <row r="86" spans="1:12">
      <c r="A86" s="8"/>
      <c r="B86" s="214" t="s">
        <v>786</v>
      </c>
      <c r="C86" s="215">
        <v>44712</v>
      </c>
      <c r="D86" s="214" t="s">
        <v>831</v>
      </c>
      <c r="E86" s="214"/>
      <c r="F86" s="215" t="s">
        <v>774</v>
      </c>
      <c r="G86" s="89">
        <v>68.89</v>
      </c>
      <c r="H86" s="89"/>
      <c r="I86" s="89">
        <f t="shared" si="1"/>
        <v>-4294.0000000000018</v>
      </c>
      <c r="J86" s="290"/>
      <c r="K86" s="214" t="s">
        <v>462</v>
      </c>
      <c r="L86" s="287" t="s">
        <v>788</v>
      </c>
    </row>
    <row r="87" spans="1:12">
      <c r="A87" s="8"/>
      <c r="B87" s="214" t="s">
        <v>786</v>
      </c>
      <c r="C87" s="215">
        <v>44713</v>
      </c>
      <c r="D87" s="214" t="s">
        <v>832</v>
      </c>
      <c r="E87" s="214"/>
      <c r="F87" s="215"/>
      <c r="G87" s="89"/>
      <c r="H87" s="89">
        <v>68.89</v>
      </c>
      <c r="I87" s="89">
        <f t="shared" si="1"/>
        <v>-4225.1100000000015</v>
      </c>
      <c r="J87" s="290"/>
      <c r="K87" s="214" t="s">
        <v>462</v>
      </c>
      <c r="L87" s="287" t="s">
        <v>788</v>
      </c>
    </row>
    <row r="88" spans="1:12">
      <c r="A88" s="8"/>
      <c r="B88" s="214" t="s">
        <v>800</v>
      </c>
      <c r="C88" s="215">
        <v>44728</v>
      </c>
      <c r="D88" s="214"/>
      <c r="E88" s="214"/>
      <c r="F88" s="215"/>
      <c r="G88" s="89"/>
      <c r="H88" s="89">
        <v>3254.69</v>
      </c>
      <c r="I88" s="89">
        <f t="shared" si="1"/>
        <v>-970.42000000000144</v>
      </c>
      <c r="J88" s="290">
        <v>-11271</v>
      </c>
      <c r="K88" s="214" t="s">
        <v>716</v>
      </c>
      <c r="L88" s="287" t="s">
        <v>833</v>
      </c>
    </row>
    <row r="89" spans="1:12">
      <c r="A89" s="8"/>
      <c r="B89" s="214" t="s">
        <v>786</v>
      </c>
      <c r="C89" s="215">
        <v>44728</v>
      </c>
      <c r="D89" s="214" t="s">
        <v>834</v>
      </c>
      <c r="E89" s="214"/>
      <c r="F89" s="215"/>
      <c r="G89" s="89"/>
      <c r="H89" s="89">
        <v>52.99</v>
      </c>
      <c r="I89" s="89">
        <f t="shared" si="1"/>
        <v>-917.43000000000143</v>
      </c>
      <c r="J89" s="287"/>
      <c r="K89" s="214" t="s">
        <v>462</v>
      </c>
      <c r="L89" s="287" t="s">
        <v>788</v>
      </c>
    </row>
    <row r="90" spans="1:12">
      <c r="A90" s="8"/>
      <c r="B90" s="214" t="s">
        <v>656</v>
      </c>
      <c r="C90" s="215">
        <v>44738</v>
      </c>
      <c r="D90" s="214" t="s">
        <v>835</v>
      </c>
      <c r="E90" s="214" t="s">
        <v>836</v>
      </c>
      <c r="F90" s="215" t="s">
        <v>774</v>
      </c>
      <c r="G90" s="89">
        <v>2797.51</v>
      </c>
      <c r="H90" s="89"/>
      <c r="I90" s="89">
        <f t="shared" si="1"/>
        <v>-3714.9400000000014</v>
      </c>
      <c r="J90" s="290">
        <v>9629</v>
      </c>
      <c r="K90" s="214" t="s">
        <v>716</v>
      </c>
      <c r="L90" s="287" t="s">
        <v>837</v>
      </c>
    </row>
    <row r="91" spans="1:12">
      <c r="A91" s="8"/>
      <c r="B91" s="214" t="s">
        <v>786</v>
      </c>
      <c r="C91" s="215">
        <v>44738</v>
      </c>
      <c r="D91" s="214" t="s">
        <v>838</v>
      </c>
      <c r="E91" s="214"/>
      <c r="F91" s="215"/>
      <c r="G91" s="89"/>
      <c r="H91" s="89">
        <v>0.01</v>
      </c>
      <c r="I91" s="89">
        <f t="shared" si="1"/>
        <v>-3714.9300000000012</v>
      </c>
      <c r="J91" s="290"/>
      <c r="K91" s="214" t="s">
        <v>462</v>
      </c>
      <c r="L91" s="287" t="s">
        <v>788</v>
      </c>
    </row>
    <row r="92" spans="1:12">
      <c r="A92" s="8"/>
      <c r="B92" s="214" t="s">
        <v>800</v>
      </c>
      <c r="C92" s="215">
        <v>44741</v>
      </c>
      <c r="D92" s="214"/>
      <c r="E92" s="214"/>
      <c r="F92" s="215"/>
      <c r="G92" s="89"/>
      <c r="H92" s="89">
        <v>2791.01</v>
      </c>
      <c r="I92" s="89">
        <f t="shared" si="1"/>
        <v>-923.92000000000098</v>
      </c>
      <c r="J92" s="290">
        <v>-9629</v>
      </c>
      <c r="K92" s="214" t="s">
        <v>716</v>
      </c>
      <c r="L92" s="287" t="s">
        <v>839</v>
      </c>
    </row>
    <row r="93" spans="1:12">
      <c r="A93" s="8"/>
      <c r="B93" s="214" t="s">
        <v>786</v>
      </c>
      <c r="C93" s="215">
        <v>44741</v>
      </c>
      <c r="D93" s="214" t="s">
        <v>840</v>
      </c>
      <c r="E93" s="214"/>
      <c r="F93" s="215"/>
      <c r="G93" s="89"/>
      <c r="H93" s="89">
        <v>6.49</v>
      </c>
      <c r="I93" s="89">
        <f t="shared" si="1"/>
        <v>-917.43000000000097</v>
      </c>
      <c r="J93" s="287"/>
      <c r="K93" s="214" t="s">
        <v>462</v>
      </c>
      <c r="L93" s="287" t="s">
        <v>788</v>
      </c>
    </row>
    <row r="94" spans="1:12">
      <c r="A94" s="8"/>
      <c r="B94" s="214" t="s">
        <v>786</v>
      </c>
      <c r="C94" s="215">
        <v>44742</v>
      </c>
      <c r="D94" s="214" t="s">
        <v>841</v>
      </c>
      <c r="E94" s="214"/>
      <c r="F94" s="215"/>
      <c r="G94" s="89"/>
      <c r="H94" s="89">
        <v>0.01</v>
      </c>
      <c r="I94" s="89">
        <f t="shared" si="1"/>
        <v>-917.42000000000098</v>
      </c>
      <c r="J94" s="287"/>
      <c r="K94" s="214" t="s">
        <v>462</v>
      </c>
      <c r="L94" s="287" t="s">
        <v>788</v>
      </c>
    </row>
    <row r="95" spans="1:12">
      <c r="A95" s="8"/>
      <c r="B95" s="214" t="s">
        <v>786</v>
      </c>
      <c r="C95" s="215">
        <v>44743</v>
      </c>
      <c r="D95" s="214" t="s">
        <v>842</v>
      </c>
      <c r="E95" s="214"/>
      <c r="F95" s="215" t="s">
        <v>774</v>
      </c>
      <c r="G95" s="89">
        <v>0.01</v>
      </c>
      <c r="H95" s="89"/>
      <c r="I95" s="89">
        <f t="shared" si="1"/>
        <v>-917.43000000000097</v>
      </c>
      <c r="J95" s="287"/>
      <c r="K95" s="214" t="s">
        <v>462</v>
      </c>
      <c r="L95" s="287" t="s">
        <v>788</v>
      </c>
    </row>
    <row r="96" spans="1:12">
      <c r="A96" s="8"/>
      <c r="B96" s="214" t="s">
        <v>786</v>
      </c>
      <c r="C96" s="215">
        <v>44773</v>
      </c>
      <c r="D96" s="214" t="s">
        <v>843</v>
      </c>
      <c r="E96" s="214"/>
      <c r="F96" s="215"/>
      <c r="G96" s="89"/>
      <c r="H96" s="89">
        <v>0.01</v>
      </c>
      <c r="I96" s="89">
        <f t="shared" si="1"/>
        <v>-917.42000000000098</v>
      </c>
      <c r="J96" s="287"/>
      <c r="K96" s="214" t="s">
        <v>462</v>
      </c>
      <c r="L96" s="287" t="s">
        <v>788</v>
      </c>
    </row>
    <row r="97" spans="1:12">
      <c r="A97" s="8"/>
      <c r="B97" s="214" t="s">
        <v>786</v>
      </c>
      <c r="C97" s="215">
        <v>44774</v>
      </c>
      <c r="D97" s="214" t="s">
        <v>844</v>
      </c>
      <c r="E97" s="214"/>
      <c r="F97" s="215" t="s">
        <v>774</v>
      </c>
      <c r="G97" s="89">
        <v>0.01</v>
      </c>
      <c r="H97" s="89"/>
      <c r="I97" s="89">
        <f t="shared" si="1"/>
        <v>-917.43000000000097</v>
      </c>
      <c r="J97" s="287"/>
      <c r="K97" s="214" t="s">
        <v>462</v>
      </c>
      <c r="L97" s="287" t="s">
        <v>788</v>
      </c>
    </row>
    <row r="98" spans="1:12">
      <c r="A98" s="8"/>
      <c r="B98" s="214" t="s">
        <v>656</v>
      </c>
      <c r="C98" s="215">
        <v>44782</v>
      </c>
      <c r="D98" s="214" t="s">
        <v>845</v>
      </c>
      <c r="E98" s="214" t="s">
        <v>846</v>
      </c>
      <c r="F98" s="215" t="s">
        <v>774</v>
      </c>
      <c r="G98" s="89">
        <v>3199.27</v>
      </c>
      <c r="H98" s="89"/>
      <c r="I98" s="89">
        <f t="shared" si="1"/>
        <v>-4116.7000000000007</v>
      </c>
      <c r="J98" s="290">
        <v>10580</v>
      </c>
      <c r="K98" s="214" t="s">
        <v>716</v>
      </c>
      <c r="L98" s="287" t="s">
        <v>847</v>
      </c>
    </row>
    <row r="99" spans="1:12">
      <c r="A99" s="8"/>
      <c r="B99" s="214" t="s">
        <v>656</v>
      </c>
      <c r="C99" s="215">
        <v>44801</v>
      </c>
      <c r="D99" s="214" t="s">
        <v>848</v>
      </c>
      <c r="E99" s="214" t="s">
        <v>849</v>
      </c>
      <c r="F99" s="215" t="s">
        <v>774</v>
      </c>
      <c r="G99" s="89">
        <v>2511.21</v>
      </c>
      <c r="H99" s="89"/>
      <c r="I99" s="89">
        <f t="shared" si="1"/>
        <v>-6627.9100000000008</v>
      </c>
      <c r="J99" s="290">
        <v>8184</v>
      </c>
      <c r="K99" s="214" t="s">
        <v>716</v>
      </c>
      <c r="L99" s="287" t="s">
        <v>850</v>
      </c>
    </row>
    <row r="100" spans="1:12">
      <c r="A100" s="8"/>
      <c r="B100" s="214" t="s">
        <v>786</v>
      </c>
      <c r="C100" s="215">
        <v>44804</v>
      </c>
      <c r="D100" s="214" t="s">
        <v>851</v>
      </c>
      <c r="E100" s="214"/>
      <c r="F100" s="215"/>
      <c r="G100" s="89"/>
      <c r="H100" s="89">
        <v>94.2</v>
      </c>
      <c r="I100" s="89">
        <f t="shared" si="1"/>
        <v>-6533.7100000000009</v>
      </c>
      <c r="J100" s="290"/>
      <c r="K100" s="214" t="s">
        <v>462</v>
      </c>
      <c r="L100" s="287" t="s">
        <v>788</v>
      </c>
    </row>
    <row r="101" spans="1:12">
      <c r="A101" s="8"/>
      <c r="B101" s="214" t="s">
        <v>800</v>
      </c>
      <c r="C101" s="215">
        <v>44805</v>
      </c>
      <c r="D101" s="214"/>
      <c r="E101" s="214"/>
      <c r="F101" s="215"/>
      <c r="G101" s="89"/>
      <c r="H101" s="89">
        <v>5577.88</v>
      </c>
      <c r="I101" s="89">
        <f t="shared" si="1"/>
        <v>-955.83000000000084</v>
      </c>
      <c r="J101" s="290">
        <v>-18764</v>
      </c>
      <c r="K101" s="214" t="s">
        <v>716</v>
      </c>
      <c r="L101" s="287" t="s">
        <v>852</v>
      </c>
    </row>
    <row r="102" spans="1:12">
      <c r="A102" s="8"/>
      <c r="B102" s="214" t="s">
        <v>786</v>
      </c>
      <c r="C102" s="215">
        <v>44805</v>
      </c>
      <c r="D102" s="214" t="s">
        <v>853</v>
      </c>
      <c r="E102" s="214"/>
      <c r="F102" s="215"/>
      <c r="G102" s="89"/>
      <c r="H102" s="89">
        <v>132.6</v>
      </c>
      <c r="I102" s="89">
        <f t="shared" si="1"/>
        <v>-823.23000000000081</v>
      </c>
      <c r="J102" s="287"/>
      <c r="K102" s="214" t="s">
        <v>462</v>
      </c>
      <c r="L102" s="287" t="s">
        <v>788</v>
      </c>
    </row>
    <row r="103" spans="1:12">
      <c r="A103" s="8"/>
      <c r="B103" s="214" t="s">
        <v>786</v>
      </c>
      <c r="C103" s="215">
        <v>44805</v>
      </c>
      <c r="D103" s="214" t="s">
        <v>854</v>
      </c>
      <c r="E103" s="214"/>
      <c r="F103" s="215" t="s">
        <v>774</v>
      </c>
      <c r="G103" s="89">
        <v>94.2</v>
      </c>
      <c r="H103" s="89"/>
      <c r="I103" s="89">
        <f t="shared" si="1"/>
        <v>-917.43000000000086</v>
      </c>
      <c r="J103" s="287"/>
      <c r="K103" s="214" t="s">
        <v>462</v>
      </c>
      <c r="L103" s="287" t="s">
        <v>788</v>
      </c>
    </row>
    <row r="104" spans="1:12">
      <c r="A104" s="8"/>
      <c r="B104" s="214" t="s">
        <v>786</v>
      </c>
      <c r="C104" s="215">
        <v>44834</v>
      </c>
      <c r="D104" s="214" t="s">
        <v>855</v>
      </c>
      <c r="E104" s="214"/>
      <c r="F104" s="215"/>
      <c r="G104" s="89"/>
      <c r="H104" s="89">
        <v>0.01</v>
      </c>
      <c r="I104" s="89">
        <f t="shared" si="1"/>
        <v>-917.42000000000087</v>
      </c>
      <c r="J104" s="287"/>
      <c r="K104" s="214" t="s">
        <v>462</v>
      </c>
      <c r="L104" s="287" t="s">
        <v>788</v>
      </c>
    </row>
    <row r="105" spans="1:12">
      <c r="A105" s="8"/>
      <c r="B105" s="214" t="s">
        <v>786</v>
      </c>
      <c r="C105" s="215">
        <v>44835</v>
      </c>
      <c r="D105" s="214" t="s">
        <v>856</v>
      </c>
      <c r="E105" s="214"/>
      <c r="F105" s="215" t="s">
        <v>774</v>
      </c>
      <c r="G105" s="89">
        <v>0.01</v>
      </c>
      <c r="H105" s="89"/>
      <c r="I105" s="89">
        <f t="shared" si="1"/>
        <v>-917.43000000000086</v>
      </c>
      <c r="J105" s="287"/>
      <c r="K105" s="214" t="s">
        <v>462</v>
      </c>
      <c r="L105" s="287" t="s">
        <v>788</v>
      </c>
    </row>
    <row r="106" spans="1:12">
      <c r="A106" s="8"/>
      <c r="B106" s="214" t="s">
        <v>786</v>
      </c>
      <c r="C106" s="215">
        <v>44865</v>
      </c>
      <c r="D106" s="214" t="s">
        <v>857</v>
      </c>
      <c r="E106" s="214"/>
      <c r="F106" s="215"/>
      <c r="G106" s="89"/>
      <c r="H106" s="89">
        <v>0.01</v>
      </c>
      <c r="I106" s="89">
        <f t="shared" si="1"/>
        <v>-917.42000000000087</v>
      </c>
      <c r="J106" s="287"/>
      <c r="K106" s="214" t="s">
        <v>462</v>
      </c>
      <c r="L106" s="287" t="s">
        <v>788</v>
      </c>
    </row>
    <row r="107" spans="1:12">
      <c r="A107" s="8"/>
      <c r="B107" s="214" t="s">
        <v>786</v>
      </c>
      <c r="C107" s="215">
        <v>44866</v>
      </c>
      <c r="D107" s="214" t="s">
        <v>858</v>
      </c>
      <c r="E107" s="214"/>
      <c r="F107" s="215" t="s">
        <v>774</v>
      </c>
      <c r="G107" s="89">
        <v>0.01</v>
      </c>
      <c r="H107" s="89"/>
      <c r="I107" s="89">
        <f t="shared" si="1"/>
        <v>-917.43000000000086</v>
      </c>
      <c r="J107" s="287"/>
      <c r="K107" s="214" t="s">
        <v>462</v>
      </c>
      <c r="L107" s="287" t="s">
        <v>788</v>
      </c>
    </row>
    <row r="108" spans="1:12">
      <c r="A108" s="8"/>
      <c r="B108" s="214" t="s">
        <v>786</v>
      </c>
      <c r="C108" s="215">
        <v>44895</v>
      </c>
      <c r="D108" s="214" t="s">
        <v>859</v>
      </c>
      <c r="E108" s="214"/>
      <c r="F108" s="215"/>
      <c r="G108" s="89"/>
      <c r="H108" s="89">
        <v>0.01</v>
      </c>
      <c r="I108" s="89">
        <f t="shared" si="1"/>
        <v>-917.42000000000087</v>
      </c>
      <c r="J108" s="287"/>
      <c r="K108" s="214" t="s">
        <v>462</v>
      </c>
      <c r="L108" s="287" t="s">
        <v>788</v>
      </c>
    </row>
    <row r="109" spans="1:12">
      <c r="A109" s="8"/>
      <c r="B109" s="214" t="s">
        <v>786</v>
      </c>
      <c r="C109" s="215">
        <v>44896</v>
      </c>
      <c r="D109" s="214" t="s">
        <v>860</v>
      </c>
      <c r="E109" s="214"/>
      <c r="F109" s="215" t="s">
        <v>774</v>
      </c>
      <c r="G109" s="89">
        <v>0.01</v>
      </c>
      <c r="H109" s="89"/>
      <c r="I109" s="89">
        <f t="shared" si="1"/>
        <v>-917.43000000000086</v>
      </c>
      <c r="J109" s="287"/>
      <c r="K109" s="214" t="s">
        <v>462</v>
      </c>
      <c r="L109" s="287" t="s">
        <v>788</v>
      </c>
    </row>
    <row r="110" spans="1:12">
      <c r="A110" s="8"/>
      <c r="B110" s="214" t="s">
        <v>786</v>
      </c>
      <c r="C110" s="215">
        <v>44901</v>
      </c>
      <c r="D110" s="214" t="s">
        <v>861</v>
      </c>
      <c r="E110" s="214"/>
      <c r="F110" s="215"/>
      <c r="G110" s="89"/>
      <c r="H110" s="89">
        <v>0.01</v>
      </c>
      <c r="I110" s="89">
        <f t="shared" si="1"/>
        <v>-917.42000000000087</v>
      </c>
      <c r="J110" s="287"/>
      <c r="K110" s="214" t="s">
        <v>462</v>
      </c>
      <c r="L110" s="287" t="s">
        <v>788</v>
      </c>
    </row>
    <row r="111" spans="1:12">
      <c r="A111" s="8"/>
      <c r="B111" s="214" t="s">
        <v>786</v>
      </c>
      <c r="C111" s="215">
        <v>44926</v>
      </c>
      <c r="D111" s="214" t="s">
        <v>862</v>
      </c>
      <c r="E111" s="214"/>
      <c r="F111" s="215"/>
      <c r="G111" s="89"/>
      <c r="H111" s="89">
        <v>105.12</v>
      </c>
      <c r="I111" s="89">
        <f t="shared" si="1"/>
        <v>-812.30000000000086</v>
      </c>
      <c r="J111" s="287"/>
      <c r="K111" s="214" t="s">
        <v>462</v>
      </c>
      <c r="L111" s="287" t="s">
        <v>788</v>
      </c>
    </row>
    <row r="112" spans="1:12">
      <c r="A112" s="8"/>
      <c r="B112" s="214" t="s">
        <v>786</v>
      </c>
      <c r="C112" s="215">
        <v>44927</v>
      </c>
      <c r="D112" s="214" t="s">
        <v>863</v>
      </c>
      <c r="E112" s="214"/>
      <c r="F112" s="215" t="s">
        <v>774</v>
      </c>
      <c r="G112" s="89">
        <v>105.12</v>
      </c>
      <c r="H112" s="89"/>
      <c r="I112" s="89">
        <f t="shared" si="1"/>
        <v>-917.42000000000087</v>
      </c>
      <c r="J112" s="287"/>
      <c r="K112" s="214" t="s">
        <v>462</v>
      </c>
      <c r="L112" s="287" t="s">
        <v>788</v>
      </c>
    </row>
    <row r="113" spans="1:12">
      <c r="A113" s="8"/>
      <c r="B113" s="214" t="s">
        <v>656</v>
      </c>
      <c r="C113" s="215">
        <v>45116</v>
      </c>
      <c r="D113" s="214" t="s">
        <v>864</v>
      </c>
      <c r="E113" s="214" t="s">
        <v>865</v>
      </c>
      <c r="F113" s="215" t="s">
        <v>774</v>
      </c>
      <c r="G113" s="89">
        <v>2542.38</v>
      </c>
      <c r="H113" s="89"/>
      <c r="I113" s="89">
        <f t="shared" si="1"/>
        <v>-3459.8000000000011</v>
      </c>
      <c r="J113" s="290">
        <v>9450</v>
      </c>
      <c r="K113" s="214" t="s">
        <v>716</v>
      </c>
      <c r="L113" s="287" t="s">
        <v>866</v>
      </c>
    </row>
    <row r="114" spans="1:12">
      <c r="A114" s="8"/>
      <c r="B114" s="214" t="s">
        <v>786</v>
      </c>
      <c r="C114" s="215">
        <v>45116</v>
      </c>
      <c r="D114" s="214" t="s">
        <v>867</v>
      </c>
      <c r="E114" s="214"/>
      <c r="F114" s="215"/>
      <c r="G114" s="89"/>
      <c r="H114" s="89">
        <v>0.01</v>
      </c>
      <c r="I114" s="89">
        <f t="shared" si="1"/>
        <v>-3459.7900000000009</v>
      </c>
      <c r="J114" s="290"/>
      <c r="K114" s="214" t="s">
        <v>462</v>
      </c>
      <c r="L114" s="287" t="s">
        <v>788</v>
      </c>
    </row>
    <row r="115" spans="1:12">
      <c r="A115" s="8"/>
      <c r="B115" s="214" t="s">
        <v>800</v>
      </c>
      <c r="C115" s="215">
        <v>45119</v>
      </c>
      <c r="D115" s="214"/>
      <c r="E115" s="214"/>
      <c r="F115" s="215"/>
      <c r="G115" s="89"/>
      <c r="H115" s="89">
        <v>2578.44</v>
      </c>
      <c r="I115" s="89">
        <f t="shared" si="1"/>
        <v>-881.35000000000082</v>
      </c>
      <c r="J115" s="290">
        <v>-9450</v>
      </c>
      <c r="K115" s="214" t="s">
        <v>716</v>
      </c>
      <c r="L115" s="287" t="s">
        <v>868</v>
      </c>
    </row>
    <row r="116" spans="1:12">
      <c r="A116" s="8"/>
      <c r="B116" s="214" t="s">
        <v>786</v>
      </c>
      <c r="C116" s="215">
        <v>45119</v>
      </c>
      <c r="D116" s="214" t="s">
        <v>869</v>
      </c>
      <c r="E116" s="214"/>
      <c r="F116" s="215"/>
      <c r="G116" s="89">
        <v>36.07</v>
      </c>
      <c r="H116" s="89"/>
      <c r="I116" s="89">
        <f t="shared" si="1"/>
        <v>-917.42000000000087</v>
      </c>
      <c r="J116" s="287"/>
      <c r="K116" s="214" t="s">
        <v>462</v>
      </c>
      <c r="L116" s="287" t="s">
        <v>788</v>
      </c>
    </row>
    <row r="117" spans="1:12" ht="10.5">
      <c r="A117" s="291" t="s">
        <v>870</v>
      </c>
      <c r="B117" s="292"/>
      <c r="C117" s="293"/>
      <c r="D117" s="292"/>
      <c r="E117" s="292"/>
      <c r="F117" s="293"/>
      <c r="G117" s="294">
        <f>SUM(G55:G116)</f>
        <v>34216.669999999984</v>
      </c>
      <c r="H117" s="294">
        <f>SUM(H55:H116)</f>
        <v>33299.249999999978</v>
      </c>
      <c r="I117" s="294">
        <f>I116</f>
        <v>-917.42000000000087</v>
      </c>
      <c r="J117" s="295"/>
      <c r="K117" s="292"/>
      <c r="L117" s="295"/>
    </row>
    <row r="118" spans="1:12" ht="10.5">
      <c r="A118" s="296" t="s">
        <v>871</v>
      </c>
      <c r="B118" s="292"/>
      <c r="C118" s="293"/>
      <c r="D118" s="292"/>
      <c r="E118" s="292"/>
      <c r="F118" s="293"/>
      <c r="G118" s="294">
        <f>SUM(G54,G117)</f>
        <v>34216.669999999984</v>
      </c>
      <c r="H118" s="294">
        <f>SUM(H54,H117)</f>
        <v>33299.249999999978</v>
      </c>
      <c r="I118" s="294">
        <f>I54+I117</f>
        <v>-917.42000000000087</v>
      </c>
      <c r="J118" s="295"/>
      <c r="K118" s="292"/>
      <c r="L118" s="295"/>
    </row>
    <row r="119" spans="1:12" ht="10.5">
      <c r="A119" s="292" t="s">
        <v>872</v>
      </c>
      <c r="B119" s="292"/>
      <c r="C119" s="293"/>
      <c r="D119" s="292"/>
      <c r="E119" s="292"/>
      <c r="F119" s="293"/>
      <c r="G119" s="294">
        <f>SUM(G53,G118)</f>
        <v>34216.669999999984</v>
      </c>
      <c r="H119" s="294">
        <f>SUM(H53,H118)</f>
        <v>33299.249999999978</v>
      </c>
      <c r="I119" s="294">
        <f>I53+I118</f>
        <v>-917.42000000000087</v>
      </c>
      <c r="J119" s="295"/>
      <c r="K119" s="292"/>
      <c r="L119" s="295"/>
    </row>
    <row r="120" spans="1:12" ht="10.5">
      <c r="A120" s="292" t="s">
        <v>12</v>
      </c>
      <c r="B120" s="292"/>
      <c r="C120" s="293"/>
      <c r="D120" s="292"/>
      <c r="E120" s="292"/>
      <c r="F120" s="293"/>
      <c r="G120" s="294">
        <f>SUM(G119)</f>
        <v>34216.669999999984</v>
      </c>
      <c r="H120" s="294">
        <f>SUM(H119)</f>
        <v>33299.249999999978</v>
      </c>
      <c r="I120" s="294">
        <f>0+I119</f>
        <v>-917.42000000000087</v>
      </c>
      <c r="J120" s="295"/>
      <c r="K120" s="292"/>
      <c r="L120" s="295"/>
    </row>
  </sheetData>
  <mergeCells count="12">
    <mergeCell ref="A51:L51"/>
    <mergeCell ref="A46:L46"/>
    <mergeCell ref="A47:L47"/>
    <mergeCell ref="A48:L48"/>
    <mergeCell ref="A49:L49"/>
    <mergeCell ref="A50:L50"/>
    <mergeCell ref="A6:F6"/>
    <mergeCell ref="A1:F1"/>
    <mergeCell ref="A2:F2"/>
    <mergeCell ref="A3:F3"/>
    <mergeCell ref="A4:F4"/>
    <mergeCell ref="A5:F5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3498-DE0D-4E33-8BA2-838BE5641403}">
  <dimension ref="A1"/>
  <sheetViews>
    <sheetView workbookViewId="0"/>
  </sheetViews>
  <sheetFormatPr defaultRowHeight="10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C2F2-29DE-47C4-8951-0400D97A7B28}">
  <dimension ref="A4:M102"/>
  <sheetViews>
    <sheetView topLeftCell="A54" workbookViewId="0"/>
  </sheetViews>
  <sheetFormatPr defaultRowHeight="10"/>
  <cols>
    <col min="1" max="1" width="57" customWidth="1"/>
    <col min="2" max="2" width="14.44140625" bestFit="1" customWidth="1"/>
    <col min="3" max="3" width="28.109375" customWidth="1"/>
    <col min="4" max="4" width="17.44140625" customWidth="1"/>
    <col min="5" max="5" width="15.33203125" customWidth="1"/>
    <col min="6" max="6" width="16" customWidth="1"/>
    <col min="7" max="7" width="15.44140625" bestFit="1" customWidth="1"/>
    <col min="8" max="8" width="18.109375" bestFit="1" customWidth="1"/>
    <col min="9" max="9" width="15.33203125" bestFit="1" customWidth="1"/>
    <col min="10" max="10" width="18.77734375" bestFit="1" customWidth="1"/>
    <col min="12" max="12" width="9.44140625" bestFit="1" customWidth="1"/>
  </cols>
  <sheetData>
    <row r="4" spans="1:3" ht="10.5">
      <c r="A4" s="87" t="s">
        <v>603</v>
      </c>
      <c r="B4" t="s">
        <v>604</v>
      </c>
    </row>
    <row r="5" spans="1:3" ht="13.5" thickBot="1">
      <c r="C5" s="144" t="s">
        <v>631</v>
      </c>
    </row>
    <row r="7" spans="1:3">
      <c r="C7" t="s">
        <v>605</v>
      </c>
    </row>
    <row r="9" spans="1:3" ht="10.5">
      <c r="A9" s="87" t="s">
        <v>606</v>
      </c>
      <c r="B9" t="s">
        <v>604</v>
      </c>
      <c r="C9" s="13">
        <f>-E95</f>
        <v>-7371</v>
      </c>
    </row>
    <row r="10" spans="1:3">
      <c r="C10" s="13"/>
    </row>
    <row r="11" spans="1:3">
      <c r="A11" s="326" t="s">
        <v>607</v>
      </c>
      <c r="B11" t="s">
        <v>604</v>
      </c>
      <c r="C11" s="13"/>
    </row>
    <row r="12" spans="1:3">
      <c r="A12" s="326"/>
      <c r="C12" s="13"/>
    </row>
    <row r="13" spans="1:3" ht="10.5">
      <c r="A13" s="146"/>
      <c r="C13" s="13"/>
    </row>
    <row r="14" spans="1:3">
      <c r="A14" t="s">
        <v>608</v>
      </c>
      <c r="B14" t="s">
        <v>604</v>
      </c>
      <c r="C14" s="13">
        <f>-E82</f>
        <v>28.55433</v>
      </c>
    </row>
    <row r="15" spans="1:3">
      <c r="A15" t="s">
        <v>609</v>
      </c>
      <c r="B15" t="s">
        <v>604</v>
      </c>
      <c r="C15" s="13">
        <f>-E92</f>
        <v>257.13699999999994</v>
      </c>
    </row>
    <row r="16" spans="1:3">
      <c r="A16" t="s">
        <v>610</v>
      </c>
      <c r="C16" s="13">
        <f>-E81</f>
        <v>4</v>
      </c>
    </row>
    <row r="17" spans="1:3">
      <c r="A17" t="s">
        <v>611</v>
      </c>
      <c r="C17" s="13">
        <f>-E88</f>
        <v>-2</v>
      </c>
    </row>
    <row r="18" spans="1:3">
      <c r="C18" s="13"/>
    </row>
    <row r="19" spans="1:3">
      <c r="A19" t="s">
        <v>612</v>
      </c>
      <c r="C19" s="13">
        <f>-E87</f>
        <v>0</v>
      </c>
    </row>
    <row r="20" spans="1:3">
      <c r="C20" s="13"/>
    </row>
    <row r="21" spans="1:3">
      <c r="A21" t="s">
        <v>613</v>
      </c>
      <c r="B21" t="s">
        <v>604</v>
      </c>
      <c r="C21" s="13"/>
    </row>
    <row r="22" spans="1:3">
      <c r="A22" t="s">
        <v>614</v>
      </c>
      <c r="B22" t="s">
        <v>604</v>
      </c>
      <c r="C22" s="13">
        <f>-E79</f>
        <v>-1020</v>
      </c>
    </row>
    <row r="23" spans="1:3">
      <c r="A23" t="s">
        <v>615</v>
      </c>
      <c r="B23" t="s">
        <v>604</v>
      </c>
      <c r="C23" s="13">
        <f>-E80</f>
        <v>-517</v>
      </c>
    </row>
    <row r="24" spans="1:3">
      <c r="A24" t="s">
        <v>616</v>
      </c>
      <c r="B24" t="s">
        <v>604</v>
      </c>
      <c r="C24" s="13">
        <f>-E83</f>
        <v>69</v>
      </c>
    </row>
    <row r="25" spans="1:3">
      <c r="A25" t="s">
        <v>450</v>
      </c>
      <c r="B25" t="s">
        <v>604</v>
      </c>
      <c r="C25" s="13">
        <f>-E84</f>
        <v>47</v>
      </c>
    </row>
    <row r="26" spans="1:3">
      <c r="A26" t="s">
        <v>617</v>
      </c>
      <c r="C26" s="13">
        <f>-E85</f>
        <v>0</v>
      </c>
    </row>
    <row r="27" spans="1:3">
      <c r="B27" t="s">
        <v>604</v>
      </c>
      <c r="C27" s="13"/>
    </row>
    <row r="28" spans="1:3" ht="10.5">
      <c r="A28" s="87" t="s">
        <v>618</v>
      </c>
      <c r="B28" t="s">
        <v>604</v>
      </c>
      <c r="C28" s="148">
        <f>SUM(C9:C27)</f>
        <v>-8504.3086700000003</v>
      </c>
    </row>
    <row r="29" spans="1:3">
      <c r="B29" t="s">
        <v>604</v>
      </c>
      <c r="C29" s="13"/>
    </row>
    <row r="30" spans="1:3" ht="10.5">
      <c r="A30" s="87" t="s">
        <v>619</v>
      </c>
      <c r="B30" t="s">
        <v>604</v>
      </c>
      <c r="C30" s="13"/>
    </row>
    <row r="31" spans="1:3">
      <c r="B31" t="s">
        <v>604</v>
      </c>
      <c r="C31" s="13"/>
    </row>
    <row r="32" spans="1:3">
      <c r="A32" t="s">
        <v>620</v>
      </c>
      <c r="C32" s="13">
        <f>-F78-284</f>
        <v>-11416</v>
      </c>
    </row>
    <row r="33" spans="1:5">
      <c r="A33" t="s">
        <v>621</v>
      </c>
      <c r="B33" t="s">
        <v>604</v>
      </c>
      <c r="C33" s="13">
        <f>-F82</f>
        <v>-92.63257999999999</v>
      </c>
    </row>
    <row r="34" spans="1:5">
      <c r="B34" t="s">
        <v>604</v>
      </c>
      <c r="C34" s="13"/>
    </row>
    <row r="35" spans="1:5" ht="10.5">
      <c r="A35" t="s">
        <v>622</v>
      </c>
      <c r="B35" t="s">
        <v>604</v>
      </c>
      <c r="C35" s="148">
        <f>-F96</f>
        <v>-11508.63258</v>
      </c>
    </row>
    <row r="36" spans="1:5">
      <c r="B36" t="s">
        <v>604</v>
      </c>
      <c r="C36" s="13"/>
    </row>
    <row r="37" spans="1:5" ht="10.5">
      <c r="A37" s="87" t="s">
        <v>623</v>
      </c>
      <c r="B37" t="s">
        <v>604</v>
      </c>
      <c r="C37" s="13"/>
    </row>
    <row r="38" spans="1:5">
      <c r="B38" t="s">
        <v>604</v>
      </c>
      <c r="C38" s="13"/>
    </row>
    <row r="39" spans="1:5">
      <c r="A39" t="s">
        <v>624</v>
      </c>
      <c r="C39" s="13"/>
    </row>
    <row r="40" spans="1:5">
      <c r="A40" t="s">
        <v>625</v>
      </c>
      <c r="C40" s="13">
        <f>-G91-G89</f>
        <v>3185.7059999999983</v>
      </c>
    </row>
    <row r="41" spans="1:5">
      <c r="A41" t="s">
        <v>626</v>
      </c>
      <c r="B41" t="s">
        <v>604</v>
      </c>
      <c r="C41" s="117"/>
    </row>
    <row r="42" spans="1:5">
      <c r="B42" t="s">
        <v>604</v>
      </c>
      <c r="C42" s="13"/>
    </row>
    <row r="43" spans="1:5" ht="10.5">
      <c r="A43" s="87" t="s">
        <v>627</v>
      </c>
      <c r="B43" t="s">
        <v>604</v>
      </c>
      <c r="C43" s="148">
        <f>+C41+C40+C39</f>
        <v>3185.7059999999983</v>
      </c>
    </row>
    <row r="44" spans="1:5">
      <c r="B44" t="s">
        <v>604</v>
      </c>
      <c r="C44" s="13"/>
    </row>
    <row r="45" spans="1:5">
      <c r="A45" t="s">
        <v>628</v>
      </c>
      <c r="B45" t="s">
        <v>604</v>
      </c>
      <c r="C45" s="13">
        <f>+C43+C28+C35</f>
        <v>-16827.235250000002</v>
      </c>
    </row>
    <row r="46" spans="1:5">
      <c r="A46" t="s">
        <v>629</v>
      </c>
      <c r="B46" t="s">
        <v>604</v>
      </c>
      <c r="C46" s="13">
        <f>+D77+E77</f>
        <v>27388</v>
      </c>
    </row>
    <row r="47" spans="1:5">
      <c r="B47" t="s">
        <v>604</v>
      </c>
      <c r="C47" s="13"/>
    </row>
    <row r="48" spans="1:5">
      <c r="A48" t="s">
        <v>630</v>
      </c>
      <c r="B48" t="s">
        <v>604</v>
      </c>
      <c r="C48" s="13">
        <f>+C45+C46</f>
        <v>10560.764749999998</v>
      </c>
      <c r="D48" s="145">
        <f>+J77</f>
        <v>7660</v>
      </c>
      <c r="E48" s="145">
        <f>+C48-D48</f>
        <v>2900.7647499999985</v>
      </c>
    </row>
    <row r="49" spans="3:5">
      <c r="C49" s="13"/>
    </row>
    <row r="50" spans="3:5">
      <c r="C50" s="13"/>
    </row>
    <row r="51" spans="3:5">
      <c r="C51" s="13"/>
    </row>
    <row r="52" spans="3:5">
      <c r="C52" s="13"/>
    </row>
    <row r="53" spans="3:5">
      <c r="C53" s="117"/>
      <c r="D53" s="84" t="s">
        <v>633</v>
      </c>
      <c r="E53" s="84" t="s">
        <v>634</v>
      </c>
    </row>
    <row r="54" spans="3:5">
      <c r="C54" s="13"/>
    </row>
    <row r="55" spans="3:5">
      <c r="C55" s="13"/>
    </row>
    <row r="56" spans="3:5">
      <c r="C56" s="13"/>
    </row>
    <row r="57" spans="3:5">
      <c r="C57" s="13"/>
    </row>
    <row r="58" spans="3:5">
      <c r="C58" s="13"/>
    </row>
    <row r="59" spans="3:5">
      <c r="C59" s="13"/>
    </row>
    <row r="60" spans="3:5">
      <c r="C60" s="13"/>
    </row>
    <row r="61" spans="3:5">
      <c r="C61" s="13"/>
    </row>
    <row r="62" spans="3:5">
      <c r="C62" s="13"/>
    </row>
    <row r="70" spans="2:13" ht="10.5">
      <c r="F70" s="327" t="s">
        <v>483</v>
      </c>
      <c r="G70" s="327"/>
    </row>
    <row r="74" spans="2:13" ht="10.5">
      <c r="D74" s="130" t="s">
        <v>484</v>
      </c>
      <c r="E74" s="131" t="s">
        <v>485</v>
      </c>
      <c r="F74" s="131" t="s">
        <v>485</v>
      </c>
      <c r="G74" s="131" t="s">
        <v>485</v>
      </c>
      <c r="H74" s="131"/>
      <c r="I74" s="131"/>
      <c r="J74" s="132" t="s">
        <v>484</v>
      </c>
      <c r="K74" s="87"/>
    </row>
    <row r="75" spans="2:13" ht="10.5">
      <c r="D75" s="133">
        <v>44561</v>
      </c>
      <c r="E75" s="129" t="s">
        <v>486</v>
      </c>
      <c r="F75" s="129" t="s">
        <v>487</v>
      </c>
      <c r="G75" s="129" t="s">
        <v>488</v>
      </c>
      <c r="H75" s="129" t="s">
        <v>489</v>
      </c>
      <c r="I75" s="129" t="s">
        <v>490</v>
      </c>
      <c r="J75" s="134">
        <v>44926</v>
      </c>
      <c r="L75" t="s">
        <v>491</v>
      </c>
    </row>
    <row r="76" spans="2:13">
      <c r="D76" s="126"/>
      <c r="J76" s="126"/>
    </row>
    <row r="77" spans="2:13" ht="10.5">
      <c r="B77" s="137">
        <v>10</v>
      </c>
      <c r="C77" t="s">
        <v>579</v>
      </c>
      <c r="D77" s="127">
        <v>27403</v>
      </c>
      <c r="E77" s="13">
        <f>-27403+27388</f>
        <v>-15</v>
      </c>
      <c r="F77" s="13"/>
      <c r="G77" s="13"/>
      <c r="H77" s="13"/>
      <c r="I77" s="13">
        <f>J77-D77-E77</f>
        <v>-19728</v>
      </c>
      <c r="J77" s="127">
        <f>+ROUND(SUMIF('BS USD'!$B$7:$B$54,B77,'BS USD'!$Q$7:$Q$54),0)</f>
        <v>7660</v>
      </c>
      <c r="K77" s="13"/>
      <c r="L77" s="115">
        <f t="shared" ref="L77:L97" si="0">SUM(D77:I77)-J77</f>
        <v>0</v>
      </c>
      <c r="M77" s="13"/>
    </row>
    <row r="78" spans="2:13" ht="10.5">
      <c r="B78" s="137">
        <v>11</v>
      </c>
      <c r="C78" t="s">
        <v>580</v>
      </c>
      <c r="D78" s="127">
        <v>31</v>
      </c>
      <c r="E78" s="13"/>
      <c r="F78" s="13">
        <f>J78-D78</f>
        <v>11132</v>
      </c>
      <c r="G78" s="13"/>
      <c r="H78" s="13"/>
      <c r="I78" s="13"/>
      <c r="J78" s="127">
        <f>+ROUND(SUMIF('BS USD'!$B$7:$B$54,B78,'BS USD'!$Q$7:$Q$54),0)</f>
        <v>11163</v>
      </c>
      <c r="K78" s="13"/>
      <c r="L78" s="115">
        <f t="shared" si="0"/>
        <v>0</v>
      </c>
      <c r="M78" s="13"/>
    </row>
    <row r="79" spans="2:13" ht="10.5">
      <c r="B79" s="137">
        <v>12</v>
      </c>
      <c r="C79" t="s">
        <v>581</v>
      </c>
      <c r="D79" s="127">
        <v>1017</v>
      </c>
      <c r="E79" s="13">
        <f>J79-D79</f>
        <v>1020</v>
      </c>
      <c r="F79" s="13"/>
      <c r="G79" s="13"/>
      <c r="H79" s="13"/>
      <c r="I79" s="13"/>
      <c r="J79" s="127">
        <f>+ROUND(SUMIF('BS USD'!$B$7:$B$54,B79,'BS USD'!$Q$7:$Q$54),0)</f>
        <v>2037</v>
      </c>
      <c r="K79" s="13"/>
      <c r="L79" s="115">
        <f t="shared" si="0"/>
        <v>0</v>
      </c>
      <c r="M79" s="13"/>
    </row>
    <row r="80" spans="2:13" ht="10.5">
      <c r="B80" s="137">
        <v>13</v>
      </c>
      <c r="C80" t="s">
        <v>582</v>
      </c>
      <c r="D80" s="127">
        <v>259</v>
      </c>
      <c r="E80" s="13">
        <f>J80-D80</f>
        <v>517</v>
      </c>
      <c r="F80" s="13"/>
      <c r="G80" s="13"/>
      <c r="H80" s="13"/>
      <c r="I80" s="13"/>
      <c r="J80" s="127">
        <f>+ROUND(SUMIF('BS USD'!$B$7:$B$54,B80,'BS USD'!$Q$7:$Q$54),0)</f>
        <v>776</v>
      </c>
      <c r="K80" s="13"/>
      <c r="L80" s="115">
        <f t="shared" si="0"/>
        <v>0</v>
      </c>
      <c r="M80" s="13"/>
    </row>
    <row r="81" spans="2:13" ht="10.5">
      <c r="B81" s="137">
        <v>14</v>
      </c>
      <c r="C81" t="s">
        <v>583</v>
      </c>
      <c r="D81" s="127">
        <v>37</v>
      </c>
      <c r="E81" s="13">
        <f>J81-D81</f>
        <v>-4</v>
      </c>
      <c r="F81" s="13"/>
      <c r="G81" s="13"/>
      <c r="H81" s="13"/>
      <c r="I81" s="13"/>
      <c r="J81" s="127">
        <f>+ROUND(SUMIF('BS USD'!$B$7:$B$54,B81,'BS USD'!$Q$7:$Q$54),0)</f>
        <v>33</v>
      </c>
      <c r="K81" s="13"/>
      <c r="L81" s="115">
        <f t="shared" si="0"/>
        <v>0</v>
      </c>
      <c r="M81" s="13"/>
    </row>
    <row r="82" spans="2:13" ht="10.5">
      <c r="B82" s="137">
        <v>15</v>
      </c>
      <c r="C82" t="s">
        <v>584</v>
      </c>
      <c r="D82" s="127">
        <v>58</v>
      </c>
      <c r="E82" s="13">
        <f>-(26238+1110.97+2205.36)/1000+1</f>
        <v>-28.55433</v>
      </c>
      <c r="F82" s="13">
        <f>+(67350.26+17015.98+7266.34)/1000+1</f>
        <v>92.63257999999999</v>
      </c>
      <c r="G82" s="13"/>
      <c r="H82" s="13"/>
      <c r="I82" s="13"/>
      <c r="J82" s="127">
        <f>+ROUND(SUMIF('BS USD'!$B$7:$B$54,B82,'BS USD'!$Q$7:$Q$54),0)</f>
        <v>123</v>
      </c>
      <c r="K82" s="13"/>
      <c r="L82" s="115">
        <f t="shared" si="0"/>
        <v>-0.92175000000000296</v>
      </c>
      <c r="M82" s="13"/>
    </row>
    <row r="83" spans="2:13" ht="10.5">
      <c r="B83" s="137">
        <v>16</v>
      </c>
      <c r="C83" t="s">
        <v>585</v>
      </c>
      <c r="D83" s="127">
        <v>-133</v>
      </c>
      <c r="E83" s="13">
        <f>J83-D83</f>
        <v>-69</v>
      </c>
      <c r="F83" s="13"/>
      <c r="G83" s="13"/>
      <c r="H83" s="13"/>
      <c r="I83" s="13"/>
      <c r="J83" s="127">
        <f>-ROUND(SUMIF('BS USD'!$B$7:$B$54,B83,'BS USD'!$Q$7:$Q$54),0)</f>
        <v>-202</v>
      </c>
      <c r="K83" s="13"/>
      <c r="L83" s="115">
        <f t="shared" si="0"/>
        <v>0</v>
      </c>
      <c r="M83" s="13"/>
    </row>
    <row r="84" spans="2:13" ht="10.5">
      <c r="B84" s="137">
        <v>17</v>
      </c>
      <c r="C84" t="s">
        <v>586</v>
      </c>
      <c r="D84" s="127">
        <v>-745</v>
      </c>
      <c r="E84" s="13">
        <f t="shared" ref="E84:E90" si="1">J84-D84</f>
        <v>-47</v>
      </c>
      <c r="F84" s="13"/>
      <c r="G84" s="13"/>
      <c r="H84" s="13"/>
      <c r="I84" s="13"/>
      <c r="J84" s="127">
        <f>-ROUND(SUMIF('BS USD'!$B$7:$B$54,B84,'BS USD'!$Q$7:$Q$54),0)</f>
        <v>-792</v>
      </c>
      <c r="K84" s="13"/>
      <c r="L84" s="115">
        <f t="shared" si="0"/>
        <v>0</v>
      </c>
      <c r="M84" s="13"/>
    </row>
    <row r="85" spans="2:13" ht="10.5">
      <c r="B85" s="137">
        <v>17.399999999999999</v>
      </c>
      <c r="C85" t="s">
        <v>587</v>
      </c>
      <c r="D85" s="127">
        <v>0</v>
      </c>
      <c r="E85" s="13">
        <f t="shared" si="1"/>
        <v>0</v>
      </c>
      <c r="F85" s="13"/>
      <c r="G85" s="13"/>
      <c r="H85" s="13"/>
      <c r="I85" s="13"/>
      <c r="J85" s="127"/>
      <c r="K85" s="13"/>
      <c r="L85" s="115">
        <f t="shared" si="0"/>
        <v>0</v>
      </c>
      <c r="M85" s="13"/>
    </row>
    <row r="86" spans="2:13" ht="10.5">
      <c r="B86" s="137"/>
      <c r="C86" t="s">
        <v>588</v>
      </c>
      <c r="D86" s="127">
        <v>0</v>
      </c>
      <c r="E86" s="13">
        <f t="shared" si="1"/>
        <v>0</v>
      </c>
      <c r="F86" s="13"/>
      <c r="G86" s="13"/>
      <c r="H86" s="13"/>
      <c r="I86" s="13"/>
      <c r="J86" s="127">
        <f>+ROUND(SUMIF('BS USD'!$B$7:$B$54,B86,'BS USD'!$Q$7:$Q$54),0)</f>
        <v>0</v>
      </c>
      <c r="K86" s="13"/>
      <c r="L86" s="115">
        <f t="shared" si="0"/>
        <v>0</v>
      </c>
      <c r="M86" s="13"/>
    </row>
    <row r="87" spans="2:13" ht="10.5">
      <c r="B87" s="137"/>
      <c r="C87" t="s">
        <v>589</v>
      </c>
      <c r="D87" s="127">
        <v>0</v>
      </c>
      <c r="E87" s="13">
        <f t="shared" si="1"/>
        <v>0</v>
      </c>
      <c r="F87" s="13"/>
      <c r="G87" s="138"/>
      <c r="H87" s="117"/>
      <c r="I87" s="13"/>
      <c r="J87" s="127">
        <f>+ROUND(SUMIF('BS USD'!$B$7:$B$54,B87,'BS USD'!$Q$7:$Q$54),0)</f>
        <v>0</v>
      </c>
      <c r="K87" s="13"/>
      <c r="L87" s="115">
        <f t="shared" si="0"/>
        <v>0</v>
      </c>
      <c r="M87" s="13"/>
    </row>
    <row r="88" spans="2:13" ht="10.5">
      <c r="B88" s="137">
        <v>18</v>
      </c>
      <c r="C88" t="s">
        <v>590</v>
      </c>
      <c r="D88" s="127">
        <v>-416</v>
      </c>
      <c r="E88" s="13">
        <f t="shared" si="1"/>
        <v>2</v>
      </c>
      <c r="F88" s="13"/>
      <c r="G88" s="138"/>
      <c r="H88" s="138"/>
      <c r="I88" s="13"/>
      <c r="J88" s="127">
        <f>-ROUND(SUMIF('BS USD'!$B$7:$B$54,B88,'BS USD'!$Q$7:$Q$54),0)</f>
        <v>-414</v>
      </c>
      <c r="K88" s="13"/>
      <c r="L88" s="115">
        <f t="shared" si="0"/>
        <v>0</v>
      </c>
      <c r="M88" s="13"/>
    </row>
    <row r="89" spans="2:13" ht="10.5">
      <c r="B89" s="137"/>
      <c r="C89" t="s">
        <v>591</v>
      </c>
      <c r="D89" s="147">
        <v>-9</v>
      </c>
      <c r="E89" s="13"/>
      <c r="F89" s="13"/>
      <c r="G89" s="117">
        <v>9</v>
      </c>
      <c r="H89" s="138"/>
      <c r="I89" s="13"/>
      <c r="J89" s="127">
        <f>+ROUND(SUMIF('BS USD'!$B$7:$B$54,B89,'BS USD'!$Q$7:$Q$54),0)</f>
        <v>0</v>
      </c>
      <c r="K89" s="13"/>
      <c r="L89" s="115">
        <f t="shared" si="0"/>
        <v>0</v>
      </c>
      <c r="M89" s="13"/>
    </row>
    <row r="90" spans="2:13" ht="10.5">
      <c r="B90" s="137"/>
      <c r="C90" t="s">
        <v>632</v>
      </c>
      <c r="D90" s="127">
        <v>0</v>
      </c>
      <c r="E90" s="13">
        <f t="shared" si="1"/>
        <v>-7</v>
      </c>
      <c r="F90" s="13"/>
      <c r="G90" s="151">
        <v>-7</v>
      </c>
      <c r="H90" s="138"/>
      <c r="I90" s="13"/>
      <c r="J90" s="127">
        <f>+G90+D90</f>
        <v>-7</v>
      </c>
      <c r="K90" s="13"/>
      <c r="L90" s="115">
        <f t="shared" si="0"/>
        <v>-7</v>
      </c>
      <c r="M90" s="13"/>
    </row>
    <row r="91" spans="2:13" ht="10.5">
      <c r="B91" s="137">
        <v>19.100000000000001</v>
      </c>
      <c r="C91" t="s">
        <v>592</v>
      </c>
      <c r="D91" s="127">
        <v>-27930</v>
      </c>
      <c r="E91" s="13"/>
      <c r="F91" s="13"/>
      <c r="G91" s="138">
        <f>+J91-D91</f>
        <v>-3194.7059999999983</v>
      </c>
      <c r="H91" s="138"/>
      <c r="I91" s="13"/>
      <c r="J91" s="127">
        <f>-ROUND(SUMIF('Full BS-USD'!K:K,B91,'Full BS-USD'!J:J),0)/1000</f>
        <v>-31124.705999999998</v>
      </c>
      <c r="K91" s="13"/>
      <c r="L91" s="115">
        <f t="shared" si="0"/>
        <v>0</v>
      </c>
      <c r="M91" s="13"/>
    </row>
    <row r="92" spans="2:13" ht="10.5">
      <c r="B92" s="137">
        <v>19.2</v>
      </c>
      <c r="C92" s="150" t="s">
        <v>593</v>
      </c>
      <c r="D92" s="127">
        <v>-1397</v>
      </c>
      <c r="E92" s="151">
        <f>J92-D92</f>
        <v>-257.13699999999994</v>
      </c>
      <c r="F92" s="13"/>
      <c r="G92" s="13"/>
      <c r="H92" s="13"/>
      <c r="I92" s="13"/>
      <c r="J92" s="127">
        <f>-ROUND(SUMIF('Full BS-USD'!K:K,B92,'Full BS-USD'!J:J),0)/1000</f>
        <v>-1654.1369999999999</v>
      </c>
      <c r="K92" s="13"/>
      <c r="L92" s="115">
        <f t="shared" si="0"/>
        <v>0</v>
      </c>
      <c r="M92" s="124">
        <v>31005</v>
      </c>
    </row>
    <row r="93" spans="2:13" ht="10.5">
      <c r="B93" s="137">
        <v>19.3</v>
      </c>
      <c r="C93" t="s">
        <v>594</v>
      </c>
      <c r="D93" s="127">
        <v>-12253</v>
      </c>
      <c r="E93" s="13"/>
      <c r="F93" s="13"/>
      <c r="G93" s="13"/>
      <c r="H93" s="117"/>
      <c r="I93" s="13"/>
      <c r="J93" s="127">
        <f>-ROUND(SUMIF('Full BS-USD'!K:K,B93,'Full BS-USD'!J:J),0)/1000+7</f>
        <v>-9339.4639999999999</v>
      </c>
      <c r="K93" s="13"/>
      <c r="L93" s="115"/>
      <c r="M93" s="13"/>
    </row>
    <row r="94" spans="2:13" ht="10.5">
      <c r="B94" s="111"/>
      <c r="C94" s="109" t="s">
        <v>244</v>
      </c>
      <c r="D94" s="127">
        <f>10806+3272</f>
        <v>14078</v>
      </c>
      <c r="E94" s="13"/>
      <c r="F94" s="138">
        <f>11090-10806</f>
        <v>284</v>
      </c>
      <c r="G94" s="138"/>
      <c r="H94" s="138"/>
      <c r="I94" s="138"/>
      <c r="J94" s="127">
        <f>-ROUND(SUMIF('Full BS-USD'!A:A,C94,'Full BS-USD'!J:J),0)/1000</f>
        <v>14349.72</v>
      </c>
      <c r="K94" s="13"/>
      <c r="L94" s="115">
        <f>SUM(D94:I94)-J94</f>
        <v>12.280000000000655</v>
      </c>
      <c r="M94" s="13"/>
    </row>
    <row r="95" spans="2:13" ht="10.5">
      <c r="C95" t="s">
        <v>595</v>
      </c>
      <c r="D95" s="128"/>
      <c r="E95" s="152">
        <v>7371</v>
      </c>
      <c r="F95" s="116"/>
      <c r="G95" s="116"/>
      <c r="H95" s="116"/>
      <c r="I95" s="116"/>
      <c r="J95" s="128">
        <f>-'P&amp;L'!O31</f>
        <v>7392</v>
      </c>
      <c r="K95" s="13"/>
      <c r="L95" s="115">
        <f>SUM(D95:I95)-J95</f>
        <v>-21</v>
      </c>
      <c r="M95" s="13"/>
    </row>
    <row r="96" spans="2:13">
      <c r="D96" s="13"/>
      <c r="E96" s="149">
        <f>SUM(E77:E95)</f>
        <v>8482.3086700000003</v>
      </c>
      <c r="F96" s="149">
        <f>SUM(F76:F95)</f>
        <v>11508.63258</v>
      </c>
      <c r="G96" s="13"/>
      <c r="H96" s="13"/>
      <c r="I96" s="149">
        <f>SUM(I77:I95)</f>
        <v>-19728</v>
      </c>
      <c r="J96" s="13">
        <f>SUM(J77:J95)</f>
        <v>0.41299999999864667</v>
      </c>
      <c r="K96" s="13"/>
      <c r="L96" s="115">
        <f>SUM(D96:I96)-J96</f>
        <v>262.52825000000121</v>
      </c>
      <c r="M96" s="13"/>
    </row>
    <row r="97" spans="3:13">
      <c r="C97" t="s">
        <v>491</v>
      </c>
      <c r="D97" s="115">
        <f>SUM(D77:D96)</f>
        <v>0</v>
      </c>
      <c r="F97" s="115"/>
      <c r="G97" s="115"/>
      <c r="H97" s="115"/>
      <c r="J97" s="115"/>
      <c r="K97" s="115"/>
      <c r="L97" s="115">
        <f t="shared" si="0"/>
        <v>0</v>
      </c>
      <c r="M97" s="13"/>
    </row>
    <row r="98" spans="3:13">
      <c r="D98" s="13"/>
      <c r="E98" s="13">
        <f>+E96+C28</f>
        <v>-22</v>
      </c>
      <c r="F98" s="13"/>
      <c r="G98" s="13"/>
      <c r="H98" s="13"/>
      <c r="I98" s="13"/>
      <c r="J98" s="13"/>
      <c r="K98" s="13"/>
      <c r="L98" s="115"/>
      <c r="M98" s="13"/>
    </row>
    <row r="99" spans="3:13">
      <c r="D99" s="13"/>
      <c r="E99" s="13">
        <f>+E98/2</f>
        <v>-11</v>
      </c>
      <c r="F99" s="13"/>
      <c r="G99" s="13"/>
      <c r="H99" s="13"/>
      <c r="I99" s="13"/>
      <c r="J99" s="13"/>
      <c r="K99" s="13"/>
      <c r="L99" s="13"/>
      <c r="M99" s="13"/>
    </row>
    <row r="100" spans="3:13"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2" spans="3:13">
      <c r="D102" s="145">
        <f>+D77-27388</f>
        <v>15</v>
      </c>
    </row>
  </sheetData>
  <mergeCells count="2">
    <mergeCell ref="F70:G70"/>
    <mergeCell ref="A11:A12"/>
  </mergeCell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3BC1E-7094-4982-BB2C-DD1CD757134D}">
  <dimension ref="A1:B27"/>
  <sheetViews>
    <sheetView workbookViewId="0">
      <selection sqref="A1:B1"/>
    </sheetView>
  </sheetViews>
  <sheetFormatPr defaultRowHeight="10"/>
  <cols>
    <col min="1" max="1" width="35" bestFit="1" customWidth="1"/>
    <col min="2" max="2" width="11.77734375" bestFit="1" customWidth="1"/>
  </cols>
  <sheetData>
    <row r="1" spans="1:2" ht="15.5">
      <c r="A1" s="337" t="s">
        <v>0</v>
      </c>
      <c r="B1" s="337"/>
    </row>
    <row r="2" spans="1:2" ht="15.5">
      <c r="A2" s="337" t="s">
        <v>1</v>
      </c>
      <c r="B2" s="337"/>
    </row>
    <row r="3" spans="1:2" ht="18">
      <c r="A3" s="336" t="s">
        <v>563</v>
      </c>
      <c r="B3" s="336"/>
    </row>
    <row r="4" spans="1:2" ht="18">
      <c r="A4" s="336" t="s">
        <v>3</v>
      </c>
      <c r="B4" s="336"/>
    </row>
    <row r="5" spans="1:2" ht="18">
      <c r="A5" s="336" t="s">
        <v>4</v>
      </c>
      <c r="B5" s="336"/>
    </row>
    <row r="6" spans="1:2" ht="18">
      <c r="A6" s="336" t="s">
        <v>4</v>
      </c>
      <c r="B6" s="336"/>
    </row>
    <row r="7" spans="1:2">
      <c r="A7" s="1" t="s">
        <v>5</v>
      </c>
      <c r="B7" s="2" t="s">
        <v>14</v>
      </c>
    </row>
    <row r="8" spans="1:2" ht="10.5">
      <c r="A8" s="3" t="s">
        <v>564</v>
      </c>
      <c r="B8" s="88"/>
    </row>
    <row r="9" spans="1:2">
      <c r="A9" s="103" t="s">
        <v>28</v>
      </c>
      <c r="B9" s="107">
        <v>-7370915.9099999983</v>
      </c>
    </row>
    <row r="10" spans="1:2" ht="10.5">
      <c r="A10" s="5" t="s">
        <v>565</v>
      </c>
      <c r="B10" s="102"/>
    </row>
    <row r="11" spans="1:2">
      <c r="A11" s="6" t="s">
        <v>390</v>
      </c>
      <c r="B11" s="114">
        <v>-786713.56</v>
      </c>
    </row>
    <row r="12" spans="1:2">
      <c r="A12" s="6" t="s">
        <v>381</v>
      </c>
      <c r="B12" s="114">
        <v>-126335.77</v>
      </c>
    </row>
    <row r="13" spans="1:2">
      <c r="A13" s="6" t="s">
        <v>379</v>
      </c>
      <c r="B13" s="114">
        <v>-660237.04</v>
      </c>
    </row>
    <row r="14" spans="1:2">
      <c r="A14" s="6" t="s">
        <v>320</v>
      </c>
      <c r="B14" s="114">
        <v>72052.69</v>
      </c>
    </row>
    <row r="15" spans="1:2">
      <c r="A15" s="6" t="s">
        <v>566</v>
      </c>
      <c r="B15" s="114">
        <v>10196.890000000007</v>
      </c>
    </row>
    <row r="16" spans="1:2">
      <c r="A16" s="6" t="s">
        <v>567</v>
      </c>
      <c r="B16" s="114">
        <v>47875.799999999988</v>
      </c>
    </row>
    <row r="17" spans="1:2" ht="10.5">
      <c r="A17" s="106" t="s">
        <v>568</v>
      </c>
      <c r="B17" s="113">
        <v>-1443160.9900000002</v>
      </c>
    </row>
    <row r="18" spans="1:2" ht="10.5">
      <c r="A18" s="7" t="s">
        <v>569</v>
      </c>
      <c r="B18" s="113">
        <v>-8814076.8999999985</v>
      </c>
    </row>
    <row r="19" spans="1:2" ht="10.5">
      <c r="A19" s="3" t="s">
        <v>570</v>
      </c>
      <c r="B19" s="102"/>
    </row>
    <row r="20" spans="1:2">
      <c r="A20" s="4" t="s">
        <v>571</v>
      </c>
      <c r="B20" s="114">
        <v>-62078.089999999982</v>
      </c>
    </row>
    <row r="21" spans="1:2" ht="10.5">
      <c r="A21" s="7" t="s">
        <v>572</v>
      </c>
      <c r="B21" s="113">
        <v>-62078.089999999982</v>
      </c>
    </row>
    <row r="22" spans="1:2" ht="10.5">
      <c r="A22" s="3" t="s">
        <v>573</v>
      </c>
      <c r="B22" s="102"/>
    </row>
    <row r="23" spans="1:2">
      <c r="A23" s="4" t="s">
        <v>574</v>
      </c>
      <c r="B23" s="114">
        <v>264248.86</v>
      </c>
    </row>
    <row r="24" spans="1:2" ht="10.5">
      <c r="A24" s="7" t="s">
        <v>575</v>
      </c>
      <c r="B24" s="113">
        <v>264248.86</v>
      </c>
    </row>
    <row r="25" spans="1:2" ht="10.5">
      <c r="A25" s="105" t="s">
        <v>576</v>
      </c>
      <c r="B25" s="112">
        <v>-8611906.129999999</v>
      </c>
    </row>
    <row r="26" spans="1:2" ht="10.5">
      <c r="A26" s="104" t="s">
        <v>577</v>
      </c>
      <c r="B26" s="108">
        <v>27419436.140000004</v>
      </c>
    </row>
    <row r="27" spans="1:2" ht="10.5">
      <c r="A27" s="104" t="s">
        <v>578</v>
      </c>
      <c r="B27" s="108">
        <v>18807530.010000005</v>
      </c>
    </row>
  </sheetData>
  <mergeCells count="6">
    <mergeCell ref="A6:B6"/>
    <mergeCell ref="A1:B1"/>
    <mergeCell ref="A2:B2"/>
    <mergeCell ref="A3:B3"/>
    <mergeCell ref="A4:B4"/>
    <mergeCell ref="A5:B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30519-ED39-4BB4-8A53-944FC8D4C361}">
  <dimension ref="B3:T33"/>
  <sheetViews>
    <sheetView topLeftCell="A9" workbookViewId="0">
      <selection activeCell="R29" sqref="R29"/>
    </sheetView>
  </sheetViews>
  <sheetFormatPr defaultColWidth="14.109375" defaultRowHeight="14"/>
  <cols>
    <col min="1" max="1" width="14.109375" style="53"/>
    <col min="2" max="2" width="28.6640625" style="53" customWidth="1"/>
    <col min="3" max="4" width="14.109375" style="53"/>
    <col min="5" max="5" width="2.109375" style="53" customWidth="1"/>
    <col min="6" max="6" width="14.109375" style="53"/>
    <col min="7" max="7" width="2.109375" style="53" customWidth="1"/>
    <col min="8" max="8" width="14.109375" style="53"/>
    <col min="9" max="9" width="2.109375" style="53" customWidth="1"/>
    <col min="10" max="10" width="14.109375" style="53"/>
    <col min="11" max="11" width="2.109375" style="53" customWidth="1"/>
    <col min="12" max="12" width="14.109375" style="53"/>
    <col min="13" max="13" width="2.109375" style="53" customWidth="1"/>
    <col min="14" max="14" width="20.44140625" style="53" customWidth="1"/>
    <col min="15" max="15" width="2.109375" style="53" customWidth="1"/>
    <col min="16" max="16" width="16.77734375" style="53" customWidth="1"/>
    <col min="17" max="17" width="2.109375" style="53" customWidth="1"/>
    <col min="18" max="18" width="21.109375" style="203" customWidth="1"/>
    <col min="19" max="16384" width="14.109375" style="53"/>
  </cols>
  <sheetData>
    <row r="3" spans="2:20" ht="41.25" customHeight="1">
      <c r="B3" s="329"/>
      <c r="C3" s="330"/>
      <c r="D3" s="185" t="s">
        <v>591</v>
      </c>
      <c r="E3" s="185"/>
      <c r="F3" s="185"/>
      <c r="G3" s="185"/>
      <c r="H3" s="185" t="s">
        <v>464</v>
      </c>
      <c r="I3" s="185"/>
      <c r="J3" s="185"/>
      <c r="K3" s="185"/>
      <c r="L3" s="185" t="s">
        <v>465</v>
      </c>
      <c r="M3" s="185"/>
      <c r="N3" s="185" t="s">
        <v>466</v>
      </c>
      <c r="O3" s="185"/>
      <c r="P3" s="185" t="s">
        <v>467</v>
      </c>
      <c r="Q3" s="185"/>
      <c r="R3" s="192" t="s">
        <v>468</v>
      </c>
    </row>
    <row r="4" spans="2:20">
      <c r="B4" s="329"/>
      <c r="C4" s="330"/>
      <c r="D4" s="185"/>
      <c r="E4" s="185"/>
      <c r="F4" s="185"/>
      <c r="G4" s="185"/>
      <c r="H4" s="185"/>
      <c r="I4" s="185"/>
      <c r="J4" s="185"/>
      <c r="K4" s="185"/>
      <c r="L4" s="185" t="s">
        <v>469</v>
      </c>
      <c r="M4" s="185"/>
      <c r="N4" s="185"/>
      <c r="O4" s="185"/>
      <c r="P4" s="185"/>
      <c r="Q4" s="185"/>
      <c r="R4" s="193"/>
    </row>
    <row r="5" spans="2:20" ht="14.5" thickBot="1">
      <c r="B5" s="50"/>
      <c r="C5" s="51"/>
      <c r="D5" s="185" t="s">
        <v>470</v>
      </c>
      <c r="E5" s="185"/>
      <c r="F5" s="185" t="s">
        <v>14</v>
      </c>
      <c r="G5" s="185"/>
      <c r="H5" s="185" t="s">
        <v>470</v>
      </c>
      <c r="I5" s="185"/>
      <c r="J5" s="185" t="s">
        <v>14</v>
      </c>
      <c r="K5" s="185"/>
      <c r="L5" s="185" t="s">
        <v>471</v>
      </c>
      <c r="M5" s="185"/>
      <c r="N5" s="185" t="s">
        <v>472</v>
      </c>
      <c r="O5" s="185"/>
      <c r="P5" s="185" t="s">
        <v>473</v>
      </c>
      <c r="Q5" s="185"/>
      <c r="R5" s="193" t="s">
        <v>474</v>
      </c>
    </row>
    <row r="6" spans="2:20">
      <c r="B6" s="50"/>
      <c r="C6" s="51"/>
      <c r="D6" s="52"/>
      <c r="E6" s="52"/>
      <c r="F6" s="54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194"/>
    </row>
    <row r="7" spans="2:20" ht="25">
      <c r="B7" s="163" t="s">
        <v>492</v>
      </c>
      <c r="C7" s="51"/>
      <c r="D7" s="166">
        <v>1401739</v>
      </c>
      <c r="E7" s="164"/>
      <c r="F7" s="167">
        <v>4</v>
      </c>
      <c r="G7" s="164"/>
      <c r="H7" s="168">
        <v>198028</v>
      </c>
      <c r="I7" s="164"/>
      <c r="J7" s="164" t="s">
        <v>648</v>
      </c>
      <c r="K7" s="164"/>
      <c r="L7" s="169">
        <v>12952</v>
      </c>
      <c r="M7" s="164"/>
      <c r="N7" s="164">
        <v>-50</v>
      </c>
      <c r="O7" s="164"/>
      <c r="P7" s="169">
        <v>-10806</v>
      </c>
      <c r="Q7" s="164"/>
      <c r="R7" s="195">
        <f>+P7+F7+L7+N7</f>
        <v>2100</v>
      </c>
    </row>
    <row r="8" spans="2:20">
      <c r="B8" s="50"/>
      <c r="C8" s="51"/>
      <c r="D8" s="164"/>
      <c r="E8" s="164"/>
      <c r="F8" s="164"/>
      <c r="G8" s="164"/>
      <c r="H8" s="164"/>
      <c r="I8" s="164"/>
      <c r="J8" s="164"/>
      <c r="K8" s="164"/>
      <c r="L8" s="164"/>
      <c r="M8" s="164"/>
      <c r="N8" s="164"/>
      <c r="O8" s="164"/>
      <c r="P8" s="164"/>
      <c r="Q8" s="164"/>
      <c r="R8" s="196"/>
    </row>
    <row r="9" spans="2:20" ht="25">
      <c r="B9" s="163" t="s">
        <v>476</v>
      </c>
      <c r="C9" s="51"/>
      <c r="D9" s="170">
        <v>0</v>
      </c>
      <c r="E9" s="164"/>
      <c r="F9" s="170">
        <v>0</v>
      </c>
      <c r="G9" s="164"/>
      <c r="H9" s="170">
        <v>0</v>
      </c>
      <c r="I9" s="164"/>
      <c r="J9" s="170">
        <v>0</v>
      </c>
      <c r="K9" s="164"/>
      <c r="L9" s="170">
        <v>0</v>
      </c>
      <c r="M9" s="164"/>
      <c r="N9" s="170">
        <v>0</v>
      </c>
      <c r="O9" s="164"/>
      <c r="P9" s="166">
        <v>-3272</v>
      </c>
      <c r="Q9" s="164"/>
      <c r="R9" s="195">
        <f>+P9+F9+L9+J9</f>
        <v>-3272</v>
      </c>
    </row>
    <row r="10" spans="2:20">
      <c r="B10" s="163" t="s">
        <v>514</v>
      </c>
      <c r="C10" s="51"/>
      <c r="D10" s="170"/>
      <c r="E10" s="164"/>
      <c r="F10" s="170"/>
      <c r="G10" s="164"/>
      <c r="H10" s="170"/>
      <c r="I10" s="164"/>
      <c r="J10" s="170"/>
      <c r="K10" s="164"/>
      <c r="L10" s="170"/>
      <c r="M10" s="164"/>
      <c r="N10" s="164">
        <v>50</v>
      </c>
      <c r="O10" s="164"/>
      <c r="P10" s="166"/>
      <c r="Q10" s="164"/>
      <c r="R10" s="195">
        <f>+P10+F10+L10+J10+N10</f>
        <v>50</v>
      </c>
    </row>
    <row r="11" spans="2:20" ht="25">
      <c r="B11" s="163" t="s">
        <v>477</v>
      </c>
      <c r="C11" s="51"/>
      <c r="D11" s="170">
        <v>0</v>
      </c>
      <c r="E11" s="164"/>
      <c r="F11" s="170">
        <v>0</v>
      </c>
      <c r="G11" s="164"/>
      <c r="H11" s="170">
        <v>0</v>
      </c>
      <c r="I11" s="164"/>
      <c r="J11" s="170">
        <v>0</v>
      </c>
      <c r="K11" s="164"/>
      <c r="L11" s="171">
        <v>565</v>
      </c>
      <c r="M11" s="164"/>
      <c r="N11" s="170">
        <v>0</v>
      </c>
      <c r="O11" s="164"/>
      <c r="P11" s="170">
        <v>0</v>
      </c>
      <c r="Q11" s="164"/>
      <c r="R11" s="195">
        <f>+P11+F11+L11+J11</f>
        <v>565</v>
      </c>
      <c r="T11" s="73">
        <f>+SUM('[2]Summary Cap Table'!$C$12:$C$22)-H16</f>
        <v>-1071</v>
      </c>
    </row>
    <row r="12" spans="2:20">
      <c r="B12" s="163" t="s">
        <v>480</v>
      </c>
      <c r="C12" s="51"/>
      <c r="D12" s="170"/>
      <c r="E12" s="164"/>
      <c r="F12" s="170"/>
      <c r="G12" s="164"/>
      <c r="H12" s="168">
        <v>315996</v>
      </c>
      <c r="I12" s="164"/>
      <c r="J12" s="170">
        <v>1</v>
      </c>
      <c r="K12" s="164"/>
      <c r="L12" s="171">
        <v>3124</v>
      </c>
      <c r="M12" s="164"/>
      <c r="N12" s="170"/>
      <c r="O12" s="164"/>
      <c r="P12" s="170"/>
      <c r="Q12" s="164"/>
      <c r="R12" s="195">
        <f>+P12+F12+L12+J12</f>
        <v>3125</v>
      </c>
    </row>
    <row r="13" spans="2:20">
      <c r="B13" s="163" t="s">
        <v>479</v>
      </c>
      <c r="C13" s="51"/>
      <c r="D13" s="170">
        <v>0</v>
      </c>
      <c r="E13" s="164"/>
      <c r="F13" s="170">
        <v>0</v>
      </c>
      <c r="G13" s="164"/>
      <c r="H13" s="172">
        <v>105500</v>
      </c>
      <c r="I13" s="164"/>
      <c r="J13" s="164">
        <v>1</v>
      </c>
      <c r="K13" s="164"/>
      <c r="L13" s="173">
        <f>[1]CF!D35+[1]CF!D15-1</f>
        <v>-1</v>
      </c>
      <c r="M13" s="164"/>
      <c r="N13" s="164" t="s">
        <v>475</v>
      </c>
      <c r="O13" s="164"/>
      <c r="P13" s="170">
        <v>0</v>
      </c>
      <c r="Q13" s="164"/>
      <c r="R13" s="195">
        <f>+P13+F13+L13+J13</f>
        <v>0</v>
      </c>
    </row>
    <row r="14" spans="2:20" ht="38" thickBot="1">
      <c r="B14" s="163" t="s">
        <v>481</v>
      </c>
      <c r="C14" s="51"/>
      <c r="D14" s="170">
        <v>0</v>
      </c>
      <c r="E14" s="164"/>
      <c r="F14" s="174">
        <v>0</v>
      </c>
      <c r="G14" s="164"/>
      <c r="H14" s="175">
        <f>570204+293045</f>
        <v>863249</v>
      </c>
      <c r="I14" s="164"/>
      <c r="J14" s="176">
        <v>3</v>
      </c>
      <c r="K14" s="164"/>
      <c r="L14" s="175">
        <v>24940</v>
      </c>
      <c r="M14" s="164"/>
      <c r="N14" s="174"/>
      <c r="O14" s="164"/>
      <c r="P14" s="174">
        <v>0</v>
      </c>
      <c r="Q14" s="164"/>
      <c r="R14" s="197">
        <f>+P14+J14+L14+N14</f>
        <v>24943</v>
      </c>
    </row>
    <row r="15" spans="2:20">
      <c r="B15" s="163"/>
      <c r="C15" s="51"/>
      <c r="D15" s="165"/>
      <c r="E15" s="164"/>
      <c r="F15" s="164"/>
      <c r="G15" s="164"/>
      <c r="H15" s="164"/>
      <c r="I15" s="164"/>
      <c r="J15" s="164"/>
      <c r="K15" s="164"/>
      <c r="L15" s="164"/>
      <c r="M15" s="164"/>
      <c r="N15" s="164"/>
      <c r="O15" s="164"/>
      <c r="P15" s="164"/>
      <c r="Q15" s="164"/>
      <c r="R15" s="196"/>
    </row>
    <row r="16" spans="2:20" ht="25.5" thickBot="1">
      <c r="B16" s="163" t="s">
        <v>482</v>
      </c>
      <c r="C16" s="51"/>
      <c r="D16" s="177">
        <f>SUM(D7:D15)</f>
        <v>1401739</v>
      </c>
      <c r="E16" s="164"/>
      <c r="F16" s="178">
        <f>SUM(F7:F15)</f>
        <v>4</v>
      </c>
      <c r="G16" s="164"/>
      <c r="H16" s="179">
        <f>SUM(H7:H15)</f>
        <v>1482773</v>
      </c>
      <c r="I16" s="164"/>
      <c r="J16" s="178">
        <f>SUM(J7:J15)</f>
        <v>5</v>
      </c>
      <c r="K16" s="164"/>
      <c r="L16" s="180">
        <f>SUM(L7:L15)</f>
        <v>41580</v>
      </c>
      <c r="M16" s="164"/>
      <c r="N16" s="177">
        <f>SUM(N7:N15)</f>
        <v>0</v>
      </c>
      <c r="O16" s="164"/>
      <c r="P16" s="180">
        <f>SUM(P7:P15)</f>
        <v>-14078</v>
      </c>
      <c r="Q16" s="164"/>
      <c r="R16" s="197">
        <f>+P16+F16+L16+N16+J16</f>
        <v>27511</v>
      </c>
    </row>
    <row r="17" spans="2:18">
      <c r="B17" s="163"/>
      <c r="C17" s="51"/>
      <c r="D17" s="164"/>
      <c r="E17" s="164"/>
      <c r="F17" s="164"/>
      <c r="G17" s="164"/>
      <c r="H17" s="164"/>
      <c r="I17" s="164"/>
      <c r="J17" s="164"/>
      <c r="K17" s="164"/>
      <c r="L17" s="164"/>
      <c r="M17" s="164"/>
      <c r="N17" s="164"/>
      <c r="O17" s="164"/>
      <c r="P17" s="164"/>
      <c r="Q17" s="164"/>
      <c r="R17" s="196"/>
    </row>
    <row r="18" spans="2:18" ht="25">
      <c r="B18" s="163" t="s">
        <v>476</v>
      </c>
      <c r="C18" s="51"/>
      <c r="D18" s="170">
        <v>0</v>
      </c>
      <c r="E18" s="164"/>
      <c r="F18" s="170">
        <v>0</v>
      </c>
      <c r="G18" s="164"/>
      <c r="H18" s="170">
        <v>0</v>
      </c>
      <c r="I18" s="164"/>
      <c r="J18" s="170">
        <v>0</v>
      </c>
      <c r="K18" s="164"/>
      <c r="L18" s="170">
        <v>0</v>
      </c>
      <c r="M18" s="164"/>
      <c r="N18" s="170">
        <v>0</v>
      </c>
      <c r="O18" s="164"/>
      <c r="P18" s="166">
        <f>+'P&amp;L'!O31</f>
        <v>-7392</v>
      </c>
      <c r="Q18" s="164"/>
      <c r="R18" s="198">
        <f>SUM(J18:P18,F18)</f>
        <v>-7392</v>
      </c>
    </row>
    <row r="19" spans="2:18" ht="25">
      <c r="B19" s="163" t="s">
        <v>649</v>
      </c>
      <c r="C19" s="51"/>
      <c r="D19" s="164">
        <v>800</v>
      </c>
      <c r="E19" s="164"/>
      <c r="F19" s="164"/>
      <c r="G19" s="164"/>
      <c r="H19" s="164"/>
      <c r="I19" s="164"/>
      <c r="J19" s="164"/>
      <c r="K19" s="164"/>
      <c r="L19" s="164"/>
      <c r="M19" s="164"/>
      <c r="N19" s="164"/>
      <c r="O19" s="164"/>
      <c r="P19" s="164"/>
      <c r="Q19" s="164"/>
      <c r="R19" s="198">
        <f>SUM(J19:P19,F19)</f>
        <v>0</v>
      </c>
    </row>
    <row r="20" spans="2:18" ht="25">
      <c r="B20" s="163" t="s">
        <v>477</v>
      </c>
      <c r="C20" s="51"/>
      <c r="D20" s="164">
        <f>584+1216</f>
        <v>1800</v>
      </c>
      <c r="E20" s="164"/>
      <c r="F20" s="164"/>
      <c r="G20" s="164"/>
      <c r="H20" s="164"/>
      <c r="I20" s="164"/>
      <c r="J20" s="164"/>
      <c r="K20" s="164"/>
      <c r="L20" s="173">
        <f>-CF!E93+7</f>
        <v>265.13699999999994</v>
      </c>
      <c r="M20" s="164"/>
      <c r="N20" s="164"/>
      <c r="O20" s="164"/>
      <c r="P20" s="164"/>
      <c r="Q20" s="164"/>
      <c r="R20" s="198">
        <f>SUM(J20:P20,F20)</f>
        <v>265.13699999999994</v>
      </c>
    </row>
    <row r="21" spans="2:18">
      <c r="B21" s="163" t="s">
        <v>479</v>
      </c>
      <c r="C21" s="51"/>
      <c r="D21" s="164"/>
      <c r="E21" s="164"/>
      <c r="F21" s="164"/>
      <c r="G21" s="164"/>
      <c r="H21" s="173"/>
      <c r="I21" s="164"/>
      <c r="J21" s="164"/>
      <c r="K21" s="164"/>
      <c r="L21" s="173"/>
      <c r="M21" s="164"/>
      <c r="N21" s="164"/>
      <c r="O21" s="164"/>
      <c r="P21" s="164"/>
      <c r="Q21" s="164"/>
      <c r="R21" s="198">
        <f>SUM(J21:P21,F21)</f>
        <v>0</v>
      </c>
    </row>
    <row r="22" spans="2:18">
      <c r="B22" s="163" t="s">
        <v>480</v>
      </c>
      <c r="C22" s="51"/>
      <c r="D22" s="164"/>
      <c r="E22" s="164"/>
      <c r="F22" s="164"/>
      <c r="G22" s="164"/>
      <c r="H22" s="173">
        <v>127247</v>
      </c>
      <c r="I22" s="164"/>
      <c r="J22" s="164" t="s">
        <v>648</v>
      </c>
      <c r="K22" s="164"/>
      <c r="L22" s="173"/>
      <c r="M22" s="164"/>
      <c r="N22" s="164"/>
      <c r="O22" s="164"/>
      <c r="P22" s="164"/>
      <c r="Q22" s="164"/>
      <c r="R22" s="198">
        <f>SUM(J22:P22,F22)</f>
        <v>0</v>
      </c>
    </row>
    <row r="23" spans="2:18" ht="37.5">
      <c r="B23" s="163" t="s">
        <v>478</v>
      </c>
      <c r="C23" s="51"/>
      <c r="D23" s="164"/>
      <c r="E23" s="164"/>
      <c r="F23" s="164"/>
      <c r="G23" s="164"/>
      <c r="I23" s="164"/>
      <c r="J23" s="164"/>
      <c r="K23" s="164"/>
      <c r="L23" s="173"/>
      <c r="M23" s="164"/>
      <c r="N23" s="164"/>
      <c r="O23" s="164"/>
      <c r="P23" s="164"/>
      <c r="Q23" s="164"/>
      <c r="R23" s="195"/>
    </row>
    <row r="24" spans="2:18" ht="38" thickBot="1">
      <c r="B24" s="163" t="s">
        <v>516</v>
      </c>
      <c r="C24" s="51"/>
      <c r="D24" s="177"/>
      <c r="E24" s="164"/>
      <c r="F24" s="174">
        <v>0</v>
      </c>
      <c r="G24" s="164"/>
      <c r="H24" s="175"/>
      <c r="I24" s="164"/>
      <c r="J24" s="176"/>
      <c r="K24" s="164"/>
      <c r="L24" s="175"/>
      <c r="M24" s="164"/>
      <c r="N24" s="174"/>
      <c r="O24" s="164"/>
      <c r="P24" s="174">
        <v>0</v>
      </c>
      <c r="Q24" s="164"/>
      <c r="R24" s="199">
        <f>SUM(J24:P24,F24)</f>
        <v>0</v>
      </c>
    </row>
    <row r="25" spans="2:18">
      <c r="B25" s="163"/>
      <c r="C25" s="51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96"/>
    </row>
    <row r="26" spans="2:18" ht="25.5" thickBot="1">
      <c r="B26" s="163" t="s">
        <v>517</v>
      </c>
      <c r="C26" s="51"/>
      <c r="D26" s="181">
        <f>SUM(D16:D24)</f>
        <v>1404339</v>
      </c>
      <c r="E26" s="164"/>
      <c r="F26" s="178">
        <f>SUM(F16:F24)</f>
        <v>4</v>
      </c>
      <c r="G26" s="164"/>
      <c r="H26" s="181">
        <f>SUM(H16:H24)</f>
        <v>1610020</v>
      </c>
      <c r="I26" s="164"/>
      <c r="J26" s="181">
        <f>SUM(J16:J24)</f>
        <v>5</v>
      </c>
      <c r="K26" s="164"/>
      <c r="L26" s="181">
        <f>SUM(L16:L24)</f>
        <v>41845.137000000002</v>
      </c>
      <c r="M26" s="164"/>
      <c r="N26" s="181">
        <f>SUM(N16:N24)</f>
        <v>0</v>
      </c>
      <c r="O26" s="164"/>
      <c r="P26" s="181">
        <f>SUM(P16:P24)</f>
        <v>-21470</v>
      </c>
      <c r="Q26" s="164"/>
      <c r="R26" s="200">
        <f>SUM(R16:R24)</f>
        <v>20384.136999999999</v>
      </c>
    </row>
    <row r="27" spans="2:18" ht="14.5" thickTop="1">
      <c r="D27" s="182"/>
      <c r="E27" s="182"/>
      <c r="F27" s="182"/>
      <c r="G27" s="182"/>
      <c r="H27" s="182"/>
      <c r="I27" s="182"/>
      <c r="J27" s="183">
        <f>F26+J26-[1]BS!O134</f>
        <v>0</v>
      </c>
      <c r="K27" s="182"/>
      <c r="L27" s="184"/>
      <c r="M27" s="182"/>
      <c r="N27" s="182"/>
      <c r="O27" s="182"/>
      <c r="P27" s="183"/>
      <c r="Q27" s="182"/>
      <c r="R27" s="201"/>
    </row>
    <row r="28" spans="2:18">
      <c r="D28" s="190">
        <f>+D16+D19+D20-D26</f>
        <v>0</v>
      </c>
      <c r="E28" s="162"/>
      <c r="F28" s="162"/>
      <c r="G28" s="162"/>
      <c r="H28" s="191">
        <f>+H16+H22-H26</f>
        <v>0</v>
      </c>
      <c r="I28" s="162"/>
      <c r="J28" s="162"/>
      <c r="K28" s="162"/>
      <c r="L28" s="191">
        <f>+L16+L20-L26</f>
        <v>0</v>
      </c>
      <c r="M28" s="162"/>
      <c r="N28" s="162"/>
      <c r="O28" s="162"/>
      <c r="P28" s="190">
        <f>+P16+P18-P26</f>
        <v>0</v>
      </c>
      <c r="Q28" s="190">
        <f>+Q16+Q18-Q26</f>
        <v>0</v>
      </c>
      <c r="R28" s="202"/>
    </row>
    <row r="29" spans="2:18">
      <c r="R29" s="205"/>
    </row>
    <row r="30" spans="2:18">
      <c r="D30" s="189"/>
      <c r="R30" s="204"/>
    </row>
    <row r="32" spans="2:18">
      <c r="L32" s="53">
        <v>42125</v>
      </c>
      <c r="P32" s="53">
        <v>21732</v>
      </c>
    </row>
    <row r="33" spans="12:16">
      <c r="L33" s="206">
        <f>+L26-L32</f>
        <v>-279.86299999999756</v>
      </c>
      <c r="P33" s="206">
        <f>+P26+P32</f>
        <v>262</v>
      </c>
    </row>
  </sheetData>
  <mergeCells count="2">
    <mergeCell ref="B3:B4"/>
    <mergeCell ref="C3:C4"/>
  </mergeCells>
  <pageMargins left="0.7" right="0.7" top="0.75" bottom="0.75" header="0.3" footer="0.3"/>
  <pageSetup paperSize="9" orientation="portrait"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F0678-5002-4669-83FC-96F4AAB0E891}">
  <dimension ref="A1:M201"/>
  <sheetViews>
    <sheetView workbookViewId="0"/>
  </sheetViews>
  <sheetFormatPr defaultColWidth="9.33203125" defaultRowHeight="10"/>
  <cols>
    <col min="1" max="1" width="61.6640625" style="21" bestFit="1" customWidth="1"/>
    <col min="2" max="2" width="14.109375" style="21" hidden="1" customWidth="1"/>
    <col min="3" max="3" width="27.77734375" style="21" hidden="1" customWidth="1"/>
    <col min="4" max="4" width="17.6640625" style="21" hidden="1" customWidth="1"/>
    <col min="5" max="5" width="24.33203125" style="21" hidden="1" customWidth="1"/>
    <col min="6" max="6" width="35.44140625" style="21" hidden="1" customWidth="1"/>
    <col min="7" max="7" width="31.44140625" style="21" hidden="1" customWidth="1"/>
    <col min="8" max="8" width="21.109375" style="21" hidden="1" customWidth="1"/>
    <col min="9" max="9" width="31.6640625" style="21" hidden="1" customWidth="1"/>
    <col min="10" max="10" width="15.109375" style="21" bestFit="1" customWidth="1"/>
    <col min="11" max="11" width="6" style="21" bestFit="1" customWidth="1"/>
    <col min="12" max="12" width="21" style="21" bestFit="1" customWidth="1"/>
    <col min="13" max="13" width="16.109375" style="21" customWidth="1"/>
    <col min="14" max="16384" width="9.33203125" style="21"/>
  </cols>
  <sheetData>
    <row r="1" spans="1:13" ht="15.5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</row>
    <row r="2" spans="1:13" ht="15.5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</row>
    <row r="3" spans="1:13" ht="18">
      <c r="A3" s="39" t="s">
        <v>434</v>
      </c>
      <c r="B3" s="39"/>
      <c r="C3" s="39"/>
      <c r="D3" s="39"/>
      <c r="E3" s="39"/>
      <c r="F3" s="39"/>
      <c r="G3" s="39"/>
      <c r="H3" s="39"/>
      <c r="I3" s="39"/>
      <c r="J3" s="39"/>
    </row>
    <row r="4" spans="1:13" ht="18">
      <c r="A4" s="39" t="s">
        <v>433</v>
      </c>
      <c r="B4" s="39"/>
      <c r="C4" s="39"/>
      <c r="D4" s="39"/>
      <c r="E4" s="39"/>
      <c r="F4" s="39"/>
      <c r="G4" s="39"/>
      <c r="H4" s="39"/>
      <c r="I4" s="39"/>
      <c r="J4" s="39"/>
    </row>
    <row r="5" spans="1:13" ht="18">
      <c r="A5" s="39" t="s">
        <v>4</v>
      </c>
      <c r="B5" s="39"/>
      <c r="C5" s="39"/>
      <c r="D5" s="39"/>
      <c r="E5" s="39"/>
      <c r="F5" s="39"/>
      <c r="G5" s="39"/>
      <c r="H5" s="39"/>
      <c r="I5" s="39"/>
      <c r="J5" s="39"/>
    </row>
    <row r="6" spans="1:13" ht="18">
      <c r="A6" s="39" t="s">
        <v>4</v>
      </c>
      <c r="B6" s="39"/>
      <c r="C6" s="39"/>
      <c r="D6" s="39"/>
      <c r="E6" s="39"/>
      <c r="F6" s="39"/>
      <c r="G6" s="39"/>
      <c r="H6" s="39"/>
      <c r="I6" s="39"/>
      <c r="J6" s="39"/>
    </row>
    <row r="7" spans="1:13">
      <c r="A7" s="33" t="s">
        <v>5</v>
      </c>
      <c r="B7" s="32" t="s">
        <v>432</v>
      </c>
      <c r="C7" s="32" t="s">
        <v>6</v>
      </c>
      <c r="D7" s="32" t="s">
        <v>7</v>
      </c>
      <c r="E7" s="32" t="s">
        <v>8</v>
      </c>
      <c r="F7" s="32" t="s">
        <v>9</v>
      </c>
      <c r="G7" s="32" t="s">
        <v>10</v>
      </c>
      <c r="H7" s="32" t="s">
        <v>0</v>
      </c>
      <c r="I7" s="32" t="s">
        <v>11</v>
      </c>
      <c r="J7" s="32" t="s">
        <v>12</v>
      </c>
      <c r="K7" s="21" t="s">
        <v>230</v>
      </c>
    </row>
    <row r="8" spans="1:13">
      <c r="A8" s="33" t="s">
        <v>13</v>
      </c>
      <c r="B8" s="32" t="s">
        <v>14</v>
      </c>
      <c r="C8" s="32" t="s">
        <v>14</v>
      </c>
      <c r="D8" s="32" t="s">
        <v>14</v>
      </c>
      <c r="E8" s="32" t="s">
        <v>14</v>
      </c>
      <c r="F8" s="32" t="s">
        <v>14</v>
      </c>
      <c r="G8" s="32" t="s">
        <v>14</v>
      </c>
      <c r="H8" s="32" t="s">
        <v>14</v>
      </c>
      <c r="I8" s="32" t="s">
        <v>14</v>
      </c>
      <c r="J8" s="32" t="s">
        <v>14</v>
      </c>
    </row>
    <row r="9" spans="1:13" ht="10.5">
      <c r="A9" s="28" t="s">
        <v>431</v>
      </c>
      <c r="B9" s="26"/>
      <c r="C9" s="26"/>
      <c r="D9" s="26"/>
      <c r="E9" s="26"/>
      <c r="F9" s="26"/>
      <c r="G9" s="26"/>
      <c r="H9" s="26"/>
      <c r="I9" s="26"/>
      <c r="J9" s="26"/>
    </row>
    <row r="10" spans="1:13" ht="10.5">
      <c r="A10" s="27" t="s">
        <v>430</v>
      </c>
      <c r="B10" s="26"/>
      <c r="C10" s="26"/>
      <c r="D10" s="26"/>
      <c r="E10" s="26"/>
      <c r="F10" s="26"/>
      <c r="G10" s="26"/>
      <c r="H10" s="26"/>
      <c r="I10" s="26"/>
      <c r="J10" s="26"/>
    </row>
    <row r="11" spans="1:13" ht="10.5">
      <c r="A11" s="31" t="s">
        <v>429</v>
      </c>
      <c r="B11" s="26"/>
      <c r="C11" s="26"/>
      <c r="D11" s="26"/>
      <c r="E11" s="26"/>
      <c r="F11" s="26"/>
      <c r="G11" s="26"/>
      <c r="H11" s="26"/>
      <c r="I11" s="26"/>
      <c r="J11" s="26"/>
    </row>
    <row r="12" spans="1:13">
      <c r="A12" s="30" t="s">
        <v>428</v>
      </c>
      <c r="B12" s="22">
        <v>0</v>
      </c>
      <c r="C12" s="22">
        <v>0</v>
      </c>
      <c r="D12" s="22">
        <v>0</v>
      </c>
      <c r="E12" s="22">
        <v>0</v>
      </c>
      <c r="F12" s="22">
        <v>0</v>
      </c>
      <c r="G12" s="22">
        <v>0</v>
      </c>
      <c r="H12" s="22">
        <v>98925.39</v>
      </c>
      <c r="I12" s="22">
        <v>0</v>
      </c>
      <c r="J12" s="22">
        <f>+IFERROR(VLOOKUP(A12,[3]BalanceSheet!A$8:B$154,2,0),0)</f>
        <v>26151.22</v>
      </c>
      <c r="L12" s="89"/>
      <c r="M12" s="86"/>
    </row>
    <row r="13" spans="1:13">
      <c r="A13" s="30" t="s">
        <v>427</v>
      </c>
      <c r="B13" s="22">
        <v>0</v>
      </c>
      <c r="C13" s="22">
        <v>0</v>
      </c>
      <c r="D13" s="22">
        <v>0</v>
      </c>
      <c r="E13" s="22">
        <v>0</v>
      </c>
      <c r="F13" s="22">
        <v>0</v>
      </c>
      <c r="G13" s="22">
        <v>0</v>
      </c>
      <c r="H13" s="89">
        <v>184319.33</v>
      </c>
      <c r="I13" s="22">
        <v>0</v>
      </c>
      <c r="J13" s="22">
        <f>+IFERROR(VLOOKUP(A13,[3]BalanceSheet!A$8:B$154,2,0),0)</f>
        <v>344.4</v>
      </c>
      <c r="L13" s="89"/>
      <c r="M13" s="86"/>
    </row>
    <row r="14" spans="1:13">
      <c r="A14" s="30" t="s">
        <v>426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6136719.3300000001</v>
      </c>
      <c r="I14" s="22">
        <v>0</v>
      </c>
      <c r="J14" s="22">
        <f>+IFERROR(VLOOKUP(A14,[3]BalanceSheet!A$8:B$154,2,0),0)</f>
        <v>26906063.66</v>
      </c>
      <c r="L14" s="89"/>
      <c r="M14" s="86"/>
    </row>
    <row r="15" spans="1:13">
      <c r="A15" s="30" t="s">
        <v>425</v>
      </c>
      <c r="B15" s="22">
        <v>0</v>
      </c>
      <c r="C15" s="22">
        <v>0</v>
      </c>
      <c r="D15" s="22">
        <v>0</v>
      </c>
      <c r="E15" s="22">
        <v>0</v>
      </c>
      <c r="F15" s="22">
        <v>0</v>
      </c>
      <c r="G15" s="22">
        <v>0</v>
      </c>
      <c r="H15" s="22">
        <v>11685.56</v>
      </c>
      <c r="I15" s="22">
        <v>0</v>
      </c>
      <c r="J15" s="22">
        <f>+IFERROR(VLOOKUP(A15,[3]BalanceSheet!A$8:B$154,2,0),0)</f>
        <v>5309.75</v>
      </c>
      <c r="L15" s="89"/>
      <c r="M15" s="86"/>
    </row>
    <row r="16" spans="1:13">
      <c r="A16" s="30" t="s">
        <v>424</v>
      </c>
      <c r="B16" s="22">
        <v>0</v>
      </c>
      <c r="C16" s="22">
        <v>0</v>
      </c>
      <c r="D16" s="22">
        <v>0</v>
      </c>
      <c r="E16" s="22">
        <v>0</v>
      </c>
      <c r="F16" s="22">
        <v>0</v>
      </c>
      <c r="G16" s="22">
        <v>0</v>
      </c>
      <c r="H16" s="22">
        <v>16813.13</v>
      </c>
      <c r="I16" s="22">
        <v>0</v>
      </c>
      <c r="J16" s="22">
        <f>+IFERROR(VLOOKUP(A16,[3]BalanceSheet!A$8:B$154,2,0),0)</f>
        <v>367423.66</v>
      </c>
      <c r="L16" s="89"/>
      <c r="M16" s="86"/>
    </row>
    <row r="17" spans="1:13" ht="10.5">
      <c r="A17" s="29" t="s">
        <v>423</v>
      </c>
      <c r="B17" s="23">
        <f t="shared" ref="B17:I17" si="0">SUM(B12:B16)</f>
        <v>0</v>
      </c>
      <c r="C17" s="23">
        <f t="shared" si="0"/>
        <v>0</v>
      </c>
      <c r="D17" s="23">
        <f t="shared" si="0"/>
        <v>0</v>
      </c>
      <c r="E17" s="23">
        <f t="shared" si="0"/>
        <v>0</v>
      </c>
      <c r="F17" s="23">
        <f t="shared" si="0"/>
        <v>0</v>
      </c>
      <c r="G17" s="23">
        <f t="shared" si="0"/>
        <v>0</v>
      </c>
      <c r="H17" s="23">
        <f t="shared" si="0"/>
        <v>6448462.7399999993</v>
      </c>
      <c r="I17" s="23">
        <f t="shared" si="0"/>
        <v>0</v>
      </c>
      <c r="J17" s="23">
        <f>+IFERROR(VLOOKUP(A17,[3]BalanceSheet!A$8:B$154,2,0),0)</f>
        <v>27305292.690000001</v>
      </c>
      <c r="K17" s="21">
        <v>10</v>
      </c>
      <c r="L17" s="90"/>
      <c r="M17" s="86"/>
    </row>
    <row r="18" spans="1:13">
      <c r="A18" s="25" t="s">
        <v>422</v>
      </c>
      <c r="B18" s="22">
        <v>0</v>
      </c>
      <c r="C18" s="22">
        <v>0</v>
      </c>
      <c r="D18" s="22">
        <v>0</v>
      </c>
      <c r="E18" s="22">
        <v>0</v>
      </c>
      <c r="F18" s="22">
        <v>0</v>
      </c>
      <c r="G18" s="22">
        <v>-0.01</v>
      </c>
      <c r="H18" s="22">
        <v>0</v>
      </c>
      <c r="I18" s="22">
        <v>0</v>
      </c>
      <c r="J18" s="22">
        <f>+IFERROR(VLOOKUP(A18,[3]BalanceSheet!A$8:B$154,2,0),0)</f>
        <v>0</v>
      </c>
      <c r="L18" s="89"/>
      <c r="M18" s="86"/>
    </row>
    <row r="19" spans="1:13" ht="10.5">
      <c r="A19" s="31" t="s">
        <v>421</v>
      </c>
      <c r="B19" s="26"/>
      <c r="C19" s="26"/>
      <c r="D19" s="26"/>
      <c r="E19" s="26"/>
      <c r="F19" s="26"/>
      <c r="G19" s="26"/>
      <c r="H19" s="26"/>
      <c r="I19" s="26"/>
      <c r="J19" s="26">
        <f>+IFERROR(VLOOKUP(A19,[3]BalanceSheet!A$8:B$154,2,0),0)</f>
        <v>0</v>
      </c>
      <c r="L19" s="88"/>
      <c r="M19" s="86"/>
    </row>
    <row r="20" spans="1:13">
      <c r="A20" s="30" t="s">
        <v>420</v>
      </c>
      <c r="B20" s="22">
        <v>0</v>
      </c>
      <c r="C20" s="22">
        <v>0</v>
      </c>
      <c r="D20" s="22">
        <v>0</v>
      </c>
      <c r="E20" s="22">
        <v>21.81</v>
      </c>
      <c r="F20" s="22">
        <v>0</v>
      </c>
      <c r="G20" s="22">
        <v>0</v>
      </c>
      <c r="H20" s="22">
        <v>0</v>
      </c>
      <c r="I20" s="22">
        <v>0</v>
      </c>
      <c r="J20" s="22">
        <f>+IFERROR(VLOOKUP(A20,[3]BalanceSheet!A$8:B$154,2,0),0)</f>
        <v>156.37</v>
      </c>
      <c r="L20" s="89"/>
      <c r="M20" s="86"/>
    </row>
    <row r="21" spans="1:13" ht="10.5">
      <c r="A21" s="29" t="s">
        <v>419</v>
      </c>
      <c r="B21" s="23">
        <f t="shared" ref="B21:I21" si="1">SUM(B20)</f>
        <v>0</v>
      </c>
      <c r="C21" s="23">
        <f t="shared" si="1"/>
        <v>0</v>
      </c>
      <c r="D21" s="23">
        <f t="shared" si="1"/>
        <v>0</v>
      </c>
      <c r="E21" s="23">
        <f t="shared" si="1"/>
        <v>21.81</v>
      </c>
      <c r="F21" s="23">
        <f t="shared" si="1"/>
        <v>0</v>
      </c>
      <c r="G21" s="23">
        <f t="shared" si="1"/>
        <v>0</v>
      </c>
      <c r="H21" s="23">
        <f t="shared" si="1"/>
        <v>0</v>
      </c>
      <c r="I21" s="23">
        <f t="shared" si="1"/>
        <v>0</v>
      </c>
      <c r="J21" s="23">
        <f>+IFERROR(VLOOKUP(A21,[3]BalanceSheet!A$8:B$154,2,0),0)</f>
        <v>156.37</v>
      </c>
      <c r="K21" s="21">
        <v>10</v>
      </c>
      <c r="L21" s="90"/>
      <c r="M21" s="86"/>
    </row>
    <row r="22" spans="1:13" ht="10.5">
      <c r="A22" s="31" t="s">
        <v>418</v>
      </c>
      <c r="B22" s="26"/>
      <c r="C22" s="26"/>
      <c r="D22" s="26"/>
      <c r="E22" s="26"/>
      <c r="F22" s="26"/>
      <c r="G22" s="26"/>
      <c r="H22" s="26"/>
      <c r="I22" s="26"/>
      <c r="J22" s="26">
        <f>+IFERROR(VLOOKUP(A22,[3]BalanceSheet!A$8:B$154,2,0),0)</f>
        <v>0</v>
      </c>
      <c r="L22" s="88"/>
      <c r="M22" s="86"/>
    </row>
    <row r="23" spans="1:13">
      <c r="A23" s="30" t="s">
        <v>417</v>
      </c>
      <c r="B23" s="22">
        <v>0</v>
      </c>
      <c r="C23" s="22">
        <v>0</v>
      </c>
      <c r="D23" s="22">
        <v>0</v>
      </c>
      <c r="E23" s="22">
        <v>0</v>
      </c>
      <c r="F23" s="22">
        <v>124.45</v>
      </c>
      <c r="G23" s="22">
        <v>0</v>
      </c>
      <c r="H23" s="22">
        <v>0</v>
      </c>
      <c r="I23" s="22">
        <v>0</v>
      </c>
      <c r="J23" s="22">
        <f>+IFERROR(VLOOKUP(A23,[3]BalanceSheet!A$8:B$154,2,0),0)</f>
        <v>422.32</v>
      </c>
      <c r="L23" s="89"/>
      <c r="M23" s="86"/>
    </row>
    <row r="24" spans="1:13">
      <c r="A24" s="30" t="s">
        <v>416</v>
      </c>
      <c r="B24" s="22">
        <v>0</v>
      </c>
      <c r="C24" s="22">
        <v>0</v>
      </c>
      <c r="D24" s="22">
        <v>0</v>
      </c>
      <c r="E24" s="22">
        <v>0</v>
      </c>
      <c r="F24" s="22">
        <v>24.67</v>
      </c>
      <c r="G24" s="22">
        <v>0</v>
      </c>
      <c r="H24" s="22">
        <v>0</v>
      </c>
      <c r="I24" s="22">
        <v>0</v>
      </c>
      <c r="J24" s="22">
        <f>+IFERROR(VLOOKUP(A24,[3]BalanceSheet!A$8:B$154,2,0),0)</f>
        <v>24.67</v>
      </c>
      <c r="L24" s="89"/>
      <c r="M24" s="86"/>
    </row>
    <row r="25" spans="1:13">
      <c r="A25" s="30" t="s">
        <v>415</v>
      </c>
      <c r="B25" s="22">
        <v>0</v>
      </c>
      <c r="C25" s="22">
        <v>0</v>
      </c>
      <c r="D25" s="22">
        <v>0</v>
      </c>
      <c r="E25" s="22">
        <v>0</v>
      </c>
      <c r="F25" s="22">
        <v>327.43</v>
      </c>
      <c r="G25" s="22">
        <v>0</v>
      </c>
      <c r="H25" s="22">
        <v>0</v>
      </c>
      <c r="I25" s="22">
        <v>0</v>
      </c>
      <c r="J25" s="22">
        <f>+IFERROR(VLOOKUP(A25,[3]BalanceSheet!A$8:B$154,2,0),0)</f>
        <v>346.29</v>
      </c>
      <c r="L25" s="89"/>
      <c r="M25" s="86"/>
    </row>
    <row r="26" spans="1:13" ht="10.5">
      <c r="A26" s="29" t="s">
        <v>414</v>
      </c>
      <c r="B26" s="23">
        <f t="shared" ref="B26:I26" si="2">SUM(B23:B25)</f>
        <v>0</v>
      </c>
      <c r="C26" s="23">
        <f t="shared" si="2"/>
        <v>0</v>
      </c>
      <c r="D26" s="23">
        <f t="shared" si="2"/>
        <v>0</v>
      </c>
      <c r="E26" s="23">
        <f t="shared" si="2"/>
        <v>0</v>
      </c>
      <c r="F26" s="23">
        <f t="shared" si="2"/>
        <v>476.55</v>
      </c>
      <c r="G26" s="23">
        <f t="shared" si="2"/>
        <v>0</v>
      </c>
      <c r="H26" s="23">
        <f t="shared" si="2"/>
        <v>0</v>
      </c>
      <c r="I26" s="23">
        <f t="shared" si="2"/>
        <v>0</v>
      </c>
      <c r="J26" s="23">
        <f>+IFERROR(VLOOKUP(A26,[3]BalanceSheet!A$8:B$154,2,0),0)</f>
        <v>793.28</v>
      </c>
      <c r="K26" s="21">
        <v>10</v>
      </c>
      <c r="L26" s="90"/>
      <c r="M26" s="86"/>
    </row>
    <row r="27" spans="1:13" ht="10.5">
      <c r="A27" s="31" t="s">
        <v>413</v>
      </c>
      <c r="B27" s="26"/>
      <c r="C27" s="26"/>
      <c r="D27" s="26"/>
      <c r="E27" s="26"/>
      <c r="F27" s="26"/>
      <c r="G27" s="26"/>
      <c r="H27" s="26"/>
      <c r="I27" s="26"/>
      <c r="J27" s="26">
        <f>+IFERROR(VLOOKUP(A27,[3]BalanceSheet!A$8:B$154,2,0),0)</f>
        <v>0</v>
      </c>
      <c r="L27" s="88"/>
      <c r="M27" s="86"/>
    </row>
    <row r="28" spans="1:13">
      <c r="A28" s="30" t="s">
        <v>412</v>
      </c>
      <c r="B28" s="22">
        <v>0</v>
      </c>
      <c r="C28" s="22">
        <v>0</v>
      </c>
      <c r="D28" s="22">
        <v>-3.42</v>
      </c>
      <c r="E28" s="22">
        <v>0</v>
      </c>
      <c r="F28" s="22">
        <v>0</v>
      </c>
      <c r="G28" s="22">
        <v>0</v>
      </c>
      <c r="H28" s="22">
        <v>0</v>
      </c>
      <c r="I28" s="22">
        <v>0</v>
      </c>
      <c r="J28" s="22">
        <f>+IFERROR(VLOOKUP(A28,[3]BalanceSheet!A$8:B$154,2,0),0)</f>
        <v>3.88</v>
      </c>
      <c r="L28" s="89"/>
      <c r="M28" s="86"/>
    </row>
    <row r="29" spans="1:13">
      <c r="A29" s="30" t="s">
        <v>411</v>
      </c>
      <c r="B29" s="22">
        <v>0</v>
      </c>
      <c r="C29" s="22">
        <v>0</v>
      </c>
      <c r="D29" s="22">
        <v>6438.02</v>
      </c>
      <c r="E29" s="22">
        <v>0</v>
      </c>
      <c r="F29" s="22">
        <v>0</v>
      </c>
      <c r="G29" s="22">
        <v>0</v>
      </c>
      <c r="H29" s="22">
        <v>0</v>
      </c>
      <c r="I29" s="22">
        <v>0</v>
      </c>
      <c r="J29" s="22">
        <f>+IFERROR(VLOOKUP(A29,[3]BalanceSheet!A$8:B$154,2,0),0)</f>
        <v>6563.41</v>
      </c>
      <c r="L29" s="89"/>
      <c r="M29" s="86"/>
    </row>
    <row r="30" spans="1:13" ht="10.5">
      <c r="A30" s="29" t="s">
        <v>410</v>
      </c>
      <c r="B30" s="23">
        <f t="shared" ref="B30:I30" si="3">SUM(B28:B29)</f>
        <v>0</v>
      </c>
      <c r="C30" s="23">
        <f t="shared" si="3"/>
        <v>0</v>
      </c>
      <c r="D30" s="23">
        <f t="shared" si="3"/>
        <v>6434.6</v>
      </c>
      <c r="E30" s="23">
        <f t="shared" si="3"/>
        <v>0</v>
      </c>
      <c r="F30" s="23">
        <f t="shared" si="3"/>
        <v>0</v>
      </c>
      <c r="G30" s="23">
        <f t="shared" si="3"/>
        <v>0</v>
      </c>
      <c r="H30" s="23">
        <f t="shared" si="3"/>
        <v>0</v>
      </c>
      <c r="I30" s="23">
        <f t="shared" si="3"/>
        <v>0</v>
      </c>
      <c r="J30" s="23">
        <f>+IFERROR(VLOOKUP(A30,[3]BalanceSheet!A$8:B$154,2,0),0)</f>
        <v>6567.29</v>
      </c>
      <c r="K30" s="21">
        <v>10</v>
      </c>
      <c r="L30" s="90"/>
      <c r="M30" s="86"/>
    </row>
    <row r="31" spans="1:13" ht="10.5">
      <c r="A31" s="31" t="s">
        <v>409</v>
      </c>
      <c r="B31" s="26"/>
      <c r="C31" s="26"/>
      <c r="D31" s="26"/>
      <c r="E31" s="26"/>
      <c r="F31" s="26"/>
      <c r="G31" s="26"/>
      <c r="H31" s="26"/>
      <c r="I31" s="26"/>
      <c r="J31" s="26">
        <f>+IFERROR(VLOOKUP(A31,[3]BalanceSheet!A$8:B$154,2,0),0)</f>
        <v>0</v>
      </c>
      <c r="L31" s="88"/>
      <c r="M31" s="86"/>
    </row>
    <row r="32" spans="1:13">
      <c r="A32" s="30" t="s">
        <v>408</v>
      </c>
      <c r="B32" s="22">
        <v>0</v>
      </c>
      <c r="C32" s="22">
        <v>0</v>
      </c>
      <c r="D32" s="22">
        <v>0</v>
      </c>
      <c r="E32" s="22">
        <v>0</v>
      </c>
      <c r="F32" s="22">
        <v>0</v>
      </c>
      <c r="G32" s="22">
        <v>671354.25</v>
      </c>
      <c r="H32" s="22">
        <v>0</v>
      </c>
      <c r="I32" s="22">
        <v>0</v>
      </c>
      <c r="J32" s="22">
        <f>+IFERROR(VLOOKUP(A32,[3]BalanceSheet!A$8:B$154,2,0),0)</f>
        <v>25648.28</v>
      </c>
      <c r="L32" s="89"/>
      <c r="M32" s="86"/>
    </row>
    <row r="33" spans="1:13" ht="10.5">
      <c r="A33" s="29" t="s">
        <v>407</v>
      </c>
      <c r="B33" s="23">
        <f t="shared" ref="B33:I33" si="4">SUM(B32)</f>
        <v>0</v>
      </c>
      <c r="C33" s="23">
        <f t="shared" si="4"/>
        <v>0</v>
      </c>
      <c r="D33" s="23">
        <f t="shared" si="4"/>
        <v>0</v>
      </c>
      <c r="E33" s="23">
        <f t="shared" si="4"/>
        <v>0</v>
      </c>
      <c r="F33" s="23">
        <f t="shared" si="4"/>
        <v>0</v>
      </c>
      <c r="G33" s="23">
        <f t="shared" si="4"/>
        <v>671354.25</v>
      </c>
      <c r="H33" s="23">
        <f t="shared" si="4"/>
        <v>0</v>
      </c>
      <c r="I33" s="23">
        <f t="shared" si="4"/>
        <v>0</v>
      </c>
      <c r="J33" s="23">
        <f>+IFERROR(VLOOKUP(A33,[3]BalanceSheet!A$8:B$154,2,0),0)</f>
        <v>25648.28</v>
      </c>
      <c r="K33" s="21">
        <v>10</v>
      </c>
      <c r="L33" s="90"/>
      <c r="M33" s="86"/>
    </row>
    <row r="34" spans="1:13" ht="10.5">
      <c r="A34" s="31" t="s">
        <v>406</v>
      </c>
      <c r="B34" s="26"/>
      <c r="C34" s="26"/>
      <c r="D34" s="26"/>
      <c r="E34" s="26"/>
      <c r="F34" s="26"/>
      <c r="G34" s="26"/>
      <c r="H34" s="26"/>
      <c r="I34" s="26"/>
      <c r="J34" s="26">
        <f>+IFERROR(VLOOKUP(A34,[3]BalanceSheet!A$8:B$154,2,0),0)</f>
        <v>0</v>
      </c>
      <c r="L34" s="88"/>
      <c r="M34" s="86"/>
    </row>
    <row r="35" spans="1:13">
      <c r="A35" s="30" t="s">
        <v>405</v>
      </c>
      <c r="B35" s="22">
        <v>0</v>
      </c>
      <c r="C35" s="22">
        <v>0</v>
      </c>
      <c r="D35" s="22">
        <v>0</v>
      </c>
      <c r="E35" s="22">
        <v>0</v>
      </c>
      <c r="F35" s="22">
        <v>0</v>
      </c>
      <c r="G35" s="22">
        <v>0</v>
      </c>
      <c r="H35" s="22">
        <v>0</v>
      </c>
      <c r="I35" s="22">
        <v>294780.88</v>
      </c>
      <c r="J35" s="22">
        <f>+IFERROR(VLOOKUP(A35,[3]BalanceSheet!A$8:B$154,2,0),0)</f>
        <v>49912.93</v>
      </c>
      <c r="L35" s="89"/>
      <c r="M35" s="86"/>
    </row>
    <row r="36" spans="1:13" ht="10.5">
      <c r="A36" s="29" t="s">
        <v>404</v>
      </c>
      <c r="B36" s="23">
        <f t="shared" ref="B36:I36" si="5">SUM(B35)</f>
        <v>0</v>
      </c>
      <c r="C36" s="23">
        <f t="shared" si="5"/>
        <v>0</v>
      </c>
      <c r="D36" s="23">
        <f t="shared" si="5"/>
        <v>0</v>
      </c>
      <c r="E36" s="23">
        <f t="shared" si="5"/>
        <v>0</v>
      </c>
      <c r="F36" s="23">
        <f t="shared" si="5"/>
        <v>0</v>
      </c>
      <c r="G36" s="23">
        <f t="shared" si="5"/>
        <v>0</v>
      </c>
      <c r="H36" s="23">
        <f t="shared" si="5"/>
        <v>0</v>
      </c>
      <c r="I36" s="23">
        <f t="shared" si="5"/>
        <v>294780.88</v>
      </c>
      <c r="J36" s="23">
        <f>+IFERROR(VLOOKUP(A36,[3]BalanceSheet!A$8:B$154,2,0),0)</f>
        <v>49912.93</v>
      </c>
      <c r="K36" s="21">
        <v>10</v>
      </c>
      <c r="L36" s="90"/>
      <c r="M36" s="86"/>
    </row>
    <row r="37" spans="1:13" ht="10.5">
      <c r="A37" s="31" t="s">
        <v>403</v>
      </c>
      <c r="B37" s="26"/>
      <c r="C37" s="26"/>
      <c r="D37" s="26"/>
      <c r="E37" s="26"/>
      <c r="F37" s="26"/>
      <c r="G37" s="26"/>
      <c r="H37" s="26"/>
      <c r="I37" s="26"/>
      <c r="J37" s="26">
        <f>+IFERROR(VLOOKUP(A37,[3]BalanceSheet!A$8:B$154,2,0),0)</f>
        <v>0</v>
      </c>
      <c r="L37" s="88"/>
      <c r="M37" s="86"/>
    </row>
    <row r="38" spans="1:13">
      <c r="A38" s="30" t="s">
        <v>402</v>
      </c>
      <c r="B38" s="22">
        <v>0</v>
      </c>
      <c r="C38" s="22">
        <v>180344.74</v>
      </c>
      <c r="D38" s="22">
        <v>0</v>
      </c>
      <c r="E38" s="22">
        <v>0</v>
      </c>
      <c r="F38" s="22">
        <v>0</v>
      </c>
      <c r="G38" s="22">
        <v>0</v>
      </c>
      <c r="H38" s="22">
        <v>0</v>
      </c>
      <c r="I38" s="22">
        <v>0</v>
      </c>
      <c r="J38" s="22">
        <f>+IFERROR(VLOOKUP(A38,[3]BalanceSheet!A$8:B$154,2,0),0)</f>
        <v>0</v>
      </c>
      <c r="L38" s="89"/>
      <c r="M38" s="86"/>
    </row>
    <row r="39" spans="1:13">
      <c r="A39" s="30" t="s">
        <v>401</v>
      </c>
      <c r="B39" s="22">
        <v>0</v>
      </c>
      <c r="C39" s="22">
        <v>42295.73</v>
      </c>
      <c r="D39" s="22">
        <v>0</v>
      </c>
      <c r="E39" s="22">
        <v>0</v>
      </c>
      <c r="F39" s="22">
        <v>0</v>
      </c>
      <c r="G39" s="22">
        <v>0</v>
      </c>
      <c r="H39" s="22">
        <v>0</v>
      </c>
      <c r="I39" s="22">
        <v>0</v>
      </c>
      <c r="J39" s="22">
        <f>+IFERROR(VLOOKUP(A39,[3]BalanceSheet!A$8:B$154,2,0),0)</f>
        <v>0</v>
      </c>
      <c r="L39" s="89"/>
      <c r="M39" s="86"/>
    </row>
    <row r="40" spans="1:13" ht="10.5">
      <c r="A40" s="29" t="s">
        <v>400</v>
      </c>
      <c r="B40" s="23">
        <f t="shared" ref="B40:I40" si="6">SUM(B38:B39)</f>
        <v>0</v>
      </c>
      <c r="C40" s="23">
        <f t="shared" si="6"/>
        <v>222640.47</v>
      </c>
      <c r="D40" s="23">
        <f t="shared" si="6"/>
        <v>0</v>
      </c>
      <c r="E40" s="23">
        <f t="shared" si="6"/>
        <v>0</v>
      </c>
      <c r="F40" s="23">
        <f t="shared" si="6"/>
        <v>0</v>
      </c>
      <c r="G40" s="23">
        <f t="shared" si="6"/>
        <v>0</v>
      </c>
      <c r="H40" s="23">
        <f t="shared" si="6"/>
        <v>0</v>
      </c>
      <c r="I40" s="23">
        <f t="shared" si="6"/>
        <v>0</v>
      </c>
      <c r="J40" s="23">
        <f>+IFERROR(VLOOKUP(A40,[3]BalanceSheet!A$8:B$154,2,0),0)</f>
        <v>0</v>
      </c>
      <c r="K40" s="21">
        <v>10</v>
      </c>
      <c r="L40" s="90"/>
      <c r="M40" s="86"/>
    </row>
    <row r="41" spans="1:13" ht="10.5">
      <c r="A41" s="31" t="s">
        <v>399</v>
      </c>
      <c r="B41" s="26"/>
      <c r="C41" s="26"/>
      <c r="D41" s="26"/>
      <c r="E41" s="26"/>
      <c r="F41" s="26"/>
      <c r="G41" s="26"/>
      <c r="H41" s="26"/>
      <c r="I41" s="26"/>
      <c r="J41" s="26">
        <f>+IFERROR(VLOOKUP(A41,[3]BalanceSheet!A$8:B$154,2,0),0)</f>
        <v>0</v>
      </c>
      <c r="L41" s="88"/>
      <c r="M41" s="86"/>
    </row>
    <row r="42" spans="1:13">
      <c r="A42" s="30" t="s">
        <v>398</v>
      </c>
      <c r="B42" s="22">
        <v>0</v>
      </c>
      <c r="C42" s="22">
        <v>0</v>
      </c>
      <c r="D42" s="22">
        <v>0</v>
      </c>
      <c r="E42" s="22">
        <v>0</v>
      </c>
      <c r="F42" s="22">
        <v>0</v>
      </c>
      <c r="G42" s="22">
        <v>0</v>
      </c>
      <c r="H42" s="22">
        <v>17071.919999999998</v>
      </c>
      <c r="I42" s="22">
        <v>0</v>
      </c>
      <c r="J42" s="22">
        <f>+IFERROR(VLOOKUP(A42,[3]BalanceSheet!A$8:B$154,2,0),0)</f>
        <v>19293.46</v>
      </c>
      <c r="L42" s="89"/>
      <c r="M42" s="86"/>
    </row>
    <row r="43" spans="1:13">
      <c r="A43" s="30" t="s">
        <v>397</v>
      </c>
      <c r="B43" s="22">
        <v>0</v>
      </c>
      <c r="C43" s="22">
        <v>0</v>
      </c>
      <c r="D43" s="22">
        <v>0</v>
      </c>
      <c r="E43" s="22">
        <v>0</v>
      </c>
      <c r="F43" s="22">
        <v>0</v>
      </c>
      <c r="G43" s="22">
        <v>0</v>
      </c>
      <c r="H43" s="22">
        <v>2845.19</v>
      </c>
      <c r="I43" s="22">
        <v>0</v>
      </c>
      <c r="J43" s="22">
        <f>+IFERROR(VLOOKUP(A43,[3]BalanceSheet!A$8:B$154,2,0),0)</f>
        <v>3215.43</v>
      </c>
      <c r="L43" s="89"/>
      <c r="M43" s="86"/>
    </row>
    <row r="44" spans="1:13">
      <c r="A44" s="30" t="s">
        <v>396</v>
      </c>
      <c r="B44" s="22">
        <v>0</v>
      </c>
      <c r="C44" s="22">
        <v>0</v>
      </c>
      <c r="D44" s="22">
        <v>0</v>
      </c>
      <c r="E44" s="22">
        <v>0</v>
      </c>
      <c r="F44" s="22">
        <v>0</v>
      </c>
      <c r="G44" s="22">
        <v>0</v>
      </c>
      <c r="H44" s="22">
        <v>8090.49</v>
      </c>
      <c r="I44" s="22">
        <v>0</v>
      </c>
      <c r="J44" s="22">
        <f>+IFERROR(VLOOKUP(A44,[3]BalanceSheet!A$8:B$154,2,0),0)</f>
        <v>8556.41</v>
      </c>
      <c r="L44" s="89"/>
      <c r="M44" s="86"/>
    </row>
    <row r="45" spans="1:13" ht="10.5">
      <c r="A45" s="29" t="s">
        <v>395</v>
      </c>
      <c r="B45" s="23">
        <f t="shared" ref="B45:I45" si="7">SUM(B42:B44)</f>
        <v>0</v>
      </c>
      <c r="C45" s="23">
        <f t="shared" si="7"/>
        <v>0</v>
      </c>
      <c r="D45" s="23">
        <f t="shared" si="7"/>
        <v>0</v>
      </c>
      <c r="E45" s="23">
        <f t="shared" si="7"/>
        <v>0</v>
      </c>
      <c r="F45" s="23">
        <f t="shared" si="7"/>
        <v>0</v>
      </c>
      <c r="G45" s="23">
        <f t="shared" si="7"/>
        <v>0</v>
      </c>
      <c r="H45" s="23">
        <f t="shared" si="7"/>
        <v>28007.599999999999</v>
      </c>
      <c r="I45" s="23">
        <f t="shared" si="7"/>
        <v>0</v>
      </c>
      <c r="J45" s="23">
        <f>+IFERROR(VLOOKUP(A45,[3]BalanceSheet!A$8:B$154,2,0),0)</f>
        <v>31065.3</v>
      </c>
      <c r="K45" s="21">
        <v>11</v>
      </c>
      <c r="L45" s="90"/>
      <c r="M45" s="86"/>
    </row>
    <row r="46" spans="1:13" ht="10.5">
      <c r="A46" s="31" t="s">
        <v>394</v>
      </c>
      <c r="B46" s="26"/>
      <c r="C46" s="26"/>
      <c r="D46" s="26"/>
      <c r="E46" s="26"/>
      <c r="F46" s="26"/>
      <c r="G46" s="26"/>
      <c r="H46" s="26"/>
      <c r="I46" s="26"/>
      <c r="J46" s="26">
        <f>+IFERROR(VLOOKUP(A46,[3]BalanceSheet!A$8:B$154,2,0),0)</f>
        <v>0</v>
      </c>
      <c r="L46" s="88"/>
      <c r="M46" s="86"/>
    </row>
    <row r="47" spans="1:13">
      <c r="A47" s="30" t="s">
        <v>393</v>
      </c>
      <c r="B47" s="22">
        <v>0</v>
      </c>
      <c r="C47" s="22">
        <v>0</v>
      </c>
      <c r="D47" s="22">
        <v>0</v>
      </c>
      <c r="E47" s="22">
        <v>0</v>
      </c>
      <c r="F47" s="22">
        <v>0</v>
      </c>
      <c r="G47" s="22">
        <v>0</v>
      </c>
      <c r="H47" s="22">
        <v>11135351.119999999</v>
      </c>
      <c r="I47" s="22">
        <v>0</v>
      </c>
      <c r="J47" s="22">
        <f>+IFERROR(VLOOKUP(A47,[3]BalanceSheet!A$8:B$154,2,0),0)</f>
        <v>0</v>
      </c>
      <c r="K47" s="21">
        <v>11</v>
      </c>
      <c r="L47" s="89"/>
      <c r="M47" s="86"/>
    </row>
    <row r="48" spans="1:13" ht="10.5">
      <c r="A48" s="29" t="s">
        <v>392</v>
      </c>
      <c r="B48" s="23">
        <f t="shared" ref="B48:I48" si="8">SUM(B47)</f>
        <v>0</v>
      </c>
      <c r="C48" s="23">
        <f t="shared" si="8"/>
        <v>0</v>
      </c>
      <c r="D48" s="23">
        <f t="shared" si="8"/>
        <v>0</v>
      </c>
      <c r="E48" s="23">
        <f t="shared" si="8"/>
        <v>0</v>
      </c>
      <c r="F48" s="23">
        <f t="shared" si="8"/>
        <v>0</v>
      </c>
      <c r="G48" s="23">
        <f t="shared" si="8"/>
        <v>0</v>
      </c>
      <c r="H48" s="23">
        <f t="shared" si="8"/>
        <v>11135351.119999999</v>
      </c>
      <c r="I48" s="23">
        <f t="shared" si="8"/>
        <v>0</v>
      </c>
      <c r="J48" s="23">
        <f>+IFERROR(VLOOKUP(A48,[3]BalanceSheet!A$8:B$154,2,0),0)</f>
        <v>0</v>
      </c>
      <c r="L48" s="90"/>
      <c r="M48" s="86"/>
    </row>
    <row r="49" spans="1:13" s="141" customFormat="1" ht="10.5">
      <c r="A49" s="139" t="s">
        <v>391</v>
      </c>
      <c r="B49" s="140">
        <f t="shared" ref="B49:I49" si="9">SUM(B17:B18,B21,B26,B30,B33,B36,B40,B45,B48)</f>
        <v>0</v>
      </c>
      <c r="C49" s="140">
        <f t="shared" si="9"/>
        <v>222640.47</v>
      </c>
      <c r="D49" s="140">
        <f t="shared" si="9"/>
        <v>6434.6</v>
      </c>
      <c r="E49" s="140">
        <f t="shared" si="9"/>
        <v>21.81</v>
      </c>
      <c r="F49" s="140">
        <f t="shared" si="9"/>
        <v>476.55</v>
      </c>
      <c r="G49" s="140">
        <f t="shared" si="9"/>
        <v>671354.24</v>
      </c>
      <c r="H49" s="140">
        <f t="shared" si="9"/>
        <v>17611821.459999997</v>
      </c>
      <c r="I49" s="140">
        <f t="shared" si="9"/>
        <v>294780.88</v>
      </c>
      <c r="J49" s="140">
        <f>+IFERROR(VLOOKUP(A49,[3]BalanceSheet!A$8:B$154,2,0),0)</f>
        <v>27419436.140000004</v>
      </c>
      <c r="L49" s="142"/>
      <c r="M49" s="143"/>
    </row>
    <row r="50" spans="1:13" ht="10.5">
      <c r="A50" s="27" t="s">
        <v>390</v>
      </c>
      <c r="B50" s="26"/>
      <c r="C50" s="26"/>
      <c r="D50" s="26"/>
      <c r="E50" s="26"/>
      <c r="F50" s="26"/>
      <c r="G50" s="26"/>
      <c r="H50" s="26"/>
      <c r="I50" s="26"/>
      <c r="J50" s="26">
        <f>+IFERROR(VLOOKUP(A50,[3]BalanceSheet!A$8:B$154,2,0),0)</f>
        <v>0</v>
      </c>
      <c r="L50" s="88"/>
      <c r="M50" s="86"/>
    </row>
    <row r="51" spans="1:13" ht="10.5">
      <c r="A51" s="31" t="s">
        <v>389</v>
      </c>
      <c r="B51" s="26"/>
      <c r="C51" s="26"/>
      <c r="D51" s="26"/>
      <c r="E51" s="26"/>
      <c r="F51" s="26"/>
      <c r="G51" s="26"/>
      <c r="H51" s="26"/>
      <c r="I51" s="26"/>
      <c r="J51" s="26">
        <f>+IFERROR(VLOOKUP(A51,[3]BalanceSheet!A$8:B$154,2,0),0)</f>
        <v>0</v>
      </c>
      <c r="L51" s="88"/>
      <c r="M51" s="86"/>
    </row>
    <row r="52" spans="1:13">
      <c r="A52" s="30" t="s">
        <v>388</v>
      </c>
      <c r="B52" s="22">
        <v>0</v>
      </c>
      <c r="C52" s="22">
        <v>0</v>
      </c>
      <c r="D52" s="22">
        <v>0</v>
      </c>
      <c r="E52" s="22">
        <v>0</v>
      </c>
      <c r="F52" s="22">
        <v>0</v>
      </c>
      <c r="G52" s="22">
        <v>0</v>
      </c>
      <c r="H52" s="22">
        <v>1631201.18</v>
      </c>
      <c r="I52" s="22">
        <v>0</v>
      </c>
      <c r="J52" s="22">
        <f>+IFERROR(VLOOKUP(A52,[3]BalanceSheet!A$8:B$154,2,0),0)</f>
        <v>867787</v>
      </c>
      <c r="L52" s="89"/>
      <c r="M52" s="86"/>
    </row>
    <row r="53" spans="1:13">
      <c r="A53" s="30" t="s">
        <v>387</v>
      </c>
      <c r="B53" s="22">
        <v>0</v>
      </c>
      <c r="C53" s="22">
        <v>0</v>
      </c>
      <c r="D53" s="22">
        <v>0</v>
      </c>
      <c r="E53" s="22">
        <v>0</v>
      </c>
      <c r="F53" s="22">
        <v>0</v>
      </c>
      <c r="G53" s="22">
        <v>0</v>
      </c>
      <c r="H53" s="22">
        <v>-20670</v>
      </c>
      <c r="I53" s="22">
        <v>0</v>
      </c>
      <c r="J53" s="22">
        <f>+IFERROR(VLOOKUP(A53,[3]BalanceSheet!A$8:B$154,2,0),0)</f>
        <v>-43969.38</v>
      </c>
      <c r="L53" s="89"/>
      <c r="M53" s="86"/>
    </row>
    <row r="54" spans="1:13" ht="10.5">
      <c r="A54" s="29" t="s">
        <v>386</v>
      </c>
      <c r="B54" s="23">
        <f t="shared" ref="B54:I54" si="10">SUM(B52:B53)</f>
        <v>0</v>
      </c>
      <c r="C54" s="23">
        <f t="shared" si="10"/>
        <v>0</v>
      </c>
      <c r="D54" s="23">
        <f t="shared" si="10"/>
        <v>0</v>
      </c>
      <c r="E54" s="23">
        <f t="shared" si="10"/>
        <v>0</v>
      </c>
      <c r="F54" s="23">
        <f t="shared" si="10"/>
        <v>0</v>
      </c>
      <c r="G54" s="23">
        <f t="shared" si="10"/>
        <v>0</v>
      </c>
      <c r="H54" s="23">
        <f t="shared" si="10"/>
        <v>1610531.18</v>
      </c>
      <c r="I54" s="23">
        <f t="shared" si="10"/>
        <v>0</v>
      </c>
      <c r="J54" s="23">
        <f>+IFERROR(VLOOKUP(A54,[3]BalanceSheet!A$8:B$154,2,0),0)</f>
        <v>823817.62</v>
      </c>
      <c r="K54" s="21">
        <v>12.1</v>
      </c>
      <c r="L54" s="90"/>
      <c r="M54" s="86"/>
    </row>
    <row r="55" spans="1:13" ht="10.5">
      <c r="A55" s="31" t="s">
        <v>385</v>
      </c>
      <c r="B55" s="26"/>
      <c r="C55" s="26"/>
      <c r="D55" s="26"/>
      <c r="E55" s="26"/>
      <c r="F55" s="26"/>
      <c r="G55" s="26"/>
      <c r="H55" s="26"/>
      <c r="I55" s="26"/>
      <c r="J55" s="26">
        <f>+IFERROR(VLOOKUP(A55,[3]BalanceSheet!A$8:B$154,2,0),0)</f>
        <v>0</v>
      </c>
      <c r="L55" s="88"/>
      <c r="M55" s="86"/>
    </row>
    <row r="56" spans="1:13">
      <c r="A56" s="30" t="s">
        <v>384</v>
      </c>
      <c r="B56" s="22">
        <v>-28375.56</v>
      </c>
      <c r="C56" s="22">
        <v>0</v>
      </c>
      <c r="D56" s="22">
        <v>0</v>
      </c>
      <c r="E56" s="22">
        <v>0</v>
      </c>
      <c r="F56" s="22">
        <v>0</v>
      </c>
      <c r="G56" s="22">
        <v>0</v>
      </c>
      <c r="H56" s="22">
        <v>0</v>
      </c>
      <c r="I56" s="22">
        <v>28375.56</v>
      </c>
      <c r="J56" s="22">
        <f>+IFERROR(VLOOKUP(A56,[3]BalanceSheet!A$8:B$154,2,0),0)</f>
        <v>0</v>
      </c>
      <c r="L56" s="89"/>
      <c r="M56" s="86"/>
    </row>
    <row r="57" spans="1:13" ht="10.5">
      <c r="A57" s="29" t="s">
        <v>383</v>
      </c>
      <c r="B57" s="23">
        <f t="shared" ref="B57:I57" si="11">SUM(B56)</f>
        <v>-28375.56</v>
      </c>
      <c r="C57" s="23">
        <f t="shared" si="11"/>
        <v>0</v>
      </c>
      <c r="D57" s="23">
        <f t="shared" si="11"/>
        <v>0</v>
      </c>
      <c r="E57" s="23">
        <f t="shared" si="11"/>
        <v>0</v>
      </c>
      <c r="F57" s="23">
        <f t="shared" si="11"/>
        <v>0</v>
      </c>
      <c r="G57" s="23">
        <f t="shared" si="11"/>
        <v>0</v>
      </c>
      <c r="H57" s="23">
        <f t="shared" si="11"/>
        <v>0</v>
      </c>
      <c r="I57" s="23">
        <f t="shared" si="11"/>
        <v>28375.56</v>
      </c>
      <c r="J57" s="23">
        <f>+IFERROR(VLOOKUP(A57,[3]BalanceSheet!A$8:B$154,2,0),0)</f>
        <v>0</v>
      </c>
      <c r="K57" s="21">
        <v>12.1</v>
      </c>
      <c r="L57" s="90"/>
      <c r="M57" s="86"/>
    </row>
    <row r="58" spans="1:13" ht="10.5">
      <c r="A58" s="24" t="s">
        <v>382</v>
      </c>
      <c r="B58" s="23">
        <f t="shared" ref="B58:I58" si="12">SUM(B54,B57)</f>
        <v>-28375.56</v>
      </c>
      <c r="C58" s="23">
        <f t="shared" si="12"/>
        <v>0</v>
      </c>
      <c r="D58" s="23">
        <f t="shared" si="12"/>
        <v>0</v>
      </c>
      <c r="E58" s="23">
        <f t="shared" si="12"/>
        <v>0</v>
      </c>
      <c r="F58" s="23">
        <f t="shared" si="12"/>
        <v>0</v>
      </c>
      <c r="G58" s="23">
        <f t="shared" si="12"/>
        <v>0</v>
      </c>
      <c r="H58" s="23">
        <f t="shared" si="12"/>
        <v>1610531.18</v>
      </c>
      <c r="I58" s="23">
        <f t="shared" si="12"/>
        <v>28375.56</v>
      </c>
      <c r="J58" s="23">
        <f>+IFERROR(VLOOKUP(A58,[3]BalanceSheet!A$8:B$154,2,0),0)</f>
        <v>823817.62</v>
      </c>
      <c r="K58" s="21">
        <v>12</v>
      </c>
      <c r="L58" s="90"/>
      <c r="M58" s="86"/>
    </row>
    <row r="59" spans="1:13" ht="10.5">
      <c r="A59" s="27" t="s">
        <v>381</v>
      </c>
      <c r="B59" s="26"/>
      <c r="C59" s="26"/>
      <c r="D59" s="26"/>
      <c r="E59" s="26"/>
      <c r="F59" s="26"/>
      <c r="G59" s="26"/>
      <c r="H59" s="26"/>
      <c r="I59" s="26"/>
      <c r="J59" s="26">
        <f>+IFERROR(VLOOKUP(A59,[3]BalanceSheet!A$8:B$154,2,0),0)</f>
        <v>0</v>
      </c>
      <c r="L59" s="88"/>
      <c r="M59" s="86"/>
    </row>
    <row r="60" spans="1:13">
      <c r="A60" s="25" t="s">
        <v>381</v>
      </c>
      <c r="B60" s="22">
        <v>0</v>
      </c>
      <c r="C60" s="22">
        <v>0</v>
      </c>
      <c r="D60" s="22">
        <v>0</v>
      </c>
      <c r="E60" s="22">
        <v>0</v>
      </c>
      <c r="F60" s="22">
        <v>0</v>
      </c>
      <c r="G60" s="22">
        <v>0</v>
      </c>
      <c r="H60" s="22">
        <v>126335.77</v>
      </c>
      <c r="I60" s="22">
        <v>0</v>
      </c>
      <c r="J60" s="22">
        <f>+IFERROR(VLOOKUP(A60,[3]BalanceSheet!A$8:B$154,2,0),0)</f>
        <v>0</v>
      </c>
      <c r="L60" s="89"/>
      <c r="M60" s="86"/>
    </row>
    <row r="61" spans="1:13" ht="10.5">
      <c r="A61" s="24" t="s">
        <v>380</v>
      </c>
      <c r="B61" s="23">
        <f t="shared" ref="B61:I61" si="13">SUM(B60)</f>
        <v>0</v>
      </c>
      <c r="C61" s="23">
        <f t="shared" si="13"/>
        <v>0</v>
      </c>
      <c r="D61" s="23">
        <f t="shared" si="13"/>
        <v>0</v>
      </c>
      <c r="E61" s="23">
        <f t="shared" si="13"/>
        <v>0</v>
      </c>
      <c r="F61" s="23">
        <f t="shared" si="13"/>
        <v>0</v>
      </c>
      <c r="G61" s="23">
        <f t="shared" si="13"/>
        <v>0</v>
      </c>
      <c r="H61" s="23">
        <f t="shared" si="13"/>
        <v>126335.77</v>
      </c>
      <c r="I61" s="23">
        <f t="shared" si="13"/>
        <v>0</v>
      </c>
      <c r="J61" s="23">
        <f>+IFERROR(VLOOKUP(A61,[3]BalanceSheet!A$8:B$154,2,0),0)</f>
        <v>0</v>
      </c>
      <c r="K61" s="21">
        <v>12</v>
      </c>
      <c r="L61" s="90"/>
      <c r="M61" s="86"/>
    </row>
    <row r="62" spans="1:13" ht="10.5">
      <c r="A62" s="27" t="s">
        <v>379</v>
      </c>
      <c r="B62" s="26"/>
      <c r="C62" s="26"/>
      <c r="D62" s="26"/>
      <c r="E62" s="26"/>
      <c r="F62" s="26"/>
      <c r="G62" s="26"/>
      <c r="H62" s="26"/>
      <c r="I62" s="26"/>
      <c r="J62" s="26">
        <f>+IFERROR(VLOOKUP(A62,[3]BalanceSheet!A$8:B$154,2,0),0)</f>
        <v>0</v>
      </c>
      <c r="L62" s="88"/>
      <c r="M62" s="86"/>
    </row>
    <row r="63" spans="1:13">
      <c r="A63" s="25" t="s">
        <v>378</v>
      </c>
      <c r="B63" s="22">
        <v>0</v>
      </c>
      <c r="C63" s="22">
        <v>0</v>
      </c>
      <c r="D63" s="22">
        <v>0</v>
      </c>
      <c r="E63" s="22">
        <v>0</v>
      </c>
      <c r="F63" s="22">
        <v>0</v>
      </c>
      <c r="G63" s="22">
        <v>0</v>
      </c>
      <c r="H63" s="22">
        <v>327837.96000000002</v>
      </c>
      <c r="I63" s="22">
        <v>0</v>
      </c>
      <c r="J63" s="22">
        <f>+IFERROR(VLOOKUP(A63,[3]BalanceSheet!A$8:B$154,2,0),0)</f>
        <v>192570.33</v>
      </c>
      <c r="K63" s="21">
        <v>12</v>
      </c>
      <c r="L63" s="89"/>
      <c r="M63" s="86"/>
    </row>
    <row r="64" spans="1:13" ht="10.5">
      <c r="A64" s="31" t="s">
        <v>377</v>
      </c>
      <c r="B64" s="26"/>
      <c r="C64" s="26"/>
      <c r="D64" s="26"/>
      <c r="E64" s="26"/>
      <c r="F64" s="26"/>
      <c r="G64" s="26"/>
      <c r="H64" s="26"/>
      <c r="I64" s="26"/>
      <c r="J64" s="26">
        <f>+IFERROR(VLOOKUP(A64,[3]BalanceSheet!A$8:B$154,2,0),0)</f>
        <v>0</v>
      </c>
      <c r="L64" s="88"/>
      <c r="M64" s="86"/>
    </row>
    <row r="65" spans="1:13">
      <c r="A65" s="8" t="s">
        <v>376</v>
      </c>
      <c r="B65" s="89">
        <v>-4619805.91</v>
      </c>
      <c r="C65" s="89">
        <v>0</v>
      </c>
      <c r="D65" s="89">
        <v>0</v>
      </c>
      <c r="E65" s="89">
        <v>0</v>
      </c>
      <c r="F65" s="89">
        <v>0</v>
      </c>
      <c r="G65" s="89">
        <v>2284953.2400000002</v>
      </c>
      <c r="H65" s="89">
        <v>2334852.67</v>
      </c>
      <c r="I65" s="89">
        <v>0</v>
      </c>
      <c r="J65" s="89">
        <f>+IFERROR(VLOOKUP(A65,[3]BalanceSheet!A$8:B$154,2,0),0)</f>
        <v>0</v>
      </c>
      <c r="L65" s="89"/>
      <c r="M65" s="86"/>
    </row>
    <row r="66" spans="1:13">
      <c r="A66" s="8" t="s">
        <v>375</v>
      </c>
      <c r="B66" s="89">
        <v>-1664719.22</v>
      </c>
      <c r="C66" s="89">
        <v>0</v>
      </c>
      <c r="D66" s="89">
        <v>0</v>
      </c>
      <c r="E66" s="89">
        <v>0</v>
      </c>
      <c r="F66" s="89">
        <v>0</v>
      </c>
      <c r="G66" s="89">
        <v>0</v>
      </c>
      <c r="H66" s="89">
        <v>865505.1</v>
      </c>
      <c r="I66" s="89">
        <v>799214.12</v>
      </c>
      <c r="J66" s="89">
        <f>+IFERROR(VLOOKUP(A66,[3]BalanceSheet!A$8:B$154,2,0),0)</f>
        <v>0</v>
      </c>
      <c r="L66" s="89"/>
      <c r="M66" s="86"/>
    </row>
    <row r="67" spans="1:13">
      <c r="A67" s="8" t="s">
        <v>374</v>
      </c>
      <c r="B67" s="89">
        <v>-49169.73</v>
      </c>
      <c r="C67" s="89">
        <v>0</v>
      </c>
      <c r="D67" s="89">
        <v>0</v>
      </c>
      <c r="E67" s="89">
        <v>0</v>
      </c>
      <c r="F67" s="89">
        <v>48177.9</v>
      </c>
      <c r="G67" s="89">
        <v>0</v>
      </c>
      <c r="H67" s="89">
        <v>991.83</v>
      </c>
      <c r="I67" s="89">
        <v>0</v>
      </c>
      <c r="J67" s="89">
        <f>+IFERROR(VLOOKUP(A67,[3]BalanceSheet!A$8:B$154,2,0),0)</f>
        <v>0</v>
      </c>
      <c r="L67" s="89"/>
      <c r="M67" s="86"/>
    </row>
    <row r="68" spans="1:13">
      <c r="A68" s="8" t="s">
        <v>373</v>
      </c>
      <c r="B68" s="89">
        <v>-4459</v>
      </c>
      <c r="C68" s="89">
        <v>0</v>
      </c>
      <c r="D68" s="89">
        <v>4459</v>
      </c>
      <c r="E68" s="89">
        <v>0</v>
      </c>
      <c r="F68" s="89">
        <v>0</v>
      </c>
      <c r="G68" s="89">
        <v>0</v>
      </c>
      <c r="H68" s="89">
        <v>0</v>
      </c>
      <c r="I68" s="89">
        <v>0</v>
      </c>
      <c r="J68" s="89">
        <f>+IFERROR(VLOOKUP(A68,[3]BalanceSheet!A$8:B$154,2,0),0)</f>
        <v>0</v>
      </c>
      <c r="L68" s="89"/>
      <c r="M68" s="86"/>
    </row>
    <row r="69" spans="1:13">
      <c r="A69" s="8" t="s">
        <v>372</v>
      </c>
      <c r="B69" s="89">
        <v>-1396757.15</v>
      </c>
      <c r="C69" s="89">
        <v>537445.42000000004</v>
      </c>
      <c r="D69" s="89">
        <v>0</v>
      </c>
      <c r="E69" s="89">
        <v>0</v>
      </c>
      <c r="F69" s="89">
        <v>0</v>
      </c>
      <c r="G69" s="89">
        <v>15878.25</v>
      </c>
      <c r="H69" s="89">
        <v>843433.48</v>
      </c>
      <c r="I69" s="89">
        <v>0</v>
      </c>
      <c r="J69" s="89">
        <f>+IFERROR(VLOOKUP(A69,[3]BalanceSheet!A$8:B$154,2,0),0)</f>
        <v>0</v>
      </c>
      <c r="L69" s="89"/>
      <c r="M69" s="86"/>
    </row>
    <row r="70" spans="1:13" ht="10.5">
      <c r="A70" s="96" t="s">
        <v>371</v>
      </c>
      <c r="B70" s="90">
        <v>-7734911.0099999998</v>
      </c>
      <c r="C70" s="90">
        <v>537445.42000000004</v>
      </c>
      <c r="D70" s="90">
        <v>4459</v>
      </c>
      <c r="E70" s="90">
        <v>0</v>
      </c>
      <c r="F70" s="90">
        <v>48177.9</v>
      </c>
      <c r="G70" s="90">
        <v>2300831.4900000002</v>
      </c>
      <c r="H70" s="90">
        <v>4044783.08</v>
      </c>
      <c r="I70" s="90">
        <v>799214.12</v>
      </c>
      <c r="J70" s="90">
        <f>+IFERROR(VLOOKUP(A70,[3]BalanceSheet!A$8:B$154,2,0),0)</f>
        <v>0</v>
      </c>
      <c r="K70" s="21">
        <v>13</v>
      </c>
      <c r="L70" s="90"/>
      <c r="M70" s="86"/>
    </row>
    <row r="71" spans="1:13" ht="10.5">
      <c r="A71" s="95" t="s">
        <v>370</v>
      </c>
      <c r="B71" s="88"/>
      <c r="C71" s="88"/>
      <c r="D71" s="88"/>
      <c r="E71" s="88"/>
      <c r="F71" s="88"/>
      <c r="G71" s="88"/>
      <c r="H71" s="88"/>
      <c r="I71" s="88"/>
      <c r="J71" s="88">
        <f>+IFERROR(VLOOKUP(A71,[3]BalanceSheet!A$8:B$154,2,0),0)</f>
        <v>0</v>
      </c>
      <c r="L71" s="88"/>
      <c r="M71" s="86"/>
    </row>
    <row r="72" spans="1:13">
      <c r="A72" s="8" t="s">
        <v>369</v>
      </c>
      <c r="B72" s="89">
        <v>0</v>
      </c>
      <c r="C72" s="89">
        <v>143307.18</v>
      </c>
      <c r="D72" s="89">
        <v>0</v>
      </c>
      <c r="E72" s="89">
        <v>0</v>
      </c>
      <c r="F72" s="89">
        <v>0</v>
      </c>
      <c r="G72" s="89">
        <v>15354.25</v>
      </c>
      <c r="H72" s="89">
        <v>129071.74</v>
      </c>
      <c r="I72" s="89">
        <v>4547.0600000000004</v>
      </c>
      <c r="J72" s="89">
        <f>+IFERROR(VLOOKUP(A72,[3]BalanceSheet!A$8:B$154,2,0),0)</f>
        <v>37005.61</v>
      </c>
      <c r="K72" s="21">
        <v>13.1</v>
      </c>
      <c r="L72" s="89"/>
      <c r="M72" s="86"/>
    </row>
    <row r="73" spans="1:13">
      <c r="A73" s="8" t="s">
        <v>368</v>
      </c>
      <c r="B73" s="89">
        <v>0</v>
      </c>
      <c r="C73" s="89">
        <v>0</v>
      </c>
      <c r="D73" s="89">
        <v>0</v>
      </c>
      <c r="E73" s="89">
        <v>0</v>
      </c>
      <c r="F73" s="89">
        <v>0</v>
      </c>
      <c r="G73" s="89">
        <v>11711.35</v>
      </c>
      <c r="H73" s="89">
        <v>0</v>
      </c>
      <c r="I73" s="89">
        <v>0</v>
      </c>
      <c r="J73" s="89">
        <f>+IFERROR(VLOOKUP(A73,[3]BalanceSheet!A$8:B$154,2,0),0)</f>
        <v>0</v>
      </c>
      <c r="K73" s="21">
        <v>13.1</v>
      </c>
      <c r="L73" s="89"/>
      <c r="M73" s="86"/>
    </row>
    <row r="74" spans="1:13">
      <c r="A74" s="8" t="s">
        <v>367</v>
      </c>
      <c r="B74" s="89">
        <v>0</v>
      </c>
      <c r="C74" s="89">
        <v>0</v>
      </c>
      <c r="D74" s="89">
        <v>0</v>
      </c>
      <c r="E74" s="89">
        <v>0</v>
      </c>
      <c r="F74" s="89">
        <v>0</v>
      </c>
      <c r="G74" s="89">
        <v>0</v>
      </c>
      <c r="H74" s="89">
        <v>99340.479999999996</v>
      </c>
      <c r="I74" s="89">
        <v>0</v>
      </c>
      <c r="J74" s="89">
        <f>+IFERROR(VLOOKUP(A74,[3]BalanceSheet!A$8:B$154,2,0),0)</f>
        <v>0</v>
      </c>
      <c r="K74" s="21">
        <v>13.1</v>
      </c>
      <c r="L74" s="89"/>
      <c r="M74" s="86"/>
    </row>
    <row r="75" spans="1:13" ht="10.5">
      <c r="A75" s="96" t="s">
        <v>366</v>
      </c>
      <c r="B75" s="90">
        <v>0</v>
      </c>
      <c r="C75" s="90">
        <v>143307.18</v>
      </c>
      <c r="D75" s="90">
        <v>0</v>
      </c>
      <c r="E75" s="90">
        <v>0</v>
      </c>
      <c r="F75" s="90">
        <v>0</v>
      </c>
      <c r="G75" s="90">
        <v>27065.599999999999</v>
      </c>
      <c r="H75" s="90">
        <v>228412.22</v>
      </c>
      <c r="I75" s="90">
        <v>4547.0600000000004</v>
      </c>
      <c r="J75" s="90">
        <f>+IFERROR(VLOOKUP(A75,[3]BalanceSheet!A$8:B$154,2,0),0)</f>
        <v>37005.61</v>
      </c>
      <c r="K75" s="21">
        <v>13</v>
      </c>
      <c r="L75" s="90"/>
      <c r="M75" s="86"/>
    </row>
    <row r="76" spans="1:13" ht="10.5">
      <c r="A76" s="95" t="s">
        <v>365</v>
      </c>
      <c r="B76" s="88"/>
      <c r="C76" s="88"/>
      <c r="D76" s="88"/>
      <c r="E76" s="88"/>
      <c r="F76" s="88"/>
      <c r="G76" s="88"/>
      <c r="H76" s="88"/>
      <c r="I76" s="88"/>
      <c r="J76" s="88">
        <f>+IFERROR(VLOOKUP(A76,[3]BalanceSheet!A$8:B$154,2,0),0)</f>
        <v>0</v>
      </c>
      <c r="L76" s="88"/>
      <c r="M76" s="86"/>
    </row>
    <row r="77" spans="1:13" ht="10.5">
      <c r="A77" s="98" t="s">
        <v>364</v>
      </c>
      <c r="B77" s="88"/>
      <c r="C77" s="88"/>
      <c r="D77" s="88"/>
      <c r="E77" s="88"/>
      <c r="F77" s="88"/>
      <c r="G77" s="88"/>
      <c r="H77" s="88"/>
      <c r="I77" s="88"/>
      <c r="J77" s="88">
        <f>+IFERROR(VLOOKUP(A77,[3]BalanceSheet!A$8:B$154,2,0),0)</f>
        <v>0</v>
      </c>
      <c r="L77" s="88"/>
      <c r="M77" s="86"/>
    </row>
    <row r="78" spans="1:13">
      <c r="A78" s="99" t="s">
        <v>363</v>
      </c>
      <c r="B78" s="89">
        <v>0</v>
      </c>
      <c r="C78" s="89">
        <v>0</v>
      </c>
      <c r="D78" s="89">
        <v>0</v>
      </c>
      <c r="E78" s="89">
        <v>0</v>
      </c>
      <c r="F78" s="89">
        <v>0</v>
      </c>
      <c r="G78" s="89">
        <v>0</v>
      </c>
      <c r="H78" s="89">
        <v>-84.05</v>
      </c>
      <c r="I78" s="89">
        <v>0</v>
      </c>
      <c r="J78" s="89">
        <f>+IFERROR(VLOOKUP(A78,[3]BalanceSheet!A$8:B$154,2,0),0)</f>
        <v>0</v>
      </c>
      <c r="L78" s="89"/>
      <c r="M78" s="86"/>
    </row>
    <row r="79" spans="1:13">
      <c r="A79" s="99" t="s">
        <v>362</v>
      </c>
      <c r="B79" s="89">
        <v>0</v>
      </c>
      <c r="C79" s="89">
        <v>0</v>
      </c>
      <c r="D79" s="89">
        <v>0</v>
      </c>
      <c r="E79" s="89">
        <v>0</v>
      </c>
      <c r="F79" s="89">
        <v>0</v>
      </c>
      <c r="G79" s="89">
        <v>0</v>
      </c>
      <c r="H79" s="89">
        <v>655.96</v>
      </c>
      <c r="I79" s="89">
        <v>0</v>
      </c>
      <c r="J79" s="89">
        <f>+IFERROR(VLOOKUP(A79,[3]BalanceSheet!A$8:B$154,2,0),0)</f>
        <v>32.799999999999997</v>
      </c>
      <c r="L79" s="89"/>
      <c r="M79" s="86"/>
    </row>
    <row r="80" spans="1:13">
      <c r="A80" s="99" t="s">
        <v>361</v>
      </c>
      <c r="B80" s="89">
        <v>0</v>
      </c>
      <c r="C80" s="89">
        <v>0</v>
      </c>
      <c r="D80" s="89">
        <v>0</v>
      </c>
      <c r="E80" s="89">
        <v>0</v>
      </c>
      <c r="F80" s="89">
        <v>0</v>
      </c>
      <c r="G80" s="89">
        <v>0</v>
      </c>
      <c r="H80" s="89">
        <v>3165.33</v>
      </c>
      <c r="I80" s="89">
        <v>0</v>
      </c>
      <c r="J80" s="89">
        <f>+IFERROR(VLOOKUP(A80,[3]BalanceSheet!A$8:B$154,2,0),0)</f>
        <v>80072.820000000007</v>
      </c>
      <c r="L80" s="89"/>
      <c r="M80" s="86"/>
    </row>
    <row r="81" spans="1:13">
      <c r="A81" s="99" t="s">
        <v>360</v>
      </c>
      <c r="B81" s="89">
        <v>0</v>
      </c>
      <c r="C81" s="89">
        <v>0</v>
      </c>
      <c r="D81" s="89">
        <v>0</v>
      </c>
      <c r="E81" s="89">
        <v>0</v>
      </c>
      <c r="F81" s="89">
        <v>0</v>
      </c>
      <c r="G81" s="89">
        <v>0</v>
      </c>
      <c r="H81" s="89">
        <v>31238.41</v>
      </c>
      <c r="I81" s="89">
        <v>0</v>
      </c>
      <c r="J81" s="89">
        <f>+IFERROR(VLOOKUP(A81,[3]BalanceSheet!A$8:B$154,2,0),0)</f>
        <v>0</v>
      </c>
      <c r="L81" s="89"/>
      <c r="M81" s="86"/>
    </row>
    <row r="82" spans="1:13">
      <c r="A82" s="99" t="s">
        <v>359</v>
      </c>
      <c r="B82" s="89">
        <v>0</v>
      </c>
      <c r="C82" s="89">
        <v>0</v>
      </c>
      <c r="D82" s="89">
        <v>0</v>
      </c>
      <c r="E82" s="89">
        <v>0</v>
      </c>
      <c r="F82" s="89">
        <v>0</v>
      </c>
      <c r="G82" s="89">
        <v>0</v>
      </c>
      <c r="H82" s="89">
        <v>0</v>
      </c>
      <c r="I82" s="89">
        <v>5870.77</v>
      </c>
      <c r="J82" s="89">
        <f>+IFERROR(VLOOKUP(A82,[3]BalanceSheet!A$8:B$154,2,0),0)</f>
        <v>5870.77</v>
      </c>
      <c r="L82" s="89"/>
      <c r="M82" s="86"/>
    </row>
    <row r="83" spans="1:13">
      <c r="A83" s="99" t="s">
        <v>358</v>
      </c>
      <c r="B83" s="89">
        <v>0</v>
      </c>
      <c r="C83" s="89">
        <v>0</v>
      </c>
      <c r="D83" s="89">
        <v>0</v>
      </c>
      <c r="E83" s="89">
        <v>0</v>
      </c>
      <c r="F83" s="89">
        <v>0</v>
      </c>
      <c r="G83" s="89">
        <v>0</v>
      </c>
      <c r="H83" s="89">
        <v>0</v>
      </c>
      <c r="I83" s="89">
        <v>38437.97</v>
      </c>
      <c r="J83" s="89">
        <f>+IFERROR(VLOOKUP(A83,[3]BalanceSheet!A$8:B$154,2,0),0)</f>
        <v>11696.16</v>
      </c>
      <c r="L83" s="89"/>
      <c r="M83" s="86"/>
    </row>
    <row r="84" spans="1:13">
      <c r="A84" s="99" t="s">
        <v>357</v>
      </c>
      <c r="B84" s="89">
        <v>0</v>
      </c>
      <c r="C84" s="89">
        <v>0</v>
      </c>
      <c r="D84" s="89">
        <v>0</v>
      </c>
      <c r="E84" s="89">
        <v>0</v>
      </c>
      <c r="F84" s="89">
        <v>0</v>
      </c>
      <c r="G84" s="89">
        <v>0</v>
      </c>
      <c r="H84" s="89">
        <v>0</v>
      </c>
      <c r="I84" s="89">
        <v>848.64</v>
      </c>
      <c r="J84" s="89">
        <f>+IFERROR(VLOOKUP(A84,[3]BalanceSheet!A$8:B$154,2,0),0)</f>
        <v>899.79</v>
      </c>
      <c r="L84" s="89"/>
      <c r="M84" s="86"/>
    </row>
    <row r="85" spans="1:13">
      <c r="A85" s="99" t="s">
        <v>356</v>
      </c>
      <c r="B85" s="89">
        <v>0</v>
      </c>
      <c r="C85" s="89">
        <v>0</v>
      </c>
      <c r="D85" s="89">
        <v>0</v>
      </c>
      <c r="E85" s="89">
        <v>0</v>
      </c>
      <c r="F85" s="89">
        <v>0</v>
      </c>
      <c r="G85" s="89">
        <v>39429.68</v>
      </c>
      <c r="H85" s="89">
        <v>0</v>
      </c>
      <c r="I85" s="89">
        <v>0</v>
      </c>
      <c r="J85" s="89">
        <f>+IFERROR(VLOOKUP(A85,[3]BalanceSheet!A$8:B$154,2,0),0)</f>
        <v>0</v>
      </c>
      <c r="L85" s="89"/>
      <c r="M85" s="86"/>
    </row>
    <row r="86" spans="1:13" ht="10.5">
      <c r="A86" s="100" t="s">
        <v>355</v>
      </c>
      <c r="B86" s="90">
        <v>0</v>
      </c>
      <c r="C86" s="90">
        <v>0</v>
      </c>
      <c r="D86" s="90">
        <v>0</v>
      </c>
      <c r="E86" s="90">
        <v>0</v>
      </c>
      <c r="F86" s="90">
        <v>0</v>
      </c>
      <c r="G86" s="90">
        <v>39429.68</v>
      </c>
      <c r="H86" s="90">
        <v>34975.65</v>
      </c>
      <c r="I86" s="90">
        <v>45157.380000000005</v>
      </c>
      <c r="J86" s="90">
        <f>+IFERROR(VLOOKUP(A86,[3]BalanceSheet!A$8:B$154,2,0),0)</f>
        <v>98572.340000000011</v>
      </c>
      <c r="K86" s="21">
        <v>13.2</v>
      </c>
      <c r="L86" s="90"/>
      <c r="M86" s="86"/>
    </row>
    <row r="87" spans="1:13" ht="10.5">
      <c r="A87" s="98" t="s">
        <v>354</v>
      </c>
      <c r="B87" s="88"/>
      <c r="C87" s="88"/>
      <c r="D87" s="88"/>
      <c r="E87" s="88"/>
      <c r="F87" s="88"/>
      <c r="G87" s="88"/>
      <c r="H87" s="88"/>
      <c r="I87" s="88"/>
      <c r="J87" s="88">
        <f>+IFERROR(VLOOKUP(A87,[3]BalanceSheet!A$8:B$154,2,0),0)</f>
        <v>0</v>
      </c>
      <c r="L87" s="88"/>
      <c r="M87" s="86"/>
    </row>
    <row r="88" spans="1:13">
      <c r="A88" s="99" t="s">
        <v>353</v>
      </c>
      <c r="B88" s="89">
        <v>0</v>
      </c>
      <c r="C88" s="89">
        <v>0</v>
      </c>
      <c r="D88" s="89">
        <v>0</v>
      </c>
      <c r="E88" s="89">
        <v>0</v>
      </c>
      <c r="F88" s="89">
        <v>0</v>
      </c>
      <c r="G88" s="89">
        <v>0</v>
      </c>
      <c r="H88" s="89">
        <v>17204.02</v>
      </c>
      <c r="I88" s="89">
        <v>0</v>
      </c>
      <c r="J88" s="89">
        <f>+IFERROR(VLOOKUP(A88,[3]BalanceSheet!A$8:B$154,2,0),0)</f>
        <v>17204.02</v>
      </c>
      <c r="L88" s="89"/>
      <c r="M88" s="86"/>
    </row>
    <row r="89" spans="1:13">
      <c r="A89" s="99" t="s">
        <v>352</v>
      </c>
      <c r="B89" s="89">
        <v>0</v>
      </c>
      <c r="C89" s="89">
        <v>0</v>
      </c>
      <c r="D89" s="89">
        <v>0</v>
      </c>
      <c r="E89" s="89">
        <v>0</v>
      </c>
      <c r="F89" s="89">
        <v>0</v>
      </c>
      <c r="G89" s="89">
        <v>0</v>
      </c>
      <c r="H89" s="89">
        <v>-17204.02</v>
      </c>
      <c r="I89" s="89">
        <v>0</v>
      </c>
      <c r="J89" s="89">
        <f>+IFERROR(VLOOKUP(A89,[3]BalanceSheet!A$8:B$154,2,0),0)</f>
        <v>-17204.02</v>
      </c>
      <c r="L89" s="89"/>
      <c r="M89" s="86"/>
    </row>
    <row r="90" spans="1:13">
      <c r="A90" s="99" t="s">
        <v>351</v>
      </c>
      <c r="B90" s="89">
        <v>0</v>
      </c>
      <c r="C90" s="89">
        <v>0</v>
      </c>
      <c r="D90" s="89">
        <v>-447.84</v>
      </c>
      <c r="E90" s="89">
        <v>0</v>
      </c>
      <c r="F90" s="89">
        <v>0</v>
      </c>
      <c r="G90" s="89">
        <v>0</v>
      </c>
      <c r="H90" s="89">
        <v>0</v>
      </c>
      <c r="I90" s="89">
        <v>75511.06</v>
      </c>
      <c r="J90" s="89">
        <f>+IFERROR(VLOOKUP(A90,[3]BalanceSheet!A$8:B$154,2,0),0)</f>
        <v>76473.19</v>
      </c>
      <c r="L90" s="89"/>
      <c r="M90" s="86"/>
    </row>
    <row r="91" spans="1:13">
      <c r="A91" s="99" t="s">
        <v>350</v>
      </c>
      <c r="B91" s="89">
        <v>0</v>
      </c>
      <c r="C91" s="89">
        <v>0</v>
      </c>
      <c r="D91" s="89">
        <v>0</v>
      </c>
      <c r="E91" s="89">
        <v>0</v>
      </c>
      <c r="F91" s="89">
        <v>0</v>
      </c>
      <c r="G91" s="89">
        <v>3267.88</v>
      </c>
      <c r="H91" s="89">
        <v>0</v>
      </c>
      <c r="I91" s="89">
        <v>0</v>
      </c>
      <c r="J91" s="89">
        <f>+IFERROR(VLOOKUP(A91,[3]BalanceSheet!A$8:B$154,2,0),0)</f>
        <v>3267.88</v>
      </c>
      <c r="L91" s="89"/>
      <c r="M91" s="86"/>
    </row>
    <row r="92" spans="1:13" ht="10.5">
      <c r="A92" s="100" t="s">
        <v>349</v>
      </c>
      <c r="B92" s="90">
        <v>0</v>
      </c>
      <c r="C92" s="90">
        <v>0</v>
      </c>
      <c r="D92" s="90">
        <v>-447.84</v>
      </c>
      <c r="E92" s="90">
        <v>0</v>
      </c>
      <c r="F92" s="90">
        <v>0</v>
      </c>
      <c r="G92" s="90">
        <v>3267.88</v>
      </c>
      <c r="H92" s="90">
        <v>0</v>
      </c>
      <c r="I92" s="90">
        <v>75511.06</v>
      </c>
      <c r="J92" s="90">
        <f>+IFERROR(VLOOKUP(A92,[3]BalanceSheet!A$8:B$154,2,0),0)</f>
        <v>79741.070000000007</v>
      </c>
      <c r="K92" s="21">
        <v>13.2</v>
      </c>
      <c r="L92" s="90"/>
      <c r="M92" s="86"/>
    </row>
    <row r="93" spans="1:13" ht="10.5">
      <c r="A93" s="96" t="s">
        <v>348</v>
      </c>
      <c r="B93" s="90">
        <v>0</v>
      </c>
      <c r="C93" s="90">
        <v>0</v>
      </c>
      <c r="D93" s="90">
        <v>-447.84</v>
      </c>
      <c r="E93" s="90">
        <v>0</v>
      </c>
      <c r="F93" s="90">
        <v>0</v>
      </c>
      <c r="G93" s="90">
        <v>42697.56</v>
      </c>
      <c r="H93" s="90">
        <v>34975.65</v>
      </c>
      <c r="I93" s="90">
        <v>120668.44</v>
      </c>
      <c r="J93" s="90">
        <f>+IFERROR(VLOOKUP(A93,[3]BalanceSheet!A$8:B$154,2,0),0)</f>
        <v>178313.41000000003</v>
      </c>
      <c r="K93" s="21">
        <v>13</v>
      </c>
      <c r="L93" s="90"/>
      <c r="M93" s="86"/>
    </row>
    <row r="94" spans="1:13" ht="10.5">
      <c r="A94" s="95" t="s">
        <v>347</v>
      </c>
      <c r="B94" s="88"/>
      <c r="C94" s="88"/>
      <c r="D94" s="88"/>
      <c r="E94" s="88"/>
      <c r="F94" s="88"/>
      <c r="G94" s="88"/>
      <c r="H94" s="88"/>
      <c r="I94" s="88"/>
      <c r="J94" s="88">
        <f>+IFERROR(VLOOKUP(A94,[3]BalanceSheet!A$8:B$154,2,0),0)</f>
        <v>0</v>
      </c>
      <c r="L94" s="88"/>
      <c r="M94" s="86"/>
    </row>
    <row r="95" spans="1:13">
      <c r="A95" s="8" t="s">
        <v>346</v>
      </c>
      <c r="B95" s="89">
        <v>0</v>
      </c>
      <c r="C95" s="89">
        <v>36775</v>
      </c>
      <c r="D95" s="89">
        <v>0</v>
      </c>
      <c r="E95" s="89">
        <v>0</v>
      </c>
      <c r="F95" s="89">
        <v>0</v>
      </c>
      <c r="G95" s="89">
        <v>68850.34</v>
      </c>
      <c r="H95" s="89">
        <v>37820.53</v>
      </c>
      <c r="I95" s="89">
        <v>14750.69</v>
      </c>
      <c r="J95" s="89">
        <f>+IFERROR(VLOOKUP(A95,[3]BalanceSheet!A$8:B$154,2,0),0)</f>
        <v>36888.949999999997</v>
      </c>
      <c r="K95" s="21">
        <v>13.3</v>
      </c>
      <c r="L95" s="89"/>
      <c r="M95" s="86"/>
    </row>
    <row r="96" spans="1:13">
      <c r="A96" s="8" t="s">
        <v>345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11921</v>
      </c>
      <c r="I96" s="89">
        <v>0</v>
      </c>
      <c r="J96" s="89">
        <f>+IFERROR(VLOOKUP(A96,[3]BalanceSheet!A$8:B$154,2,0),0)</f>
        <v>0</v>
      </c>
      <c r="K96" s="21">
        <v>13.3</v>
      </c>
      <c r="L96" s="89"/>
      <c r="M96" s="86"/>
    </row>
    <row r="97" spans="1:13" ht="10.5">
      <c r="A97" s="96" t="s">
        <v>344</v>
      </c>
      <c r="B97" s="90">
        <v>0</v>
      </c>
      <c r="C97" s="90">
        <v>36775</v>
      </c>
      <c r="D97" s="90">
        <v>0</v>
      </c>
      <c r="E97" s="90">
        <v>0</v>
      </c>
      <c r="F97" s="90">
        <v>0</v>
      </c>
      <c r="G97" s="90">
        <v>68850.34</v>
      </c>
      <c r="H97" s="90">
        <v>49741.53</v>
      </c>
      <c r="I97" s="90">
        <v>14750.69</v>
      </c>
      <c r="J97" s="90">
        <f>+IFERROR(VLOOKUP(A97,[3]BalanceSheet!A$8:B$154,2,0),0)</f>
        <v>36888.949999999997</v>
      </c>
      <c r="K97" s="21">
        <v>13</v>
      </c>
      <c r="L97" s="90"/>
      <c r="M97" s="86"/>
    </row>
    <row r="98" spans="1:13">
      <c r="A98" s="6" t="s">
        <v>343</v>
      </c>
      <c r="B98" s="89">
        <v>0</v>
      </c>
      <c r="C98" s="89">
        <v>0</v>
      </c>
      <c r="D98" s="89">
        <v>117.88</v>
      </c>
      <c r="E98" s="89">
        <v>491.94</v>
      </c>
      <c r="F98" s="89">
        <v>83.92</v>
      </c>
      <c r="G98" s="89">
        <v>0</v>
      </c>
      <c r="H98" s="89">
        <v>26.53</v>
      </c>
      <c r="I98" s="89">
        <v>0</v>
      </c>
      <c r="J98" s="89">
        <f>+IFERROR(VLOOKUP(A98,[3]BalanceSheet!A$8:B$154,2,0),0)</f>
        <v>693.74</v>
      </c>
      <c r="K98" s="21">
        <v>13</v>
      </c>
      <c r="L98" s="21">
        <v>13.3</v>
      </c>
      <c r="M98" s="86"/>
    </row>
    <row r="99" spans="1:13" ht="10.5">
      <c r="A99" s="95" t="s">
        <v>342</v>
      </c>
      <c r="B99" s="88"/>
      <c r="C99" s="88"/>
      <c r="D99" s="88"/>
      <c r="E99" s="88"/>
      <c r="F99" s="88"/>
      <c r="G99" s="88"/>
      <c r="H99" s="88"/>
      <c r="I99" s="88"/>
      <c r="J99" s="88">
        <f>+IFERROR(VLOOKUP(A99,[3]BalanceSheet!A$8:B$154,2,0),0)</f>
        <v>0</v>
      </c>
      <c r="L99" s="88"/>
      <c r="M99" s="86"/>
    </row>
    <row r="100" spans="1:13">
      <c r="A100" s="8" t="s">
        <v>341</v>
      </c>
      <c r="B100" s="89">
        <v>-261263.83</v>
      </c>
      <c r="C100" s="89">
        <v>0</v>
      </c>
      <c r="D100" s="89">
        <v>0</v>
      </c>
      <c r="E100" s="89">
        <v>0</v>
      </c>
      <c r="F100" s="89">
        <v>0</v>
      </c>
      <c r="G100" s="89">
        <v>0</v>
      </c>
      <c r="H100" s="89">
        <v>261263.83</v>
      </c>
      <c r="I100" s="89">
        <v>0</v>
      </c>
      <c r="J100" s="89">
        <f>+IFERROR(VLOOKUP(A100,[3]BalanceSheet!A$8:B$154,2,0),0)</f>
        <v>0</v>
      </c>
      <c r="L100" s="89"/>
      <c r="M100" s="86"/>
    </row>
    <row r="101" spans="1:13">
      <c r="A101" s="8" t="s">
        <v>340</v>
      </c>
      <c r="B101" s="89">
        <v>0</v>
      </c>
      <c r="C101" s="89">
        <v>0</v>
      </c>
      <c r="D101" s="89">
        <v>37427.660000000003</v>
      </c>
      <c r="E101" s="89">
        <v>0</v>
      </c>
      <c r="F101" s="89">
        <v>0</v>
      </c>
      <c r="G101" s="89">
        <v>0</v>
      </c>
      <c r="H101" s="89">
        <v>0</v>
      </c>
      <c r="I101" s="89">
        <v>0</v>
      </c>
      <c r="J101" s="89">
        <f>+IFERROR(VLOOKUP(A101,[3]BalanceSheet!A$8:B$154,2,0),0)</f>
        <v>37427.660000000003</v>
      </c>
      <c r="L101" s="89"/>
      <c r="M101" s="86"/>
    </row>
    <row r="102" spans="1:13" ht="10.5">
      <c r="A102" s="96" t="s">
        <v>339</v>
      </c>
      <c r="B102" s="90">
        <v>-261263.83</v>
      </c>
      <c r="C102" s="90">
        <v>0</v>
      </c>
      <c r="D102" s="90">
        <v>37427.660000000003</v>
      </c>
      <c r="E102" s="90">
        <v>0</v>
      </c>
      <c r="F102" s="90">
        <v>0</v>
      </c>
      <c r="G102" s="90">
        <v>0</v>
      </c>
      <c r="H102" s="90">
        <v>261263.83</v>
      </c>
      <c r="I102" s="90">
        <v>0</v>
      </c>
      <c r="J102" s="90">
        <f>+IFERROR(VLOOKUP(A102,[3]BalanceSheet!A$8:B$154,2,0),0)</f>
        <v>37427.660000000003</v>
      </c>
      <c r="K102" s="21">
        <v>14</v>
      </c>
      <c r="L102" s="90"/>
      <c r="M102" s="86"/>
    </row>
    <row r="103" spans="1:13">
      <c r="A103" s="6" t="s">
        <v>338</v>
      </c>
      <c r="B103" s="89">
        <v>0</v>
      </c>
      <c r="C103" s="89">
        <v>-2371.0500000000002</v>
      </c>
      <c r="D103" s="89">
        <v>0</v>
      </c>
      <c r="E103" s="89">
        <v>0</v>
      </c>
      <c r="F103" s="89">
        <v>0</v>
      </c>
      <c r="G103" s="89">
        <v>-3045.65</v>
      </c>
      <c r="H103" s="89">
        <v>1059.42</v>
      </c>
      <c r="I103" s="89">
        <v>-32.19</v>
      </c>
      <c r="J103" s="89">
        <f>+IFERROR(VLOOKUP(A103,[3]BalanceSheet!A$8:B$154,2,0),0)</f>
        <v>0</v>
      </c>
      <c r="K103" s="21">
        <v>14</v>
      </c>
      <c r="L103" s="89"/>
      <c r="M103" s="86"/>
    </row>
    <row r="104" spans="1:13" ht="10.5">
      <c r="A104" s="97" t="s">
        <v>337</v>
      </c>
      <c r="B104" s="90">
        <v>-7996174.8399999999</v>
      </c>
      <c r="C104" s="90">
        <v>715156.55</v>
      </c>
      <c r="D104" s="90">
        <v>41556.700000000004</v>
      </c>
      <c r="E104" s="90">
        <v>491.94</v>
      </c>
      <c r="F104" s="90">
        <v>48261.82</v>
      </c>
      <c r="G104" s="90">
        <v>2436399.3400000003</v>
      </c>
      <c r="H104" s="90">
        <v>4948100.2200000007</v>
      </c>
      <c r="I104" s="90">
        <v>939148.12000000011</v>
      </c>
      <c r="J104" s="90">
        <f>+IFERROR(VLOOKUP(A104,[3]BalanceSheet!A$8:B$154,2,0),0)</f>
        <v>482899.70000000007</v>
      </c>
      <c r="L104" s="90"/>
      <c r="M104" s="86"/>
    </row>
    <row r="105" spans="1:13" ht="10.5">
      <c r="A105" s="7" t="s">
        <v>336</v>
      </c>
      <c r="B105" s="91">
        <v>-8024550.3999999994</v>
      </c>
      <c r="C105" s="91">
        <v>937797.02</v>
      </c>
      <c r="D105" s="91">
        <v>47991.3</v>
      </c>
      <c r="E105" s="91">
        <v>513.75</v>
      </c>
      <c r="F105" s="91">
        <v>48738.37</v>
      </c>
      <c r="G105" s="91">
        <v>3107753.58</v>
      </c>
      <c r="H105" s="91">
        <v>24296788.629999995</v>
      </c>
      <c r="I105" s="91">
        <v>1262304.56</v>
      </c>
      <c r="J105" s="91">
        <f>+IFERROR(VLOOKUP(A105,[3]BalanceSheet!A$8:B$154,2,0),0)</f>
        <v>28726153.460000005</v>
      </c>
      <c r="L105" s="91"/>
      <c r="M105" s="86"/>
    </row>
    <row r="106" spans="1:13" ht="10.5">
      <c r="A106" s="3" t="s">
        <v>335</v>
      </c>
      <c r="B106" s="88"/>
      <c r="C106" s="88"/>
      <c r="D106" s="88"/>
      <c r="E106" s="88"/>
      <c r="F106" s="88"/>
      <c r="G106" s="88"/>
      <c r="H106" s="88"/>
      <c r="I106" s="88"/>
      <c r="J106" s="88">
        <f>+IFERROR(VLOOKUP(A106,[3]BalanceSheet!A$8:B$154,2,0),0)</f>
        <v>0</v>
      </c>
      <c r="L106" s="88"/>
      <c r="M106" s="86"/>
    </row>
    <row r="107" spans="1:13" ht="10.5">
      <c r="A107" s="5" t="s">
        <v>334</v>
      </c>
      <c r="B107" s="88"/>
      <c r="C107" s="88"/>
      <c r="D107" s="88"/>
      <c r="E107" s="88"/>
      <c r="F107" s="88"/>
      <c r="G107" s="88"/>
      <c r="H107" s="88"/>
      <c r="I107" s="88"/>
      <c r="J107" s="88">
        <f>+IFERROR(VLOOKUP(A107,[3]BalanceSheet!A$8:B$154,2,0),0)</f>
        <v>0</v>
      </c>
      <c r="L107" s="88"/>
      <c r="M107" s="86"/>
    </row>
    <row r="108" spans="1:13">
      <c r="A108" s="6" t="s">
        <v>333</v>
      </c>
      <c r="B108" s="89">
        <v>0</v>
      </c>
      <c r="C108" s="89">
        <v>0</v>
      </c>
      <c r="D108" s="89">
        <v>0</v>
      </c>
      <c r="E108" s="89">
        <v>0</v>
      </c>
      <c r="F108" s="89">
        <v>0</v>
      </c>
      <c r="G108" s="89">
        <v>59414.93</v>
      </c>
      <c r="H108" s="89">
        <v>109189.82</v>
      </c>
      <c r="I108" s="89">
        <v>12825.42</v>
      </c>
      <c r="J108" s="89">
        <f>+IFERROR(VLOOKUP(A108,[3]BalanceSheet!A$8:B$154,2,0),0)</f>
        <v>114079.91</v>
      </c>
      <c r="K108" s="21">
        <v>15.1</v>
      </c>
      <c r="L108" s="89"/>
      <c r="M108" s="86"/>
    </row>
    <row r="109" spans="1:13">
      <c r="A109" s="6" t="s">
        <v>332</v>
      </c>
      <c r="B109" s="89">
        <v>0</v>
      </c>
      <c r="C109" s="89">
        <v>0</v>
      </c>
      <c r="D109" s="89">
        <v>0</v>
      </c>
      <c r="E109" s="89">
        <v>0</v>
      </c>
      <c r="F109" s="89">
        <v>0</v>
      </c>
      <c r="G109" s="89">
        <v>0</v>
      </c>
      <c r="H109" s="89">
        <v>2652.33</v>
      </c>
      <c r="I109" s="89">
        <v>0</v>
      </c>
      <c r="J109" s="89">
        <f>+IFERROR(VLOOKUP(A109,[3]BalanceSheet!A$8:B$154,2,0),0)</f>
        <v>2652.33</v>
      </c>
      <c r="K109" s="21">
        <v>15.3</v>
      </c>
      <c r="L109" s="89"/>
      <c r="M109" s="86"/>
    </row>
    <row r="110" spans="1:13">
      <c r="A110" s="6" t="s">
        <v>331</v>
      </c>
      <c r="B110" s="89">
        <v>0</v>
      </c>
      <c r="C110" s="89">
        <v>516.61</v>
      </c>
      <c r="D110" s="89">
        <v>0</v>
      </c>
      <c r="E110" s="89">
        <v>0</v>
      </c>
      <c r="F110" s="89">
        <v>0</v>
      </c>
      <c r="G110" s="89">
        <v>16499.37</v>
      </c>
      <c r="H110" s="89">
        <v>1906</v>
      </c>
      <c r="I110" s="89">
        <v>0</v>
      </c>
      <c r="J110" s="89">
        <f>+IFERROR(VLOOKUP(A110,[3]BalanceSheet!A$8:B$154,2,0),0)</f>
        <v>1906</v>
      </c>
      <c r="K110" s="21">
        <v>15.2</v>
      </c>
      <c r="L110" s="89"/>
      <c r="M110" s="86"/>
    </row>
    <row r="111" spans="1:13">
      <c r="A111" s="6" t="s">
        <v>330</v>
      </c>
      <c r="B111" s="89">
        <v>0</v>
      </c>
      <c r="C111" s="89">
        <v>559.98</v>
      </c>
      <c r="D111" s="89">
        <v>0</v>
      </c>
      <c r="E111" s="89">
        <v>0</v>
      </c>
      <c r="F111" s="89">
        <v>0</v>
      </c>
      <c r="G111" s="89">
        <v>5179.72</v>
      </c>
      <c r="H111" s="89">
        <v>7892</v>
      </c>
      <c r="I111" s="89">
        <v>1526.64</v>
      </c>
      <c r="J111" s="89">
        <f>+IFERROR(VLOOKUP(A111,[3]BalanceSheet!A$8:B$154,2,0),0)</f>
        <v>7892</v>
      </c>
      <c r="K111" s="21">
        <v>15.1</v>
      </c>
      <c r="L111" s="89"/>
      <c r="M111" s="86"/>
    </row>
    <row r="112" spans="1:13" ht="10.5">
      <c r="A112" s="97" t="s">
        <v>329</v>
      </c>
      <c r="B112" s="90">
        <v>0</v>
      </c>
      <c r="C112" s="90">
        <v>1076.5900000000001</v>
      </c>
      <c r="D112" s="90">
        <v>0</v>
      </c>
      <c r="E112" s="90">
        <v>0</v>
      </c>
      <c r="F112" s="90">
        <v>0</v>
      </c>
      <c r="G112" s="90">
        <v>81094.02</v>
      </c>
      <c r="H112" s="90">
        <v>121640.15000000001</v>
      </c>
      <c r="I112" s="90">
        <v>14352.06</v>
      </c>
      <c r="J112" s="90">
        <f>+IFERROR(VLOOKUP(A112,[3]BalanceSheet!A$8:B$154,2,0),0)</f>
        <v>126530.24000000001</v>
      </c>
      <c r="K112" s="21">
        <v>15</v>
      </c>
      <c r="L112" s="90"/>
      <c r="M112" s="86"/>
    </row>
    <row r="113" spans="1:13" ht="10.5">
      <c r="A113" s="5" t="s">
        <v>328</v>
      </c>
      <c r="B113" s="88"/>
      <c r="C113" s="88"/>
      <c r="D113" s="88"/>
      <c r="E113" s="88"/>
      <c r="F113" s="88"/>
      <c r="G113" s="88"/>
      <c r="H113" s="88"/>
      <c r="I113" s="88"/>
      <c r="J113" s="88">
        <f>+IFERROR(VLOOKUP(A113,[3]BalanceSheet!A$8:B$154,2,0),0)</f>
        <v>0</v>
      </c>
      <c r="L113" s="88"/>
      <c r="M113" s="86"/>
    </row>
    <row r="114" spans="1:13">
      <c r="A114" s="6" t="s">
        <v>327</v>
      </c>
      <c r="B114" s="89">
        <v>0</v>
      </c>
      <c r="C114" s="89">
        <v>0</v>
      </c>
      <c r="D114" s="89">
        <v>0</v>
      </c>
      <c r="E114" s="89">
        <v>0</v>
      </c>
      <c r="F114" s="89">
        <v>0</v>
      </c>
      <c r="G114" s="89">
        <v>-5663.88</v>
      </c>
      <c r="H114" s="89">
        <v>-57275.519999999997</v>
      </c>
      <c r="I114" s="89">
        <v>-5734.26</v>
      </c>
      <c r="J114" s="89">
        <f>+IFERROR(VLOOKUP(A114,[3]BalanceSheet!A$8:B$154,2,0),0)</f>
        <v>-42435.5</v>
      </c>
      <c r="K114" s="21">
        <v>15.4</v>
      </c>
      <c r="L114" s="89"/>
      <c r="M114" s="86"/>
    </row>
    <row r="115" spans="1:13">
      <c r="A115" s="6" t="s">
        <v>326</v>
      </c>
      <c r="B115" s="89">
        <v>0</v>
      </c>
      <c r="C115" s="89">
        <v>0</v>
      </c>
      <c r="D115" s="89">
        <v>0</v>
      </c>
      <c r="E115" s="89">
        <v>0</v>
      </c>
      <c r="F115" s="89">
        <v>0</v>
      </c>
      <c r="G115" s="89">
        <v>0</v>
      </c>
      <c r="H115" s="89">
        <v>-2652</v>
      </c>
      <c r="I115" s="89">
        <v>0</v>
      </c>
      <c r="J115" s="89">
        <f>+IFERROR(VLOOKUP(A115,[3]BalanceSheet!A$8:B$154,2,0),0)</f>
        <v>-2652</v>
      </c>
      <c r="K115" s="21">
        <v>15.4</v>
      </c>
      <c r="L115" s="89"/>
      <c r="M115" s="86"/>
    </row>
    <row r="116" spans="1:13">
      <c r="A116" s="6" t="s">
        <v>325</v>
      </c>
      <c r="B116" s="89">
        <v>0</v>
      </c>
      <c r="C116" s="89">
        <v>-12.08</v>
      </c>
      <c r="D116" s="89">
        <v>0</v>
      </c>
      <c r="E116" s="89">
        <v>0</v>
      </c>
      <c r="F116" s="89">
        <v>0</v>
      </c>
      <c r="G116" s="89">
        <v>-17543.099999999999</v>
      </c>
      <c r="H116" s="89">
        <v>-708.32</v>
      </c>
      <c r="I116" s="89">
        <v>0</v>
      </c>
      <c r="J116" s="89">
        <f>+IFERROR(VLOOKUP(A116,[3]BalanceSheet!A$8:B$154,2,0),0)</f>
        <v>-17152.53</v>
      </c>
      <c r="K116" s="21">
        <v>15.4</v>
      </c>
      <c r="L116" s="89"/>
      <c r="M116" s="86"/>
    </row>
    <row r="117" spans="1:13">
      <c r="A117" s="6" t="s">
        <v>324</v>
      </c>
      <c r="B117" s="89">
        <v>0</v>
      </c>
      <c r="C117" s="89">
        <v>-28</v>
      </c>
      <c r="D117" s="89">
        <v>0</v>
      </c>
      <c r="E117" s="89">
        <v>0</v>
      </c>
      <c r="F117" s="89">
        <v>0</v>
      </c>
      <c r="G117" s="89">
        <v>-556.1</v>
      </c>
      <c r="H117" s="89">
        <v>-5685.77</v>
      </c>
      <c r="I117" s="89">
        <v>-9.49</v>
      </c>
      <c r="J117" s="89">
        <f>+IFERROR(VLOOKUP(A117,[3]BalanceSheet!A$8:B$154,2,0),0)</f>
        <v>-4074</v>
      </c>
      <c r="K117" s="21">
        <v>15.4</v>
      </c>
      <c r="L117" s="89"/>
      <c r="M117" s="86"/>
    </row>
    <row r="118" spans="1:13" ht="10.5">
      <c r="A118" s="97" t="s">
        <v>323</v>
      </c>
      <c r="B118" s="90">
        <v>0</v>
      </c>
      <c r="C118" s="90">
        <v>-40.08</v>
      </c>
      <c r="D118" s="90">
        <v>0</v>
      </c>
      <c r="E118" s="90">
        <v>0</v>
      </c>
      <c r="F118" s="90">
        <v>0</v>
      </c>
      <c r="G118" s="90">
        <v>-23763.079999999998</v>
      </c>
      <c r="H118" s="90">
        <v>-66321.61</v>
      </c>
      <c r="I118" s="90">
        <v>-5743.75</v>
      </c>
      <c r="J118" s="90">
        <f>+IFERROR(VLOOKUP(A118,[3]BalanceSheet!A$8:B$154,2,0),0)</f>
        <v>-66314.03</v>
      </c>
      <c r="K118" s="21">
        <v>15</v>
      </c>
      <c r="L118" s="90"/>
      <c r="M118" s="86"/>
    </row>
    <row r="119" spans="1:13" ht="10.5">
      <c r="A119" s="101" t="s">
        <v>322</v>
      </c>
      <c r="B119" s="90">
        <v>0</v>
      </c>
      <c r="C119" s="90">
        <v>1036.5100000000002</v>
      </c>
      <c r="D119" s="90">
        <v>0</v>
      </c>
      <c r="E119" s="90">
        <v>0</v>
      </c>
      <c r="F119" s="90">
        <v>0</v>
      </c>
      <c r="G119" s="90">
        <v>57330.94</v>
      </c>
      <c r="H119" s="90">
        <v>55318.540000000008</v>
      </c>
      <c r="I119" s="90">
        <v>8608.31</v>
      </c>
      <c r="J119" s="90">
        <f>+IFERROR(VLOOKUP(A119,[3]BalanceSheet!A$8:B$154,2,0),0)</f>
        <v>60216.210000000006</v>
      </c>
      <c r="L119" s="90"/>
      <c r="M119" s="86"/>
    </row>
    <row r="120" spans="1:13" ht="10.5">
      <c r="A120" s="3" t="s">
        <v>321</v>
      </c>
      <c r="B120" s="88"/>
      <c r="C120" s="88"/>
      <c r="D120" s="88"/>
      <c r="E120" s="88"/>
      <c r="F120" s="88"/>
      <c r="G120" s="88"/>
      <c r="H120" s="88"/>
      <c r="I120" s="88"/>
      <c r="J120" s="88">
        <f>+IFERROR(VLOOKUP(A120,[3]BalanceSheet!A$8:B$154,2,0),0)</f>
        <v>0</v>
      </c>
      <c r="L120" s="88"/>
      <c r="M120" s="86"/>
    </row>
    <row r="121" spans="1:13" ht="10.5">
      <c r="A121" s="5" t="s">
        <v>320</v>
      </c>
      <c r="B121" s="88"/>
      <c r="C121" s="88"/>
      <c r="D121" s="88"/>
      <c r="E121" s="88"/>
      <c r="F121" s="88"/>
      <c r="G121" s="88"/>
      <c r="H121" s="88"/>
      <c r="I121" s="88"/>
      <c r="J121" s="88">
        <f>+IFERROR(VLOOKUP(A121,[3]BalanceSheet!A$8:B$154,2,0),0)</f>
        <v>0</v>
      </c>
      <c r="L121" s="88"/>
      <c r="M121" s="86"/>
    </row>
    <row r="122" spans="1:13" ht="10.5">
      <c r="A122" s="95" t="s">
        <v>319</v>
      </c>
      <c r="B122" s="88"/>
      <c r="C122" s="88"/>
      <c r="D122" s="88"/>
      <c r="E122" s="88"/>
      <c r="F122" s="88"/>
      <c r="G122" s="88"/>
      <c r="H122" s="88"/>
      <c r="I122" s="88"/>
      <c r="J122" s="88">
        <f>+IFERROR(VLOOKUP(A122,[3]BalanceSheet!A$8:B$154,2,0),0)</f>
        <v>0</v>
      </c>
      <c r="L122" s="88"/>
      <c r="M122" s="86"/>
    </row>
    <row r="123" spans="1:13">
      <c r="A123" s="8" t="s">
        <v>318</v>
      </c>
      <c r="B123" s="89">
        <v>0</v>
      </c>
      <c r="C123" s="89">
        <v>37909.68</v>
      </c>
      <c r="D123" s="89">
        <v>0</v>
      </c>
      <c r="E123" s="89">
        <v>0</v>
      </c>
      <c r="F123" s="89">
        <v>0</v>
      </c>
      <c r="G123" s="89">
        <v>34022.449999999997</v>
      </c>
      <c r="H123" s="89">
        <v>106423.57</v>
      </c>
      <c r="I123" s="89">
        <v>11256.91</v>
      </c>
      <c r="J123" s="89">
        <f>+IFERROR(VLOOKUP(A123,[3]BalanceSheet!A$8:B$154,2,0),0)</f>
        <v>119261.92</v>
      </c>
      <c r="L123" s="89"/>
      <c r="M123" s="86"/>
    </row>
    <row r="124" spans="1:13" ht="10.5">
      <c r="A124" s="96" t="s">
        <v>317</v>
      </c>
      <c r="B124" s="90">
        <v>0</v>
      </c>
      <c r="C124" s="90">
        <v>37909.68</v>
      </c>
      <c r="D124" s="90">
        <v>0</v>
      </c>
      <c r="E124" s="90">
        <v>0</v>
      </c>
      <c r="F124" s="90">
        <v>0</v>
      </c>
      <c r="G124" s="90">
        <v>34022.449999999997</v>
      </c>
      <c r="H124" s="90">
        <v>106423.57</v>
      </c>
      <c r="I124" s="90">
        <v>11256.91</v>
      </c>
      <c r="J124" s="90">
        <f>+IFERROR(VLOOKUP(A124,[3]BalanceSheet!A$8:B$154,2,0),0)</f>
        <v>117559.92</v>
      </c>
      <c r="L124" s="90"/>
      <c r="M124" s="86"/>
    </row>
    <row r="125" spans="1:13" ht="10.5">
      <c r="A125" s="95" t="s">
        <v>316</v>
      </c>
      <c r="B125" s="88"/>
      <c r="C125" s="88"/>
      <c r="D125" s="88"/>
      <c r="E125" s="88"/>
      <c r="F125" s="88"/>
      <c r="G125" s="88"/>
      <c r="H125" s="88"/>
      <c r="I125" s="88"/>
      <c r="J125" s="88">
        <f>+IFERROR(VLOOKUP(A125,[3]BalanceSheet!A$8:B$154,2,0),0)</f>
        <v>0</v>
      </c>
      <c r="L125" s="88"/>
      <c r="M125" s="86"/>
    </row>
    <row r="126" spans="1:13">
      <c r="A126" s="8" t="s">
        <v>315</v>
      </c>
      <c r="B126" s="89">
        <v>-28375.56</v>
      </c>
      <c r="C126" s="89">
        <v>0</v>
      </c>
      <c r="D126" s="89">
        <v>0</v>
      </c>
      <c r="E126" s="89">
        <v>0</v>
      </c>
      <c r="F126" s="89">
        <v>0</v>
      </c>
      <c r="G126" s="89">
        <v>0</v>
      </c>
      <c r="H126" s="89">
        <v>28375.56</v>
      </c>
      <c r="I126" s="89">
        <v>0</v>
      </c>
      <c r="J126" s="89">
        <f>+IFERROR(VLOOKUP(A126,[3]BalanceSheet!A$8:B$154,2,0),0)</f>
        <v>0</v>
      </c>
      <c r="L126" s="89"/>
      <c r="M126" s="86"/>
    </row>
    <row r="127" spans="1:13" ht="10.5">
      <c r="A127" s="96" t="s">
        <v>314</v>
      </c>
      <c r="B127" s="90">
        <v>-28375.56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28375.56</v>
      </c>
      <c r="I127" s="90">
        <v>0</v>
      </c>
      <c r="J127" s="90">
        <f>+IFERROR(VLOOKUP(A127,[3]BalanceSheet!A$8:B$154,2,0),0)</f>
        <v>0</v>
      </c>
      <c r="L127" s="90"/>
      <c r="M127" s="86"/>
    </row>
    <row r="128" spans="1:13" ht="10.5">
      <c r="A128" s="97" t="s">
        <v>313</v>
      </c>
      <c r="B128" s="90">
        <v>-28375.56</v>
      </c>
      <c r="C128" s="90">
        <v>37909.68</v>
      </c>
      <c r="D128" s="90">
        <v>0</v>
      </c>
      <c r="E128" s="90">
        <v>0</v>
      </c>
      <c r="F128" s="90">
        <v>0</v>
      </c>
      <c r="G128" s="90">
        <v>34022.449999999997</v>
      </c>
      <c r="H128" s="90">
        <v>134799.13</v>
      </c>
      <c r="I128" s="90">
        <v>11256.91</v>
      </c>
      <c r="J128" s="90">
        <f>+IFERROR(VLOOKUP(A128,[3]BalanceSheet!A$8:B$154,2,0),0)</f>
        <v>117559.92</v>
      </c>
      <c r="K128" s="21">
        <v>16</v>
      </c>
      <c r="L128" s="90"/>
      <c r="M128" s="86"/>
    </row>
    <row r="129" spans="1:13" ht="10.5">
      <c r="A129" s="5" t="s">
        <v>312</v>
      </c>
      <c r="B129" s="88"/>
      <c r="C129" s="88"/>
      <c r="D129" s="88"/>
      <c r="E129" s="88"/>
      <c r="F129" s="88"/>
      <c r="G129" s="88"/>
      <c r="H129" s="88"/>
      <c r="I129" s="88"/>
      <c r="J129" s="88">
        <f>+IFERROR(VLOOKUP(A129,[3]BalanceSheet!A$8:B$154,2,0),0)</f>
        <v>0</v>
      </c>
      <c r="L129" s="88"/>
      <c r="M129" s="86"/>
    </row>
    <row r="130" spans="1:13" ht="10.5">
      <c r="A130" s="95" t="s">
        <v>311</v>
      </c>
      <c r="B130" s="88"/>
      <c r="C130" s="88"/>
      <c r="D130" s="88"/>
      <c r="E130" s="88"/>
      <c r="F130" s="88"/>
      <c r="G130" s="88"/>
      <c r="H130" s="88"/>
      <c r="I130" s="88"/>
      <c r="J130" s="88">
        <f>+IFERROR(VLOOKUP(A130,[3]BalanceSheet!A$8:B$154,2,0),0)</f>
        <v>0</v>
      </c>
      <c r="L130" s="88"/>
      <c r="M130" s="86"/>
    </row>
    <row r="131" spans="1:13">
      <c r="A131" s="8" t="s">
        <v>310</v>
      </c>
      <c r="B131" s="89">
        <v>0</v>
      </c>
      <c r="C131" s="89">
        <v>0</v>
      </c>
      <c r="D131" s="89">
        <v>0</v>
      </c>
      <c r="E131" s="89">
        <v>0</v>
      </c>
      <c r="F131" s="89">
        <v>0</v>
      </c>
      <c r="G131" s="89">
        <v>0</v>
      </c>
      <c r="H131" s="89">
        <v>-1630.72</v>
      </c>
      <c r="I131" s="89">
        <v>0</v>
      </c>
      <c r="J131" s="89">
        <f>+IFERROR(VLOOKUP(A131,[3]BalanceSheet!A$8:B$154,2,0),0)</f>
        <v>0</v>
      </c>
      <c r="L131" s="89"/>
      <c r="M131" s="86"/>
    </row>
    <row r="132" spans="1:13">
      <c r="A132" s="8" t="s">
        <v>309</v>
      </c>
      <c r="B132" s="89">
        <v>0</v>
      </c>
      <c r="C132" s="89">
        <v>0</v>
      </c>
      <c r="D132" s="89">
        <v>0</v>
      </c>
      <c r="E132" s="89">
        <v>0</v>
      </c>
      <c r="F132" s="89">
        <v>0</v>
      </c>
      <c r="G132" s="89">
        <v>0</v>
      </c>
      <c r="H132" s="89">
        <v>-4363.74</v>
      </c>
      <c r="I132" s="89">
        <v>0</v>
      </c>
      <c r="J132" s="89">
        <f>+IFERROR(VLOOKUP(A132,[3]BalanceSheet!A$8:B$154,2,0),0)</f>
        <v>4663.59</v>
      </c>
      <c r="L132" s="89"/>
      <c r="M132" s="86"/>
    </row>
    <row r="133" spans="1:13">
      <c r="A133" s="8" t="s">
        <v>308</v>
      </c>
      <c r="B133" s="89">
        <v>0</v>
      </c>
      <c r="C133" s="89">
        <v>0</v>
      </c>
      <c r="D133" s="89">
        <v>0</v>
      </c>
      <c r="E133" s="89">
        <v>0</v>
      </c>
      <c r="F133" s="89">
        <v>0</v>
      </c>
      <c r="G133" s="89">
        <v>0</v>
      </c>
      <c r="H133" s="89">
        <v>-2971.74</v>
      </c>
      <c r="I133" s="89">
        <v>0</v>
      </c>
      <c r="J133" s="89">
        <f>+IFERROR(VLOOKUP(A133,[3]BalanceSheet!A$8:B$154,2,0),0)</f>
        <v>0</v>
      </c>
      <c r="L133" s="89"/>
      <c r="M133" s="86"/>
    </row>
    <row r="134" spans="1:13">
      <c r="A134" s="8" t="s">
        <v>307</v>
      </c>
      <c r="B134" s="89">
        <v>0</v>
      </c>
      <c r="C134" s="89">
        <v>0</v>
      </c>
      <c r="D134" s="89">
        <v>0</v>
      </c>
      <c r="E134" s="89">
        <v>0</v>
      </c>
      <c r="F134" s="89">
        <v>0</v>
      </c>
      <c r="G134" s="89">
        <v>0</v>
      </c>
      <c r="H134" s="89">
        <v>0.78</v>
      </c>
      <c r="I134" s="89">
        <v>0</v>
      </c>
      <c r="J134" s="89">
        <f>+IFERROR(VLOOKUP(A134,[3]BalanceSheet!A$8:B$154,2,0),0)</f>
        <v>326.69</v>
      </c>
      <c r="L134" s="89"/>
      <c r="M134" s="86"/>
    </row>
    <row r="135" spans="1:13">
      <c r="A135" s="8" t="s">
        <v>306</v>
      </c>
      <c r="B135" s="89">
        <v>0</v>
      </c>
      <c r="C135" s="89">
        <v>0</v>
      </c>
      <c r="D135" s="89">
        <v>0</v>
      </c>
      <c r="E135" s="89">
        <v>0</v>
      </c>
      <c r="F135" s="89">
        <v>0</v>
      </c>
      <c r="G135" s="89">
        <v>0</v>
      </c>
      <c r="H135" s="89">
        <v>941.35</v>
      </c>
      <c r="I135" s="89">
        <v>0</v>
      </c>
      <c r="J135" s="89">
        <f>+IFERROR(VLOOKUP(A135,[3]BalanceSheet!A$8:B$154,2,0),0)</f>
        <v>1569.4</v>
      </c>
      <c r="L135" s="89"/>
      <c r="M135" s="86"/>
    </row>
    <row r="136" spans="1:13">
      <c r="A136" s="8" t="s">
        <v>305</v>
      </c>
      <c r="B136" s="89">
        <v>0</v>
      </c>
      <c r="C136" s="89">
        <v>0</v>
      </c>
      <c r="D136" s="89">
        <v>0</v>
      </c>
      <c r="E136" s="89">
        <v>0</v>
      </c>
      <c r="F136" s="89">
        <v>0</v>
      </c>
      <c r="G136" s="89">
        <v>-1011.93</v>
      </c>
      <c r="H136" s="89">
        <v>0</v>
      </c>
      <c r="I136" s="89">
        <v>0</v>
      </c>
      <c r="J136" s="89">
        <f>+IFERROR(VLOOKUP(A136,[3]BalanceSheet!A$8:B$154,2,0),0)</f>
        <v>0</v>
      </c>
      <c r="L136" s="89"/>
      <c r="M136" s="86"/>
    </row>
    <row r="137" spans="1:13">
      <c r="A137" s="8" t="s">
        <v>304</v>
      </c>
      <c r="B137" s="89">
        <v>0</v>
      </c>
      <c r="C137" s="89">
        <v>0</v>
      </c>
      <c r="D137" s="89">
        <v>0</v>
      </c>
      <c r="E137" s="89">
        <v>0</v>
      </c>
      <c r="F137" s="89">
        <v>0</v>
      </c>
      <c r="G137" s="89">
        <v>0</v>
      </c>
      <c r="H137" s="89">
        <v>3549.74</v>
      </c>
      <c r="I137" s="89">
        <v>0</v>
      </c>
      <c r="J137" s="89">
        <f>+IFERROR(VLOOKUP(A137,[3]BalanceSheet!A$8:B$154,2,0),0)</f>
        <v>4133.62</v>
      </c>
      <c r="L137" s="89"/>
      <c r="M137" s="86"/>
    </row>
    <row r="138" spans="1:13">
      <c r="A138" s="8" t="s">
        <v>303</v>
      </c>
      <c r="B138" s="89">
        <v>0</v>
      </c>
      <c r="C138" s="89">
        <v>0</v>
      </c>
      <c r="D138" s="89">
        <v>0</v>
      </c>
      <c r="E138" s="89">
        <v>0</v>
      </c>
      <c r="F138" s="89">
        <v>0</v>
      </c>
      <c r="G138" s="89">
        <v>0</v>
      </c>
      <c r="H138" s="89">
        <v>3468.48</v>
      </c>
      <c r="I138" s="89">
        <v>0</v>
      </c>
      <c r="J138" s="89">
        <f>+IFERROR(VLOOKUP(A138,[3]BalanceSheet!A$8:B$154,2,0),0)</f>
        <v>627.14</v>
      </c>
      <c r="L138" s="89"/>
      <c r="M138" s="86"/>
    </row>
    <row r="139" spans="1:13">
      <c r="A139" s="8" t="s">
        <v>302</v>
      </c>
      <c r="B139" s="89">
        <v>0</v>
      </c>
      <c r="C139" s="89">
        <v>0</v>
      </c>
      <c r="D139" s="89">
        <v>0</v>
      </c>
      <c r="E139" s="89">
        <v>0</v>
      </c>
      <c r="F139" s="89">
        <v>0</v>
      </c>
      <c r="G139" s="89">
        <v>0</v>
      </c>
      <c r="H139" s="89">
        <v>-2.0299999999999998</v>
      </c>
      <c r="I139" s="89">
        <v>0</v>
      </c>
      <c r="J139" s="89">
        <f>+IFERROR(VLOOKUP(A139,[3]BalanceSheet!A$8:B$154,2,0),0)</f>
        <v>0</v>
      </c>
      <c r="L139" s="89"/>
      <c r="M139" s="86"/>
    </row>
    <row r="140" spans="1:13">
      <c r="A140" s="8" t="s">
        <v>301</v>
      </c>
      <c r="B140" s="89">
        <v>0</v>
      </c>
      <c r="C140" s="89">
        <v>0</v>
      </c>
      <c r="D140" s="89">
        <v>0</v>
      </c>
      <c r="E140" s="89">
        <v>0</v>
      </c>
      <c r="F140" s="89">
        <v>0</v>
      </c>
      <c r="G140" s="89">
        <v>0</v>
      </c>
      <c r="H140" s="89">
        <v>-732.99</v>
      </c>
      <c r="I140" s="89">
        <v>0</v>
      </c>
      <c r="J140" s="89">
        <f>+IFERROR(VLOOKUP(A140,[3]BalanceSheet!A$8:B$154,2,0),0)</f>
        <v>0</v>
      </c>
      <c r="L140" s="89"/>
      <c r="M140" s="86"/>
    </row>
    <row r="141" spans="1:13" ht="10.5">
      <c r="A141" s="96" t="s">
        <v>300</v>
      </c>
      <c r="B141" s="90">
        <v>0</v>
      </c>
      <c r="C141" s="90">
        <v>0</v>
      </c>
      <c r="D141" s="90">
        <v>0</v>
      </c>
      <c r="E141" s="90">
        <v>0</v>
      </c>
      <c r="F141" s="90">
        <v>0</v>
      </c>
      <c r="G141" s="90">
        <v>-1011.93</v>
      </c>
      <c r="H141" s="90">
        <v>-1740.87</v>
      </c>
      <c r="I141" s="90">
        <v>0</v>
      </c>
      <c r="J141" s="90">
        <f>+IFERROR(VLOOKUP(A141,[3]BalanceSheet!A$8:B$154,2,0),0)</f>
        <v>11344.519999999999</v>
      </c>
      <c r="L141" s="90"/>
      <c r="M141" s="86"/>
    </row>
    <row r="142" spans="1:13" ht="10.5">
      <c r="A142" s="97" t="s">
        <v>299</v>
      </c>
      <c r="B142" s="90">
        <v>0</v>
      </c>
      <c r="C142" s="90">
        <v>0</v>
      </c>
      <c r="D142" s="90">
        <v>0</v>
      </c>
      <c r="E142" s="90">
        <v>0</v>
      </c>
      <c r="F142" s="90">
        <v>0</v>
      </c>
      <c r="G142" s="90">
        <v>-1011.93</v>
      </c>
      <c r="H142" s="90">
        <v>-1740.87</v>
      </c>
      <c r="I142" s="90">
        <v>0</v>
      </c>
      <c r="J142" s="90">
        <f>+IFERROR(VLOOKUP(A142,[3]BalanceSheet!A$8:B$154,2,0),0)</f>
        <v>11344.519999999999</v>
      </c>
      <c r="K142" s="123" t="s">
        <v>459</v>
      </c>
      <c r="L142" s="90"/>
      <c r="M142" s="86"/>
    </row>
    <row r="143" spans="1:13" ht="10.5">
      <c r="A143" s="5" t="s">
        <v>298</v>
      </c>
      <c r="B143" s="88"/>
      <c r="C143" s="88"/>
      <c r="D143" s="88"/>
      <c r="E143" s="88"/>
      <c r="F143" s="88"/>
      <c r="G143" s="88"/>
      <c r="H143" s="88"/>
      <c r="I143" s="88"/>
      <c r="J143" s="88">
        <f>+IFERROR(VLOOKUP(A143,[3]BalanceSheet!A$8:B$154,2,0),0)</f>
        <v>0</v>
      </c>
      <c r="L143" s="88"/>
      <c r="M143" s="86"/>
    </row>
    <row r="144" spans="1:13" ht="10.5">
      <c r="A144" s="95" t="s">
        <v>297</v>
      </c>
      <c r="B144" s="88"/>
      <c r="C144" s="88"/>
      <c r="D144" s="88"/>
      <c r="E144" s="88"/>
      <c r="F144" s="88"/>
      <c r="G144" s="88"/>
      <c r="H144" s="88"/>
      <c r="I144" s="88"/>
      <c r="J144" s="88">
        <f>+IFERROR(VLOOKUP(A144,[3]BalanceSheet!A$8:B$154,2,0),0)</f>
        <v>0</v>
      </c>
      <c r="L144" s="88"/>
      <c r="M144" s="86"/>
    </row>
    <row r="145" spans="1:13">
      <c r="A145" s="8" t="s">
        <v>296</v>
      </c>
      <c r="B145" s="89">
        <v>-4635684.16</v>
      </c>
      <c r="C145" s="89">
        <v>15878.25</v>
      </c>
      <c r="D145" s="89">
        <v>0</v>
      </c>
      <c r="E145" s="89">
        <v>0</v>
      </c>
      <c r="F145" s="89">
        <v>0</v>
      </c>
      <c r="G145" s="89">
        <v>2334852.67</v>
      </c>
      <c r="H145" s="89">
        <v>2284953.2400000002</v>
      </c>
      <c r="I145" s="89">
        <v>0</v>
      </c>
      <c r="J145" s="89">
        <f>+IFERROR(VLOOKUP(A145,[3]BalanceSheet!A$8:B$154,2,0),0)</f>
        <v>0</v>
      </c>
      <c r="L145" s="89"/>
      <c r="M145" s="86"/>
    </row>
    <row r="146" spans="1:13">
      <c r="A146" s="8" t="s">
        <v>295</v>
      </c>
      <c r="B146" s="89">
        <v>-1659959.1</v>
      </c>
      <c r="C146" s="89">
        <v>0</v>
      </c>
      <c r="D146" s="89">
        <v>0</v>
      </c>
      <c r="E146" s="89">
        <v>0</v>
      </c>
      <c r="F146" s="89">
        <v>0</v>
      </c>
      <c r="G146" s="89">
        <v>0</v>
      </c>
      <c r="H146" s="89">
        <v>799214.12</v>
      </c>
      <c r="I146" s="89">
        <v>865505.1</v>
      </c>
      <c r="J146" s="89">
        <f>+IFERROR(VLOOKUP(A146,[3]BalanceSheet!A$8:B$154,2,0),0)</f>
        <v>0</v>
      </c>
      <c r="L146" s="89"/>
      <c r="M146" s="86"/>
    </row>
    <row r="147" spans="1:13">
      <c r="A147" s="8" t="s">
        <v>294</v>
      </c>
      <c r="B147" s="89">
        <v>-53268.63</v>
      </c>
      <c r="C147" s="89">
        <v>0</v>
      </c>
      <c r="D147" s="89">
        <v>0</v>
      </c>
      <c r="E147" s="89">
        <v>0</v>
      </c>
      <c r="F147" s="89">
        <v>330.61</v>
      </c>
      <c r="G147" s="89">
        <v>0</v>
      </c>
      <c r="H147" s="89">
        <v>48177.9</v>
      </c>
      <c r="I147" s="89">
        <v>0</v>
      </c>
      <c r="J147" s="89">
        <f>+IFERROR(VLOOKUP(A147,[3]BalanceSheet!A$8:B$154,2,0),0)</f>
        <v>0</v>
      </c>
      <c r="L147" s="89"/>
      <c r="M147" s="86"/>
    </row>
    <row r="148" spans="1:13">
      <c r="A148" s="8" t="s">
        <v>293</v>
      </c>
      <c r="B148" s="89">
        <v>-330.61</v>
      </c>
      <c r="C148" s="89">
        <v>0</v>
      </c>
      <c r="D148" s="89">
        <v>0</v>
      </c>
      <c r="E148" s="89">
        <v>330.61</v>
      </c>
      <c r="F148" s="89">
        <v>0</v>
      </c>
      <c r="G148" s="89">
        <v>0</v>
      </c>
      <c r="H148" s="89">
        <v>0</v>
      </c>
      <c r="I148" s="89">
        <v>0</v>
      </c>
      <c r="J148" s="89">
        <f>+IFERROR(VLOOKUP(A148,[3]BalanceSheet!A$8:B$154,2,0),0)</f>
        <v>0</v>
      </c>
      <c r="L148" s="89"/>
      <c r="M148" s="86"/>
    </row>
    <row r="149" spans="1:13">
      <c r="A149" s="8" t="s">
        <v>292</v>
      </c>
      <c r="B149" s="89">
        <v>-4789.6099999999997</v>
      </c>
      <c r="C149" s="89">
        <v>0</v>
      </c>
      <c r="D149" s="89">
        <v>330.61</v>
      </c>
      <c r="E149" s="89">
        <v>0</v>
      </c>
      <c r="F149" s="89">
        <v>0</v>
      </c>
      <c r="G149" s="89">
        <v>0</v>
      </c>
      <c r="H149" s="89">
        <v>4459</v>
      </c>
      <c r="I149" s="89">
        <v>0</v>
      </c>
      <c r="J149" s="89">
        <f>+IFERROR(VLOOKUP(A149,[3]BalanceSheet!A$8:B$154,2,0),0)</f>
        <v>0</v>
      </c>
      <c r="L149" s="89"/>
      <c r="M149" s="86"/>
    </row>
    <row r="150" spans="1:13">
      <c r="A150" s="8" t="s">
        <v>291</v>
      </c>
      <c r="B150" s="89">
        <v>-1380878.9</v>
      </c>
      <c r="C150" s="89">
        <v>843433.48</v>
      </c>
      <c r="D150" s="89">
        <v>0</v>
      </c>
      <c r="E150" s="89">
        <v>0</v>
      </c>
      <c r="F150" s="89">
        <v>0</v>
      </c>
      <c r="G150" s="89">
        <v>0</v>
      </c>
      <c r="H150" s="89">
        <v>537445.42000000004</v>
      </c>
      <c r="I150" s="89">
        <v>0</v>
      </c>
      <c r="J150" s="89">
        <f>+IFERROR(VLOOKUP(A150,[3]BalanceSheet!A$8:B$154,2,0),0)</f>
        <v>0</v>
      </c>
      <c r="L150" s="89"/>
      <c r="M150" s="86"/>
    </row>
    <row r="151" spans="1:13" ht="10.5">
      <c r="A151" s="96" t="s">
        <v>290</v>
      </c>
      <c r="B151" s="90">
        <v>-7734911.0099999998</v>
      </c>
      <c r="C151" s="90">
        <v>859311.73</v>
      </c>
      <c r="D151" s="90">
        <v>330.61</v>
      </c>
      <c r="E151" s="90">
        <v>330.61</v>
      </c>
      <c r="F151" s="90">
        <v>330.61</v>
      </c>
      <c r="G151" s="90">
        <v>2334852.67</v>
      </c>
      <c r="H151" s="90">
        <v>3674249.68</v>
      </c>
      <c r="I151" s="90">
        <v>865505.1</v>
      </c>
      <c r="J151" s="90">
        <f>+IFERROR(VLOOKUP(A151,[3]BalanceSheet!A$8:B$154,2,0),0)</f>
        <v>0</v>
      </c>
      <c r="K151" s="21">
        <v>17</v>
      </c>
      <c r="L151" s="90"/>
      <c r="M151" s="86"/>
    </row>
    <row r="152" spans="1:13">
      <c r="A152" s="6" t="s">
        <v>289</v>
      </c>
      <c r="B152" s="89">
        <v>0</v>
      </c>
      <c r="C152" s="89">
        <v>6714.04</v>
      </c>
      <c r="D152" s="89">
        <v>0</v>
      </c>
      <c r="E152" s="89">
        <v>0</v>
      </c>
      <c r="F152" s="89">
        <v>0</v>
      </c>
      <c r="G152" s="89">
        <v>59353.41</v>
      </c>
      <c r="H152" s="89">
        <v>0</v>
      </c>
      <c r="I152" s="89">
        <v>-379.19</v>
      </c>
      <c r="J152" s="89">
        <f>+IFERROR(VLOOKUP(A152,[3]BalanceSheet!A$8:B$154,2,0),0)</f>
        <v>31638.13</v>
      </c>
      <c r="K152" s="21">
        <v>17</v>
      </c>
      <c r="L152" s="89"/>
      <c r="M152" s="86"/>
    </row>
    <row r="153" spans="1:13" ht="10.5">
      <c r="A153" s="95" t="s">
        <v>288</v>
      </c>
      <c r="B153" s="88"/>
      <c r="C153" s="88"/>
      <c r="D153" s="88"/>
      <c r="E153" s="88"/>
      <c r="F153" s="88"/>
      <c r="G153" s="88"/>
      <c r="H153" s="88"/>
      <c r="I153" s="88"/>
      <c r="J153" s="88">
        <f>+IFERROR(VLOOKUP(A153,[3]BalanceSheet!A$8:B$154,2,0),0)</f>
        <v>0</v>
      </c>
      <c r="L153" s="88"/>
      <c r="M153" s="86"/>
    </row>
    <row r="154" spans="1:13">
      <c r="A154" s="8" t="s">
        <v>287</v>
      </c>
      <c r="B154" s="89">
        <v>0</v>
      </c>
      <c r="C154" s="89">
        <v>-232.5</v>
      </c>
      <c r="D154" s="89">
        <v>0</v>
      </c>
      <c r="E154" s="89">
        <v>0</v>
      </c>
      <c r="F154" s="89">
        <v>0</v>
      </c>
      <c r="G154" s="89">
        <v>0</v>
      </c>
      <c r="H154" s="89">
        <v>147136.60999999999</v>
      </c>
      <c r="I154" s="89">
        <v>-5300.06</v>
      </c>
      <c r="J154" s="89">
        <f>+IFERROR(VLOOKUP(A154,[3]BalanceSheet!A$8:B$154,2,0),0)</f>
        <v>178386.02</v>
      </c>
      <c r="K154" s="21">
        <v>17.100000000000001</v>
      </c>
      <c r="L154" s="89"/>
      <c r="M154" s="86"/>
    </row>
    <row r="155" spans="1:13">
      <c r="A155" s="8" t="s">
        <v>286</v>
      </c>
      <c r="B155" s="89">
        <v>0</v>
      </c>
      <c r="C155" s="89">
        <v>0</v>
      </c>
      <c r="D155" s="89">
        <v>0</v>
      </c>
      <c r="E155" s="89">
        <v>0</v>
      </c>
      <c r="F155" s="89">
        <v>0</v>
      </c>
      <c r="G155" s="89">
        <v>0</v>
      </c>
      <c r="H155" s="89">
        <v>146671.97</v>
      </c>
      <c r="I155" s="89">
        <v>18189.68</v>
      </c>
      <c r="J155" s="89">
        <f>+IFERROR(VLOOKUP(A155,[3]BalanceSheet!A$8:B$154,2,0),0)</f>
        <v>135418.63</v>
      </c>
      <c r="K155" s="21">
        <v>17.100000000000001</v>
      </c>
      <c r="L155" s="89"/>
      <c r="M155" s="86"/>
    </row>
    <row r="156" spans="1:13">
      <c r="A156" s="8" t="s">
        <v>285</v>
      </c>
      <c r="B156" s="89">
        <v>0</v>
      </c>
      <c r="C156" s="89">
        <v>0</v>
      </c>
      <c r="D156" s="89">
        <v>0</v>
      </c>
      <c r="E156" s="89">
        <v>0</v>
      </c>
      <c r="F156" s="89">
        <v>0</v>
      </c>
      <c r="G156" s="89">
        <v>0</v>
      </c>
      <c r="H156" s="89">
        <v>0</v>
      </c>
      <c r="I156" s="89">
        <v>7491.19</v>
      </c>
      <c r="J156" s="89">
        <f>+IFERROR(VLOOKUP(A156,[3]BalanceSheet!A$8:B$154,2,0),0)</f>
        <v>7942.68</v>
      </c>
      <c r="K156" s="21">
        <v>17.100000000000001</v>
      </c>
      <c r="L156" s="89"/>
      <c r="M156" s="86"/>
    </row>
    <row r="157" spans="1:13">
      <c r="A157" s="8" t="s">
        <v>284</v>
      </c>
      <c r="B157" s="89">
        <v>0</v>
      </c>
      <c r="C157" s="89">
        <v>0</v>
      </c>
      <c r="D157" s="89">
        <v>0</v>
      </c>
      <c r="E157" s="89">
        <v>0</v>
      </c>
      <c r="F157" s="89">
        <v>0</v>
      </c>
      <c r="G157" s="89">
        <v>416.1</v>
      </c>
      <c r="H157" s="89">
        <v>0</v>
      </c>
      <c r="I157" s="89">
        <v>0</v>
      </c>
      <c r="J157" s="89">
        <f>+IFERROR(VLOOKUP(A157,[3]BalanceSheet!A$8:B$154,2,0),0)</f>
        <v>0</v>
      </c>
      <c r="K157" s="21">
        <v>17.100000000000001</v>
      </c>
      <c r="L157" s="89"/>
      <c r="M157" s="86"/>
    </row>
    <row r="158" spans="1:13" ht="10.5">
      <c r="A158" s="96" t="s">
        <v>283</v>
      </c>
      <c r="B158" s="90">
        <v>0</v>
      </c>
      <c r="C158" s="90">
        <v>-232.5</v>
      </c>
      <c r="D158" s="90">
        <v>0</v>
      </c>
      <c r="E158" s="90">
        <v>0</v>
      </c>
      <c r="F158" s="90">
        <v>0</v>
      </c>
      <c r="G158" s="90">
        <v>416.1</v>
      </c>
      <c r="H158" s="90">
        <v>293808.57999999996</v>
      </c>
      <c r="I158" s="90">
        <v>20380.809999999998</v>
      </c>
      <c r="J158" s="90">
        <f>+IFERROR(VLOOKUP(A158,[3]BalanceSheet!A$8:B$154,2,0),0)</f>
        <v>321747.33</v>
      </c>
      <c r="K158" s="21">
        <v>17</v>
      </c>
      <c r="L158" s="90"/>
      <c r="M158" s="86"/>
    </row>
    <row r="159" spans="1:13" ht="10.5">
      <c r="A159" s="95" t="s">
        <v>282</v>
      </c>
      <c r="B159" s="88"/>
      <c r="C159" s="88"/>
      <c r="D159" s="88"/>
      <c r="E159" s="88"/>
      <c r="F159" s="88"/>
      <c r="G159" s="88"/>
      <c r="H159" s="88"/>
      <c r="I159" s="88"/>
      <c r="J159" s="88">
        <f>+IFERROR(VLOOKUP(A159,[3]BalanceSheet!A$8:B$154,2,0),0)</f>
        <v>0</v>
      </c>
      <c r="L159" s="88"/>
      <c r="M159" s="86"/>
    </row>
    <row r="160" spans="1:13">
      <c r="A160" s="8" t="s">
        <v>281</v>
      </c>
      <c r="B160" s="89">
        <v>0</v>
      </c>
      <c r="C160" s="89">
        <v>2896.24</v>
      </c>
      <c r="D160" s="89">
        <v>0</v>
      </c>
      <c r="E160" s="89">
        <v>0</v>
      </c>
      <c r="F160" s="89">
        <v>0</v>
      </c>
      <c r="G160" s="89">
        <v>1957.23</v>
      </c>
      <c r="H160" s="89">
        <v>53865.05</v>
      </c>
      <c r="I160" s="89">
        <v>21354.28</v>
      </c>
      <c r="J160" s="89">
        <f>+IFERROR(VLOOKUP(A160,[3]BalanceSheet!A$8:B$154,2,0),0)</f>
        <v>37479.919999999998</v>
      </c>
      <c r="K160" s="21">
        <v>17.100000000000001</v>
      </c>
      <c r="L160" s="89"/>
      <c r="M160" s="86"/>
    </row>
    <row r="161" spans="1:13">
      <c r="A161" s="8" t="s">
        <v>280</v>
      </c>
      <c r="B161" s="89">
        <v>0</v>
      </c>
      <c r="C161" s="89">
        <v>0</v>
      </c>
      <c r="D161" s="89">
        <v>0</v>
      </c>
      <c r="E161" s="89">
        <v>0</v>
      </c>
      <c r="F161" s="89">
        <v>0</v>
      </c>
      <c r="G161" s="89">
        <v>0</v>
      </c>
      <c r="H161" s="89">
        <v>8474.9</v>
      </c>
      <c r="I161" s="89">
        <v>3476.27</v>
      </c>
      <c r="J161" s="89">
        <f>+IFERROR(VLOOKUP(A161,[3]BalanceSheet!A$8:B$154,2,0),0)</f>
        <v>15776.9</v>
      </c>
      <c r="K161" s="21">
        <v>17.100000000000001</v>
      </c>
      <c r="L161" s="89"/>
      <c r="M161" s="86"/>
    </row>
    <row r="162" spans="1:13">
      <c r="A162" s="8" t="s">
        <v>279</v>
      </c>
      <c r="B162" s="89">
        <v>0</v>
      </c>
      <c r="C162" s="89">
        <v>0</v>
      </c>
      <c r="D162" s="89">
        <v>0</v>
      </c>
      <c r="E162" s="89">
        <v>0</v>
      </c>
      <c r="F162" s="89">
        <v>0</v>
      </c>
      <c r="G162" s="89">
        <v>0</v>
      </c>
      <c r="H162" s="89">
        <v>0</v>
      </c>
      <c r="I162" s="89">
        <v>1446.85</v>
      </c>
      <c r="J162" s="89">
        <f>+IFERROR(VLOOKUP(A162,[3]BalanceSheet!A$8:B$154,2,0),0)</f>
        <v>472.02</v>
      </c>
      <c r="K162" s="21">
        <v>17.100000000000001</v>
      </c>
      <c r="L162" s="89"/>
      <c r="M162" s="86"/>
    </row>
    <row r="163" spans="1:13" ht="10.5">
      <c r="A163" s="96" t="s">
        <v>278</v>
      </c>
      <c r="B163" s="90">
        <v>0</v>
      </c>
      <c r="C163" s="90">
        <v>2896.24</v>
      </c>
      <c r="D163" s="90">
        <v>0</v>
      </c>
      <c r="E163" s="90">
        <v>0</v>
      </c>
      <c r="F163" s="90">
        <v>0</v>
      </c>
      <c r="G163" s="90">
        <v>1957.23</v>
      </c>
      <c r="H163" s="90">
        <v>62339.950000000004</v>
      </c>
      <c r="I163" s="90">
        <v>26277.399999999998</v>
      </c>
      <c r="J163" s="90">
        <f>+IFERROR(VLOOKUP(A163,[3]BalanceSheet!A$8:B$154,2,0),0)</f>
        <v>69116.08</v>
      </c>
      <c r="K163" s="21">
        <v>17</v>
      </c>
      <c r="L163" s="90"/>
      <c r="M163" s="86"/>
    </row>
    <row r="164" spans="1:13" ht="10.5">
      <c r="A164" s="95" t="s">
        <v>277</v>
      </c>
      <c r="B164" s="88"/>
      <c r="C164" s="88"/>
      <c r="D164" s="88"/>
      <c r="E164" s="88"/>
      <c r="F164" s="88"/>
      <c r="G164" s="88"/>
      <c r="H164" s="88"/>
      <c r="I164" s="88"/>
      <c r="J164" s="88">
        <f>+IFERROR(VLOOKUP(A164,[3]BalanceSheet!A$8:B$154,2,0),0)</f>
        <v>0</v>
      </c>
      <c r="L164" s="88"/>
      <c r="M164" s="86"/>
    </row>
    <row r="165" spans="1:13">
      <c r="A165" s="8" t="s">
        <v>276</v>
      </c>
      <c r="B165" s="89">
        <v>0</v>
      </c>
      <c r="C165" s="89">
        <v>32.29</v>
      </c>
      <c r="D165" s="89">
        <v>0</v>
      </c>
      <c r="E165" s="89">
        <v>0</v>
      </c>
      <c r="F165" s="89">
        <v>0</v>
      </c>
      <c r="G165" s="89">
        <v>1.1499999999999999</v>
      </c>
      <c r="H165" s="89">
        <v>36075.94</v>
      </c>
      <c r="I165" s="89">
        <v>25202.63</v>
      </c>
      <c r="J165" s="89">
        <f>+IFERROR(VLOOKUP(A165,[3]BalanceSheet!A$8:B$154,2,0),0)</f>
        <v>41269.86</v>
      </c>
      <c r="K165" s="21">
        <v>17.100000000000001</v>
      </c>
      <c r="L165" s="89"/>
      <c r="M165" s="86"/>
    </row>
    <row r="166" spans="1:13">
      <c r="A166" s="8" t="s">
        <v>275</v>
      </c>
      <c r="B166" s="89">
        <v>0</v>
      </c>
      <c r="C166" s="89">
        <v>868.67</v>
      </c>
      <c r="D166" s="89">
        <v>0</v>
      </c>
      <c r="E166" s="89">
        <v>0</v>
      </c>
      <c r="F166" s="89">
        <v>0</v>
      </c>
      <c r="G166" s="89">
        <v>-6811.51</v>
      </c>
      <c r="H166" s="89">
        <v>79193.850000000006</v>
      </c>
      <c r="I166" s="89">
        <v>368.36</v>
      </c>
      <c r="J166" s="89">
        <f>+IFERROR(VLOOKUP(A166,[3]BalanceSheet!A$8:B$154,2,0),0)</f>
        <v>63526.66</v>
      </c>
      <c r="K166" s="21">
        <v>17.100000000000001</v>
      </c>
      <c r="L166" s="89"/>
      <c r="M166" s="86"/>
    </row>
    <row r="167" spans="1:13" ht="10.5">
      <c r="A167" s="96" t="s">
        <v>274</v>
      </c>
      <c r="B167" s="90">
        <v>0</v>
      </c>
      <c r="C167" s="90">
        <v>900.95999999999992</v>
      </c>
      <c r="D167" s="90">
        <v>0</v>
      </c>
      <c r="E167" s="90">
        <v>0</v>
      </c>
      <c r="F167" s="90">
        <v>0</v>
      </c>
      <c r="G167" s="90">
        <v>-6810.3600000000006</v>
      </c>
      <c r="H167" s="90">
        <v>115269.79000000001</v>
      </c>
      <c r="I167" s="90">
        <v>25570.99</v>
      </c>
      <c r="J167" s="90">
        <f>+IFERROR(VLOOKUP(A167,[3]BalanceSheet!A$8:B$154,2,0),0)</f>
        <v>104796.52</v>
      </c>
      <c r="K167" s="21">
        <v>17</v>
      </c>
      <c r="L167" s="90"/>
      <c r="M167" s="86"/>
    </row>
    <row r="168" spans="1:13" ht="10.5">
      <c r="A168" s="95" t="s">
        <v>273</v>
      </c>
      <c r="B168" s="88"/>
      <c r="C168" s="88"/>
      <c r="D168" s="88"/>
      <c r="E168" s="88"/>
      <c r="F168" s="88"/>
      <c r="G168" s="88"/>
      <c r="H168" s="88"/>
      <c r="I168" s="88"/>
      <c r="J168" s="88">
        <f>+IFERROR(VLOOKUP(A168,[3]BalanceSheet!A$8:B$154,2,0),0)</f>
        <v>0</v>
      </c>
      <c r="L168" s="88"/>
      <c r="M168" s="86"/>
    </row>
    <row r="169" spans="1:13">
      <c r="A169" s="8" t="s">
        <v>272</v>
      </c>
      <c r="B169" s="89">
        <v>0</v>
      </c>
      <c r="C169" s="89">
        <v>0</v>
      </c>
      <c r="D169" s="89">
        <v>0</v>
      </c>
      <c r="E169" s="89">
        <v>0</v>
      </c>
      <c r="F169" s="89">
        <v>0</v>
      </c>
      <c r="G169" s="89">
        <v>8037.19</v>
      </c>
      <c r="H169" s="89">
        <v>72000.679999999993</v>
      </c>
      <c r="I169" s="89">
        <v>56382.29</v>
      </c>
      <c r="J169" s="89">
        <f>+IFERROR(VLOOKUP(A169,[3]BalanceSheet!A$8:B$154,2,0),0)</f>
        <v>171665.04</v>
      </c>
      <c r="K169" s="21">
        <v>17.2</v>
      </c>
      <c r="L169" s="89"/>
      <c r="M169" s="86"/>
    </row>
    <row r="170" spans="1:13" ht="10.5">
      <c r="A170" s="96" t="s">
        <v>271</v>
      </c>
      <c r="B170" s="90">
        <v>0</v>
      </c>
      <c r="C170" s="90">
        <v>0</v>
      </c>
      <c r="D170" s="90">
        <v>0</v>
      </c>
      <c r="E170" s="90">
        <v>0</v>
      </c>
      <c r="F170" s="90">
        <v>0</v>
      </c>
      <c r="G170" s="90">
        <v>8037.19</v>
      </c>
      <c r="H170" s="90">
        <v>72000.679999999993</v>
      </c>
      <c r="I170" s="90">
        <v>56382.29</v>
      </c>
      <c r="J170" s="90">
        <f>+IFERROR(VLOOKUP(A170,[3]BalanceSheet!A$8:B$154,2,0),0)</f>
        <v>171665.04</v>
      </c>
      <c r="K170" s="21">
        <v>17</v>
      </c>
      <c r="L170" s="90"/>
      <c r="M170" s="86"/>
    </row>
    <row r="171" spans="1:13">
      <c r="A171" s="6" t="s">
        <v>270</v>
      </c>
      <c r="B171" s="89">
        <v>0</v>
      </c>
      <c r="C171" s="89">
        <v>0</v>
      </c>
      <c r="D171" s="89">
        <v>0</v>
      </c>
      <c r="E171" s="89">
        <v>0</v>
      </c>
      <c r="F171" s="89">
        <v>8276.7199999999993</v>
      </c>
      <c r="G171" s="89">
        <v>2783.76</v>
      </c>
      <c r="H171" s="89">
        <v>-3638.94</v>
      </c>
      <c r="I171" s="89">
        <v>0</v>
      </c>
      <c r="J171" s="89">
        <f>+IFERROR(VLOOKUP(A171,[3]BalanceSheet!A$8:B$154,2,0),0)</f>
        <v>65419.27</v>
      </c>
      <c r="K171" s="21">
        <v>17</v>
      </c>
      <c r="L171" s="89"/>
      <c r="M171" s="86"/>
    </row>
    <row r="172" spans="1:13" ht="10.5">
      <c r="A172" s="95" t="s">
        <v>269</v>
      </c>
      <c r="B172" s="88"/>
      <c r="C172" s="88"/>
      <c r="D172" s="88"/>
      <c r="E172" s="88"/>
      <c r="F172" s="88"/>
      <c r="G172" s="88"/>
      <c r="H172" s="88"/>
      <c r="I172" s="88"/>
      <c r="J172" s="88">
        <f>+IFERROR(VLOOKUP(A172,[3]BalanceSheet!A$8:B$154,2,0),0)</f>
        <v>0</v>
      </c>
      <c r="L172" s="88"/>
      <c r="M172" s="86"/>
    </row>
    <row r="173" spans="1:13">
      <c r="A173" s="8" t="s">
        <v>268</v>
      </c>
      <c r="B173" s="89">
        <v>0</v>
      </c>
      <c r="C173" s="89">
        <v>0</v>
      </c>
      <c r="D173" s="89">
        <v>0</v>
      </c>
      <c r="E173" s="89">
        <v>0</v>
      </c>
      <c r="F173" s="89">
        <v>0</v>
      </c>
      <c r="G173" s="89">
        <v>0</v>
      </c>
      <c r="H173" s="89">
        <v>73404.259999999995</v>
      </c>
      <c r="I173" s="89">
        <v>0</v>
      </c>
      <c r="J173" s="89">
        <f>+IFERROR(VLOOKUP(A173,[3]BalanceSheet!A$8:B$154,2,0),0)</f>
        <v>43970</v>
      </c>
      <c r="K173" s="21">
        <v>17.399999999999999</v>
      </c>
      <c r="L173" s="89"/>
      <c r="M173" s="86"/>
    </row>
    <row r="174" spans="1:13">
      <c r="A174" s="8" t="s">
        <v>267</v>
      </c>
      <c r="B174" s="89">
        <v>0</v>
      </c>
      <c r="C174" s="89">
        <v>0</v>
      </c>
      <c r="D174" s="89">
        <v>0</v>
      </c>
      <c r="E174" s="89">
        <v>0</v>
      </c>
      <c r="F174" s="89">
        <v>0</v>
      </c>
      <c r="G174" s="89">
        <v>0</v>
      </c>
      <c r="H174" s="89">
        <v>-20670</v>
      </c>
      <c r="I174" s="89">
        <v>0</v>
      </c>
      <c r="J174" s="89">
        <f>+IFERROR(VLOOKUP(A174,[3]BalanceSheet!A$8:B$154,2,0),0)</f>
        <v>-43969.38</v>
      </c>
      <c r="K174" s="21">
        <v>17.399999999999999</v>
      </c>
      <c r="L174" s="47" t="s">
        <v>548</v>
      </c>
      <c r="M174" s="86"/>
    </row>
    <row r="175" spans="1:13" ht="10.5">
      <c r="A175" s="96" t="s">
        <v>266</v>
      </c>
      <c r="B175" s="90">
        <v>0</v>
      </c>
      <c r="C175" s="90">
        <v>0</v>
      </c>
      <c r="D175" s="90">
        <v>0</v>
      </c>
      <c r="E175" s="90">
        <v>0</v>
      </c>
      <c r="F175" s="90">
        <v>0</v>
      </c>
      <c r="G175" s="90">
        <v>0</v>
      </c>
      <c r="H175" s="90">
        <v>52734.259999999995</v>
      </c>
      <c r="I175" s="90">
        <v>0</v>
      </c>
      <c r="J175" s="90">
        <f>+IFERROR(VLOOKUP(A175,[3]BalanceSheet!A$8:B$154,2,0),0)</f>
        <v>0.62000000000261934</v>
      </c>
      <c r="K175" s="21">
        <v>17</v>
      </c>
      <c r="L175" s="90"/>
      <c r="M175" s="86"/>
    </row>
    <row r="176" spans="1:13">
      <c r="A176" s="6" t="s">
        <v>265</v>
      </c>
      <c r="B176" s="89">
        <v>0</v>
      </c>
      <c r="C176" s="89">
        <v>0</v>
      </c>
      <c r="D176" s="89">
        <v>0</v>
      </c>
      <c r="E176" s="89">
        <v>0</v>
      </c>
      <c r="F176" s="89">
        <v>0</v>
      </c>
      <c r="G176" s="89">
        <v>0</v>
      </c>
      <c r="H176" s="89">
        <v>414497.66</v>
      </c>
      <c r="I176" s="89">
        <v>49.23</v>
      </c>
      <c r="J176" s="89">
        <f>+IFERROR(VLOOKUP(A176,[3]BalanceSheet!A$8:B$154,2,0),0)</f>
        <v>393230.19</v>
      </c>
      <c r="K176" s="21">
        <v>18</v>
      </c>
      <c r="L176" s="89" t="s">
        <v>602</v>
      </c>
      <c r="M176" s="86"/>
    </row>
    <row r="177" spans="1:13">
      <c r="A177" s="6" t="s">
        <v>264</v>
      </c>
      <c r="B177" s="89">
        <v>-261263.83</v>
      </c>
      <c r="C177" s="89">
        <v>0</v>
      </c>
      <c r="D177" s="89">
        <v>0</v>
      </c>
      <c r="E177" s="89">
        <v>261263.83</v>
      </c>
      <c r="F177" s="89">
        <v>0</v>
      </c>
      <c r="G177" s="89">
        <v>0</v>
      </c>
      <c r="H177" s="89">
        <v>0</v>
      </c>
      <c r="I177" s="89">
        <v>0</v>
      </c>
      <c r="J177" s="89">
        <f>+IFERROR(VLOOKUP(A177,[3]BalanceSheet!A$8:B$154,2,0),0)</f>
        <v>0</v>
      </c>
      <c r="K177" s="21">
        <v>18</v>
      </c>
      <c r="L177" s="89"/>
      <c r="M177" s="86"/>
    </row>
    <row r="178" spans="1:13" ht="10.5">
      <c r="A178" s="97" t="s">
        <v>263</v>
      </c>
      <c r="B178" s="90">
        <v>-7996174.8399999999</v>
      </c>
      <c r="C178" s="90">
        <v>869590.47</v>
      </c>
      <c r="D178" s="90">
        <v>330.61</v>
      </c>
      <c r="E178" s="90">
        <v>261594.43999999997</v>
      </c>
      <c r="F178" s="90">
        <v>8607.33</v>
      </c>
      <c r="G178" s="90">
        <v>2400590</v>
      </c>
      <c r="H178" s="90">
        <v>4681261.66</v>
      </c>
      <c r="I178" s="90">
        <v>993786.63</v>
      </c>
      <c r="J178" s="90">
        <f>+IFERROR(VLOOKUP(A178,[3]BalanceSheet!A$8:B$154,2,0),0)</f>
        <v>1157613.1800000002</v>
      </c>
      <c r="K178"/>
      <c r="L178" s="90"/>
      <c r="M178" s="86"/>
    </row>
    <row r="179" spans="1:13" ht="10.5">
      <c r="A179" s="3" t="s">
        <v>262</v>
      </c>
      <c r="B179" s="88">
        <v>-8024550.3999999994</v>
      </c>
      <c r="C179" s="88">
        <v>907500.15</v>
      </c>
      <c r="D179" s="88">
        <v>330.61</v>
      </c>
      <c r="E179" s="88">
        <v>261594.43999999997</v>
      </c>
      <c r="F179" s="88">
        <v>8607.33</v>
      </c>
      <c r="G179" s="88">
        <v>2433600.52</v>
      </c>
      <c r="H179" s="88">
        <v>4814319.92</v>
      </c>
      <c r="I179" s="88">
        <v>1005043.54</v>
      </c>
      <c r="J179" s="88">
        <f>+IFERROR(VLOOKUP(A179,[3]BalanceSheet!A$8:B$154,2,0),0)</f>
        <v>1286517.6200000001</v>
      </c>
      <c r="L179" s="88"/>
      <c r="M179" s="86"/>
    </row>
    <row r="180" spans="1:13" ht="10.5">
      <c r="A180" s="3" t="s">
        <v>261</v>
      </c>
      <c r="B180" s="88">
        <v>0</v>
      </c>
      <c r="C180" s="88">
        <v>30296.869999999995</v>
      </c>
      <c r="D180" s="88">
        <v>47660.69</v>
      </c>
      <c r="E180" s="88">
        <v>-261080.68999999997</v>
      </c>
      <c r="F180" s="88">
        <v>40131.040000000001</v>
      </c>
      <c r="G180" s="88">
        <v>674153.06</v>
      </c>
      <c r="H180" s="88">
        <v>19482468.709999993</v>
      </c>
      <c r="I180" s="88">
        <v>257261.02000000002</v>
      </c>
      <c r="J180" s="88">
        <f>+IFERROR(VLOOKUP(A180,[3]BalanceSheet!A$8:B$154,2,0),0)</f>
        <v>27439635.840000004</v>
      </c>
      <c r="L180" s="88"/>
      <c r="M180" s="86"/>
    </row>
    <row r="181" spans="1:13" ht="10.5">
      <c r="A181" s="3" t="s">
        <v>260</v>
      </c>
      <c r="B181" s="88">
        <v>0</v>
      </c>
      <c r="C181" s="88">
        <v>31333.379999999997</v>
      </c>
      <c r="D181" s="88">
        <v>47660.69</v>
      </c>
      <c r="E181" s="88">
        <v>-261080.68999999997</v>
      </c>
      <c r="F181" s="88">
        <v>40131.040000000001</v>
      </c>
      <c r="G181" s="88">
        <v>731484</v>
      </c>
      <c r="H181" s="88">
        <v>19537787.249999993</v>
      </c>
      <c r="I181" s="88">
        <v>265869.33</v>
      </c>
      <c r="J181" s="88">
        <f>+IFERROR(VLOOKUP(A181,[3]BalanceSheet!A$8:B$154,2,0),0)</f>
        <v>27499852.050000004</v>
      </c>
      <c r="L181" s="88"/>
      <c r="M181" s="86"/>
    </row>
    <row r="182" spans="1:13" ht="10.5">
      <c r="A182" s="3" t="s">
        <v>259</v>
      </c>
      <c r="B182" s="88">
        <v>0</v>
      </c>
      <c r="C182" s="88">
        <v>31333.379999999997</v>
      </c>
      <c r="D182" s="88">
        <v>47660.69</v>
      </c>
      <c r="E182" s="88">
        <v>-261080.68999999997</v>
      </c>
      <c r="F182" s="88">
        <v>40131.040000000001</v>
      </c>
      <c r="G182" s="88">
        <v>731484</v>
      </c>
      <c r="H182" s="88">
        <v>19537787.249999993</v>
      </c>
      <c r="I182" s="88">
        <v>265869.33</v>
      </c>
      <c r="J182" s="88">
        <f>+IFERROR(VLOOKUP(A182,[3]BalanceSheet!A$8:B$154,2,0),0)</f>
        <v>27499852.050000004</v>
      </c>
      <c r="L182" s="88"/>
      <c r="M182" s="86"/>
    </row>
    <row r="183" spans="1:13" ht="10.5">
      <c r="A183" s="3" t="s">
        <v>258</v>
      </c>
      <c r="B183" s="88"/>
      <c r="C183" s="88"/>
      <c r="D183" s="88"/>
      <c r="E183" s="88"/>
      <c r="F183" s="88"/>
      <c r="G183" s="88"/>
      <c r="H183" s="88"/>
      <c r="I183" s="88"/>
      <c r="J183" s="88">
        <f>+IFERROR(VLOOKUP(A183,[3]BalanceSheet!A$8:B$154,2,0),0)</f>
        <v>0</v>
      </c>
      <c r="L183" s="88"/>
      <c r="M183" s="86"/>
    </row>
    <row r="184" spans="1:13" ht="10.5" hidden="1">
      <c r="A184" s="3" t="s">
        <v>258</v>
      </c>
      <c r="B184" s="88"/>
      <c r="C184" s="88"/>
      <c r="D184" s="88"/>
      <c r="E184" s="88"/>
      <c r="F184" s="88"/>
      <c r="G184" s="88"/>
      <c r="H184" s="88"/>
      <c r="I184" s="88"/>
      <c r="J184" s="88">
        <f>+IFERROR(VLOOKUP(A184,[3]BalanceSheet!A$8:B$154,2,0),0)</f>
        <v>0</v>
      </c>
      <c r="L184" s="88"/>
      <c r="M184" s="86"/>
    </row>
    <row r="185" spans="1:13" ht="10.5">
      <c r="A185" s="5" t="s">
        <v>257</v>
      </c>
      <c r="B185" s="88"/>
      <c r="C185" s="88"/>
      <c r="D185" s="88"/>
      <c r="E185" s="88"/>
      <c r="F185" s="88"/>
      <c r="G185" s="88"/>
      <c r="H185" s="88"/>
      <c r="I185" s="88"/>
      <c r="J185" s="88">
        <f>+IFERROR(VLOOKUP(A185,[3]BalanceSheet!A$8:B$154,2,0),0)</f>
        <v>0</v>
      </c>
      <c r="L185" s="88"/>
      <c r="M185" s="86"/>
    </row>
    <row r="186" spans="1:13">
      <c r="A186" s="6" t="s">
        <v>256</v>
      </c>
      <c r="B186" s="89">
        <v>0</v>
      </c>
      <c r="C186" s="89">
        <v>0</v>
      </c>
      <c r="D186" s="89">
        <v>600244.31000000006</v>
      </c>
      <c r="E186" s="89">
        <v>27.32</v>
      </c>
      <c r="F186" s="89">
        <v>1000280.62</v>
      </c>
      <c r="G186" s="89">
        <v>0</v>
      </c>
      <c r="H186" s="89">
        <v>59818.91</v>
      </c>
      <c r="I186" s="89">
        <v>1227</v>
      </c>
      <c r="J186" s="89">
        <f>+IFERROR(VLOOKUP(A186,[3]BalanceSheet!A$8:B$154,2,0),0)</f>
        <v>1661592.22</v>
      </c>
      <c r="K186" s="21">
        <v>19.100000000000001</v>
      </c>
      <c r="L186" s="89"/>
      <c r="M186" s="86"/>
    </row>
    <row r="187" spans="1:13" ht="10.5">
      <c r="A187" s="97" t="s">
        <v>255</v>
      </c>
      <c r="B187" s="90">
        <v>0</v>
      </c>
      <c r="C187" s="90">
        <v>0</v>
      </c>
      <c r="D187" s="90">
        <v>600244.31000000006</v>
      </c>
      <c r="E187" s="90">
        <v>27.32</v>
      </c>
      <c r="F187" s="90">
        <v>1000280.62</v>
      </c>
      <c r="G187" s="90">
        <v>0</v>
      </c>
      <c r="H187" s="90">
        <v>59818.91</v>
      </c>
      <c r="I187" s="90">
        <v>1227</v>
      </c>
      <c r="J187" s="90">
        <f>+IFERROR(VLOOKUP(A187,[3]BalanceSheet!A$8:B$154,2,0),0)</f>
        <v>0</v>
      </c>
      <c r="K187" s="47">
        <v>19</v>
      </c>
      <c r="L187" s="90"/>
      <c r="M187" s="86"/>
    </row>
    <row r="188" spans="1:13" ht="10.5">
      <c r="A188" s="5" t="s">
        <v>254</v>
      </c>
      <c r="B188" s="88"/>
      <c r="C188" s="88"/>
      <c r="D188" s="88"/>
      <c r="E188" s="88"/>
      <c r="F188" s="88"/>
      <c r="G188" s="88"/>
      <c r="H188" s="88"/>
      <c r="I188" s="88"/>
      <c r="J188" s="88">
        <f>+IFERROR(VLOOKUP(A188,[3]BalanceSheet!A$8:B$154,2,0),0)</f>
        <v>0</v>
      </c>
      <c r="L188" s="88"/>
      <c r="M188" s="86"/>
    </row>
    <row r="189" spans="1:13">
      <c r="A189" s="6" t="s">
        <v>253</v>
      </c>
      <c r="B189" s="89">
        <v>0</v>
      </c>
      <c r="C189" s="89">
        <v>0</v>
      </c>
      <c r="D189" s="89">
        <v>0</v>
      </c>
      <c r="E189" s="89">
        <v>0</v>
      </c>
      <c r="F189" s="89">
        <v>0</v>
      </c>
      <c r="G189" s="89">
        <v>0</v>
      </c>
      <c r="H189" s="89">
        <v>1099977.5</v>
      </c>
      <c r="I189" s="89">
        <v>0</v>
      </c>
      <c r="J189" s="89">
        <f>+IFERROR(VLOOKUP(A189,[3]BalanceSheet!A$8:B$154,2,0),0)</f>
        <v>1099977.5</v>
      </c>
      <c r="K189" s="21">
        <v>19.3</v>
      </c>
      <c r="L189" s="89"/>
      <c r="M189" s="86"/>
    </row>
    <row r="190" spans="1:13">
      <c r="A190" s="6" t="s">
        <v>252</v>
      </c>
      <c r="B190" s="89">
        <v>0</v>
      </c>
      <c r="C190" s="89">
        <v>0</v>
      </c>
      <c r="D190" s="89">
        <v>0</v>
      </c>
      <c r="E190" s="89">
        <v>0</v>
      </c>
      <c r="F190" s="89">
        <v>0</v>
      </c>
      <c r="G190" s="89">
        <v>0</v>
      </c>
      <c r="H190" s="89">
        <v>6911859.6200000001</v>
      </c>
      <c r="I190" s="89">
        <v>0</v>
      </c>
      <c r="J190" s="89">
        <f>+IFERROR(VLOOKUP(A190,[3]BalanceSheet!A$8:B$154,2,0),0)</f>
        <v>6911859.6200000001</v>
      </c>
      <c r="K190" s="21">
        <v>19.3</v>
      </c>
      <c r="L190" s="89"/>
      <c r="M190" s="86"/>
    </row>
    <row r="191" spans="1:13">
      <c r="A191" s="6" t="s">
        <v>251</v>
      </c>
      <c r="B191" s="89">
        <v>0</v>
      </c>
      <c r="C191" s="89">
        <v>0</v>
      </c>
      <c r="D191" s="89">
        <v>0</v>
      </c>
      <c r="E191" s="89">
        <v>0</v>
      </c>
      <c r="F191" s="89">
        <v>0</v>
      </c>
      <c r="G191" s="89">
        <v>0</v>
      </c>
      <c r="H191" s="89">
        <v>29463107.91</v>
      </c>
      <c r="I191" s="89">
        <v>0</v>
      </c>
      <c r="J191" s="89">
        <f>+IFERROR(VLOOKUP(A191,[3]BalanceSheet!A$8:B$154,2,0),0)</f>
        <v>29463107.91</v>
      </c>
      <c r="K191" s="21">
        <v>19.100000000000001</v>
      </c>
      <c r="L191" s="89"/>
      <c r="M191" s="86"/>
    </row>
    <row r="192" spans="1:13">
      <c r="A192" s="6" t="s">
        <v>250</v>
      </c>
      <c r="B192" s="89">
        <v>0</v>
      </c>
      <c r="C192" s="89">
        <v>0</v>
      </c>
      <c r="D192" s="89">
        <v>0</v>
      </c>
      <c r="E192" s="89">
        <v>0</v>
      </c>
      <c r="F192" s="89">
        <v>0</v>
      </c>
      <c r="G192" s="89">
        <v>0</v>
      </c>
      <c r="H192" s="89">
        <v>7295.69</v>
      </c>
      <c r="I192" s="89">
        <v>0</v>
      </c>
      <c r="J192" s="89">
        <f>+IFERROR(VLOOKUP(A192,[3]BalanceSheet!A$8:B$154,2,0),0)</f>
        <v>0</v>
      </c>
      <c r="K192" s="21">
        <v>19.3</v>
      </c>
      <c r="L192" s="89"/>
      <c r="M192" s="86"/>
    </row>
    <row r="193" spans="1:13">
      <c r="A193" s="6" t="s">
        <v>249</v>
      </c>
      <c r="B193" s="89">
        <v>0</v>
      </c>
      <c r="C193" s="89">
        <v>0</v>
      </c>
      <c r="D193" s="89">
        <v>0</v>
      </c>
      <c r="E193" s="89">
        <v>0</v>
      </c>
      <c r="F193" s="89">
        <v>0</v>
      </c>
      <c r="G193" s="89">
        <v>0</v>
      </c>
      <c r="H193" s="89">
        <v>1654137.23</v>
      </c>
      <c r="I193" s="89">
        <v>0</v>
      </c>
      <c r="J193" s="89">
        <f>+IFERROR(VLOOKUP(A193,[3]BalanceSheet!A$8:B$154,2,0),0)</f>
        <v>1397190</v>
      </c>
      <c r="K193" s="21">
        <v>19.2</v>
      </c>
      <c r="L193" s="89"/>
      <c r="M193" s="86"/>
    </row>
    <row r="194" spans="1:13">
      <c r="A194" s="6" t="s">
        <v>248</v>
      </c>
      <c r="B194" s="89">
        <v>0</v>
      </c>
      <c r="C194" s="89">
        <v>0</v>
      </c>
      <c r="D194" s="89">
        <v>0</v>
      </c>
      <c r="E194" s="89">
        <v>0</v>
      </c>
      <c r="F194" s="89">
        <v>0</v>
      </c>
      <c r="G194" s="89">
        <v>0</v>
      </c>
      <c r="H194" s="89">
        <v>-595402</v>
      </c>
      <c r="I194" s="89">
        <v>0</v>
      </c>
      <c r="J194" s="89">
        <f>+IFERROR(VLOOKUP(A194,[3]BalanceSheet!A$8:B$154,2,0),0)</f>
        <v>-595402</v>
      </c>
      <c r="K194" s="21">
        <v>19.3</v>
      </c>
      <c r="L194" s="89"/>
      <c r="M194" s="86"/>
    </row>
    <row r="195" spans="1:13">
      <c r="A195" s="6" t="s">
        <v>247</v>
      </c>
      <c r="B195" s="89">
        <v>0</v>
      </c>
      <c r="C195" s="89">
        <v>0</v>
      </c>
      <c r="D195" s="89">
        <v>0</v>
      </c>
      <c r="E195" s="89">
        <v>0</v>
      </c>
      <c r="F195" s="89">
        <v>0</v>
      </c>
      <c r="G195" s="89">
        <v>0</v>
      </c>
      <c r="H195" s="89">
        <v>1922733.5</v>
      </c>
      <c r="I195" s="89">
        <v>0</v>
      </c>
      <c r="J195" s="89">
        <f>+IFERROR(VLOOKUP(A195,[3]BalanceSheet!A$8:B$154,2,0),0)</f>
        <v>1922733.5</v>
      </c>
      <c r="K195" s="21">
        <v>19.3</v>
      </c>
      <c r="L195" s="89"/>
      <c r="M195" s="86"/>
    </row>
    <row r="196" spans="1:13" ht="10.5">
      <c r="A196" s="97" t="s">
        <v>246</v>
      </c>
      <c r="B196" s="90">
        <v>0</v>
      </c>
      <c r="C196" s="90">
        <v>0</v>
      </c>
      <c r="D196" s="90">
        <v>0</v>
      </c>
      <c r="E196" s="90">
        <v>0</v>
      </c>
      <c r="F196" s="90">
        <v>0</v>
      </c>
      <c r="G196" s="90">
        <v>0</v>
      </c>
      <c r="H196" s="90">
        <v>40463709.449999996</v>
      </c>
      <c r="I196" s="90">
        <v>0</v>
      </c>
      <c r="J196" s="90">
        <f>+IFERROR(VLOOKUP(A196,[3]BalanceSheet!A$8:B$154,2,0),0)</f>
        <v>0</v>
      </c>
      <c r="K196" s="21">
        <v>19</v>
      </c>
      <c r="L196" s="90"/>
      <c r="M196" s="86"/>
    </row>
    <row r="197" spans="1:13" ht="10.5" hidden="1">
      <c r="A197" s="101" t="s">
        <v>245</v>
      </c>
      <c r="B197" s="90">
        <v>0</v>
      </c>
      <c r="C197" s="90">
        <v>0</v>
      </c>
      <c r="D197" s="90">
        <v>600244.31000000006</v>
      </c>
      <c r="E197" s="90">
        <v>27.32</v>
      </c>
      <c r="F197" s="90">
        <v>1000280.62</v>
      </c>
      <c r="G197" s="90">
        <v>0</v>
      </c>
      <c r="H197" s="90">
        <v>40523528.359999992</v>
      </c>
      <c r="I197" s="90">
        <v>1227</v>
      </c>
      <c r="J197" s="90">
        <f>+IFERROR(VLOOKUP(A197,[3]BalanceSheet!A$8:B$154,2,0),0)</f>
        <v>0</v>
      </c>
      <c r="L197" s="90"/>
      <c r="M197" s="86"/>
    </row>
    <row r="198" spans="1:13">
      <c r="A198" s="4" t="s">
        <v>244</v>
      </c>
      <c r="B198" s="89">
        <v>0</v>
      </c>
      <c r="C198" s="89">
        <v>0</v>
      </c>
      <c r="D198" s="89">
        <v>-552178.6</v>
      </c>
      <c r="E198" s="89">
        <v>-260642.84000000003</v>
      </c>
      <c r="F198" s="89">
        <v>-960017.55</v>
      </c>
      <c r="G198" s="89">
        <v>93807.959999999992</v>
      </c>
      <c r="H198" s="89">
        <v>-12805931.700000001</v>
      </c>
      <c r="I198" s="89">
        <v>123756.03000000003</v>
      </c>
      <c r="J198" s="89">
        <f>+IFERROR(VLOOKUP(A198,[3]BalanceSheet!A$8:B$154,2,0),0)</f>
        <v>-11090757.92</v>
      </c>
      <c r="K198" s="21">
        <v>21</v>
      </c>
      <c r="L198" s="89"/>
      <c r="M198" s="86"/>
    </row>
    <row r="199" spans="1:13">
      <c r="A199" s="4" t="s">
        <v>28</v>
      </c>
      <c r="B199" s="89">
        <v>0</v>
      </c>
      <c r="C199" s="89">
        <v>31333.380000000016</v>
      </c>
      <c r="D199" s="89">
        <v>-405.02</v>
      </c>
      <c r="E199" s="89">
        <v>-465.16999999999996</v>
      </c>
      <c r="F199" s="89">
        <v>-132.03000000000003</v>
      </c>
      <c r="G199" s="89">
        <v>637676.0400000005</v>
      </c>
      <c r="H199" s="89">
        <v>-8179809.4099999964</v>
      </c>
      <c r="I199" s="89">
        <v>140886.2999999999</v>
      </c>
      <c r="J199" s="89">
        <f>+IFERROR(VLOOKUP(A199,[3]BalanceSheet!A$8:B$154,2,0),0)</f>
        <v>-3270448.780000004</v>
      </c>
      <c r="K199" s="21">
        <v>21</v>
      </c>
      <c r="L199" s="89"/>
      <c r="M199" s="86"/>
    </row>
    <row r="200" spans="1:13" ht="10.5">
      <c r="A200" s="7" t="s">
        <v>243</v>
      </c>
      <c r="B200" s="91">
        <v>0</v>
      </c>
      <c r="C200" s="91">
        <v>31333.380000000016</v>
      </c>
      <c r="D200" s="91">
        <v>47660.690000000082</v>
      </c>
      <c r="E200" s="91">
        <v>-261080.69000000003</v>
      </c>
      <c r="F200" s="91">
        <v>40131.03999999995</v>
      </c>
      <c r="G200" s="91">
        <v>731484.00000000047</v>
      </c>
      <c r="H200" s="91">
        <v>19537787.249999993</v>
      </c>
      <c r="I200" s="91">
        <v>265869.32999999996</v>
      </c>
      <c r="J200" s="91">
        <f>+IFERROR(VLOOKUP(A200,[3]BalanceSheet!A$8:B$154,2,0),0)</f>
        <v>-14361206.700000003</v>
      </c>
      <c r="L200" s="91"/>
      <c r="M200" s="86"/>
    </row>
    <row r="201" spans="1:13">
      <c r="L201" s="49"/>
    </row>
  </sheetData>
  <pageMargins left="0.75" right="0.75" top="1" bottom="1" header="0.5" footer="0.5"/>
</worksheet>
</file>

<file path=docProps/CustomMKOP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KProdID">
    <vt:lpwstr>ZMOutlook</vt:lpwstr>
  </property>
  <property fmtid="{D5CDD505-2E9C-101B-9397-08002B2CF9AE}" pid="3" name="SizeBefore">
    <vt:lpwstr>236590</vt:lpwstr>
  </property>
  <property fmtid="{D5CDD505-2E9C-101B-9397-08002B2CF9AE}" pid="4" name="OptimizationTime">
    <vt:lpwstr>20240520_1509</vt:lpwstr>
  </property>
</Propertie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BS USD</vt:lpstr>
      <vt:lpstr>P&amp;L</vt:lpstr>
      <vt:lpstr>CF</vt:lpstr>
      <vt:lpstr>Change in Equity</vt:lpstr>
      <vt:lpstr>JE'S</vt:lpstr>
      <vt:lpstr>NOTES</vt:lpstr>
      <vt:lpstr>Options -Outstanding Awards</vt:lpstr>
      <vt:lpstr>Options JE's</vt:lpstr>
      <vt:lpstr>Full BS-USD</vt:lpstr>
      <vt:lpstr>Full P&amp;L-USD</vt:lpstr>
      <vt:lpstr>AP correction OB</vt:lpstr>
      <vt:lpstr>OLD---&gt;</vt:lpstr>
      <vt:lpstr>CF.</vt:lpstr>
      <vt:lpstr>CF NS</vt:lpstr>
      <vt:lpstr>Change in Equity (2)</vt:lpstr>
      <vt:lpstr>Full BS-USD (2)</vt:lpstr>
    </vt:vector>
  </TitlesOfParts>
  <Company>NetSuite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NetSuite Reports</dc:creator>
  <cp:lastModifiedBy>Nitzan Shahar</cp:lastModifiedBy>
  <dcterms:created xsi:type="dcterms:W3CDTF">2023-06-19T09:45:40Z</dcterms:created>
  <dcterms:modified xsi:type="dcterms:W3CDTF">2023-08-23T09:31:07Z</dcterms:modified>
</cp:coreProperties>
</file>