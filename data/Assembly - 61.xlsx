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ites.ey.com/sites/IL-EliBarda/Shared Documents/WEMATCH/2023/הרכבה/"/>
    </mc:Choice>
  </mc:AlternateContent>
  <xr:revisionPtr revIDLastSave="14" documentId="8_{1C6D6116-CBBC-4C1F-8341-B828097A8FF3}" xr6:coauthVersionLast="47" xr6:coauthVersionMax="47" xr10:uidLastSave="{84189F24-05F5-4EB9-B4AE-6161616DA100}"/>
  <bookViews>
    <workbookView xWindow="-120" yWindow="-120" windowWidth="29040" windowHeight="15840" firstSheet="7" activeTab="14" xr2:uid="{6971F5B6-A9B5-4F46-94D3-D3F9F0C3ED68}"/>
  </bookViews>
  <sheets>
    <sheet name="BS USD" sheetId="4" r:id="rId1"/>
    <sheet name="P&amp;L" sheetId="2" r:id="rId2"/>
    <sheet name="CF" sheetId="14" r:id="rId3"/>
    <sheet name="Change in Equity" sheetId="5" r:id="rId4"/>
    <sheet name="JE'S" sheetId="16" r:id="rId5"/>
    <sheet name="NOTES-Conso" sheetId="10" r:id="rId6"/>
    <sheet name="Options -Outstanding Awards" sheetId="9" r:id="rId7"/>
    <sheet name="Full BS-USD" sheetId="3" r:id="rId8"/>
    <sheet name="Full P&amp;L-USD" sheetId="1" r:id="rId9"/>
    <sheet name="Solo---&gt;" sheetId="17" r:id="rId10"/>
    <sheet name="Change in Equity ILS" sheetId="23" r:id="rId11"/>
    <sheet name="P&amp;L ILS" sheetId="22" r:id="rId12"/>
    <sheet name="BS ILS" sheetId="21" r:id="rId13"/>
    <sheet name="WRD Solo P&amp;L" sheetId="24" r:id="rId14"/>
    <sheet name="WRD Solo BS" sheetId="25" r:id="rId15"/>
    <sheet name="NOTES-Solo" sheetId="26" r:id="rId16"/>
    <sheet name="Full BS-USD (2)" sheetId="15" state="hidden" r:id="rId17"/>
  </sheets>
  <externalReferences>
    <externalReference r:id="rId18"/>
  </externalReferences>
  <definedNames>
    <definedName name="_xlnm._FilterDatabase" localSheetId="7" hidden="1">'Full BS-USD'!$A$8:$N$226</definedName>
    <definedName name="_xlnm._FilterDatabase" localSheetId="8" hidden="1">'Full P&amp;L-USD'!$A$8:$L$979</definedName>
    <definedName name="_xlnm._FilterDatabase" localSheetId="14" hidden="1">'WRD Solo BS'!$A$7:$C$154</definedName>
    <definedName name="_xlnm._FilterDatabase" localSheetId="13" hidden="1">'WRD Solo P&amp;L'!$A$7:$C$674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" i="5" l="1"/>
  <c r="D95" i="14"/>
  <c r="J91" i="14" l="1"/>
  <c r="D97" i="14" l="1"/>
  <c r="E83" i="14"/>
  <c r="L91" i="14" l="1"/>
  <c r="K42" i="10" l="1"/>
  <c r="J42" i="10"/>
  <c r="E69" i="10"/>
  <c r="H29" i="2"/>
  <c r="I977" i="1"/>
  <c r="I978" i="1" s="1"/>
  <c r="H977" i="1"/>
  <c r="H978" i="1" s="1"/>
  <c r="G977" i="1"/>
  <c r="G978" i="1" s="1"/>
  <c r="F977" i="1"/>
  <c r="F978" i="1" s="1"/>
  <c r="E977" i="1"/>
  <c r="E978" i="1" s="1"/>
  <c r="D977" i="1"/>
  <c r="D978" i="1" s="1"/>
  <c r="C977" i="1"/>
  <c r="C978" i="1" s="1"/>
  <c r="B977" i="1"/>
  <c r="B978" i="1" s="1"/>
  <c r="J976" i="1"/>
  <c r="J975" i="1"/>
  <c r="J974" i="1"/>
  <c r="J968" i="1"/>
  <c r="I967" i="1"/>
  <c r="I969" i="1" s="1"/>
  <c r="H967" i="1"/>
  <c r="H969" i="1" s="1"/>
  <c r="G967" i="1"/>
  <c r="G969" i="1" s="1"/>
  <c r="F967" i="1"/>
  <c r="F969" i="1" s="1"/>
  <c r="E967" i="1"/>
  <c r="E969" i="1" s="1"/>
  <c r="D967" i="1"/>
  <c r="D969" i="1" s="1"/>
  <c r="C967" i="1"/>
  <c r="C969" i="1" s="1"/>
  <c r="B967" i="1"/>
  <c r="B969" i="1" s="1"/>
  <c r="J966" i="1"/>
  <c r="J965" i="1"/>
  <c r="J964" i="1"/>
  <c r="J962" i="1"/>
  <c r="J961" i="1"/>
  <c r="J960" i="1"/>
  <c r="I957" i="1"/>
  <c r="I958" i="1" s="1"/>
  <c r="H957" i="1"/>
  <c r="H958" i="1" s="1"/>
  <c r="G957" i="1"/>
  <c r="G958" i="1" s="1"/>
  <c r="F957" i="1"/>
  <c r="F958" i="1" s="1"/>
  <c r="E957" i="1"/>
  <c r="E958" i="1" s="1"/>
  <c r="D957" i="1"/>
  <c r="D958" i="1" s="1"/>
  <c r="C957" i="1"/>
  <c r="C958" i="1" s="1"/>
  <c r="B957" i="1"/>
  <c r="B958" i="1" s="1"/>
  <c r="J956" i="1"/>
  <c r="J955" i="1"/>
  <c r="I949" i="1"/>
  <c r="I950" i="1" s="1"/>
  <c r="I951" i="1" s="1"/>
  <c r="H949" i="1"/>
  <c r="H950" i="1" s="1"/>
  <c r="H951" i="1" s="1"/>
  <c r="G949" i="1"/>
  <c r="G950" i="1" s="1"/>
  <c r="G951" i="1" s="1"/>
  <c r="F949" i="1"/>
  <c r="F950" i="1" s="1"/>
  <c r="F951" i="1" s="1"/>
  <c r="E949" i="1"/>
  <c r="E950" i="1" s="1"/>
  <c r="E951" i="1" s="1"/>
  <c r="D949" i="1"/>
  <c r="D950" i="1" s="1"/>
  <c r="D951" i="1" s="1"/>
  <c r="C949" i="1"/>
  <c r="C950" i="1" s="1"/>
  <c r="C951" i="1" s="1"/>
  <c r="B949" i="1"/>
  <c r="B950" i="1" s="1"/>
  <c r="B951" i="1" s="1"/>
  <c r="J948" i="1"/>
  <c r="J949" i="1" s="1"/>
  <c r="J950" i="1" s="1"/>
  <c r="J951" i="1" s="1"/>
  <c r="I940" i="1"/>
  <c r="H940" i="1"/>
  <c r="G940" i="1"/>
  <c r="F940" i="1"/>
  <c r="E940" i="1"/>
  <c r="D940" i="1"/>
  <c r="C940" i="1"/>
  <c r="B940" i="1"/>
  <c r="J939" i="1"/>
  <c r="J938" i="1"/>
  <c r="J937" i="1"/>
  <c r="I935" i="1"/>
  <c r="H935" i="1"/>
  <c r="G935" i="1"/>
  <c r="F935" i="1"/>
  <c r="E935" i="1"/>
  <c r="D935" i="1"/>
  <c r="C935" i="1"/>
  <c r="B935" i="1"/>
  <c r="J934" i="1"/>
  <c r="J935" i="1" s="1"/>
  <c r="I931" i="1"/>
  <c r="H931" i="1"/>
  <c r="G931" i="1"/>
  <c r="F931" i="1"/>
  <c r="E931" i="1"/>
  <c r="D931" i="1"/>
  <c r="C931" i="1"/>
  <c r="B931" i="1"/>
  <c r="J930" i="1"/>
  <c r="J931" i="1" s="1"/>
  <c r="I928" i="1"/>
  <c r="H928" i="1"/>
  <c r="G928" i="1"/>
  <c r="F928" i="1"/>
  <c r="E928" i="1"/>
  <c r="D928" i="1"/>
  <c r="C928" i="1"/>
  <c r="B928" i="1"/>
  <c r="J927" i="1"/>
  <c r="J926" i="1"/>
  <c r="J925" i="1"/>
  <c r="I923" i="1"/>
  <c r="H923" i="1"/>
  <c r="G923" i="1"/>
  <c r="F923" i="1"/>
  <c r="E923" i="1"/>
  <c r="D923" i="1"/>
  <c r="C923" i="1"/>
  <c r="B923" i="1"/>
  <c r="J922" i="1"/>
  <c r="J921" i="1"/>
  <c r="J920" i="1"/>
  <c r="I918" i="1"/>
  <c r="H918" i="1"/>
  <c r="G918" i="1"/>
  <c r="F918" i="1"/>
  <c r="E918" i="1"/>
  <c r="D918" i="1"/>
  <c r="C918" i="1"/>
  <c r="B918" i="1"/>
  <c r="J917" i="1"/>
  <c r="J918" i="1" s="1"/>
  <c r="I913" i="1"/>
  <c r="I914" i="1" s="1"/>
  <c r="H913" i="1"/>
  <c r="H914" i="1" s="1"/>
  <c r="G913" i="1"/>
  <c r="G914" i="1" s="1"/>
  <c r="F913" i="1"/>
  <c r="F914" i="1" s="1"/>
  <c r="E913" i="1"/>
  <c r="E914" i="1" s="1"/>
  <c r="D913" i="1"/>
  <c r="D914" i="1" s="1"/>
  <c r="C913" i="1"/>
  <c r="C914" i="1" s="1"/>
  <c r="B913" i="1"/>
  <c r="B914" i="1" s="1"/>
  <c r="J912" i="1"/>
  <c r="J913" i="1" s="1"/>
  <c r="J914" i="1" s="1"/>
  <c r="I908" i="1"/>
  <c r="I909" i="1" s="1"/>
  <c r="H908" i="1"/>
  <c r="H909" i="1" s="1"/>
  <c r="G908" i="1"/>
  <c r="G909" i="1" s="1"/>
  <c r="F908" i="1"/>
  <c r="F909" i="1" s="1"/>
  <c r="E908" i="1"/>
  <c r="E909" i="1" s="1"/>
  <c r="D908" i="1"/>
  <c r="D909" i="1" s="1"/>
  <c r="C908" i="1"/>
  <c r="C909" i="1" s="1"/>
  <c r="B908" i="1"/>
  <c r="B909" i="1" s="1"/>
  <c r="J907" i="1"/>
  <c r="J906" i="1"/>
  <c r="I903" i="1"/>
  <c r="H903" i="1"/>
  <c r="G903" i="1"/>
  <c r="F903" i="1"/>
  <c r="E903" i="1"/>
  <c r="D903" i="1"/>
  <c r="C903" i="1"/>
  <c r="B903" i="1"/>
  <c r="J902" i="1"/>
  <c r="J903" i="1" s="1"/>
  <c r="I900" i="1"/>
  <c r="H900" i="1"/>
  <c r="G900" i="1"/>
  <c r="F900" i="1"/>
  <c r="E900" i="1"/>
  <c r="D900" i="1"/>
  <c r="C900" i="1"/>
  <c r="B900" i="1"/>
  <c r="J899" i="1"/>
  <c r="J898" i="1"/>
  <c r="I896" i="1"/>
  <c r="H896" i="1"/>
  <c r="G896" i="1"/>
  <c r="F896" i="1"/>
  <c r="E896" i="1"/>
  <c r="D896" i="1"/>
  <c r="C896" i="1"/>
  <c r="B896" i="1"/>
  <c r="J895" i="1"/>
  <c r="J896" i="1" s="1"/>
  <c r="I893" i="1"/>
  <c r="H893" i="1"/>
  <c r="G893" i="1"/>
  <c r="F893" i="1"/>
  <c r="E893" i="1"/>
  <c r="D893" i="1"/>
  <c r="C893" i="1"/>
  <c r="B893" i="1"/>
  <c r="J892" i="1"/>
  <c r="J893" i="1" s="1"/>
  <c r="I890" i="1"/>
  <c r="H890" i="1"/>
  <c r="G890" i="1"/>
  <c r="F890" i="1"/>
  <c r="E890" i="1"/>
  <c r="D890" i="1"/>
  <c r="C890" i="1"/>
  <c r="B890" i="1"/>
  <c r="J889" i="1"/>
  <c r="J888" i="1"/>
  <c r="J887" i="1"/>
  <c r="J886" i="1"/>
  <c r="I884" i="1"/>
  <c r="H884" i="1"/>
  <c r="G884" i="1"/>
  <c r="F884" i="1"/>
  <c r="E884" i="1"/>
  <c r="D884" i="1"/>
  <c r="C884" i="1"/>
  <c r="B884" i="1"/>
  <c r="J883" i="1"/>
  <c r="J882" i="1"/>
  <c r="J881" i="1"/>
  <c r="J880" i="1"/>
  <c r="J879" i="1"/>
  <c r="J878" i="1"/>
  <c r="J877" i="1"/>
  <c r="I874" i="1"/>
  <c r="I875" i="1" s="1"/>
  <c r="H874" i="1"/>
  <c r="H875" i="1" s="1"/>
  <c r="G874" i="1"/>
  <c r="G875" i="1" s="1"/>
  <c r="F874" i="1"/>
  <c r="F875" i="1" s="1"/>
  <c r="E874" i="1"/>
  <c r="E875" i="1" s="1"/>
  <c r="D874" i="1"/>
  <c r="D875" i="1" s="1"/>
  <c r="C874" i="1"/>
  <c r="C875" i="1" s="1"/>
  <c r="B874" i="1"/>
  <c r="B875" i="1" s="1"/>
  <c r="J873" i="1"/>
  <c r="J872" i="1"/>
  <c r="J871" i="1"/>
  <c r="J870" i="1"/>
  <c r="J869" i="1"/>
  <c r="J867" i="1"/>
  <c r="J866" i="1"/>
  <c r="I862" i="1"/>
  <c r="H862" i="1"/>
  <c r="G862" i="1"/>
  <c r="F862" i="1"/>
  <c r="E862" i="1"/>
  <c r="D862" i="1"/>
  <c r="C862" i="1"/>
  <c r="B862" i="1"/>
  <c r="J861" i="1"/>
  <c r="J860" i="1"/>
  <c r="J859" i="1"/>
  <c r="I857" i="1"/>
  <c r="H857" i="1"/>
  <c r="G857" i="1"/>
  <c r="F857" i="1"/>
  <c r="E857" i="1"/>
  <c r="D857" i="1"/>
  <c r="C857" i="1"/>
  <c r="B857" i="1"/>
  <c r="J856" i="1"/>
  <c r="J855" i="1"/>
  <c r="J857" i="1" s="1"/>
  <c r="I852" i="1"/>
  <c r="H852" i="1"/>
  <c r="G852" i="1"/>
  <c r="F852" i="1"/>
  <c r="E852" i="1"/>
  <c r="D852" i="1"/>
  <c r="C852" i="1"/>
  <c r="B852" i="1"/>
  <c r="J851" i="1"/>
  <c r="J852" i="1" s="1"/>
  <c r="I849" i="1"/>
  <c r="H849" i="1"/>
  <c r="G849" i="1"/>
  <c r="F849" i="1"/>
  <c r="E849" i="1"/>
  <c r="D849" i="1"/>
  <c r="C849" i="1"/>
  <c r="B849" i="1"/>
  <c r="J848" i="1"/>
  <c r="J847" i="1"/>
  <c r="I845" i="1"/>
  <c r="H845" i="1"/>
  <c r="G845" i="1"/>
  <c r="F845" i="1"/>
  <c r="E845" i="1"/>
  <c r="D845" i="1"/>
  <c r="C845" i="1"/>
  <c r="B845" i="1"/>
  <c r="J844" i="1"/>
  <c r="J843" i="1"/>
  <c r="J842" i="1"/>
  <c r="I840" i="1"/>
  <c r="H840" i="1"/>
  <c r="G840" i="1"/>
  <c r="F840" i="1"/>
  <c r="E840" i="1"/>
  <c r="D840" i="1"/>
  <c r="C840" i="1"/>
  <c r="B840" i="1"/>
  <c r="J839" i="1"/>
  <c r="J838" i="1"/>
  <c r="I834" i="1"/>
  <c r="I835" i="1" s="1"/>
  <c r="H834" i="1"/>
  <c r="H835" i="1" s="1"/>
  <c r="G834" i="1"/>
  <c r="G835" i="1" s="1"/>
  <c r="F834" i="1"/>
  <c r="F835" i="1" s="1"/>
  <c r="E834" i="1"/>
  <c r="E835" i="1" s="1"/>
  <c r="D834" i="1"/>
  <c r="D835" i="1" s="1"/>
  <c r="C834" i="1"/>
  <c r="C835" i="1" s="1"/>
  <c r="B834" i="1"/>
  <c r="B835" i="1" s="1"/>
  <c r="J833" i="1"/>
  <c r="J832" i="1"/>
  <c r="J831" i="1"/>
  <c r="J830" i="1"/>
  <c r="I827" i="1"/>
  <c r="H827" i="1"/>
  <c r="G827" i="1"/>
  <c r="F827" i="1"/>
  <c r="E827" i="1"/>
  <c r="D827" i="1"/>
  <c r="C827" i="1"/>
  <c r="B827" i="1"/>
  <c r="J826" i="1"/>
  <c r="J827" i="1" s="1"/>
  <c r="I824" i="1"/>
  <c r="H824" i="1"/>
  <c r="G824" i="1"/>
  <c r="F824" i="1"/>
  <c r="E824" i="1"/>
  <c r="D824" i="1"/>
  <c r="C824" i="1"/>
  <c r="B824" i="1"/>
  <c r="J823" i="1"/>
  <c r="J824" i="1" s="1"/>
  <c r="I821" i="1"/>
  <c r="H821" i="1"/>
  <c r="G821" i="1"/>
  <c r="F821" i="1"/>
  <c r="E821" i="1"/>
  <c r="D821" i="1"/>
  <c r="C821" i="1"/>
  <c r="B821" i="1"/>
  <c r="J820" i="1"/>
  <c r="J821" i="1" s="1"/>
  <c r="I818" i="1"/>
  <c r="H818" i="1"/>
  <c r="G818" i="1"/>
  <c r="F818" i="1"/>
  <c r="E818" i="1"/>
  <c r="D818" i="1"/>
  <c r="C818" i="1"/>
  <c r="B818" i="1"/>
  <c r="J817" i="1"/>
  <c r="J816" i="1"/>
  <c r="I814" i="1"/>
  <c r="H814" i="1"/>
  <c r="G814" i="1"/>
  <c r="F814" i="1"/>
  <c r="E814" i="1"/>
  <c r="D814" i="1"/>
  <c r="C814" i="1"/>
  <c r="B814" i="1"/>
  <c r="J813" i="1"/>
  <c r="J812" i="1"/>
  <c r="J811" i="1"/>
  <c r="J810" i="1"/>
  <c r="J809" i="1"/>
  <c r="J808" i="1"/>
  <c r="J807" i="1"/>
  <c r="J806" i="1"/>
  <c r="J805" i="1"/>
  <c r="I802" i="1"/>
  <c r="I803" i="1" s="1"/>
  <c r="H802" i="1"/>
  <c r="H803" i="1" s="1"/>
  <c r="G802" i="1"/>
  <c r="G803" i="1" s="1"/>
  <c r="F802" i="1"/>
  <c r="F803" i="1" s="1"/>
  <c r="E802" i="1"/>
  <c r="E803" i="1" s="1"/>
  <c r="D802" i="1"/>
  <c r="D803" i="1" s="1"/>
  <c r="C802" i="1"/>
  <c r="C803" i="1" s="1"/>
  <c r="B802" i="1"/>
  <c r="B803" i="1" s="1"/>
  <c r="J801" i="1"/>
  <c r="J800" i="1"/>
  <c r="J799" i="1"/>
  <c r="J797" i="1"/>
  <c r="J796" i="1"/>
  <c r="J795" i="1"/>
  <c r="I791" i="1"/>
  <c r="H791" i="1"/>
  <c r="G791" i="1"/>
  <c r="F791" i="1"/>
  <c r="E791" i="1"/>
  <c r="D791" i="1"/>
  <c r="C791" i="1"/>
  <c r="B791" i="1"/>
  <c r="J790" i="1"/>
  <c r="J789" i="1"/>
  <c r="J788" i="1"/>
  <c r="I786" i="1"/>
  <c r="H786" i="1"/>
  <c r="G786" i="1"/>
  <c r="F786" i="1"/>
  <c r="E786" i="1"/>
  <c r="D786" i="1"/>
  <c r="C786" i="1"/>
  <c r="B786" i="1"/>
  <c r="J785" i="1"/>
  <c r="J784" i="1"/>
  <c r="I781" i="1"/>
  <c r="H781" i="1"/>
  <c r="G781" i="1"/>
  <c r="F781" i="1"/>
  <c r="E781" i="1"/>
  <c r="D781" i="1"/>
  <c r="C781" i="1"/>
  <c r="B781" i="1"/>
  <c r="J780" i="1"/>
  <c r="J779" i="1"/>
  <c r="I777" i="1"/>
  <c r="H777" i="1"/>
  <c r="G777" i="1"/>
  <c r="F777" i="1"/>
  <c r="E777" i="1"/>
  <c r="D777" i="1"/>
  <c r="C777" i="1"/>
  <c r="B777" i="1"/>
  <c r="J776" i="1"/>
  <c r="J775" i="1"/>
  <c r="I773" i="1"/>
  <c r="H773" i="1"/>
  <c r="G773" i="1"/>
  <c r="F773" i="1"/>
  <c r="E773" i="1"/>
  <c r="D773" i="1"/>
  <c r="C773" i="1"/>
  <c r="B773" i="1"/>
  <c r="J772" i="1"/>
  <c r="J771" i="1"/>
  <c r="J770" i="1"/>
  <c r="J769" i="1"/>
  <c r="I767" i="1"/>
  <c r="H767" i="1"/>
  <c r="G767" i="1"/>
  <c r="F767" i="1"/>
  <c r="E767" i="1"/>
  <c r="D767" i="1"/>
  <c r="C767" i="1"/>
  <c r="B767" i="1"/>
  <c r="J766" i="1"/>
  <c r="J767" i="1" s="1"/>
  <c r="I762" i="1"/>
  <c r="H762" i="1"/>
  <c r="G762" i="1"/>
  <c r="F762" i="1"/>
  <c r="E762" i="1"/>
  <c r="D762" i="1"/>
  <c r="C762" i="1"/>
  <c r="B762" i="1"/>
  <c r="J761" i="1"/>
  <c r="J762" i="1" s="1"/>
  <c r="I759" i="1"/>
  <c r="H759" i="1"/>
  <c r="G759" i="1"/>
  <c r="F759" i="1"/>
  <c r="E759" i="1"/>
  <c r="D759" i="1"/>
  <c r="C759" i="1"/>
  <c r="B759" i="1"/>
  <c r="J758" i="1"/>
  <c r="J757" i="1"/>
  <c r="I755" i="1"/>
  <c r="H755" i="1"/>
  <c r="G755" i="1"/>
  <c r="F755" i="1"/>
  <c r="E755" i="1"/>
  <c r="D755" i="1"/>
  <c r="C755" i="1"/>
  <c r="B755" i="1"/>
  <c r="J754" i="1"/>
  <c r="J753" i="1"/>
  <c r="I749" i="1"/>
  <c r="I750" i="1" s="1"/>
  <c r="H749" i="1"/>
  <c r="H750" i="1" s="1"/>
  <c r="G749" i="1"/>
  <c r="G750" i="1" s="1"/>
  <c r="F749" i="1"/>
  <c r="F750" i="1" s="1"/>
  <c r="E749" i="1"/>
  <c r="E750" i="1" s="1"/>
  <c r="D749" i="1"/>
  <c r="D750" i="1" s="1"/>
  <c r="C749" i="1"/>
  <c r="C750" i="1" s="1"/>
  <c r="B749" i="1"/>
  <c r="B750" i="1" s="1"/>
  <c r="J748" i="1"/>
  <c r="J747" i="1"/>
  <c r="J746" i="1"/>
  <c r="J745" i="1"/>
  <c r="I742" i="1"/>
  <c r="H742" i="1"/>
  <c r="G742" i="1"/>
  <c r="F742" i="1"/>
  <c r="E742" i="1"/>
  <c r="D742" i="1"/>
  <c r="C742" i="1"/>
  <c r="B742" i="1"/>
  <c r="J741" i="1"/>
  <c r="J742" i="1" s="1"/>
  <c r="I739" i="1"/>
  <c r="H739" i="1"/>
  <c r="G739" i="1"/>
  <c r="F739" i="1"/>
  <c r="E739" i="1"/>
  <c r="D739" i="1"/>
  <c r="C739" i="1"/>
  <c r="B739" i="1"/>
  <c r="J738" i="1"/>
  <c r="J737" i="1"/>
  <c r="J736" i="1"/>
  <c r="I734" i="1"/>
  <c r="H734" i="1"/>
  <c r="G734" i="1"/>
  <c r="F734" i="1"/>
  <c r="E734" i="1"/>
  <c r="D734" i="1"/>
  <c r="C734" i="1"/>
  <c r="B734" i="1"/>
  <c r="J733" i="1"/>
  <c r="J734" i="1" s="1"/>
  <c r="I731" i="1"/>
  <c r="H731" i="1"/>
  <c r="G731" i="1"/>
  <c r="F731" i="1"/>
  <c r="E731" i="1"/>
  <c r="D731" i="1"/>
  <c r="C731" i="1"/>
  <c r="B731" i="1"/>
  <c r="J730" i="1"/>
  <c r="J731" i="1" s="1"/>
  <c r="I728" i="1"/>
  <c r="H728" i="1"/>
  <c r="G728" i="1"/>
  <c r="F728" i="1"/>
  <c r="E728" i="1"/>
  <c r="D728" i="1"/>
  <c r="C728" i="1"/>
  <c r="B728" i="1"/>
  <c r="J727" i="1"/>
  <c r="J726" i="1"/>
  <c r="J725" i="1"/>
  <c r="J724" i="1"/>
  <c r="J723" i="1"/>
  <c r="J722" i="1"/>
  <c r="I720" i="1"/>
  <c r="H720" i="1"/>
  <c r="G720" i="1"/>
  <c r="F720" i="1"/>
  <c r="E720" i="1"/>
  <c r="D720" i="1"/>
  <c r="C720" i="1"/>
  <c r="B720" i="1"/>
  <c r="J719" i="1"/>
  <c r="J718" i="1"/>
  <c r="J717" i="1"/>
  <c r="J716" i="1"/>
  <c r="J715" i="1"/>
  <c r="J714" i="1"/>
  <c r="J713" i="1"/>
  <c r="J712" i="1"/>
  <c r="J711" i="1"/>
  <c r="J710" i="1"/>
  <c r="J709" i="1"/>
  <c r="I706" i="1"/>
  <c r="I707" i="1" s="1"/>
  <c r="H706" i="1"/>
  <c r="H707" i="1" s="1"/>
  <c r="G706" i="1"/>
  <c r="G707" i="1" s="1"/>
  <c r="F706" i="1"/>
  <c r="F707" i="1" s="1"/>
  <c r="E706" i="1"/>
  <c r="E707" i="1" s="1"/>
  <c r="D706" i="1"/>
  <c r="D707" i="1" s="1"/>
  <c r="C706" i="1"/>
  <c r="C707" i="1" s="1"/>
  <c r="B706" i="1"/>
  <c r="B707" i="1" s="1"/>
  <c r="J705" i="1"/>
  <c r="J704" i="1"/>
  <c r="J703" i="1"/>
  <c r="J702" i="1"/>
  <c r="J700" i="1"/>
  <c r="J699" i="1"/>
  <c r="J698" i="1"/>
  <c r="I694" i="1"/>
  <c r="H694" i="1"/>
  <c r="G694" i="1"/>
  <c r="F694" i="1"/>
  <c r="E694" i="1"/>
  <c r="D694" i="1"/>
  <c r="C694" i="1"/>
  <c r="B694" i="1"/>
  <c r="J693" i="1"/>
  <c r="J692" i="1"/>
  <c r="J691" i="1"/>
  <c r="I689" i="1"/>
  <c r="H689" i="1"/>
  <c r="G689" i="1"/>
  <c r="F689" i="1"/>
  <c r="E689" i="1"/>
  <c r="D689" i="1"/>
  <c r="C689" i="1"/>
  <c r="B689" i="1"/>
  <c r="J688" i="1"/>
  <c r="J687" i="1"/>
  <c r="J686" i="1"/>
  <c r="J685" i="1"/>
  <c r="I682" i="1"/>
  <c r="H682" i="1"/>
  <c r="G682" i="1"/>
  <c r="F682" i="1"/>
  <c r="E682" i="1"/>
  <c r="D682" i="1"/>
  <c r="C682" i="1"/>
  <c r="B682" i="1"/>
  <c r="J681" i="1"/>
  <c r="J680" i="1"/>
  <c r="J679" i="1"/>
  <c r="J678" i="1"/>
  <c r="I676" i="1"/>
  <c r="H676" i="1"/>
  <c r="G676" i="1"/>
  <c r="F676" i="1"/>
  <c r="E676" i="1"/>
  <c r="D676" i="1"/>
  <c r="C676" i="1"/>
  <c r="B676" i="1"/>
  <c r="J675" i="1"/>
  <c r="J674" i="1"/>
  <c r="J673" i="1"/>
  <c r="J672" i="1"/>
  <c r="I670" i="1"/>
  <c r="H670" i="1"/>
  <c r="G670" i="1"/>
  <c r="F670" i="1"/>
  <c r="E670" i="1"/>
  <c r="D670" i="1"/>
  <c r="C670" i="1"/>
  <c r="B670" i="1"/>
  <c r="J669" i="1"/>
  <c r="J668" i="1"/>
  <c r="J667" i="1"/>
  <c r="J666" i="1"/>
  <c r="I664" i="1"/>
  <c r="H664" i="1"/>
  <c r="G664" i="1"/>
  <c r="F664" i="1"/>
  <c r="E664" i="1"/>
  <c r="D664" i="1"/>
  <c r="C664" i="1"/>
  <c r="B664" i="1"/>
  <c r="J663" i="1"/>
  <c r="J662" i="1"/>
  <c r="J661" i="1"/>
  <c r="I659" i="1"/>
  <c r="H659" i="1"/>
  <c r="G659" i="1"/>
  <c r="F659" i="1"/>
  <c r="E659" i="1"/>
  <c r="D659" i="1"/>
  <c r="C659" i="1"/>
  <c r="B659" i="1"/>
  <c r="J658" i="1"/>
  <c r="J657" i="1"/>
  <c r="J656" i="1"/>
  <c r="J655" i="1"/>
  <c r="I651" i="1"/>
  <c r="H651" i="1"/>
  <c r="G651" i="1"/>
  <c r="F651" i="1"/>
  <c r="E651" i="1"/>
  <c r="D651" i="1"/>
  <c r="C651" i="1"/>
  <c r="B651" i="1"/>
  <c r="J650" i="1"/>
  <c r="J651" i="1" s="1"/>
  <c r="I648" i="1"/>
  <c r="H648" i="1"/>
  <c r="G648" i="1"/>
  <c r="F648" i="1"/>
  <c r="E648" i="1"/>
  <c r="D648" i="1"/>
  <c r="C648" i="1"/>
  <c r="B648" i="1"/>
  <c r="J647" i="1"/>
  <c r="J648" i="1" s="1"/>
  <c r="I645" i="1"/>
  <c r="H645" i="1"/>
  <c r="G645" i="1"/>
  <c r="F645" i="1"/>
  <c r="E645" i="1"/>
  <c r="D645" i="1"/>
  <c r="C645" i="1"/>
  <c r="B645" i="1"/>
  <c r="J644" i="1"/>
  <c r="J645" i="1" s="1"/>
  <c r="I641" i="1"/>
  <c r="H641" i="1"/>
  <c r="G641" i="1"/>
  <c r="F641" i="1"/>
  <c r="E641" i="1"/>
  <c r="D641" i="1"/>
  <c r="C641" i="1"/>
  <c r="B641" i="1"/>
  <c r="J640" i="1"/>
  <c r="J641" i="1" s="1"/>
  <c r="I638" i="1"/>
  <c r="H638" i="1"/>
  <c r="G638" i="1"/>
  <c r="F638" i="1"/>
  <c r="E638" i="1"/>
  <c r="D638" i="1"/>
  <c r="C638" i="1"/>
  <c r="B638" i="1"/>
  <c r="J637" i="1"/>
  <c r="J638" i="1" s="1"/>
  <c r="I634" i="1"/>
  <c r="H634" i="1"/>
  <c r="G634" i="1"/>
  <c r="F634" i="1"/>
  <c r="E634" i="1"/>
  <c r="D634" i="1"/>
  <c r="C634" i="1"/>
  <c r="B634" i="1"/>
  <c r="J633" i="1"/>
  <c r="J632" i="1"/>
  <c r="I630" i="1"/>
  <c r="H630" i="1"/>
  <c r="G630" i="1"/>
  <c r="F630" i="1"/>
  <c r="E630" i="1"/>
  <c r="D630" i="1"/>
  <c r="C630" i="1"/>
  <c r="B630" i="1"/>
  <c r="J629" i="1"/>
  <c r="J628" i="1"/>
  <c r="J627" i="1"/>
  <c r="J626" i="1"/>
  <c r="J625" i="1"/>
  <c r="I622" i="1"/>
  <c r="H622" i="1"/>
  <c r="G622" i="1"/>
  <c r="F622" i="1"/>
  <c r="E622" i="1"/>
  <c r="D622" i="1"/>
  <c r="C622" i="1"/>
  <c r="B622" i="1"/>
  <c r="J621" i="1"/>
  <c r="J622" i="1" s="1"/>
  <c r="I619" i="1"/>
  <c r="H619" i="1"/>
  <c r="G619" i="1"/>
  <c r="F619" i="1"/>
  <c r="E619" i="1"/>
  <c r="D619" i="1"/>
  <c r="C619" i="1"/>
  <c r="B619" i="1"/>
  <c r="J618" i="1"/>
  <c r="J617" i="1"/>
  <c r="I615" i="1"/>
  <c r="H615" i="1"/>
  <c r="G615" i="1"/>
  <c r="F615" i="1"/>
  <c r="E615" i="1"/>
  <c r="D615" i="1"/>
  <c r="C615" i="1"/>
  <c r="B615" i="1"/>
  <c r="J614" i="1"/>
  <c r="J615" i="1" s="1"/>
  <c r="I612" i="1"/>
  <c r="H612" i="1"/>
  <c r="G612" i="1"/>
  <c r="F612" i="1"/>
  <c r="E612" i="1"/>
  <c r="D612" i="1"/>
  <c r="C612" i="1"/>
  <c r="B612" i="1"/>
  <c r="J611" i="1"/>
  <c r="J612" i="1" s="1"/>
  <c r="I609" i="1"/>
  <c r="H609" i="1"/>
  <c r="G609" i="1"/>
  <c r="F609" i="1"/>
  <c r="E609" i="1"/>
  <c r="D609" i="1"/>
  <c r="C609" i="1"/>
  <c r="B609" i="1"/>
  <c r="J608" i="1"/>
  <c r="J607" i="1"/>
  <c r="J606" i="1"/>
  <c r="J605" i="1"/>
  <c r="J604" i="1"/>
  <c r="J603" i="1"/>
  <c r="I601" i="1"/>
  <c r="H601" i="1"/>
  <c r="G601" i="1"/>
  <c r="F601" i="1"/>
  <c r="E601" i="1"/>
  <c r="D601" i="1"/>
  <c r="C601" i="1"/>
  <c r="B601" i="1"/>
  <c r="J600" i="1"/>
  <c r="J599" i="1"/>
  <c r="J598" i="1"/>
  <c r="J597" i="1"/>
  <c r="I594" i="1"/>
  <c r="I595" i="1" s="1"/>
  <c r="H594" i="1"/>
  <c r="H595" i="1" s="1"/>
  <c r="G594" i="1"/>
  <c r="G595" i="1" s="1"/>
  <c r="F594" i="1"/>
  <c r="F595" i="1" s="1"/>
  <c r="E594" i="1"/>
  <c r="E595" i="1" s="1"/>
  <c r="D594" i="1"/>
  <c r="D595" i="1" s="1"/>
  <c r="C594" i="1"/>
  <c r="C595" i="1" s="1"/>
  <c r="B594" i="1"/>
  <c r="B595" i="1" s="1"/>
  <c r="J593" i="1"/>
  <c r="J592" i="1"/>
  <c r="J591" i="1"/>
  <c r="J590" i="1"/>
  <c r="J588" i="1"/>
  <c r="J587" i="1"/>
  <c r="J586" i="1"/>
  <c r="J585" i="1"/>
  <c r="I579" i="1"/>
  <c r="H579" i="1"/>
  <c r="G579" i="1"/>
  <c r="F579" i="1"/>
  <c r="E579" i="1"/>
  <c r="D579" i="1"/>
  <c r="C579" i="1"/>
  <c r="B579" i="1"/>
  <c r="J578" i="1"/>
  <c r="J577" i="1"/>
  <c r="J576" i="1"/>
  <c r="I574" i="1"/>
  <c r="H574" i="1"/>
  <c r="G574" i="1"/>
  <c r="F574" i="1"/>
  <c r="E574" i="1"/>
  <c r="D574" i="1"/>
  <c r="C574" i="1"/>
  <c r="B574" i="1"/>
  <c r="J573" i="1"/>
  <c r="J572" i="1"/>
  <c r="I569" i="1"/>
  <c r="H569" i="1"/>
  <c r="G569" i="1"/>
  <c r="F569" i="1"/>
  <c r="E569" i="1"/>
  <c r="D569" i="1"/>
  <c r="C569" i="1"/>
  <c r="B569" i="1"/>
  <c r="J568" i="1"/>
  <c r="J569" i="1" s="1"/>
  <c r="I566" i="1"/>
  <c r="H566" i="1"/>
  <c r="G566" i="1"/>
  <c r="F566" i="1"/>
  <c r="E566" i="1"/>
  <c r="D566" i="1"/>
  <c r="C566" i="1"/>
  <c r="B566" i="1"/>
  <c r="J565" i="1"/>
  <c r="J564" i="1"/>
  <c r="J563" i="1"/>
  <c r="I561" i="1"/>
  <c r="H561" i="1"/>
  <c r="G561" i="1"/>
  <c r="F561" i="1"/>
  <c r="E561" i="1"/>
  <c r="D561" i="1"/>
  <c r="C561" i="1"/>
  <c r="B561" i="1"/>
  <c r="J560" i="1"/>
  <c r="J559" i="1"/>
  <c r="J558" i="1"/>
  <c r="I556" i="1"/>
  <c r="H556" i="1"/>
  <c r="G556" i="1"/>
  <c r="F556" i="1"/>
  <c r="E556" i="1"/>
  <c r="D556" i="1"/>
  <c r="C556" i="1"/>
  <c r="B556" i="1"/>
  <c r="J555" i="1"/>
  <c r="J556" i="1" s="1"/>
  <c r="I552" i="1"/>
  <c r="H552" i="1"/>
  <c r="G552" i="1"/>
  <c r="F552" i="1"/>
  <c r="E552" i="1"/>
  <c r="D552" i="1"/>
  <c r="C552" i="1"/>
  <c r="B552" i="1"/>
  <c r="J551" i="1"/>
  <c r="J552" i="1" s="1"/>
  <c r="I549" i="1"/>
  <c r="H549" i="1"/>
  <c r="G549" i="1"/>
  <c r="F549" i="1"/>
  <c r="E549" i="1"/>
  <c r="D549" i="1"/>
  <c r="C549" i="1"/>
  <c r="B549" i="1"/>
  <c r="J548" i="1"/>
  <c r="J547" i="1"/>
  <c r="J546" i="1"/>
  <c r="I543" i="1"/>
  <c r="I544" i="1" s="1"/>
  <c r="H543" i="1"/>
  <c r="H544" i="1" s="1"/>
  <c r="G543" i="1"/>
  <c r="G544" i="1" s="1"/>
  <c r="F543" i="1"/>
  <c r="F544" i="1" s="1"/>
  <c r="E543" i="1"/>
  <c r="E544" i="1" s="1"/>
  <c r="D543" i="1"/>
  <c r="D544" i="1" s="1"/>
  <c r="C543" i="1"/>
  <c r="C544" i="1" s="1"/>
  <c r="B543" i="1"/>
  <c r="B544" i="1" s="1"/>
  <c r="J542" i="1"/>
  <c r="J543" i="1" s="1"/>
  <c r="J544" i="1" s="1"/>
  <c r="I539" i="1"/>
  <c r="H539" i="1"/>
  <c r="G539" i="1"/>
  <c r="F539" i="1"/>
  <c r="E539" i="1"/>
  <c r="D539" i="1"/>
  <c r="C539" i="1"/>
  <c r="B539" i="1"/>
  <c r="J538" i="1"/>
  <c r="J539" i="1" s="1"/>
  <c r="I536" i="1"/>
  <c r="H536" i="1"/>
  <c r="G536" i="1"/>
  <c r="F536" i="1"/>
  <c r="E536" i="1"/>
  <c r="D536" i="1"/>
  <c r="C536" i="1"/>
  <c r="B536" i="1"/>
  <c r="J535" i="1"/>
  <c r="J536" i="1" s="1"/>
  <c r="I533" i="1"/>
  <c r="H533" i="1"/>
  <c r="G533" i="1"/>
  <c r="F533" i="1"/>
  <c r="E533" i="1"/>
  <c r="D533" i="1"/>
  <c r="C533" i="1"/>
  <c r="B533" i="1"/>
  <c r="J532" i="1"/>
  <c r="J531" i="1"/>
  <c r="J530" i="1"/>
  <c r="J529" i="1"/>
  <c r="I527" i="1"/>
  <c r="H527" i="1"/>
  <c r="G527" i="1"/>
  <c r="F527" i="1"/>
  <c r="E527" i="1"/>
  <c r="D527" i="1"/>
  <c r="C527" i="1"/>
  <c r="B527" i="1"/>
  <c r="J526" i="1"/>
  <c r="J527" i="1" s="1"/>
  <c r="I523" i="1"/>
  <c r="I524" i="1" s="1"/>
  <c r="H523" i="1"/>
  <c r="H524" i="1" s="1"/>
  <c r="G523" i="1"/>
  <c r="G524" i="1" s="1"/>
  <c r="F523" i="1"/>
  <c r="F524" i="1" s="1"/>
  <c r="E523" i="1"/>
  <c r="E524" i="1" s="1"/>
  <c r="D523" i="1"/>
  <c r="D524" i="1" s="1"/>
  <c r="C523" i="1"/>
  <c r="C524" i="1" s="1"/>
  <c r="B523" i="1"/>
  <c r="B524" i="1" s="1"/>
  <c r="J522" i="1"/>
  <c r="J521" i="1"/>
  <c r="J519" i="1"/>
  <c r="I515" i="1"/>
  <c r="H515" i="1"/>
  <c r="G515" i="1"/>
  <c r="F515" i="1"/>
  <c r="E515" i="1"/>
  <c r="D515" i="1"/>
  <c r="C515" i="1"/>
  <c r="B515" i="1"/>
  <c r="J514" i="1"/>
  <c r="J513" i="1"/>
  <c r="J512" i="1"/>
  <c r="I510" i="1"/>
  <c r="H510" i="1"/>
  <c r="G510" i="1"/>
  <c r="F510" i="1"/>
  <c r="E510" i="1"/>
  <c r="D510" i="1"/>
  <c r="C510" i="1"/>
  <c r="B510" i="1"/>
  <c r="J509" i="1"/>
  <c r="J508" i="1"/>
  <c r="I505" i="1"/>
  <c r="H505" i="1"/>
  <c r="G505" i="1"/>
  <c r="F505" i="1"/>
  <c r="E505" i="1"/>
  <c r="D505" i="1"/>
  <c r="C505" i="1"/>
  <c r="B505" i="1"/>
  <c r="J504" i="1"/>
  <c r="J505" i="1" s="1"/>
  <c r="I502" i="1"/>
  <c r="H502" i="1"/>
  <c r="G502" i="1"/>
  <c r="F502" i="1"/>
  <c r="E502" i="1"/>
  <c r="D502" i="1"/>
  <c r="C502" i="1"/>
  <c r="B502" i="1"/>
  <c r="J501" i="1"/>
  <c r="J500" i="1"/>
  <c r="J499" i="1"/>
  <c r="J498" i="1"/>
  <c r="I496" i="1"/>
  <c r="H496" i="1"/>
  <c r="G496" i="1"/>
  <c r="F496" i="1"/>
  <c r="E496" i="1"/>
  <c r="D496" i="1"/>
  <c r="C496" i="1"/>
  <c r="B496" i="1"/>
  <c r="J495" i="1"/>
  <c r="J494" i="1"/>
  <c r="J493" i="1"/>
  <c r="J492" i="1"/>
  <c r="I490" i="1"/>
  <c r="H490" i="1"/>
  <c r="G490" i="1"/>
  <c r="F490" i="1"/>
  <c r="E490" i="1"/>
  <c r="D490" i="1"/>
  <c r="C490" i="1"/>
  <c r="B490" i="1"/>
  <c r="J489" i="1"/>
  <c r="J488" i="1"/>
  <c r="I484" i="1"/>
  <c r="H484" i="1"/>
  <c r="G484" i="1"/>
  <c r="F484" i="1"/>
  <c r="E484" i="1"/>
  <c r="D484" i="1"/>
  <c r="C484" i="1"/>
  <c r="B484" i="1"/>
  <c r="J483" i="1"/>
  <c r="J484" i="1" s="1"/>
  <c r="I481" i="1"/>
  <c r="H481" i="1"/>
  <c r="G481" i="1"/>
  <c r="F481" i="1"/>
  <c r="E481" i="1"/>
  <c r="D481" i="1"/>
  <c r="C481" i="1"/>
  <c r="B481" i="1"/>
  <c r="J480" i="1"/>
  <c r="J481" i="1" s="1"/>
  <c r="I477" i="1"/>
  <c r="H477" i="1"/>
  <c r="G477" i="1"/>
  <c r="F477" i="1"/>
  <c r="E477" i="1"/>
  <c r="D477" i="1"/>
  <c r="C477" i="1"/>
  <c r="B477" i="1"/>
  <c r="J476" i="1"/>
  <c r="J475" i="1"/>
  <c r="I473" i="1"/>
  <c r="H473" i="1"/>
  <c r="G473" i="1"/>
  <c r="F473" i="1"/>
  <c r="E473" i="1"/>
  <c r="D473" i="1"/>
  <c r="C473" i="1"/>
  <c r="B473" i="1"/>
  <c r="J472" i="1"/>
  <c r="J471" i="1"/>
  <c r="J470" i="1"/>
  <c r="I467" i="1"/>
  <c r="H467" i="1"/>
  <c r="G467" i="1"/>
  <c r="F467" i="1"/>
  <c r="E467" i="1"/>
  <c r="D467" i="1"/>
  <c r="C467" i="1"/>
  <c r="B467" i="1"/>
  <c r="J466" i="1"/>
  <c r="J467" i="1" s="1"/>
  <c r="I464" i="1"/>
  <c r="H464" i="1"/>
  <c r="G464" i="1"/>
  <c r="F464" i="1"/>
  <c r="E464" i="1"/>
  <c r="D464" i="1"/>
  <c r="C464" i="1"/>
  <c r="B464" i="1"/>
  <c r="J463" i="1"/>
  <c r="J462" i="1"/>
  <c r="J461" i="1"/>
  <c r="J460" i="1"/>
  <c r="J459" i="1"/>
  <c r="I456" i="1"/>
  <c r="H456" i="1"/>
  <c r="G456" i="1"/>
  <c r="F456" i="1"/>
  <c r="E456" i="1"/>
  <c r="D456" i="1"/>
  <c r="C456" i="1"/>
  <c r="B456" i="1"/>
  <c r="J455" i="1"/>
  <c r="J454" i="1"/>
  <c r="I452" i="1"/>
  <c r="H452" i="1"/>
  <c r="G452" i="1"/>
  <c r="F452" i="1"/>
  <c r="E452" i="1"/>
  <c r="D452" i="1"/>
  <c r="C452" i="1"/>
  <c r="B452" i="1"/>
  <c r="J451" i="1"/>
  <c r="J450" i="1"/>
  <c r="J449" i="1"/>
  <c r="I447" i="1"/>
  <c r="H447" i="1"/>
  <c r="G447" i="1"/>
  <c r="F447" i="1"/>
  <c r="E447" i="1"/>
  <c r="D447" i="1"/>
  <c r="C447" i="1"/>
  <c r="B447" i="1"/>
  <c r="J446" i="1"/>
  <c r="J447" i="1" s="1"/>
  <c r="I444" i="1"/>
  <c r="H444" i="1"/>
  <c r="G444" i="1"/>
  <c r="F444" i="1"/>
  <c r="E444" i="1"/>
  <c r="D444" i="1"/>
  <c r="C444" i="1"/>
  <c r="B444" i="1"/>
  <c r="J443" i="1"/>
  <c r="J444" i="1" s="1"/>
  <c r="I441" i="1"/>
  <c r="H441" i="1"/>
  <c r="G441" i="1"/>
  <c r="F441" i="1"/>
  <c r="E441" i="1"/>
  <c r="D441" i="1"/>
  <c r="C441" i="1"/>
  <c r="B441" i="1"/>
  <c r="J440" i="1"/>
  <c r="J439" i="1"/>
  <c r="J438" i="1"/>
  <c r="J437" i="1"/>
  <c r="J436" i="1"/>
  <c r="J435" i="1"/>
  <c r="I433" i="1"/>
  <c r="H433" i="1"/>
  <c r="G433" i="1"/>
  <c r="F433" i="1"/>
  <c r="E433" i="1"/>
  <c r="D433" i="1"/>
  <c r="C433" i="1"/>
  <c r="B433" i="1"/>
  <c r="J432" i="1"/>
  <c r="J431" i="1"/>
  <c r="J430" i="1"/>
  <c r="J429" i="1"/>
  <c r="J428" i="1"/>
  <c r="J427" i="1"/>
  <c r="J426" i="1"/>
  <c r="J425" i="1"/>
  <c r="J424" i="1"/>
  <c r="J423" i="1"/>
  <c r="I420" i="1"/>
  <c r="I421" i="1" s="1"/>
  <c r="H420" i="1"/>
  <c r="H421" i="1" s="1"/>
  <c r="G420" i="1"/>
  <c r="G421" i="1" s="1"/>
  <c r="F420" i="1"/>
  <c r="F421" i="1" s="1"/>
  <c r="E420" i="1"/>
  <c r="E421" i="1" s="1"/>
  <c r="D420" i="1"/>
  <c r="D421" i="1" s="1"/>
  <c r="C420" i="1"/>
  <c r="C421" i="1" s="1"/>
  <c r="B420" i="1"/>
  <c r="B421" i="1" s="1"/>
  <c r="J419" i="1"/>
  <c r="J418" i="1"/>
  <c r="J417" i="1"/>
  <c r="J416" i="1"/>
  <c r="J415" i="1"/>
  <c r="J413" i="1"/>
  <c r="J412" i="1"/>
  <c r="J411" i="1"/>
  <c r="J410" i="1"/>
  <c r="J409" i="1"/>
  <c r="I403" i="1"/>
  <c r="H403" i="1"/>
  <c r="G403" i="1"/>
  <c r="F403" i="1"/>
  <c r="E403" i="1"/>
  <c r="D403" i="1"/>
  <c r="C403" i="1"/>
  <c r="B403" i="1"/>
  <c r="J402" i="1"/>
  <c r="J401" i="1"/>
  <c r="J400" i="1"/>
  <c r="I398" i="1"/>
  <c r="H398" i="1"/>
  <c r="G398" i="1"/>
  <c r="F398" i="1"/>
  <c r="E398" i="1"/>
  <c r="D398" i="1"/>
  <c r="C398" i="1"/>
  <c r="B398" i="1"/>
  <c r="J397" i="1"/>
  <c r="J396" i="1"/>
  <c r="I393" i="1"/>
  <c r="H393" i="1"/>
  <c r="G393" i="1"/>
  <c r="F393" i="1"/>
  <c r="E393" i="1"/>
  <c r="D393" i="1"/>
  <c r="C393" i="1"/>
  <c r="B393" i="1"/>
  <c r="J392" i="1"/>
  <c r="J391" i="1"/>
  <c r="I389" i="1"/>
  <c r="H389" i="1"/>
  <c r="G389" i="1"/>
  <c r="F389" i="1"/>
  <c r="E389" i="1"/>
  <c r="D389" i="1"/>
  <c r="C389" i="1"/>
  <c r="B389" i="1"/>
  <c r="J388" i="1"/>
  <c r="J387" i="1"/>
  <c r="J386" i="1"/>
  <c r="J385" i="1"/>
  <c r="I383" i="1"/>
  <c r="H383" i="1"/>
  <c r="G383" i="1"/>
  <c r="F383" i="1"/>
  <c r="E383" i="1"/>
  <c r="D383" i="1"/>
  <c r="C383" i="1"/>
  <c r="B383" i="1"/>
  <c r="J382" i="1"/>
  <c r="J381" i="1"/>
  <c r="I377" i="1"/>
  <c r="I378" i="1" s="1"/>
  <c r="H377" i="1"/>
  <c r="H378" i="1" s="1"/>
  <c r="G377" i="1"/>
  <c r="G378" i="1" s="1"/>
  <c r="F377" i="1"/>
  <c r="F378" i="1" s="1"/>
  <c r="E377" i="1"/>
  <c r="E378" i="1" s="1"/>
  <c r="D377" i="1"/>
  <c r="D378" i="1" s="1"/>
  <c r="C377" i="1"/>
  <c r="C378" i="1" s="1"/>
  <c r="B377" i="1"/>
  <c r="B378" i="1" s="1"/>
  <c r="J376" i="1"/>
  <c r="J377" i="1" s="1"/>
  <c r="J378" i="1" s="1"/>
  <c r="I373" i="1"/>
  <c r="H373" i="1"/>
  <c r="G373" i="1"/>
  <c r="F373" i="1"/>
  <c r="E373" i="1"/>
  <c r="D373" i="1"/>
  <c r="C373" i="1"/>
  <c r="B373" i="1"/>
  <c r="J372" i="1"/>
  <c r="J373" i="1" s="1"/>
  <c r="I370" i="1"/>
  <c r="H370" i="1"/>
  <c r="G370" i="1"/>
  <c r="F370" i="1"/>
  <c r="E370" i="1"/>
  <c r="D370" i="1"/>
  <c r="C370" i="1"/>
  <c r="B370" i="1"/>
  <c r="J369" i="1"/>
  <c r="J368" i="1"/>
  <c r="I365" i="1"/>
  <c r="I366" i="1" s="1"/>
  <c r="H365" i="1"/>
  <c r="H366" i="1" s="1"/>
  <c r="G365" i="1"/>
  <c r="G366" i="1" s="1"/>
  <c r="F365" i="1"/>
  <c r="F366" i="1" s="1"/>
  <c r="E365" i="1"/>
  <c r="E366" i="1" s="1"/>
  <c r="D365" i="1"/>
  <c r="D366" i="1" s="1"/>
  <c r="C365" i="1"/>
  <c r="C366" i="1" s="1"/>
  <c r="B365" i="1"/>
  <c r="B366" i="1" s="1"/>
  <c r="J364" i="1"/>
  <c r="J363" i="1"/>
  <c r="J362" i="1"/>
  <c r="J361" i="1"/>
  <c r="J360" i="1"/>
  <c r="J359" i="1"/>
  <c r="I356" i="1"/>
  <c r="H356" i="1"/>
  <c r="G356" i="1"/>
  <c r="F356" i="1"/>
  <c r="E356" i="1"/>
  <c r="D356" i="1"/>
  <c r="C356" i="1"/>
  <c r="B356" i="1"/>
  <c r="J355" i="1"/>
  <c r="J356" i="1" s="1"/>
  <c r="I353" i="1"/>
  <c r="H353" i="1"/>
  <c r="G353" i="1"/>
  <c r="F353" i="1"/>
  <c r="E353" i="1"/>
  <c r="D353" i="1"/>
  <c r="C353" i="1"/>
  <c r="B353" i="1"/>
  <c r="J352" i="1"/>
  <c r="J351" i="1"/>
  <c r="I349" i="1"/>
  <c r="H349" i="1"/>
  <c r="G349" i="1"/>
  <c r="F349" i="1"/>
  <c r="E349" i="1"/>
  <c r="D349" i="1"/>
  <c r="C349" i="1"/>
  <c r="B349" i="1"/>
  <c r="J348" i="1"/>
  <c r="J349" i="1" s="1"/>
  <c r="I346" i="1"/>
  <c r="H346" i="1"/>
  <c r="G346" i="1"/>
  <c r="F346" i="1"/>
  <c r="E346" i="1"/>
  <c r="D346" i="1"/>
  <c r="C346" i="1"/>
  <c r="B346" i="1"/>
  <c r="J345" i="1"/>
  <c r="J346" i="1" s="1"/>
  <c r="I343" i="1"/>
  <c r="H343" i="1"/>
  <c r="G343" i="1"/>
  <c r="F343" i="1"/>
  <c r="E343" i="1"/>
  <c r="D343" i="1"/>
  <c r="C343" i="1"/>
  <c r="B343" i="1"/>
  <c r="J342" i="1"/>
  <c r="J341" i="1"/>
  <c r="J340" i="1"/>
  <c r="J339" i="1"/>
  <c r="J338" i="1"/>
  <c r="I336" i="1"/>
  <c r="H336" i="1"/>
  <c r="G336" i="1"/>
  <c r="F336" i="1"/>
  <c r="E336" i="1"/>
  <c r="D336" i="1"/>
  <c r="C336" i="1"/>
  <c r="B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I321" i="1"/>
  <c r="I322" i="1" s="1"/>
  <c r="H321" i="1"/>
  <c r="H322" i="1" s="1"/>
  <c r="G321" i="1"/>
  <c r="G322" i="1" s="1"/>
  <c r="F321" i="1"/>
  <c r="F322" i="1" s="1"/>
  <c r="E321" i="1"/>
  <c r="E322" i="1" s="1"/>
  <c r="D321" i="1"/>
  <c r="D322" i="1" s="1"/>
  <c r="C321" i="1"/>
  <c r="C322" i="1" s="1"/>
  <c r="B321" i="1"/>
  <c r="B322" i="1" s="1"/>
  <c r="J320" i="1"/>
  <c r="J319" i="1"/>
  <c r="J318" i="1"/>
  <c r="J317" i="1"/>
  <c r="J315" i="1"/>
  <c r="J314" i="1"/>
  <c r="J313" i="1"/>
  <c r="J312" i="1"/>
  <c r="J311" i="1"/>
  <c r="I307" i="1"/>
  <c r="H307" i="1"/>
  <c r="G307" i="1"/>
  <c r="F307" i="1"/>
  <c r="E307" i="1"/>
  <c r="D307" i="1"/>
  <c r="C307" i="1"/>
  <c r="B307" i="1"/>
  <c r="J306" i="1"/>
  <c r="J305" i="1"/>
  <c r="J304" i="1"/>
  <c r="I301" i="1"/>
  <c r="H301" i="1"/>
  <c r="G301" i="1"/>
  <c r="F301" i="1"/>
  <c r="E301" i="1"/>
  <c r="D301" i="1"/>
  <c r="C301" i="1"/>
  <c r="B301" i="1"/>
  <c r="J300" i="1"/>
  <c r="J301" i="1" s="1"/>
  <c r="I298" i="1"/>
  <c r="H298" i="1"/>
  <c r="G298" i="1"/>
  <c r="F298" i="1"/>
  <c r="E298" i="1"/>
  <c r="D298" i="1"/>
  <c r="C298" i="1"/>
  <c r="B298" i="1"/>
  <c r="J297" i="1"/>
  <c r="J296" i="1"/>
  <c r="I294" i="1"/>
  <c r="H294" i="1"/>
  <c r="G294" i="1"/>
  <c r="F294" i="1"/>
  <c r="E294" i="1"/>
  <c r="D294" i="1"/>
  <c r="C294" i="1"/>
  <c r="B294" i="1"/>
  <c r="J293" i="1"/>
  <c r="J292" i="1"/>
  <c r="J291" i="1"/>
  <c r="J290" i="1"/>
  <c r="I288" i="1"/>
  <c r="H288" i="1"/>
  <c r="G288" i="1"/>
  <c r="F288" i="1"/>
  <c r="E288" i="1"/>
  <c r="D288" i="1"/>
  <c r="C288" i="1"/>
  <c r="B288" i="1"/>
  <c r="J287" i="1"/>
  <c r="J288" i="1" s="1"/>
  <c r="I283" i="1"/>
  <c r="I284" i="1" s="1"/>
  <c r="H283" i="1"/>
  <c r="H284" i="1" s="1"/>
  <c r="G283" i="1"/>
  <c r="G284" i="1" s="1"/>
  <c r="F283" i="1"/>
  <c r="F284" i="1" s="1"/>
  <c r="E283" i="1"/>
  <c r="E284" i="1" s="1"/>
  <c r="D283" i="1"/>
  <c r="D284" i="1" s="1"/>
  <c r="C283" i="1"/>
  <c r="C284" i="1" s="1"/>
  <c r="B283" i="1"/>
  <c r="B284" i="1" s="1"/>
  <c r="J282" i="1"/>
  <c r="J283" i="1" s="1"/>
  <c r="J284" i="1" s="1"/>
  <c r="I279" i="1"/>
  <c r="H279" i="1"/>
  <c r="G279" i="1"/>
  <c r="F279" i="1"/>
  <c r="E279" i="1"/>
  <c r="D279" i="1"/>
  <c r="C279" i="1"/>
  <c r="B279" i="1"/>
  <c r="J278" i="1"/>
  <c r="J279" i="1" s="1"/>
  <c r="I275" i="1"/>
  <c r="I276" i="1" s="1"/>
  <c r="H275" i="1"/>
  <c r="H276" i="1" s="1"/>
  <c r="G275" i="1"/>
  <c r="G276" i="1" s="1"/>
  <c r="F275" i="1"/>
  <c r="F276" i="1" s="1"/>
  <c r="E275" i="1"/>
  <c r="E276" i="1" s="1"/>
  <c r="D275" i="1"/>
  <c r="D276" i="1" s="1"/>
  <c r="C275" i="1"/>
  <c r="C276" i="1" s="1"/>
  <c r="B275" i="1"/>
  <c r="B276" i="1" s="1"/>
  <c r="J274" i="1"/>
  <c r="J273" i="1"/>
  <c r="J272" i="1"/>
  <c r="J271" i="1"/>
  <c r="J270" i="1"/>
  <c r="I267" i="1"/>
  <c r="H267" i="1"/>
  <c r="G267" i="1"/>
  <c r="F267" i="1"/>
  <c r="E267" i="1"/>
  <c r="D267" i="1"/>
  <c r="C267" i="1"/>
  <c r="B267" i="1"/>
  <c r="J266" i="1"/>
  <c r="J267" i="1" s="1"/>
  <c r="I264" i="1"/>
  <c r="H264" i="1"/>
  <c r="G264" i="1"/>
  <c r="F264" i="1"/>
  <c r="E264" i="1"/>
  <c r="D264" i="1"/>
  <c r="C264" i="1"/>
  <c r="B264" i="1"/>
  <c r="J263" i="1"/>
  <c r="J264" i="1" s="1"/>
  <c r="I261" i="1"/>
  <c r="H261" i="1"/>
  <c r="G261" i="1"/>
  <c r="F261" i="1"/>
  <c r="E261" i="1"/>
  <c r="D261" i="1"/>
  <c r="C261" i="1"/>
  <c r="B261" i="1"/>
  <c r="J260" i="1"/>
  <c r="J261" i="1" s="1"/>
  <c r="I258" i="1"/>
  <c r="H258" i="1"/>
  <c r="G258" i="1"/>
  <c r="F258" i="1"/>
  <c r="E258" i="1"/>
  <c r="D258" i="1"/>
  <c r="C258" i="1"/>
  <c r="B258" i="1"/>
  <c r="J257" i="1"/>
  <c r="J258" i="1" s="1"/>
  <c r="I255" i="1"/>
  <c r="H255" i="1"/>
  <c r="G255" i="1"/>
  <c r="F255" i="1"/>
  <c r="E255" i="1"/>
  <c r="D255" i="1"/>
  <c r="C255" i="1"/>
  <c r="B255" i="1"/>
  <c r="J254" i="1"/>
  <c r="J253" i="1"/>
  <c r="J252" i="1"/>
  <c r="J251" i="1"/>
  <c r="J250" i="1"/>
  <c r="J249" i="1"/>
  <c r="J248" i="1"/>
  <c r="I246" i="1"/>
  <c r="H246" i="1"/>
  <c r="G246" i="1"/>
  <c r="F246" i="1"/>
  <c r="E246" i="1"/>
  <c r="D246" i="1"/>
  <c r="C246" i="1"/>
  <c r="B246" i="1"/>
  <c r="J245" i="1"/>
  <c r="J244" i="1"/>
  <c r="J243" i="1"/>
  <c r="J242" i="1"/>
  <c r="J241" i="1"/>
  <c r="J240" i="1"/>
  <c r="J239" i="1"/>
  <c r="J238" i="1"/>
  <c r="J237" i="1"/>
  <c r="I234" i="1"/>
  <c r="I235" i="1" s="1"/>
  <c r="H234" i="1"/>
  <c r="H235" i="1" s="1"/>
  <c r="G234" i="1"/>
  <c r="G235" i="1" s="1"/>
  <c r="F234" i="1"/>
  <c r="F235" i="1" s="1"/>
  <c r="E234" i="1"/>
  <c r="E235" i="1" s="1"/>
  <c r="D234" i="1"/>
  <c r="D235" i="1" s="1"/>
  <c r="C234" i="1"/>
  <c r="C235" i="1" s="1"/>
  <c r="B234" i="1"/>
  <c r="B235" i="1" s="1"/>
  <c r="J233" i="1"/>
  <c r="J232" i="1"/>
  <c r="J231" i="1"/>
  <c r="J230" i="1"/>
  <c r="J229" i="1"/>
  <c r="J227" i="1"/>
  <c r="J226" i="1"/>
  <c r="I221" i="1"/>
  <c r="H221" i="1"/>
  <c r="G221" i="1"/>
  <c r="F221" i="1"/>
  <c r="E221" i="1"/>
  <c r="D221" i="1"/>
  <c r="C221" i="1"/>
  <c r="B221" i="1"/>
  <c r="J220" i="1"/>
  <c r="J219" i="1"/>
  <c r="J218" i="1"/>
  <c r="I215" i="1"/>
  <c r="H215" i="1"/>
  <c r="G215" i="1"/>
  <c r="F215" i="1"/>
  <c r="E215" i="1"/>
  <c r="D215" i="1"/>
  <c r="C215" i="1"/>
  <c r="B215" i="1"/>
  <c r="J214" i="1"/>
  <c r="J213" i="1"/>
  <c r="I211" i="1"/>
  <c r="H211" i="1"/>
  <c r="G211" i="1"/>
  <c r="F211" i="1"/>
  <c r="E211" i="1"/>
  <c r="D211" i="1"/>
  <c r="C211" i="1"/>
  <c r="B211" i="1"/>
  <c r="J210" i="1"/>
  <c r="J209" i="1"/>
  <c r="I207" i="1"/>
  <c r="H207" i="1"/>
  <c r="G207" i="1"/>
  <c r="F207" i="1"/>
  <c r="E207" i="1"/>
  <c r="D207" i="1"/>
  <c r="C207" i="1"/>
  <c r="B207" i="1"/>
  <c r="J206" i="1"/>
  <c r="J205" i="1"/>
  <c r="I201" i="1"/>
  <c r="I202" i="1" s="1"/>
  <c r="H201" i="1"/>
  <c r="H202" i="1" s="1"/>
  <c r="G201" i="1"/>
  <c r="G202" i="1" s="1"/>
  <c r="F201" i="1"/>
  <c r="F202" i="1" s="1"/>
  <c r="E201" i="1"/>
  <c r="E202" i="1" s="1"/>
  <c r="D201" i="1"/>
  <c r="D202" i="1" s="1"/>
  <c r="C201" i="1"/>
  <c r="C202" i="1" s="1"/>
  <c r="B201" i="1"/>
  <c r="B202" i="1" s="1"/>
  <c r="J200" i="1"/>
  <c r="J199" i="1"/>
  <c r="I196" i="1"/>
  <c r="H196" i="1"/>
  <c r="G196" i="1"/>
  <c r="F196" i="1"/>
  <c r="E196" i="1"/>
  <c r="D196" i="1"/>
  <c r="C196" i="1"/>
  <c r="B196" i="1"/>
  <c r="J195" i="1"/>
  <c r="J196" i="1" s="1"/>
  <c r="I193" i="1"/>
  <c r="H193" i="1"/>
  <c r="G193" i="1"/>
  <c r="F193" i="1"/>
  <c r="E193" i="1"/>
  <c r="D193" i="1"/>
  <c r="C193" i="1"/>
  <c r="B193" i="1"/>
  <c r="J192" i="1"/>
  <c r="J191" i="1"/>
  <c r="J190" i="1"/>
  <c r="I188" i="1"/>
  <c r="H188" i="1"/>
  <c r="G188" i="1"/>
  <c r="F188" i="1"/>
  <c r="E188" i="1"/>
  <c r="D188" i="1"/>
  <c r="C188" i="1"/>
  <c r="B188" i="1"/>
  <c r="J187" i="1"/>
  <c r="J188" i="1" s="1"/>
  <c r="I184" i="1"/>
  <c r="I185" i="1" s="1"/>
  <c r="H184" i="1"/>
  <c r="H185" i="1" s="1"/>
  <c r="G184" i="1"/>
  <c r="G185" i="1" s="1"/>
  <c r="F184" i="1"/>
  <c r="F185" i="1" s="1"/>
  <c r="E184" i="1"/>
  <c r="E185" i="1" s="1"/>
  <c r="D184" i="1"/>
  <c r="D185" i="1" s="1"/>
  <c r="C184" i="1"/>
  <c r="C185" i="1" s="1"/>
  <c r="B184" i="1"/>
  <c r="B185" i="1" s="1"/>
  <c r="J183" i="1"/>
  <c r="J184" i="1" s="1"/>
  <c r="J185" i="1" s="1"/>
  <c r="I173" i="1"/>
  <c r="H173" i="1"/>
  <c r="G173" i="1"/>
  <c r="F173" i="1"/>
  <c r="E173" i="1"/>
  <c r="D173" i="1"/>
  <c r="C173" i="1"/>
  <c r="B173" i="1"/>
  <c r="J172" i="1"/>
  <c r="J171" i="1"/>
  <c r="J170" i="1"/>
  <c r="I167" i="1"/>
  <c r="H167" i="1"/>
  <c r="G167" i="1"/>
  <c r="F167" i="1"/>
  <c r="E167" i="1"/>
  <c r="D167" i="1"/>
  <c r="C167" i="1"/>
  <c r="B167" i="1"/>
  <c r="J166" i="1"/>
  <c r="J165" i="1"/>
  <c r="I163" i="1"/>
  <c r="H163" i="1"/>
  <c r="G163" i="1"/>
  <c r="F163" i="1"/>
  <c r="E163" i="1"/>
  <c r="D163" i="1"/>
  <c r="C163" i="1"/>
  <c r="B163" i="1"/>
  <c r="J162" i="1"/>
  <c r="J161" i="1"/>
  <c r="J160" i="1"/>
  <c r="J159" i="1"/>
  <c r="I157" i="1"/>
  <c r="H157" i="1"/>
  <c r="G157" i="1"/>
  <c r="F157" i="1"/>
  <c r="E157" i="1"/>
  <c r="D157" i="1"/>
  <c r="C157" i="1"/>
  <c r="B157" i="1"/>
  <c r="J156" i="1"/>
  <c r="J157" i="1" s="1"/>
  <c r="I152" i="1"/>
  <c r="I153" i="1" s="1"/>
  <c r="H152" i="1"/>
  <c r="H153" i="1" s="1"/>
  <c r="G152" i="1"/>
  <c r="G153" i="1" s="1"/>
  <c r="F152" i="1"/>
  <c r="F153" i="1" s="1"/>
  <c r="E152" i="1"/>
  <c r="E153" i="1" s="1"/>
  <c r="D152" i="1"/>
  <c r="D153" i="1" s="1"/>
  <c r="C152" i="1"/>
  <c r="C153" i="1" s="1"/>
  <c r="B152" i="1"/>
  <c r="B153" i="1" s="1"/>
  <c r="J151" i="1"/>
  <c r="J150" i="1"/>
  <c r="J149" i="1"/>
  <c r="I146" i="1"/>
  <c r="H146" i="1"/>
  <c r="G146" i="1"/>
  <c r="F146" i="1"/>
  <c r="E146" i="1"/>
  <c r="D146" i="1"/>
  <c r="C146" i="1"/>
  <c r="B146" i="1"/>
  <c r="J145" i="1"/>
  <c r="J146" i="1" s="1"/>
  <c r="I143" i="1"/>
  <c r="H143" i="1"/>
  <c r="G143" i="1"/>
  <c r="F143" i="1"/>
  <c r="E143" i="1"/>
  <c r="D143" i="1"/>
  <c r="C143" i="1"/>
  <c r="B143" i="1"/>
  <c r="J142" i="1"/>
  <c r="J141" i="1"/>
  <c r="J140" i="1"/>
  <c r="I138" i="1"/>
  <c r="H138" i="1"/>
  <c r="G138" i="1"/>
  <c r="F138" i="1"/>
  <c r="E138" i="1"/>
  <c r="D138" i="1"/>
  <c r="C138" i="1"/>
  <c r="B138" i="1"/>
  <c r="J137" i="1"/>
  <c r="J136" i="1"/>
  <c r="J135" i="1"/>
  <c r="J134" i="1"/>
  <c r="J133" i="1"/>
  <c r="J132" i="1"/>
  <c r="J131" i="1"/>
  <c r="J130" i="1"/>
  <c r="J129" i="1"/>
  <c r="I126" i="1"/>
  <c r="I127" i="1" s="1"/>
  <c r="H126" i="1"/>
  <c r="H127" i="1" s="1"/>
  <c r="G126" i="1"/>
  <c r="G127" i="1" s="1"/>
  <c r="F126" i="1"/>
  <c r="F127" i="1" s="1"/>
  <c r="E126" i="1"/>
  <c r="E127" i="1" s="1"/>
  <c r="D126" i="1"/>
  <c r="D127" i="1" s="1"/>
  <c r="C126" i="1"/>
  <c r="C127" i="1" s="1"/>
  <c r="B126" i="1"/>
  <c r="B127" i="1" s="1"/>
  <c r="J125" i="1"/>
  <c r="J124" i="1"/>
  <c r="J123" i="1"/>
  <c r="J121" i="1"/>
  <c r="J120" i="1"/>
  <c r="I117" i="1"/>
  <c r="H117" i="1"/>
  <c r="G117" i="1"/>
  <c r="F117" i="1"/>
  <c r="E117" i="1"/>
  <c r="D117" i="1"/>
  <c r="C117" i="1"/>
  <c r="B117" i="1"/>
  <c r="J116" i="1"/>
  <c r="J117" i="1" s="1"/>
  <c r="I114" i="1"/>
  <c r="H114" i="1"/>
  <c r="G114" i="1"/>
  <c r="F114" i="1"/>
  <c r="E114" i="1"/>
  <c r="D114" i="1"/>
  <c r="C114" i="1"/>
  <c r="B114" i="1"/>
  <c r="J113" i="1"/>
  <c r="J112" i="1"/>
  <c r="I110" i="1"/>
  <c r="H110" i="1"/>
  <c r="G110" i="1"/>
  <c r="F110" i="1"/>
  <c r="E110" i="1"/>
  <c r="D110" i="1"/>
  <c r="C110" i="1"/>
  <c r="B110" i="1"/>
  <c r="J109" i="1"/>
  <c r="J108" i="1"/>
  <c r="I106" i="1"/>
  <c r="H106" i="1"/>
  <c r="G106" i="1"/>
  <c r="F106" i="1"/>
  <c r="E106" i="1"/>
  <c r="D106" i="1"/>
  <c r="C106" i="1"/>
  <c r="B106" i="1"/>
  <c r="J105" i="1"/>
  <c r="J104" i="1"/>
  <c r="I102" i="1"/>
  <c r="H102" i="1"/>
  <c r="G102" i="1"/>
  <c r="F102" i="1"/>
  <c r="E102" i="1"/>
  <c r="D102" i="1"/>
  <c r="C102" i="1"/>
  <c r="B102" i="1"/>
  <c r="J101" i="1"/>
  <c r="J100" i="1"/>
  <c r="J99" i="1"/>
  <c r="J98" i="1"/>
  <c r="J97" i="1"/>
  <c r="J96" i="1"/>
  <c r="J95" i="1"/>
  <c r="J94" i="1"/>
  <c r="J93" i="1"/>
  <c r="J92" i="1"/>
  <c r="J91" i="1"/>
  <c r="I86" i="1"/>
  <c r="H86" i="1"/>
  <c r="G86" i="1"/>
  <c r="F86" i="1"/>
  <c r="E86" i="1"/>
  <c r="D86" i="1"/>
  <c r="C86" i="1"/>
  <c r="B86" i="1"/>
  <c r="J85" i="1"/>
  <c r="J84" i="1"/>
  <c r="J83" i="1"/>
  <c r="I80" i="1"/>
  <c r="H80" i="1"/>
  <c r="G80" i="1"/>
  <c r="F80" i="1"/>
  <c r="E80" i="1"/>
  <c r="D80" i="1"/>
  <c r="C80" i="1"/>
  <c r="B80" i="1"/>
  <c r="J79" i="1"/>
  <c r="J80" i="1" s="1"/>
  <c r="I77" i="1"/>
  <c r="H77" i="1"/>
  <c r="G77" i="1"/>
  <c r="F77" i="1"/>
  <c r="E77" i="1"/>
  <c r="D77" i="1"/>
  <c r="C77" i="1"/>
  <c r="B77" i="1"/>
  <c r="J76" i="1"/>
  <c r="J75" i="1"/>
  <c r="I73" i="1"/>
  <c r="H73" i="1"/>
  <c r="G73" i="1"/>
  <c r="F73" i="1"/>
  <c r="E73" i="1"/>
  <c r="D73" i="1"/>
  <c r="C73" i="1"/>
  <c r="B73" i="1"/>
  <c r="J72" i="1"/>
  <c r="J71" i="1"/>
  <c r="J70" i="1"/>
  <c r="I68" i="1"/>
  <c r="H68" i="1"/>
  <c r="G68" i="1"/>
  <c r="F68" i="1"/>
  <c r="E68" i="1"/>
  <c r="D68" i="1"/>
  <c r="C68" i="1"/>
  <c r="B68" i="1"/>
  <c r="J67" i="1"/>
  <c r="J68" i="1" s="1"/>
  <c r="I63" i="1"/>
  <c r="I64" i="1" s="1"/>
  <c r="H63" i="1"/>
  <c r="H64" i="1" s="1"/>
  <c r="G63" i="1"/>
  <c r="G64" i="1" s="1"/>
  <c r="F63" i="1"/>
  <c r="F64" i="1" s="1"/>
  <c r="E63" i="1"/>
  <c r="E64" i="1" s="1"/>
  <c r="D63" i="1"/>
  <c r="D64" i="1" s="1"/>
  <c r="C63" i="1"/>
  <c r="C64" i="1" s="1"/>
  <c r="B63" i="1"/>
  <c r="B64" i="1" s="1"/>
  <c r="J62" i="1"/>
  <c r="J63" i="1" s="1"/>
  <c r="J64" i="1" s="1"/>
  <c r="I58" i="1"/>
  <c r="I59" i="1" s="1"/>
  <c r="H58" i="1"/>
  <c r="H59" i="1" s="1"/>
  <c r="G58" i="1"/>
  <c r="G59" i="1" s="1"/>
  <c r="F58" i="1"/>
  <c r="F59" i="1" s="1"/>
  <c r="E58" i="1"/>
  <c r="E59" i="1" s="1"/>
  <c r="D58" i="1"/>
  <c r="D59" i="1" s="1"/>
  <c r="C58" i="1"/>
  <c r="C59" i="1" s="1"/>
  <c r="B58" i="1"/>
  <c r="B59" i="1" s="1"/>
  <c r="J57" i="1"/>
  <c r="J58" i="1" s="1"/>
  <c r="J59" i="1" s="1"/>
  <c r="J53" i="1"/>
  <c r="I52" i="1"/>
  <c r="H52" i="1"/>
  <c r="G52" i="1"/>
  <c r="F52" i="1"/>
  <c r="E52" i="1"/>
  <c r="D52" i="1"/>
  <c r="C52" i="1"/>
  <c r="B52" i="1"/>
  <c r="J51" i="1"/>
  <c r="J52" i="1" s="1"/>
  <c r="I49" i="1"/>
  <c r="H49" i="1"/>
  <c r="G49" i="1"/>
  <c r="F49" i="1"/>
  <c r="E49" i="1"/>
  <c r="D49" i="1"/>
  <c r="C49" i="1"/>
  <c r="B49" i="1"/>
  <c r="J48" i="1"/>
  <c r="J47" i="1"/>
  <c r="I45" i="1"/>
  <c r="H45" i="1"/>
  <c r="G45" i="1"/>
  <c r="F45" i="1"/>
  <c r="E45" i="1"/>
  <c r="D45" i="1"/>
  <c r="C45" i="1"/>
  <c r="B45" i="1"/>
  <c r="J44" i="1"/>
  <c r="J45" i="1" s="1"/>
  <c r="I42" i="1"/>
  <c r="H42" i="1"/>
  <c r="G42" i="1"/>
  <c r="F42" i="1"/>
  <c r="E42" i="1"/>
  <c r="D42" i="1"/>
  <c r="C42" i="1"/>
  <c r="B42" i="1"/>
  <c r="J41" i="1"/>
  <c r="J40" i="1"/>
  <c r="I38" i="1"/>
  <c r="H38" i="1"/>
  <c r="G38" i="1"/>
  <c r="F38" i="1"/>
  <c r="E38" i="1"/>
  <c r="D38" i="1"/>
  <c r="C38" i="1"/>
  <c r="B38" i="1"/>
  <c r="J37" i="1"/>
  <c r="J36" i="1"/>
  <c r="J35" i="1"/>
  <c r="J34" i="1"/>
  <c r="J33" i="1"/>
  <c r="J32" i="1"/>
  <c r="J31" i="1"/>
  <c r="J30" i="1"/>
  <c r="I22" i="1"/>
  <c r="I23" i="1" s="1"/>
  <c r="H22" i="1"/>
  <c r="H23" i="1" s="1"/>
  <c r="G22" i="1"/>
  <c r="G23" i="1" s="1"/>
  <c r="F22" i="1"/>
  <c r="F23" i="1" s="1"/>
  <c r="E22" i="1"/>
  <c r="E23" i="1" s="1"/>
  <c r="D22" i="1"/>
  <c r="D23" i="1" s="1"/>
  <c r="C22" i="1"/>
  <c r="C23" i="1" s="1"/>
  <c r="B22" i="1"/>
  <c r="B23" i="1" s="1"/>
  <c r="J21" i="1"/>
  <c r="J20" i="1"/>
  <c r="J19" i="1"/>
  <c r="J15" i="1"/>
  <c r="J14" i="1"/>
  <c r="I13" i="1"/>
  <c r="I16" i="1" s="1"/>
  <c r="H13" i="1"/>
  <c r="H16" i="1" s="1"/>
  <c r="G13" i="1"/>
  <c r="G16" i="1" s="1"/>
  <c r="F13" i="1"/>
  <c r="F16" i="1" s="1"/>
  <c r="E13" i="1"/>
  <c r="E16" i="1" s="1"/>
  <c r="D13" i="1"/>
  <c r="D16" i="1" s="1"/>
  <c r="C13" i="1"/>
  <c r="C16" i="1" s="1"/>
  <c r="B13" i="1"/>
  <c r="B16" i="1" s="1"/>
  <c r="J12" i="1"/>
  <c r="J11" i="1"/>
  <c r="H6" i="2"/>
  <c r="R15" i="4"/>
  <c r="R17" i="4"/>
  <c r="R18" i="4"/>
  <c r="R19" i="4"/>
  <c r="R22" i="4"/>
  <c r="R23" i="4"/>
  <c r="R25" i="4"/>
  <c r="R26" i="4"/>
  <c r="R28" i="4"/>
  <c r="R29" i="4"/>
  <c r="R30" i="4"/>
  <c r="R31" i="4"/>
  <c r="R32" i="4"/>
  <c r="R33" i="4"/>
  <c r="R36" i="4"/>
  <c r="R38" i="4"/>
  <c r="R39" i="4"/>
  <c r="R40" i="4"/>
  <c r="R41" i="4"/>
  <c r="R43" i="4"/>
  <c r="R44" i="4"/>
  <c r="R45" i="4"/>
  <c r="R50" i="4"/>
  <c r="R52" i="4"/>
  <c r="N49" i="4"/>
  <c r="N48" i="4"/>
  <c r="N47" i="4"/>
  <c r="N42" i="4"/>
  <c r="L84" i="3"/>
  <c r="J63" i="3"/>
  <c r="L222" i="3"/>
  <c r="H113" i="3"/>
  <c r="F48" i="4"/>
  <c r="G48" i="4"/>
  <c r="H48" i="4"/>
  <c r="I48" i="4"/>
  <c r="J48" i="4"/>
  <c r="K48" i="4"/>
  <c r="L48" i="4"/>
  <c r="M48" i="4"/>
  <c r="E48" i="4"/>
  <c r="F47" i="4"/>
  <c r="F49" i="4"/>
  <c r="F42" i="4"/>
  <c r="F6" i="4"/>
  <c r="L225" i="3"/>
  <c r="L224" i="3"/>
  <c r="L220" i="3"/>
  <c r="L217" i="3"/>
  <c r="L216" i="3"/>
  <c r="L215" i="3"/>
  <c r="J93" i="14" s="1"/>
  <c r="E93" i="14" s="1"/>
  <c r="L20" i="5" s="1"/>
  <c r="L214" i="3"/>
  <c r="L213" i="3"/>
  <c r="L212" i="3"/>
  <c r="L211" i="3"/>
  <c r="L208" i="3"/>
  <c r="L199" i="3"/>
  <c r="L198" i="3"/>
  <c r="L197" i="3"/>
  <c r="L195" i="3"/>
  <c r="L196" i="3" s="1"/>
  <c r="L193" i="3"/>
  <c r="L191" i="3"/>
  <c r="L192" i="3" s="1"/>
  <c r="L188" i="3"/>
  <c r="L187" i="3"/>
  <c r="L186" i="3"/>
  <c r="L185" i="3"/>
  <c r="L182" i="3"/>
  <c r="L181" i="3"/>
  <c r="L180" i="3"/>
  <c r="L177" i="3"/>
  <c r="L176" i="3"/>
  <c r="L175" i="3"/>
  <c r="L174" i="3"/>
  <c r="L172" i="3"/>
  <c r="L170" i="3"/>
  <c r="L169" i="3"/>
  <c r="L166" i="3"/>
  <c r="L165" i="3"/>
  <c r="L164" i="3"/>
  <c r="L163" i="3"/>
  <c r="L162" i="3"/>
  <c r="L161" i="3"/>
  <c r="L160" i="3"/>
  <c r="L155" i="3"/>
  <c r="L154" i="3"/>
  <c r="L153" i="3"/>
  <c r="L152" i="3"/>
  <c r="L151" i="3"/>
  <c r="L150" i="3"/>
  <c r="L149" i="3"/>
  <c r="L148" i="3"/>
  <c r="L147" i="3"/>
  <c r="L146" i="3"/>
  <c r="L145" i="3"/>
  <c r="L144" i="3"/>
  <c r="L143" i="3"/>
  <c r="L138" i="3"/>
  <c r="L139" i="3" s="1"/>
  <c r="L135" i="3"/>
  <c r="L134" i="3"/>
  <c r="L128" i="3"/>
  <c r="L127" i="3"/>
  <c r="L126" i="3"/>
  <c r="L125" i="3"/>
  <c r="L122" i="3"/>
  <c r="L121" i="3"/>
  <c r="L120" i="3"/>
  <c r="L119" i="3"/>
  <c r="L114" i="3"/>
  <c r="L112" i="3"/>
  <c r="L111" i="3"/>
  <c r="L109" i="3"/>
  <c r="L107" i="3"/>
  <c r="L106" i="3"/>
  <c r="L102" i="3"/>
  <c r="L101" i="3"/>
  <c r="L100" i="3"/>
  <c r="L99" i="3"/>
  <c r="L96" i="3"/>
  <c r="L95" i="3"/>
  <c r="L94" i="3"/>
  <c r="L93" i="3"/>
  <c r="L92" i="3"/>
  <c r="L91" i="3"/>
  <c r="L90" i="3"/>
  <c r="L89" i="3"/>
  <c r="L85" i="3"/>
  <c r="L81" i="3"/>
  <c r="L80" i="3"/>
  <c r="L79" i="3"/>
  <c r="L78" i="3"/>
  <c r="L77" i="3"/>
  <c r="L76" i="3"/>
  <c r="L74" i="3"/>
  <c r="L71" i="3"/>
  <c r="L72" i="3" s="1"/>
  <c r="L67" i="3"/>
  <c r="L62" i="3"/>
  <c r="L61" i="3"/>
  <c r="L60" i="3"/>
  <c r="L59" i="3"/>
  <c r="L56" i="3"/>
  <c r="L55" i="3"/>
  <c r="L54" i="3"/>
  <c r="L51" i="3"/>
  <c r="L50" i="3"/>
  <c r="L49" i="3"/>
  <c r="L48" i="3"/>
  <c r="L47" i="3"/>
  <c r="L46" i="3"/>
  <c r="L45" i="3"/>
  <c r="L44" i="3"/>
  <c r="L41" i="3"/>
  <c r="L40" i="3"/>
  <c r="L37" i="3"/>
  <c r="L36" i="3"/>
  <c r="L33" i="3"/>
  <c r="L32" i="3"/>
  <c r="L31" i="3"/>
  <c r="L28" i="3"/>
  <c r="L27" i="3"/>
  <c r="L26" i="3"/>
  <c r="L24" i="3"/>
  <c r="L22" i="3"/>
  <c r="L23" i="3" s="1"/>
  <c r="L19" i="3"/>
  <c r="L18" i="3"/>
  <c r="L17" i="3"/>
  <c r="L16" i="3"/>
  <c r="L15" i="3"/>
  <c r="L14" i="3"/>
  <c r="L13" i="3"/>
  <c r="L11" i="3"/>
  <c r="K221" i="3"/>
  <c r="K218" i="3"/>
  <c r="K209" i="3"/>
  <c r="K196" i="3"/>
  <c r="K192" i="3"/>
  <c r="K189" i="3"/>
  <c r="K183" i="3"/>
  <c r="K178" i="3"/>
  <c r="K171" i="3"/>
  <c r="K167" i="3"/>
  <c r="K156" i="3"/>
  <c r="K157" i="3" s="1"/>
  <c r="K139" i="3"/>
  <c r="K136" i="3"/>
  <c r="K129" i="3"/>
  <c r="K123" i="3"/>
  <c r="K113" i="3"/>
  <c r="K108" i="3"/>
  <c r="K103" i="3"/>
  <c r="K97" i="3"/>
  <c r="K86" i="3"/>
  <c r="K82" i="3"/>
  <c r="K72" i="3"/>
  <c r="K68" i="3"/>
  <c r="K69" i="3" s="1"/>
  <c r="K63" i="3"/>
  <c r="K57" i="3"/>
  <c r="K52" i="3"/>
  <c r="K42" i="3"/>
  <c r="K38" i="3"/>
  <c r="K34" i="3"/>
  <c r="K29" i="3"/>
  <c r="K23" i="3"/>
  <c r="K20" i="3"/>
  <c r="J221" i="3"/>
  <c r="J218" i="3"/>
  <c r="J209" i="3"/>
  <c r="J196" i="3"/>
  <c r="J192" i="3"/>
  <c r="J189" i="3"/>
  <c r="J183" i="3"/>
  <c r="J178" i="3"/>
  <c r="J171" i="3"/>
  <c r="J167" i="3"/>
  <c r="J156" i="3"/>
  <c r="J157" i="3" s="1"/>
  <c r="J139" i="3"/>
  <c r="J136" i="3"/>
  <c r="J129" i="3"/>
  <c r="J123" i="3"/>
  <c r="J113" i="3"/>
  <c r="J108" i="3"/>
  <c r="J103" i="3"/>
  <c r="J97" i="3"/>
  <c r="J86" i="3"/>
  <c r="J82" i="3"/>
  <c r="J72" i="3"/>
  <c r="J68" i="3"/>
  <c r="J69" i="3" s="1"/>
  <c r="J57" i="3"/>
  <c r="J52" i="3"/>
  <c r="J42" i="3"/>
  <c r="J38" i="3"/>
  <c r="J34" i="3"/>
  <c r="J29" i="3"/>
  <c r="J23" i="3"/>
  <c r="J20" i="3"/>
  <c r="H221" i="3"/>
  <c r="H218" i="3"/>
  <c r="H209" i="3"/>
  <c r="H196" i="3"/>
  <c r="H192" i="3"/>
  <c r="H189" i="3"/>
  <c r="H183" i="3"/>
  <c r="H178" i="3"/>
  <c r="H171" i="3"/>
  <c r="H167" i="3"/>
  <c r="H156" i="3"/>
  <c r="H157" i="3" s="1"/>
  <c r="H139" i="3"/>
  <c r="H136" i="3"/>
  <c r="H129" i="3"/>
  <c r="H123" i="3"/>
  <c r="H108" i="3"/>
  <c r="H103" i="3"/>
  <c r="H97" i="3"/>
  <c r="H86" i="3"/>
  <c r="H82" i="3"/>
  <c r="H72" i="3"/>
  <c r="H68" i="3"/>
  <c r="H69" i="3" s="1"/>
  <c r="H63" i="3"/>
  <c r="H57" i="3"/>
  <c r="H52" i="3"/>
  <c r="H42" i="3"/>
  <c r="H38" i="3"/>
  <c r="H34" i="3"/>
  <c r="H29" i="3"/>
  <c r="H23" i="3"/>
  <c r="H20" i="3"/>
  <c r="I221" i="3"/>
  <c r="I218" i="3"/>
  <c r="I209" i="3"/>
  <c r="I196" i="3"/>
  <c r="I192" i="3"/>
  <c r="I189" i="3"/>
  <c r="I183" i="3"/>
  <c r="I178" i="3"/>
  <c r="I171" i="3"/>
  <c r="I167" i="3"/>
  <c r="I156" i="3"/>
  <c r="I157" i="3" s="1"/>
  <c r="I139" i="3"/>
  <c r="I136" i="3"/>
  <c r="I129" i="3"/>
  <c r="I123" i="3"/>
  <c r="I113" i="3"/>
  <c r="I108" i="3"/>
  <c r="I103" i="3"/>
  <c r="I97" i="3"/>
  <c r="I86" i="3"/>
  <c r="I82" i="3"/>
  <c r="I72" i="3"/>
  <c r="I68" i="3"/>
  <c r="I69" i="3" s="1"/>
  <c r="I63" i="3"/>
  <c r="I57" i="3"/>
  <c r="I52" i="3"/>
  <c r="I42" i="3"/>
  <c r="I38" i="3"/>
  <c r="I34" i="3"/>
  <c r="I29" i="3"/>
  <c r="I23" i="3"/>
  <c r="I20" i="3"/>
  <c r="G221" i="3"/>
  <c r="G218" i="3"/>
  <c r="G209" i="3"/>
  <c r="G196" i="3"/>
  <c r="G192" i="3"/>
  <c r="G189" i="3"/>
  <c r="G183" i="3"/>
  <c r="G178" i="3"/>
  <c r="G171" i="3"/>
  <c r="G167" i="3"/>
  <c r="G156" i="3"/>
  <c r="G157" i="3" s="1"/>
  <c r="G139" i="3"/>
  <c r="G136" i="3"/>
  <c r="G129" i="3"/>
  <c r="G123" i="3"/>
  <c r="G113" i="3"/>
  <c r="G108" i="3"/>
  <c r="G103" i="3"/>
  <c r="G97" i="3"/>
  <c r="G86" i="3"/>
  <c r="G82" i="3"/>
  <c r="G72" i="3"/>
  <c r="G68" i="3"/>
  <c r="G69" i="3" s="1"/>
  <c r="G63" i="3"/>
  <c r="G57" i="3"/>
  <c r="G52" i="3"/>
  <c r="G42" i="3"/>
  <c r="G38" i="3"/>
  <c r="G34" i="3"/>
  <c r="G29" i="3"/>
  <c r="G23" i="3"/>
  <c r="G20" i="3"/>
  <c r="F221" i="3"/>
  <c r="F218" i="3"/>
  <c r="F209" i="3"/>
  <c r="F196" i="3"/>
  <c r="F192" i="3"/>
  <c r="F189" i="3"/>
  <c r="F183" i="3"/>
  <c r="F178" i="3"/>
  <c r="F171" i="3"/>
  <c r="F167" i="3"/>
  <c r="F156" i="3"/>
  <c r="F157" i="3" s="1"/>
  <c r="F139" i="3"/>
  <c r="F136" i="3"/>
  <c r="F129" i="3"/>
  <c r="F123" i="3"/>
  <c r="F113" i="3"/>
  <c r="F108" i="3"/>
  <c r="F103" i="3"/>
  <c r="F97" i="3"/>
  <c r="F86" i="3"/>
  <c r="F82" i="3"/>
  <c r="F72" i="3"/>
  <c r="F68" i="3"/>
  <c r="F69" i="3" s="1"/>
  <c r="F63" i="3"/>
  <c r="F57" i="3"/>
  <c r="F52" i="3"/>
  <c r="F42" i="3"/>
  <c r="F38" i="3"/>
  <c r="F34" i="3"/>
  <c r="F29" i="3"/>
  <c r="F23" i="3"/>
  <c r="F20" i="3"/>
  <c r="E221" i="3"/>
  <c r="E218" i="3"/>
  <c r="E209" i="3"/>
  <c r="E196" i="3"/>
  <c r="E192" i="3"/>
  <c r="E189" i="3"/>
  <c r="E183" i="3"/>
  <c r="E178" i="3"/>
  <c r="E171" i="3"/>
  <c r="E167" i="3"/>
  <c r="E156" i="3"/>
  <c r="E157" i="3" s="1"/>
  <c r="E139" i="3"/>
  <c r="E136" i="3"/>
  <c r="E129" i="3"/>
  <c r="E123" i="3"/>
  <c r="E113" i="3"/>
  <c r="E108" i="3"/>
  <c r="E103" i="3"/>
  <c r="E97" i="3"/>
  <c r="E86" i="3"/>
  <c r="E82" i="3"/>
  <c r="E72" i="3"/>
  <c r="E68" i="3"/>
  <c r="E69" i="3" s="1"/>
  <c r="E63" i="3"/>
  <c r="E57" i="3"/>
  <c r="E52" i="3"/>
  <c r="E42" i="3"/>
  <c r="E38" i="3"/>
  <c r="E34" i="3"/>
  <c r="E29" i="3"/>
  <c r="E23" i="3"/>
  <c r="E20" i="3"/>
  <c r="D221" i="3"/>
  <c r="D218" i="3"/>
  <c r="D209" i="3"/>
  <c r="D196" i="3"/>
  <c r="D192" i="3"/>
  <c r="D189" i="3"/>
  <c r="D183" i="3"/>
  <c r="D178" i="3"/>
  <c r="D171" i="3"/>
  <c r="D167" i="3"/>
  <c r="D156" i="3"/>
  <c r="D157" i="3" s="1"/>
  <c r="D139" i="3"/>
  <c r="D136" i="3"/>
  <c r="D129" i="3"/>
  <c r="D123" i="3"/>
  <c r="D113" i="3"/>
  <c r="D108" i="3"/>
  <c r="D103" i="3"/>
  <c r="D97" i="3"/>
  <c r="D86" i="3"/>
  <c r="D82" i="3"/>
  <c r="D72" i="3"/>
  <c r="D68" i="3"/>
  <c r="D69" i="3" s="1"/>
  <c r="D63" i="3"/>
  <c r="D57" i="3"/>
  <c r="D52" i="3"/>
  <c r="D42" i="3"/>
  <c r="D38" i="3"/>
  <c r="D34" i="3"/>
  <c r="D29" i="3"/>
  <c r="D23" i="3"/>
  <c r="D20" i="3"/>
  <c r="C221" i="3"/>
  <c r="C218" i="3"/>
  <c r="C209" i="3"/>
  <c r="C196" i="3"/>
  <c r="C192" i="3"/>
  <c r="C189" i="3"/>
  <c r="C183" i="3"/>
  <c r="C178" i="3"/>
  <c r="C171" i="3"/>
  <c r="C167" i="3"/>
  <c r="C156" i="3"/>
  <c r="C157" i="3" s="1"/>
  <c r="C139" i="3"/>
  <c r="C136" i="3"/>
  <c r="C129" i="3"/>
  <c r="C123" i="3"/>
  <c r="C113" i="3"/>
  <c r="C108" i="3"/>
  <c r="C103" i="3"/>
  <c r="C97" i="3"/>
  <c r="C86" i="3"/>
  <c r="C82" i="3"/>
  <c r="C72" i="3"/>
  <c r="C68" i="3"/>
  <c r="C69" i="3" s="1"/>
  <c r="C63" i="3"/>
  <c r="C57" i="3"/>
  <c r="C52" i="3"/>
  <c r="C42" i="3"/>
  <c r="C38" i="3"/>
  <c r="C34" i="3"/>
  <c r="C29" i="3"/>
  <c r="C23" i="3"/>
  <c r="C20" i="3"/>
  <c r="B221" i="3"/>
  <c r="B218" i="3"/>
  <c r="B209" i="3"/>
  <c r="B196" i="3"/>
  <c r="B192" i="3"/>
  <c r="B189" i="3"/>
  <c r="B183" i="3"/>
  <c r="B178" i="3"/>
  <c r="B171" i="3"/>
  <c r="B167" i="3"/>
  <c r="B156" i="3"/>
  <c r="B157" i="3" s="1"/>
  <c r="B139" i="3"/>
  <c r="B136" i="3"/>
  <c r="B129" i="3"/>
  <c r="B123" i="3"/>
  <c r="B113" i="3"/>
  <c r="B108" i="3"/>
  <c r="B103" i="3"/>
  <c r="B97" i="3"/>
  <c r="B86" i="3"/>
  <c r="B82" i="3"/>
  <c r="B72" i="3"/>
  <c r="B68" i="3"/>
  <c r="B69" i="3" s="1"/>
  <c r="B63" i="3"/>
  <c r="B57" i="3"/>
  <c r="B52" i="3"/>
  <c r="B42" i="3"/>
  <c r="B38" i="3"/>
  <c r="B34" i="3"/>
  <c r="B29" i="3"/>
  <c r="B23" i="3"/>
  <c r="B20" i="3"/>
  <c r="N6" i="2"/>
  <c r="F6" i="2"/>
  <c r="G6" i="2"/>
  <c r="I6" i="2"/>
  <c r="J6" i="2"/>
  <c r="K6" i="2"/>
  <c r="L6" i="2"/>
  <c r="E6" i="2"/>
  <c r="Q6" i="4"/>
  <c r="G6" i="4"/>
  <c r="H6" i="4"/>
  <c r="I6" i="4"/>
  <c r="J6" i="4"/>
  <c r="K6" i="4"/>
  <c r="L6" i="4"/>
  <c r="E6" i="4"/>
  <c r="E52" i="26"/>
  <c r="E67" i="26" s="1"/>
  <c r="J840" i="1" l="1"/>
  <c r="N20" i="4"/>
  <c r="F20" i="4"/>
  <c r="L68" i="3"/>
  <c r="L69" i="3" s="1"/>
  <c r="L221" i="3"/>
  <c r="N13" i="4"/>
  <c r="F13" i="4"/>
  <c r="J900" i="1"/>
  <c r="J106" i="1"/>
  <c r="F485" i="1"/>
  <c r="J94" i="14"/>
  <c r="F130" i="3"/>
  <c r="L209" i="3"/>
  <c r="J92" i="14"/>
  <c r="H970" i="1"/>
  <c r="I970" i="1"/>
  <c r="J42" i="1"/>
  <c r="I468" i="1"/>
  <c r="B485" i="1"/>
  <c r="E394" i="1"/>
  <c r="E404" i="1" s="1"/>
  <c r="J207" i="1"/>
  <c r="G635" i="1"/>
  <c r="H168" i="1"/>
  <c r="J307" i="1"/>
  <c r="C24" i="1"/>
  <c r="J201" i="1"/>
  <c r="J202" i="1" s="1"/>
  <c r="F216" i="1"/>
  <c r="F222" i="1" s="1"/>
  <c r="J749" i="1"/>
  <c r="J750" i="1" s="1"/>
  <c r="J689" i="1"/>
  <c r="C932" i="1"/>
  <c r="C941" i="1" s="1"/>
  <c r="E67" i="10"/>
  <c r="J383" i="1"/>
  <c r="J398" i="1"/>
  <c r="J755" i="1"/>
  <c r="J13" i="1"/>
  <c r="J16" i="1" s="1"/>
  <c r="J110" i="1"/>
  <c r="J818" i="1"/>
  <c r="H24" i="1"/>
  <c r="H485" i="1"/>
  <c r="J533" i="1"/>
  <c r="C683" i="1"/>
  <c r="J664" i="1"/>
  <c r="J706" i="1"/>
  <c r="J707" i="1" s="1"/>
  <c r="E763" i="1"/>
  <c r="G302" i="1"/>
  <c r="G308" i="1" s="1"/>
  <c r="I24" i="1"/>
  <c r="C168" i="1"/>
  <c r="C394" i="1"/>
  <c r="C404" i="1" s="1"/>
  <c r="H468" i="1"/>
  <c r="J574" i="1"/>
  <c r="J957" i="1"/>
  <c r="J958" i="1" s="1"/>
  <c r="G168" i="1"/>
  <c r="J739" i="1"/>
  <c r="B763" i="1"/>
  <c r="F932" i="1"/>
  <c r="F941" i="1" s="1"/>
  <c r="D468" i="1"/>
  <c r="J22" i="1"/>
  <c r="J23" i="1" s="1"/>
  <c r="B216" i="1"/>
  <c r="B222" i="1" s="1"/>
  <c r="C468" i="1"/>
  <c r="J523" i="1"/>
  <c r="J524" i="1" s="1"/>
  <c r="B635" i="1"/>
  <c r="E652" i="1"/>
  <c r="I763" i="1"/>
  <c r="J908" i="1"/>
  <c r="J909" i="1" s="1"/>
  <c r="E68" i="10"/>
  <c r="J193" i="1"/>
  <c r="B468" i="1"/>
  <c r="C485" i="1"/>
  <c r="J601" i="1"/>
  <c r="F635" i="1"/>
  <c r="H652" i="1"/>
  <c r="C763" i="1"/>
  <c r="J759" i="1"/>
  <c r="H763" i="1"/>
  <c r="J791" i="1"/>
  <c r="I853" i="1"/>
  <c r="I863" i="1" s="1"/>
  <c r="I81" i="1"/>
  <c r="F81" i="1"/>
  <c r="E118" i="1"/>
  <c r="J211" i="1"/>
  <c r="B302" i="1"/>
  <c r="B308" i="1" s="1"/>
  <c r="B570" i="1"/>
  <c r="B580" i="1" s="1"/>
  <c r="J561" i="1"/>
  <c r="D683" i="1"/>
  <c r="G782" i="1"/>
  <c r="J777" i="1"/>
  <c r="I54" i="1"/>
  <c r="B118" i="1"/>
  <c r="I168" i="1"/>
  <c r="G932" i="1"/>
  <c r="G941" i="1" s="1"/>
  <c r="G54" i="1"/>
  <c r="G81" i="1"/>
  <c r="J86" i="1"/>
  <c r="C302" i="1"/>
  <c r="C308" i="1" s="1"/>
  <c r="J594" i="1"/>
  <c r="J595" i="1" s="1"/>
  <c r="B683" i="1"/>
  <c r="J694" i="1"/>
  <c r="J676" i="1"/>
  <c r="D970" i="1"/>
  <c r="J234" i="1"/>
  <c r="J235" i="1" s="1"/>
  <c r="J343" i="1"/>
  <c r="F468" i="1"/>
  <c r="G485" i="1"/>
  <c r="J579" i="1"/>
  <c r="H635" i="1"/>
  <c r="C652" i="1"/>
  <c r="F683" i="1"/>
  <c r="D763" i="1"/>
  <c r="C853" i="1"/>
  <c r="C863" i="1" s="1"/>
  <c r="J862" i="1"/>
  <c r="B932" i="1"/>
  <c r="B941" i="1" s="1"/>
  <c r="G970" i="1"/>
  <c r="E70" i="10"/>
  <c r="J515" i="1"/>
  <c r="C635" i="1"/>
  <c r="E81" i="1"/>
  <c r="J77" i="1"/>
  <c r="I118" i="1"/>
  <c r="G216" i="1"/>
  <c r="G222" i="1" s="1"/>
  <c r="D216" i="1"/>
  <c r="D222" i="1" s="1"/>
  <c r="J370" i="1"/>
  <c r="J389" i="1"/>
  <c r="J420" i="1"/>
  <c r="J421" i="1" s="1"/>
  <c r="F570" i="1"/>
  <c r="F580" i="1" s="1"/>
  <c r="C782" i="1"/>
  <c r="J773" i="1"/>
  <c r="F782" i="1"/>
  <c r="J786" i="1"/>
  <c r="E853" i="1"/>
  <c r="E863" i="1" s="1"/>
  <c r="J849" i="1"/>
  <c r="B970" i="1"/>
  <c r="D24" i="1"/>
  <c r="G8" i="2"/>
  <c r="H54" i="1"/>
  <c r="D302" i="1"/>
  <c r="D308" i="1" s="1"/>
  <c r="J365" i="1"/>
  <c r="J366" i="1" s="1"/>
  <c r="G570" i="1"/>
  <c r="G580" i="1" s="1"/>
  <c r="J609" i="1"/>
  <c r="I652" i="1"/>
  <c r="H683" i="1"/>
  <c r="D782" i="1"/>
  <c r="J874" i="1"/>
  <c r="J875" i="1" s="1"/>
  <c r="D932" i="1"/>
  <c r="D941" i="1" s="1"/>
  <c r="C81" i="1"/>
  <c r="J73" i="1"/>
  <c r="C118" i="1"/>
  <c r="J152" i="1"/>
  <c r="J153" i="1" s="1"/>
  <c r="J163" i="1"/>
  <c r="F168" i="1"/>
  <c r="J173" i="1"/>
  <c r="E302" i="1"/>
  <c r="E308" i="1" s="1"/>
  <c r="F394" i="1"/>
  <c r="F404" i="1" s="1"/>
  <c r="B394" i="1"/>
  <c r="B404" i="1" s="1"/>
  <c r="G394" i="1"/>
  <c r="G404" i="1" s="1"/>
  <c r="J473" i="1"/>
  <c r="J502" i="1"/>
  <c r="H570" i="1"/>
  <c r="H580" i="1" s="1"/>
  <c r="D635" i="1"/>
  <c r="B652" i="1"/>
  <c r="I683" i="1"/>
  <c r="J802" i="1"/>
  <c r="J803" i="1" s="1"/>
  <c r="J814" i="1"/>
  <c r="F853" i="1"/>
  <c r="F863" i="1" s="1"/>
  <c r="H853" i="1"/>
  <c r="H863" i="1" s="1"/>
  <c r="E932" i="1"/>
  <c r="E941" i="1" s="1"/>
  <c r="J967" i="1"/>
  <c r="J969" i="1" s="1"/>
  <c r="F24" i="1"/>
  <c r="J38" i="1"/>
  <c r="B54" i="1"/>
  <c r="D81" i="1"/>
  <c r="G118" i="1"/>
  <c r="I216" i="1"/>
  <c r="I222" i="1" s="1"/>
  <c r="J221" i="1"/>
  <c r="F302" i="1"/>
  <c r="F308" i="1" s="1"/>
  <c r="J298" i="1"/>
  <c r="J336" i="1"/>
  <c r="J393" i="1"/>
  <c r="E485" i="1"/>
  <c r="D485" i="1"/>
  <c r="J490" i="1"/>
  <c r="H506" i="1"/>
  <c r="D506" i="1"/>
  <c r="E635" i="1"/>
  <c r="F763" i="1"/>
  <c r="J834" i="1"/>
  <c r="J835" i="1" s="1"/>
  <c r="J890" i="1"/>
  <c r="J977" i="1"/>
  <c r="J978" i="1" s="1"/>
  <c r="G24" i="1"/>
  <c r="C54" i="1"/>
  <c r="J138" i="1"/>
  <c r="D168" i="1"/>
  <c r="G763" i="1"/>
  <c r="D54" i="1"/>
  <c r="F118" i="1"/>
  <c r="D118" i="1"/>
  <c r="J126" i="1"/>
  <c r="J127" i="1" s="1"/>
  <c r="E168" i="1"/>
  <c r="C216" i="1"/>
  <c r="C222" i="1" s="1"/>
  <c r="H216" i="1"/>
  <c r="H222" i="1" s="1"/>
  <c r="J464" i="1"/>
  <c r="J468" i="1" s="1"/>
  <c r="B506" i="1"/>
  <c r="F506" i="1"/>
  <c r="J630" i="1"/>
  <c r="H782" i="1"/>
  <c r="H932" i="1"/>
  <c r="H941" i="1" s="1"/>
  <c r="E970" i="1"/>
  <c r="H25" i="2" s="1"/>
  <c r="E54" i="1"/>
  <c r="B81" i="1"/>
  <c r="J102" i="1"/>
  <c r="J114" i="1"/>
  <c r="J143" i="1"/>
  <c r="B168" i="1"/>
  <c r="J167" i="1"/>
  <c r="J275" i="1"/>
  <c r="J276" i="1" s="1"/>
  <c r="I302" i="1"/>
  <c r="I308" i="1" s="1"/>
  <c r="J433" i="1"/>
  <c r="J441" i="1"/>
  <c r="G468" i="1"/>
  <c r="C506" i="1"/>
  <c r="G506" i="1"/>
  <c r="J510" i="1"/>
  <c r="I570" i="1"/>
  <c r="I580" i="1" s="1"/>
  <c r="D652" i="1"/>
  <c r="E683" i="1"/>
  <c r="I782" i="1"/>
  <c r="D853" i="1"/>
  <c r="D863" i="1" s="1"/>
  <c r="F970" i="1"/>
  <c r="H394" i="1"/>
  <c r="H404" i="1" s="1"/>
  <c r="B24" i="1"/>
  <c r="F54" i="1"/>
  <c r="J49" i="1"/>
  <c r="H81" i="1"/>
  <c r="H118" i="1"/>
  <c r="J215" i="1"/>
  <c r="J294" i="1"/>
  <c r="J452" i="1"/>
  <c r="J485" i="1"/>
  <c r="I485" i="1"/>
  <c r="J619" i="1"/>
  <c r="I635" i="1"/>
  <c r="G652" i="1"/>
  <c r="J659" i="1"/>
  <c r="J682" i="1"/>
  <c r="B782" i="1"/>
  <c r="E782" i="1"/>
  <c r="J781" i="1"/>
  <c r="J845" i="1"/>
  <c r="J923" i="1"/>
  <c r="N21" i="4"/>
  <c r="Q13" i="4"/>
  <c r="S13" i="4" s="1"/>
  <c r="Q48" i="4"/>
  <c r="R48" i="4" s="1"/>
  <c r="E24" i="1"/>
  <c r="H8" i="2"/>
  <c r="I506" i="1"/>
  <c r="G853" i="1"/>
  <c r="G863" i="1" s="1"/>
  <c r="J928" i="1"/>
  <c r="E216" i="1"/>
  <c r="E222" i="1" s="1"/>
  <c r="J246" i="1"/>
  <c r="J496" i="1"/>
  <c r="F652" i="1"/>
  <c r="J670" i="1"/>
  <c r="J728" i="1"/>
  <c r="J884" i="1"/>
  <c r="J940" i="1"/>
  <c r="J255" i="1"/>
  <c r="I394" i="1"/>
  <c r="I404" i="1" s="1"/>
  <c r="H302" i="1"/>
  <c r="H308" i="1" s="1"/>
  <c r="J321" i="1"/>
  <c r="J322" i="1" s="1"/>
  <c r="J353" i="1"/>
  <c r="J403" i="1"/>
  <c r="J456" i="1"/>
  <c r="C570" i="1"/>
  <c r="C580" i="1" s="1"/>
  <c r="J634" i="1"/>
  <c r="G683" i="1"/>
  <c r="B853" i="1"/>
  <c r="B863" i="1" s="1"/>
  <c r="E506" i="1"/>
  <c r="J549" i="1"/>
  <c r="D570" i="1"/>
  <c r="D580" i="1" s="1"/>
  <c r="I932" i="1"/>
  <c r="I941" i="1" s="1"/>
  <c r="D394" i="1"/>
  <c r="D404" i="1" s="1"/>
  <c r="E468" i="1"/>
  <c r="J477" i="1"/>
  <c r="E570" i="1"/>
  <c r="E580" i="1" s="1"/>
  <c r="J566" i="1"/>
  <c r="J652" i="1"/>
  <c r="J720" i="1"/>
  <c r="C970" i="1"/>
  <c r="N46" i="4"/>
  <c r="N51" i="4" s="1"/>
  <c r="N12" i="4"/>
  <c r="M11" i="4"/>
  <c r="N11" i="4"/>
  <c r="N35" i="4"/>
  <c r="L42" i="3"/>
  <c r="G130" i="3"/>
  <c r="L171" i="3"/>
  <c r="L86" i="3"/>
  <c r="F35" i="4"/>
  <c r="L136" i="3"/>
  <c r="L140" i="3" s="1"/>
  <c r="L108" i="3"/>
  <c r="H140" i="3"/>
  <c r="I34" i="4" s="1"/>
  <c r="E12" i="4"/>
  <c r="F12" i="4"/>
  <c r="L38" i="3"/>
  <c r="E140" i="3"/>
  <c r="G34" i="4" s="1"/>
  <c r="E104" i="3"/>
  <c r="E115" i="3" s="1"/>
  <c r="F46" i="4"/>
  <c r="F51" i="4" s="1"/>
  <c r="I104" i="3"/>
  <c r="J14" i="4" s="1"/>
  <c r="H104" i="3"/>
  <c r="H115" i="3" s="1"/>
  <c r="J104" i="3"/>
  <c r="J115" i="3" s="1"/>
  <c r="G140" i="3"/>
  <c r="D223" i="3"/>
  <c r="D226" i="3" s="1"/>
  <c r="J200" i="3"/>
  <c r="L57" i="3"/>
  <c r="L103" i="3"/>
  <c r="L113" i="3"/>
  <c r="K11" i="4"/>
  <c r="E11" i="4"/>
  <c r="D130" i="3"/>
  <c r="F21" i="4"/>
  <c r="E223" i="3"/>
  <c r="E226" i="3" s="1"/>
  <c r="G104" i="3"/>
  <c r="G115" i="3" s="1"/>
  <c r="K130" i="3"/>
  <c r="L218" i="3"/>
  <c r="L97" i="3"/>
  <c r="F64" i="3"/>
  <c r="G64" i="3"/>
  <c r="G200" i="3"/>
  <c r="G223" i="3"/>
  <c r="G226" i="3" s="1"/>
  <c r="L183" i="3"/>
  <c r="D140" i="3"/>
  <c r="H223" i="3"/>
  <c r="H226" i="3" s="1"/>
  <c r="I64" i="3"/>
  <c r="K223" i="3"/>
  <c r="K226" i="3" s="1"/>
  <c r="L34" i="3"/>
  <c r="F11" i="4"/>
  <c r="C223" i="3"/>
  <c r="C226" i="3" s="1"/>
  <c r="D104" i="3"/>
  <c r="D115" i="3" s="1"/>
  <c r="J130" i="3"/>
  <c r="J223" i="3"/>
  <c r="J226" i="3" s="1"/>
  <c r="L178" i="3"/>
  <c r="C104" i="3"/>
  <c r="C115" i="3" s="1"/>
  <c r="E130" i="3"/>
  <c r="H130" i="3"/>
  <c r="K140" i="3"/>
  <c r="L34" i="4" s="1"/>
  <c r="L156" i="3"/>
  <c r="L157" i="3" s="1"/>
  <c r="I223" i="3"/>
  <c r="I226" i="3" s="1"/>
  <c r="J64" i="3"/>
  <c r="K104" i="3"/>
  <c r="K115" i="3" s="1"/>
  <c r="L29" i="3"/>
  <c r="L129" i="3"/>
  <c r="B223" i="3"/>
  <c r="B226" i="3" s="1"/>
  <c r="L52" i="3"/>
  <c r="L123" i="3"/>
  <c r="L189" i="3"/>
  <c r="K200" i="3"/>
  <c r="C64" i="3"/>
  <c r="D64" i="3"/>
  <c r="F104" i="3"/>
  <c r="F115" i="3" s="1"/>
  <c r="I130" i="3"/>
  <c r="J140" i="3"/>
  <c r="K64" i="3"/>
  <c r="I200" i="3"/>
  <c r="H64" i="3"/>
  <c r="L167" i="3"/>
  <c r="B140" i="3"/>
  <c r="M34" i="4" s="1"/>
  <c r="C140" i="3"/>
  <c r="F223" i="3"/>
  <c r="F226" i="3" s="1"/>
  <c r="I140" i="3"/>
  <c r="J34" i="4" s="1"/>
  <c r="H200" i="3"/>
  <c r="L20" i="3"/>
  <c r="L63" i="3"/>
  <c r="L82" i="3"/>
  <c r="F140" i="3"/>
  <c r="H34" i="4" s="1"/>
  <c r="E64" i="3"/>
  <c r="C200" i="3"/>
  <c r="E200" i="3"/>
  <c r="C130" i="3"/>
  <c r="D200" i="3"/>
  <c r="D201" i="3" s="1"/>
  <c r="F200" i="3"/>
  <c r="B104" i="3"/>
  <c r="B115" i="3" s="1"/>
  <c r="B64" i="3"/>
  <c r="B200" i="3"/>
  <c r="B130" i="3"/>
  <c r="E43" i="21"/>
  <c r="G43" i="21"/>
  <c r="E147" i="25"/>
  <c r="E140" i="25"/>
  <c r="H132" i="25"/>
  <c r="F132" i="25"/>
  <c r="C683" i="24"/>
  <c r="D680" i="24" s="1"/>
  <c r="E680" i="24" s="1"/>
  <c r="E201" i="3" l="1"/>
  <c r="F24" i="4"/>
  <c r="N24" i="4"/>
  <c r="N34" i="4"/>
  <c r="N37" i="4" s="1"/>
  <c r="N53" i="4" s="1"/>
  <c r="L223" i="3"/>
  <c r="L226" i="3" s="1"/>
  <c r="H174" i="1"/>
  <c r="C792" i="1"/>
  <c r="E87" i="1"/>
  <c r="F516" i="1"/>
  <c r="F581" i="1" s="1"/>
  <c r="G792" i="1"/>
  <c r="J81" i="1"/>
  <c r="D792" i="1"/>
  <c r="I87" i="1"/>
  <c r="J763" i="1"/>
  <c r="F87" i="1"/>
  <c r="C174" i="1"/>
  <c r="G174" i="1"/>
  <c r="H87" i="1"/>
  <c r="I695" i="1"/>
  <c r="B792" i="1"/>
  <c r="J24" i="1"/>
  <c r="C695" i="1"/>
  <c r="F695" i="1"/>
  <c r="G87" i="1"/>
  <c r="B516" i="1"/>
  <c r="B581" i="1" s="1"/>
  <c r="C516" i="1"/>
  <c r="C581" i="1" s="1"/>
  <c r="I792" i="1"/>
  <c r="E695" i="1"/>
  <c r="H792" i="1"/>
  <c r="H695" i="1"/>
  <c r="G695" i="1"/>
  <c r="H516" i="1"/>
  <c r="H581" i="1" s="1"/>
  <c r="E792" i="1"/>
  <c r="J118" i="1"/>
  <c r="D695" i="1"/>
  <c r="J683" i="1"/>
  <c r="J394" i="1"/>
  <c r="J404" i="1" s="1"/>
  <c r="J216" i="1"/>
  <c r="J222" i="1" s="1"/>
  <c r="J302" i="1"/>
  <c r="J308" i="1" s="1"/>
  <c r="C87" i="1"/>
  <c r="B405" i="1"/>
  <c r="J168" i="1"/>
  <c r="J570" i="1"/>
  <c r="J580" i="1" s="1"/>
  <c r="B695" i="1"/>
  <c r="B942" i="1" s="1"/>
  <c r="E405" i="1"/>
  <c r="H15" i="2" s="1"/>
  <c r="C405" i="1"/>
  <c r="J853" i="1"/>
  <c r="J863" i="1" s="1"/>
  <c r="F405" i="1"/>
  <c r="J970" i="1"/>
  <c r="N25" i="2" s="1"/>
  <c r="J506" i="1"/>
  <c r="J516" i="1" s="1"/>
  <c r="G405" i="1"/>
  <c r="J15" i="2" s="1"/>
  <c r="I174" i="1"/>
  <c r="B174" i="1"/>
  <c r="D516" i="1"/>
  <c r="D581" i="1" s="1"/>
  <c r="F174" i="1"/>
  <c r="E516" i="1"/>
  <c r="E581" i="1" s="1"/>
  <c r="J932" i="1"/>
  <c r="J941" i="1" s="1"/>
  <c r="J782" i="1"/>
  <c r="I516" i="1"/>
  <c r="I581" i="1" s="1"/>
  <c r="G516" i="1"/>
  <c r="G581" i="1" s="1"/>
  <c r="E174" i="1"/>
  <c r="D174" i="1"/>
  <c r="F792" i="1"/>
  <c r="D87" i="1"/>
  <c r="B87" i="1"/>
  <c r="I405" i="1"/>
  <c r="L15" i="2" s="1"/>
  <c r="J54" i="1"/>
  <c r="J87" i="1" s="1"/>
  <c r="J635" i="1"/>
  <c r="H405" i="1"/>
  <c r="K116" i="3"/>
  <c r="Q34" i="4"/>
  <c r="D405" i="1"/>
  <c r="N14" i="4"/>
  <c r="N16" i="4" s="1"/>
  <c r="G201" i="3"/>
  <c r="I115" i="3"/>
  <c r="I116" i="3" s="1"/>
  <c r="H201" i="3"/>
  <c r="M14" i="4"/>
  <c r="C201" i="3"/>
  <c r="E116" i="3"/>
  <c r="E202" i="3" s="1"/>
  <c r="E203" i="3" s="1"/>
  <c r="E204" i="3" s="1"/>
  <c r="L14" i="4"/>
  <c r="C116" i="3"/>
  <c r="F34" i="4"/>
  <c r="F37" i="4" s="1"/>
  <c r="F53" i="4" s="1"/>
  <c r="F201" i="3"/>
  <c r="F14" i="4"/>
  <c r="F16" i="4" s="1"/>
  <c r="L104" i="3"/>
  <c r="L115" i="3" s="1"/>
  <c r="F116" i="3"/>
  <c r="K14" i="4"/>
  <c r="J116" i="3"/>
  <c r="L200" i="3"/>
  <c r="L201" i="3" s="1"/>
  <c r="L64" i="3"/>
  <c r="J201" i="3"/>
  <c r="K34" i="4"/>
  <c r="L130" i="3"/>
  <c r="D116" i="3"/>
  <c r="D202" i="3" s="1"/>
  <c r="D203" i="3" s="1"/>
  <c r="D204" i="3" s="1"/>
  <c r="G116" i="3"/>
  <c r="H116" i="3"/>
  <c r="K201" i="3"/>
  <c r="B201" i="3"/>
  <c r="I201" i="3"/>
  <c r="B116" i="3"/>
  <c r="E99" i="26"/>
  <c r="E111" i="26"/>
  <c r="N90" i="26"/>
  <c r="C175" i="1" l="1"/>
  <c r="C176" i="1" s="1"/>
  <c r="C177" i="1" s="1"/>
  <c r="C178" i="1" s="1"/>
  <c r="N27" i="4"/>
  <c r="N55" i="4" s="1"/>
  <c r="F27" i="4"/>
  <c r="F55" i="4" s="1"/>
  <c r="E175" i="1"/>
  <c r="E176" i="1" s="1"/>
  <c r="E177" i="1" s="1"/>
  <c r="K202" i="3"/>
  <c r="K203" i="3" s="1"/>
  <c r="K204" i="3" s="1"/>
  <c r="H175" i="1"/>
  <c r="H176" i="1" s="1"/>
  <c r="H177" i="1" s="1"/>
  <c r="H178" i="1" s="1"/>
  <c r="C942" i="1"/>
  <c r="C943" i="1" s="1"/>
  <c r="C944" i="1" s="1"/>
  <c r="C971" i="1" s="1"/>
  <c r="C979" i="1" s="1"/>
  <c r="I942" i="1"/>
  <c r="I943" i="1" s="1"/>
  <c r="G942" i="1"/>
  <c r="G943" i="1" s="1"/>
  <c r="I175" i="1"/>
  <c r="I176" i="1" s="1"/>
  <c r="I177" i="1" s="1"/>
  <c r="I178" i="1" s="1"/>
  <c r="D942" i="1"/>
  <c r="D943" i="1" s="1"/>
  <c r="H942" i="1"/>
  <c r="H943" i="1" s="1"/>
  <c r="J792" i="1"/>
  <c r="J174" i="1"/>
  <c r="J175" i="1" s="1"/>
  <c r="J176" i="1" s="1"/>
  <c r="E942" i="1"/>
  <c r="H17" i="2" s="1"/>
  <c r="G175" i="1"/>
  <c r="G176" i="1" s="1"/>
  <c r="G177" i="1" s="1"/>
  <c r="G178" i="1" s="1"/>
  <c r="J695" i="1"/>
  <c r="B175" i="1"/>
  <c r="B176" i="1" s="1"/>
  <c r="B177" i="1" s="1"/>
  <c r="B178" i="1" s="1"/>
  <c r="B943" i="1"/>
  <c r="F942" i="1"/>
  <c r="F943" i="1" s="1"/>
  <c r="F175" i="1"/>
  <c r="F176" i="1" s="1"/>
  <c r="F177" i="1" s="1"/>
  <c r="F178" i="1" s="1"/>
  <c r="D175" i="1"/>
  <c r="D176" i="1" s="1"/>
  <c r="D177" i="1" s="1"/>
  <c r="K15" i="2"/>
  <c r="J405" i="1"/>
  <c r="N15" i="2" s="1"/>
  <c r="J581" i="1"/>
  <c r="N16" i="2" s="1"/>
  <c r="G202" i="3"/>
  <c r="G203" i="3" s="1"/>
  <c r="G204" i="3" s="1"/>
  <c r="Q14" i="4"/>
  <c r="I15" i="2"/>
  <c r="H16" i="2"/>
  <c r="C202" i="3"/>
  <c r="C203" i="3" s="1"/>
  <c r="C204" i="3" s="1"/>
  <c r="H202" i="3"/>
  <c r="H203" i="3" s="1"/>
  <c r="H204" i="3" s="1"/>
  <c r="F202" i="3"/>
  <c r="F203" i="3" s="1"/>
  <c r="F204" i="3" s="1"/>
  <c r="I202" i="3"/>
  <c r="I203" i="3" s="1"/>
  <c r="I204" i="3" s="1"/>
  <c r="J202" i="3"/>
  <c r="J203" i="3" s="1"/>
  <c r="J204" i="3" s="1"/>
  <c r="L116" i="3"/>
  <c r="L202" i="3" s="1"/>
  <c r="L203" i="3" s="1"/>
  <c r="L204" i="3" s="1"/>
  <c r="B202" i="3"/>
  <c r="B203" i="3" s="1"/>
  <c r="B204" i="3" s="1"/>
  <c r="E100" i="26"/>
  <c r="J200" i="15"/>
  <c r="J199" i="15"/>
  <c r="J198" i="15"/>
  <c r="J197" i="15"/>
  <c r="J196" i="15"/>
  <c r="J195" i="15"/>
  <c r="J194" i="15"/>
  <c r="J193" i="15"/>
  <c r="J192" i="15"/>
  <c r="J191" i="15"/>
  <c r="J190" i="15"/>
  <c r="J189" i="15"/>
  <c r="J188" i="15"/>
  <c r="J187" i="15"/>
  <c r="J186" i="15"/>
  <c r="J185" i="15"/>
  <c r="J184" i="15"/>
  <c r="J183" i="15"/>
  <c r="J182" i="15"/>
  <c r="J181" i="15"/>
  <c r="J180" i="15"/>
  <c r="J179" i="15"/>
  <c r="J178" i="15"/>
  <c r="J177" i="15"/>
  <c r="J176" i="15"/>
  <c r="J175" i="15"/>
  <c r="J174" i="15"/>
  <c r="J173" i="15"/>
  <c r="J172" i="15"/>
  <c r="J171" i="15"/>
  <c r="J170" i="15"/>
  <c r="J169" i="15"/>
  <c r="J168" i="15"/>
  <c r="J167" i="15"/>
  <c r="J166" i="15"/>
  <c r="J165" i="15"/>
  <c r="J164" i="15"/>
  <c r="J163" i="15"/>
  <c r="J162" i="15"/>
  <c r="J161" i="15"/>
  <c r="J160" i="15"/>
  <c r="J159" i="15"/>
  <c r="J158" i="15"/>
  <c r="J157" i="15"/>
  <c r="J156" i="15"/>
  <c r="J155" i="15"/>
  <c r="J154" i="15"/>
  <c r="J153" i="15"/>
  <c r="J152" i="15"/>
  <c r="J151" i="15"/>
  <c r="J150" i="15"/>
  <c r="J149" i="15"/>
  <c r="J148" i="15"/>
  <c r="J147" i="15"/>
  <c r="J146" i="15"/>
  <c r="J145" i="15"/>
  <c r="J144" i="15"/>
  <c r="J143" i="15"/>
  <c r="J142" i="15"/>
  <c r="J141" i="15"/>
  <c r="J140" i="15"/>
  <c r="J139" i="15"/>
  <c r="J138" i="15"/>
  <c r="J137" i="15"/>
  <c r="J136" i="15"/>
  <c r="J135" i="15"/>
  <c r="J134" i="15"/>
  <c r="J133" i="15"/>
  <c r="J132" i="15"/>
  <c r="J131" i="15"/>
  <c r="J130" i="15"/>
  <c r="J129" i="15"/>
  <c r="J128" i="15"/>
  <c r="J127" i="15"/>
  <c r="J126" i="15"/>
  <c r="J125" i="15"/>
  <c r="J124" i="15"/>
  <c r="J123" i="15"/>
  <c r="J122" i="15"/>
  <c r="J121" i="15"/>
  <c r="J120" i="15"/>
  <c r="J119" i="15"/>
  <c r="J118" i="15"/>
  <c r="J117" i="15"/>
  <c r="J116" i="15"/>
  <c r="J115" i="15"/>
  <c r="J114" i="15"/>
  <c r="J113" i="15"/>
  <c r="J112" i="15"/>
  <c r="J111" i="15"/>
  <c r="J110" i="15"/>
  <c r="J109" i="15"/>
  <c r="J108" i="15"/>
  <c r="J107" i="15"/>
  <c r="J106" i="15"/>
  <c r="J105" i="15"/>
  <c r="J104" i="15"/>
  <c r="J103" i="15"/>
  <c r="J102" i="15"/>
  <c r="J101" i="15"/>
  <c r="J100" i="15"/>
  <c r="J99" i="15"/>
  <c r="J98" i="15"/>
  <c r="J97" i="15"/>
  <c r="J96" i="15"/>
  <c r="J95" i="15"/>
  <c r="J94" i="15"/>
  <c r="J93" i="15"/>
  <c r="J92" i="15"/>
  <c r="J91" i="15"/>
  <c r="J90" i="15"/>
  <c r="J89" i="15"/>
  <c r="J88" i="15"/>
  <c r="J87" i="15"/>
  <c r="J86" i="15"/>
  <c r="J85" i="15"/>
  <c r="J84" i="15"/>
  <c r="J83" i="15"/>
  <c r="J82" i="15"/>
  <c r="J81" i="15"/>
  <c r="J80" i="15"/>
  <c r="J79" i="15"/>
  <c r="J78" i="15"/>
  <c r="J77" i="15"/>
  <c r="J76" i="15"/>
  <c r="J75" i="15"/>
  <c r="J74" i="15"/>
  <c r="J73" i="15"/>
  <c r="J72" i="15"/>
  <c r="J71" i="15"/>
  <c r="J70" i="15"/>
  <c r="J69" i="15"/>
  <c r="J68" i="15"/>
  <c r="J67" i="15"/>
  <c r="J66" i="15"/>
  <c r="J65" i="15"/>
  <c r="J64" i="15"/>
  <c r="J63" i="15"/>
  <c r="J62" i="15"/>
  <c r="J61" i="15"/>
  <c r="I61" i="15"/>
  <c r="H61" i="15"/>
  <c r="G61" i="15"/>
  <c r="F61" i="15"/>
  <c r="E61" i="15"/>
  <c r="D61" i="15"/>
  <c r="C61" i="15"/>
  <c r="B61" i="15"/>
  <c r="J60" i="15"/>
  <c r="J59" i="15"/>
  <c r="J58" i="15"/>
  <c r="J57" i="15"/>
  <c r="I57" i="15"/>
  <c r="H57" i="15"/>
  <c r="G57" i="15"/>
  <c r="F57" i="15"/>
  <c r="E57" i="15"/>
  <c r="D57" i="15"/>
  <c r="C57" i="15"/>
  <c r="B57" i="15"/>
  <c r="J56" i="15"/>
  <c r="J55" i="15"/>
  <c r="J54" i="15"/>
  <c r="I54" i="15"/>
  <c r="H54" i="15"/>
  <c r="G54" i="15"/>
  <c r="F54" i="15"/>
  <c r="E54" i="15"/>
  <c r="D54" i="15"/>
  <c r="C54" i="15"/>
  <c r="B54" i="15"/>
  <c r="J53" i="15"/>
  <c r="J52" i="15"/>
  <c r="J51" i="15"/>
  <c r="J50" i="15"/>
  <c r="J49" i="15"/>
  <c r="J48" i="15"/>
  <c r="I48" i="15"/>
  <c r="H48" i="15"/>
  <c r="G48" i="15"/>
  <c r="F48" i="15"/>
  <c r="E48" i="15"/>
  <c r="D48" i="15"/>
  <c r="C48" i="15"/>
  <c r="B48" i="15"/>
  <c r="J47" i="15"/>
  <c r="J46" i="15"/>
  <c r="J45" i="15"/>
  <c r="I45" i="15"/>
  <c r="H45" i="15"/>
  <c r="G45" i="15"/>
  <c r="F45" i="15"/>
  <c r="E45" i="15"/>
  <c r="D45" i="15"/>
  <c r="C45" i="15"/>
  <c r="B45" i="15"/>
  <c r="J44" i="15"/>
  <c r="J43" i="15"/>
  <c r="J42" i="15"/>
  <c r="J41" i="15"/>
  <c r="J40" i="15"/>
  <c r="I40" i="15"/>
  <c r="H40" i="15"/>
  <c r="G40" i="15"/>
  <c r="F40" i="15"/>
  <c r="E40" i="15"/>
  <c r="D40" i="15"/>
  <c r="C40" i="15"/>
  <c r="B40" i="15"/>
  <c r="J39" i="15"/>
  <c r="J38" i="15"/>
  <c r="J37" i="15"/>
  <c r="J36" i="15"/>
  <c r="I36" i="15"/>
  <c r="H36" i="15"/>
  <c r="G36" i="15"/>
  <c r="F36" i="15"/>
  <c r="E36" i="15"/>
  <c r="D36" i="15"/>
  <c r="C36" i="15"/>
  <c r="B36" i="15"/>
  <c r="J35" i="15"/>
  <c r="J34" i="15"/>
  <c r="J33" i="15"/>
  <c r="I33" i="15"/>
  <c r="H33" i="15"/>
  <c r="G33" i="15"/>
  <c r="F33" i="15"/>
  <c r="E33" i="15"/>
  <c r="D33" i="15"/>
  <c r="C33" i="15"/>
  <c r="B33" i="15"/>
  <c r="J32" i="15"/>
  <c r="J31" i="15"/>
  <c r="J30" i="15"/>
  <c r="I30" i="15"/>
  <c r="H30" i="15"/>
  <c r="G30" i="15"/>
  <c r="F30" i="15"/>
  <c r="E30" i="15"/>
  <c r="D30" i="15"/>
  <c r="C30" i="15"/>
  <c r="B30" i="15"/>
  <c r="J29" i="15"/>
  <c r="J28" i="15"/>
  <c r="J27" i="15"/>
  <c r="J26" i="15"/>
  <c r="I26" i="15"/>
  <c r="H26" i="15"/>
  <c r="G26" i="15"/>
  <c r="F26" i="15"/>
  <c r="E26" i="15"/>
  <c r="D26" i="15"/>
  <c r="C26" i="15"/>
  <c r="B26" i="15"/>
  <c r="J25" i="15"/>
  <c r="J24" i="15"/>
  <c r="J23" i="15"/>
  <c r="J22" i="15"/>
  <c r="J21" i="15"/>
  <c r="I21" i="15"/>
  <c r="H21" i="15"/>
  <c r="G21" i="15"/>
  <c r="F21" i="15"/>
  <c r="E21" i="15"/>
  <c r="D21" i="15"/>
  <c r="C21" i="15"/>
  <c r="B21" i="15"/>
  <c r="J20" i="15"/>
  <c r="J19" i="15"/>
  <c r="J18" i="15"/>
  <c r="J17" i="15"/>
  <c r="I17" i="15"/>
  <c r="H17" i="15"/>
  <c r="G17" i="15"/>
  <c r="F17" i="15"/>
  <c r="E17" i="15"/>
  <c r="D17" i="15"/>
  <c r="C17" i="15"/>
  <c r="B17" i="15"/>
  <c r="J16" i="15"/>
  <c r="J15" i="15"/>
  <c r="J14" i="15"/>
  <c r="J13" i="15"/>
  <c r="J12" i="15"/>
  <c r="D154" i="25"/>
  <c r="E153" i="25"/>
  <c r="E152" i="25"/>
  <c r="B150" i="25"/>
  <c r="E149" i="25"/>
  <c r="E148" i="25"/>
  <c r="H16" i="23"/>
  <c r="L16" i="23" s="1"/>
  <c r="E146" i="25"/>
  <c r="E145" i="25"/>
  <c r="E144" i="25"/>
  <c r="E143" i="25"/>
  <c r="B141" i="25"/>
  <c r="G135" i="25"/>
  <c r="F135" i="25"/>
  <c r="B130" i="25"/>
  <c r="B125" i="25"/>
  <c r="B122" i="25"/>
  <c r="B118" i="25"/>
  <c r="B114" i="25"/>
  <c r="B110" i="25"/>
  <c r="E36" i="21" s="1"/>
  <c r="B101" i="25"/>
  <c r="B102" i="25" s="1"/>
  <c r="B88" i="25"/>
  <c r="B85" i="25"/>
  <c r="B79" i="25"/>
  <c r="B73" i="25"/>
  <c r="B62" i="25"/>
  <c r="B58" i="25"/>
  <c r="B53" i="25"/>
  <c r="B49" i="25"/>
  <c r="B43" i="25"/>
  <c r="B39" i="25"/>
  <c r="E15" i="21" s="1"/>
  <c r="B30" i="25"/>
  <c r="B31" i="25" s="1"/>
  <c r="B24" i="25"/>
  <c r="B21" i="25"/>
  <c r="B16" i="25"/>
  <c r="D681" i="24"/>
  <c r="E681" i="24" s="1"/>
  <c r="B669" i="24"/>
  <c r="B671" i="24" s="1"/>
  <c r="B659" i="24"/>
  <c r="B660" i="24" s="1"/>
  <c r="B650" i="24"/>
  <c r="B651" i="24" s="1"/>
  <c r="B652" i="24" s="1"/>
  <c r="B643" i="24"/>
  <c r="B638" i="24"/>
  <c r="B632" i="24"/>
  <c r="B629" i="24"/>
  <c r="B623" i="24"/>
  <c r="B617" i="24"/>
  <c r="B611" i="24"/>
  <c r="B612" i="24" s="1"/>
  <c r="B607" i="24"/>
  <c r="B603" i="24"/>
  <c r="B604" i="24" s="1"/>
  <c r="B595" i="24"/>
  <c r="B592" i="24"/>
  <c r="B589" i="24"/>
  <c r="B586" i="24"/>
  <c r="B581" i="24"/>
  <c r="B571" i="24"/>
  <c r="B572" i="24" s="1"/>
  <c r="B561" i="24"/>
  <c r="B556" i="24"/>
  <c r="B552" i="24"/>
  <c r="B548" i="24"/>
  <c r="B542" i="24"/>
  <c r="B537" i="24"/>
  <c r="B538" i="24" s="1"/>
  <c r="B530" i="24"/>
  <c r="B527" i="24"/>
  <c r="B524" i="24"/>
  <c r="B521" i="24"/>
  <c r="B518" i="24"/>
  <c r="B514" i="24"/>
  <c r="B506" i="24"/>
  <c r="B507" i="24" s="1"/>
  <c r="B496" i="24"/>
  <c r="B491" i="24"/>
  <c r="B486" i="24"/>
  <c r="B483" i="24"/>
  <c r="B479" i="24"/>
  <c r="B473" i="24"/>
  <c r="B467" i="24"/>
  <c r="B460" i="24"/>
  <c r="B455" i="24"/>
  <c r="B456" i="24" s="1"/>
  <c r="B448" i="24"/>
  <c r="B445" i="24"/>
  <c r="B442" i="24"/>
  <c r="B439" i="24"/>
  <c r="B436" i="24"/>
  <c r="B432" i="24"/>
  <c r="B420" i="24"/>
  <c r="B421" i="24" s="1"/>
  <c r="B409" i="24"/>
  <c r="B403" i="24"/>
  <c r="B400" i="24"/>
  <c r="B396" i="24"/>
  <c r="B390" i="24"/>
  <c r="B385" i="24"/>
  <c r="B382" i="24"/>
  <c r="B377" i="24"/>
  <c r="B378" i="24" s="1"/>
  <c r="B370" i="24"/>
  <c r="B367" i="24"/>
  <c r="B364" i="24"/>
  <c r="B361" i="24"/>
  <c r="B358" i="24"/>
  <c r="B353" i="24"/>
  <c r="B343" i="24"/>
  <c r="B344" i="24" s="1"/>
  <c r="B329" i="24"/>
  <c r="B330" i="24" s="1"/>
  <c r="B325" i="24"/>
  <c r="B322" i="24"/>
  <c r="B317" i="24"/>
  <c r="B314" i="24"/>
  <c r="B309" i="24"/>
  <c r="B304" i="24"/>
  <c r="B300" i="24"/>
  <c r="B294" i="24"/>
  <c r="B288" i="24"/>
  <c r="B283" i="24"/>
  <c r="B284" i="24" s="1"/>
  <c r="B279" i="24"/>
  <c r="B274" i="24"/>
  <c r="B275" i="24" s="1"/>
  <c r="B269" i="24"/>
  <c r="B266" i="24"/>
  <c r="B263" i="24"/>
  <c r="B260" i="24"/>
  <c r="B255" i="24"/>
  <c r="B245" i="24"/>
  <c r="B246" i="24" s="1"/>
  <c r="B233" i="24"/>
  <c r="B227" i="24"/>
  <c r="B224" i="24"/>
  <c r="B220" i="24"/>
  <c r="B214" i="24"/>
  <c r="B209" i="24"/>
  <c r="B210" i="24" s="1"/>
  <c r="B204" i="24"/>
  <c r="B200" i="24"/>
  <c r="B201" i="24" s="1"/>
  <c r="B194" i="24"/>
  <c r="B191" i="24"/>
  <c r="B187" i="24"/>
  <c r="B184" i="24"/>
  <c r="B181" i="24"/>
  <c r="B176" i="24"/>
  <c r="B164" i="24"/>
  <c r="B165" i="24" s="1"/>
  <c r="B152" i="24"/>
  <c r="B146" i="24"/>
  <c r="B142" i="24"/>
  <c r="B136" i="24"/>
  <c r="B131" i="24"/>
  <c r="B132" i="24" s="1"/>
  <c r="B126" i="24"/>
  <c r="B127" i="24" s="1"/>
  <c r="B119" i="24"/>
  <c r="B116" i="24"/>
  <c r="B112" i="24"/>
  <c r="B109" i="24"/>
  <c r="B106" i="24"/>
  <c r="B101" i="24"/>
  <c r="B89" i="24"/>
  <c r="B90" i="24" s="1"/>
  <c r="B76" i="24"/>
  <c r="B72" i="24"/>
  <c r="B66" i="24"/>
  <c r="B67" i="24" s="1"/>
  <c r="B61" i="24"/>
  <c r="B62" i="24" s="1"/>
  <c r="B54" i="24"/>
  <c r="B50" i="24"/>
  <c r="B51" i="24" s="1"/>
  <c r="B39" i="24"/>
  <c r="B36" i="24"/>
  <c r="B33" i="24"/>
  <c r="B29" i="24"/>
  <c r="B21" i="24"/>
  <c r="B22" i="24" s="1"/>
  <c r="B15" i="24"/>
  <c r="E8" i="22" s="1"/>
  <c r="L29" i="2"/>
  <c r="K29" i="2"/>
  <c r="J29" i="2"/>
  <c r="I29" i="2"/>
  <c r="F29" i="2"/>
  <c r="E29" i="2"/>
  <c r="K8" i="2"/>
  <c r="J8" i="2"/>
  <c r="I8" i="2"/>
  <c r="F8" i="2"/>
  <c r="E8" i="2"/>
  <c r="E28" i="10"/>
  <c r="M35" i="4"/>
  <c r="M21" i="4"/>
  <c r="E17" i="10"/>
  <c r="E18" i="10"/>
  <c r="L20" i="4"/>
  <c r="K20" i="4"/>
  <c r="J20" i="4"/>
  <c r="I20" i="4"/>
  <c r="H20" i="4"/>
  <c r="G20" i="4"/>
  <c r="E20" i="4"/>
  <c r="L13" i="4"/>
  <c r="G13" i="4"/>
  <c r="L12" i="4"/>
  <c r="K12" i="4"/>
  <c r="J12" i="4"/>
  <c r="I12" i="4"/>
  <c r="H12" i="4"/>
  <c r="G12" i="4"/>
  <c r="C65" i="9"/>
  <c r="C70" i="9" s="1"/>
  <c r="L46" i="9"/>
  <c r="L47" i="9" s="1"/>
  <c r="E45" i="9"/>
  <c r="G33" i="9"/>
  <c r="F33" i="9"/>
  <c r="F32" i="9" s="1"/>
  <c r="D33" i="9"/>
  <c r="G32" i="9"/>
  <c r="E32" i="9"/>
  <c r="E33" i="9" s="1"/>
  <c r="G31" i="9"/>
  <c r="C31" i="9"/>
  <c r="D31" i="9" s="1"/>
  <c r="G30" i="9"/>
  <c r="C30" i="9"/>
  <c r="G29" i="9"/>
  <c r="C29" i="9"/>
  <c r="D29" i="9" s="1"/>
  <c r="T27" i="9"/>
  <c r="T26" i="9"/>
  <c r="T25" i="9"/>
  <c r="C23" i="9"/>
  <c r="B23" i="9"/>
  <c r="C21" i="9"/>
  <c r="B21" i="9"/>
  <c r="B22" i="9" s="1"/>
  <c r="E20" i="9" s="1"/>
  <c r="F20" i="9" s="1"/>
  <c r="E98" i="26"/>
  <c r="E60" i="26"/>
  <c r="E59" i="26"/>
  <c r="E74" i="26" s="1"/>
  <c r="E58" i="26"/>
  <c r="E57" i="26"/>
  <c r="E56" i="26"/>
  <c r="E51" i="26"/>
  <c r="E50" i="26"/>
  <c r="E49" i="26"/>
  <c r="E48" i="26"/>
  <c r="K42" i="26"/>
  <c r="J42" i="26"/>
  <c r="F42" i="26"/>
  <c r="E42" i="26"/>
  <c r="G41" i="26"/>
  <c r="H41" i="26" s="1"/>
  <c r="E29" i="26"/>
  <c r="E28" i="26"/>
  <c r="E27" i="26"/>
  <c r="E21" i="26"/>
  <c r="E18" i="26"/>
  <c r="E17" i="26"/>
  <c r="E16" i="26"/>
  <c r="E53" i="10"/>
  <c r="F42" i="10"/>
  <c r="E42" i="10"/>
  <c r="S14" i="5"/>
  <c r="G38" i="16"/>
  <c r="Q28" i="5"/>
  <c r="R24" i="5"/>
  <c r="R22" i="5"/>
  <c r="R21" i="5"/>
  <c r="R19" i="5"/>
  <c r="P16" i="5"/>
  <c r="N16" i="5"/>
  <c r="N26" i="5" s="1"/>
  <c r="J16" i="5"/>
  <c r="J26" i="5" s="1"/>
  <c r="H26" i="5"/>
  <c r="H28" i="5" s="1"/>
  <c r="F16" i="5"/>
  <c r="F26" i="5" s="1"/>
  <c r="D16" i="5"/>
  <c r="R14" i="5"/>
  <c r="L16" i="5"/>
  <c r="L26" i="5" s="1"/>
  <c r="R11" i="5"/>
  <c r="R10" i="5"/>
  <c r="R9" i="5"/>
  <c r="J90" i="14"/>
  <c r="L90" i="14" s="1"/>
  <c r="J88" i="14"/>
  <c r="J87" i="14"/>
  <c r="E86" i="14"/>
  <c r="L86" i="14" s="1"/>
  <c r="C14" i="14"/>
  <c r="C40" i="14"/>
  <c r="C44" i="14" s="1"/>
  <c r="O30" i="2"/>
  <c r="G29" i="2"/>
  <c r="O28" i="2"/>
  <c r="O26" i="2"/>
  <c r="R25" i="2"/>
  <c r="O24" i="2"/>
  <c r="O20" i="2"/>
  <c r="O18" i="2"/>
  <c r="O14" i="2"/>
  <c r="O13" i="2"/>
  <c r="O11" i="2"/>
  <c r="R10" i="2"/>
  <c r="O9" i="2"/>
  <c r="R8" i="2"/>
  <c r="M49" i="4"/>
  <c r="L49" i="4"/>
  <c r="K49" i="4"/>
  <c r="J49" i="4"/>
  <c r="I49" i="4"/>
  <c r="H49" i="4"/>
  <c r="G49" i="4"/>
  <c r="E49" i="4"/>
  <c r="Q47" i="4"/>
  <c r="M47" i="4"/>
  <c r="L47" i="4"/>
  <c r="K47" i="4"/>
  <c r="J47" i="4"/>
  <c r="I47" i="4"/>
  <c r="H47" i="4"/>
  <c r="G47" i="4"/>
  <c r="E47" i="4"/>
  <c r="M46" i="4"/>
  <c r="J46" i="4"/>
  <c r="M42" i="4"/>
  <c r="L42" i="4"/>
  <c r="K42" i="4"/>
  <c r="J42" i="4"/>
  <c r="I42" i="4"/>
  <c r="H42" i="4"/>
  <c r="G42" i="4"/>
  <c r="E42" i="4"/>
  <c r="U35" i="4"/>
  <c r="S29" i="4"/>
  <c r="M20" i="4"/>
  <c r="S17" i="4"/>
  <c r="S15" i="4"/>
  <c r="U14" i="4"/>
  <c r="U13" i="4"/>
  <c r="M12" i="4"/>
  <c r="S10" i="4"/>
  <c r="S8" i="4"/>
  <c r="E49" i="21"/>
  <c r="E48" i="21"/>
  <c r="G48" i="21" s="1"/>
  <c r="I36" i="21"/>
  <c r="G30" i="21"/>
  <c r="I22" i="21"/>
  <c r="E21" i="21"/>
  <c r="G18" i="21"/>
  <c r="G16" i="21"/>
  <c r="I15" i="21"/>
  <c r="I13" i="21"/>
  <c r="E12" i="21"/>
  <c r="G12" i="21" s="1"/>
  <c r="G10" i="21"/>
  <c r="G8" i="21"/>
  <c r="E29" i="22"/>
  <c r="G29" i="22" s="1"/>
  <c r="I25" i="22"/>
  <c r="I10" i="22"/>
  <c r="I8" i="22"/>
  <c r="F15" i="23"/>
  <c r="F19" i="23" s="1"/>
  <c r="L14" i="23"/>
  <c r="J13" i="23"/>
  <c r="H13" i="23"/>
  <c r="D13" i="23"/>
  <c r="D19" i="23" s="1"/>
  <c r="L11" i="23"/>
  <c r="L10" i="23"/>
  <c r="L9" i="23"/>
  <c r="H10" i="2" l="1"/>
  <c r="H12" i="2" s="1"/>
  <c r="B151" i="25"/>
  <c r="B154" i="25" s="1"/>
  <c r="I944" i="1"/>
  <c r="I971" i="1" s="1"/>
  <c r="I979" i="1" s="1"/>
  <c r="H944" i="1"/>
  <c r="H971" i="1" s="1"/>
  <c r="H979" i="1" s="1"/>
  <c r="H58" i="15"/>
  <c r="F58" i="15"/>
  <c r="G58" i="15"/>
  <c r="E101" i="26"/>
  <c r="E47" i="21"/>
  <c r="G47" i="21" s="1"/>
  <c r="I58" i="15"/>
  <c r="B54" i="25"/>
  <c r="J942" i="1"/>
  <c r="N17" i="2" s="1"/>
  <c r="N19" i="2" s="1"/>
  <c r="L13" i="23"/>
  <c r="C58" i="15"/>
  <c r="H19" i="23"/>
  <c r="E66" i="26"/>
  <c r="I49" i="15"/>
  <c r="D58" i="15"/>
  <c r="H49" i="15"/>
  <c r="E37" i="21"/>
  <c r="G37" i="21" s="1"/>
  <c r="B49" i="15"/>
  <c r="E58" i="15"/>
  <c r="E35" i="21"/>
  <c r="G35" i="21" s="1"/>
  <c r="R16" i="5"/>
  <c r="E65" i="26"/>
  <c r="E53" i="26"/>
  <c r="F49" i="15"/>
  <c r="D26" i="5"/>
  <c r="D28" i="5" s="1"/>
  <c r="H19" i="2"/>
  <c r="E943" i="1"/>
  <c r="E944" i="1" s="1"/>
  <c r="E971" i="1" s="1"/>
  <c r="E979" i="1" s="1"/>
  <c r="J177" i="1"/>
  <c r="J178" i="1" s="1"/>
  <c r="E60" i="10"/>
  <c r="E61" i="10" s="1"/>
  <c r="G944" i="1"/>
  <c r="G971" i="1" s="1"/>
  <c r="G979" i="1" s="1"/>
  <c r="E87" i="14"/>
  <c r="C26" i="14"/>
  <c r="B944" i="1"/>
  <c r="B971" i="1" s="1"/>
  <c r="B979" i="1" s="1"/>
  <c r="F944" i="1"/>
  <c r="F971" i="1" s="1"/>
  <c r="F979" i="1" s="1"/>
  <c r="D944" i="1"/>
  <c r="D971" i="1" s="1"/>
  <c r="D979" i="1" s="1"/>
  <c r="D178" i="1"/>
  <c r="E178" i="1"/>
  <c r="S47" i="4"/>
  <c r="R47" i="4"/>
  <c r="I25" i="2"/>
  <c r="E59" i="10"/>
  <c r="G25" i="2"/>
  <c r="J25" i="2"/>
  <c r="E25" i="2"/>
  <c r="K46" i="4"/>
  <c r="K51" i="4" s="1"/>
  <c r="M24" i="4"/>
  <c r="G21" i="4"/>
  <c r="G24" i="4" s="1"/>
  <c r="H14" i="4"/>
  <c r="H35" i="4"/>
  <c r="I14" i="4"/>
  <c r="E46" i="4"/>
  <c r="E51" i="4" s="1"/>
  <c r="K21" i="4"/>
  <c r="K24" i="4" s="1"/>
  <c r="G11" i="4"/>
  <c r="E10" i="10"/>
  <c r="L46" i="4"/>
  <c r="L51" i="4" s="1"/>
  <c r="I35" i="4"/>
  <c r="I37" i="4" s="1"/>
  <c r="Q49" i="4"/>
  <c r="R49" i="4" s="1"/>
  <c r="E10" i="26"/>
  <c r="G35" i="4"/>
  <c r="G37" i="4" s="1"/>
  <c r="J11" i="4"/>
  <c r="E13" i="4"/>
  <c r="G14" i="4"/>
  <c r="L11" i="4"/>
  <c r="H13" i="4"/>
  <c r="J21" i="4"/>
  <c r="J24" i="4" s="1"/>
  <c r="Q20" i="4"/>
  <c r="Q42" i="4"/>
  <c r="M51" i="4"/>
  <c r="M37" i="4"/>
  <c r="G92" i="14"/>
  <c r="G97" i="14" s="1"/>
  <c r="E16" i="10"/>
  <c r="E19" i="10" s="1"/>
  <c r="E21" i="10"/>
  <c r="Q12" i="4"/>
  <c r="E14" i="21"/>
  <c r="G14" i="21" s="1"/>
  <c r="B80" i="25"/>
  <c r="E21" i="4"/>
  <c r="E24" i="4" s="1"/>
  <c r="I13" i="4"/>
  <c r="E34" i="4"/>
  <c r="R34" i="4" s="1"/>
  <c r="K13" i="4"/>
  <c r="H21" i="4"/>
  <c r="H24" i="4" s="1"/>
  <c r="L35" i="4"/>
  <c r="L37" i="4" s="1"/>
  <c r="H46" i="4"/>
  <c r="H51" i="4" s="1"/>
  <c r="I21" i="4"/>
  <c r="I24" i="4" s="1"/>
  <c r="I46" i="4"/>
  <c r="I51" i="4" s="1"/>
  <c r="J35" i="4"/>
  <c r="L21" i="4"/>
  <c r="L24" i="4" s="1"/>
  <c r="J13" i="4"/>
  <c r="G46" i="4"/>
  <c r="G51" i="4" s="1"/>
  <c r="H11" i="4"/>
  <c r="K35" i="4"/>
  <c r="B25" i="25"/>
  <c r="E11" i="21"/>
  <c r="G11" i="21" s="1"/>
  <c r="E68" i="26"/>
  <c r="E61" i="26"/>
  <c r="E73" i="26"/>
  <c r="E76" i="26" s="1"/>
  <c r="G36" i="21" s="1"/>
  <c r="B65" i="25"/>
  <c r="B89" i="25"/>
  <c r="E13" i="21"/>
  <c r="G13" i="21" s="1"/>
  <c r="E22" i="21"/>
  <c r="G22" i="21" s="1"/>
  <c r="E19" i="26"/>
  <c r="E23" i="26" s="1"/>
  <c r="L15" i="23"/>
  <c r="E30" i="26"/>
  <c r="L25" i="2"/>
  <c r="B672" i="24"/>
  <c r="E25" i="22" s="1"/>
  <c r="G25" i="22" s="1"/>
  <c r="B331" i="24"/>
  <c r="B23" i="24"/>
  <c r="B301" i="24"/>
  <c r="B310" i="24" s="1"/>
  <c r="B77" i="24"/>
  <c r="B78" i="24" s="1"/>
  <c r="B468" i="24"/>
  <c r="B553" i="24"/>
  <c r="B562" i="24" s="1"/>
  <c r="B40" i="24"/>
  <c r="B41" i="24" s="1"/>
  <c r="E10" i="22" s="1"/>
  <c r="G10" i="22" s="1"/>
  <c r="B633" i="24"/>
  <c r="B644" i="24" s="1"/>
  <c r="B228" i="24"/>
  <c r="B234" i="24" s="1"/>
  <c r="B404" i="24"/>
  <c r="R13" i="5"/>
  <c r="E88" i="14"/>
  <c r="C19" i="14" s="1"/>
  <c r="G21" i="21"/>
  <c r="G8" i="22"/>
  <c r="J51" i="4"/>
  <c r="L8" i="2"/>
  <c r="I11" i="4"/>
  <c r="C47" i="14"/>
  <c r="M13" i="4"/>
  <c r="C15" i="14"/>
  <c r="L93" i="14"/>
  <c r="E27" i="10"/>
  <c r="E35" i="4"/>
  <c r="F25" i="2"/>
  <c r="E21" i="9"/>
  <c r="F21" i="9" s="1"/>
  <c r="F22" i="9" s="1"/>
  <c r="D682" i="24"/>
  <c r="E682" i="24" s="1"/>
  <c r="E683" i="24" s="1"/>
  <c r="D49" i="15"/>
  <c r="K25" i="2"/>
  <c r="B487" i="24"/>
  <c r="B132" i="25"/>
  <c r="B386" i="24"/>
  <c r="E49" i="15"/>
  <c r="B147" i="24"/>
  <c r="B153" i="24" s="1"/>
  <c r="C49" i="15"/>
  <c r="B58" i="15"/>
  <c r="G49" i="15"/>
  <c r="H23" i="2" l="1"/>
  <c r="H27" i="2" s="1"/>
  <c r="H31" i="2" s="1"/>
  <c r="E102" i="26"/>
  <c r="E51" i="21"/>
  <c r="G49" i="21"/>
  <c r="G51" i="21" s="1"/>
  <c r="B497" i="24"/>
  <c r="H47" i="21"/>
  <c r="J943" i="1"/>
  <c r="J944" i="1" s="1"/>
  <c r="J971" i="1" s="1"/>
  <c r="J979" i="1" s="1"/>
  <c r="H21" i="2"/>
  <c r="B42" i="24"/>
  <c r="B43" i="24" s="1"/>
  <c r="B66" i="25"/>
  <c r="B332" i="24"/>
  <c r="E16" i="22" s="1"/>
  <c r="G16" i="22" s="1"/>
  <c r="B410" i="24"/>
  <c r="G39" i="21"/>
  <c r="B133" i="25"/>
  <c r="E39" i="21"/>
  <c r="I53" i="26"/>
  <c r="L87" i="14"/>
  <c r="S42" i="4"/>
  <c r="J89" i="14" s="1"/>
  <c r="K89" i="14" s="1"/>
  <c r="R42" i="4"/>
  <c r="S20" i="4"/>
  <c r="J82" i="14" s="1"/>
  <c r="R20" i="4"/>
  <c r="S12" i="4"/>
  <c r="J79" i="14" s="1"/>
  <c r="F79" i="14" s="1"/>
  <c r="C32" i="14" s="1"/>
  <c r="R12" i="4"/>
  <c r="R13" i="4"/>
  <c r="G53" i="4"/>
  <c r="G10" i="2"/>
  <c r="G12" i="2" s="1"/>
  <c r="E71" i="10"/>
  <c r="J10" i="2"/>
  <c r="J12" i="2" s="1"/>
  <c r="G17" i="2"/>
  <c r="F16" i="2"/>
  <c r="L10" i="2"/>
  <c r="L12" i="2" s="1"/>
  <c r="I16" i="2"/>
  <c r="L16" i="2"/>
  <c r="E17" i="2"/>
  <c r="K16" i="2"/>
  <c r="G15" i="2"/>
  <c r="H37" i="4"/>
  <c r="H53" i="4" s="1"/>
  <c r="Q46" i="4"/>
  <c r="K16" i="4"/>
  <c r="K27" i="4" s="1"/>
  <c r="G16" i="4"/>
  <c r="G27" i="4" s="1"/>
  <c r="E5" i="10"/>
  <c r="I53" i="4"/>
  <c r="E14" i="4"/>
  <c r="R14" i="4" s="1"/>
  <c r="H16" i="4"/>
  <c r="H27" i="4" s="1"/>
  <c r="J37" i="4"/>
  <c r="J53" i="4" s="1"/>
  <c r="J16" i="4"/>
  <c r="J27" i="4" s="1"/>
  <c r="L53" i="4"/>
  <c r="E5" i="26"/>
  <c r="I16" i="4"/>
  <c r="I27" i="4" s="1"/>
  <c r="K37" i="4"/>
  <c r="K53" i="4" s="1"/>
  <c r="M16" i="4"/>
  <c r="M27" i="4" s="1"/>
  <c r="M53" i="4"/>
  <c r="E23" i="10"/>
  <c r="Q11" i="4"/>
  <c r="L92" i="14"/>
  <c r="Q21" i="4"/>
  <c r="R21" i="4" s="1"/>
  <c r="E37" i="4"/>
  <c r="E53" i="4" s="1"/>
  <c r="E31" i="26"/>
  <c r="E24" i="26"/>
  <c r="G15" i="21"/>
  <c r="G17" i="21" s="1"/>
  <c r="E17" i="21"/>
  <c r="E25" i="21"/>
  <c r="G25" i="21" s="1"/>
  <c r="E16" i="2"/>
  <c r="E10" i="2"/>
  <c r="E12" i="2" s="1"/>
  <c r="G12" i="22"/>
  <c r="B235" i="24"/>
  <c r="E15" i="22" s="1"/>
  <c r="G15" i="22" s="1"/>
  <c r="E12" i="22"/>
  <c r="L88" i="14"/>
  <c r="G16" i="2"/>
  <c r="R20" i="5"/>
  <c r="L28" i="5"/>
  <c r="S34" i="4"/>
  <c r="N29" i="2"/>
  <c r="N8" i="2"/>
  <c r="Q35" i="4"/>
  <c r="R35" i="4" s="1"/>
  <c r="D683" i="24"/>
  <c r="E29" i="10"/>
  <c r="E30" i="10" s="1"/>
  <c r="L16" i="4"/>
  <c r="L27" i="4" s="1"/>
  <c r="F15" i="2"/>
  <c r="E684" i="24"/>
  <c r="E15" i="2"/>
  <c r="E11" i="26"/>
  <c r="E11" i="10"/>
  <c r="E12" i="10" s="1"/>
  <c r="J16" i="2"/>
  <c r="E53" i="21" l="1"/>
  <c r="G53" i="21"/>
  <c r="B645" i="24"/>
  <c r="B653" i="24" s="1"/>
  <c r="E19" i="22" s="1"/>
  <c r="E23" i="22" s="1"/>
  <c r="E27" i="22" s="1"/>
  <c r="E31" i="22" s="1"/>
  <c r="B134" i="25"/>
  <c r="B135" i="25" s="1"/>
  <c r="B136" i="25" s="1"/>
  <c r="L79" i="14"/>
  <c r="K79" i="14"/>
  <c r="R11" i="4"/>
  <c r="S11" i="4"/>
  <c r="J78" i="14" s="1"/>
  <c r="Q51" i="4"/>
  <c r="R51" i="4" s="1"/>
  <c r="R46" i="4"/>
  <c r="M55" i="4"/>
  <c r="E16" i="4"/>
  <c r="E27" i="4" s="1"/>
  <c r="E55" i="4" s="1"/>
  <c r="Q16" i="4"/>
  <c r="I55" i="4"/>
  <c r="L17" i="2"/>
  <c r="F10" i="2"/>
  <c r="F12" i="2" s="1"/>
  <c r="K17" i="2"/>
  <c r="I17" i="2"/>
  <c r="I19" i="2" s="1"/>
  <c r="F17" i="2"/>
  <c r="F19" i="2" s="1"/>
  <c r="J17" i="2"/>
  <c r="J19" i="2" s="1"/>
  <c r="G19" i="2"/>
  <c r="G23" i="2" s="1"/>
  <c r="G27" i="2" s="1"/>
  <c r="G31" i="2" s="1"/>
  <c r="E19" i="2"/>
  <c r="E23" i="2" s="1"/>
  <c r="E27" i="2" s="1"/>
  <c r="E31" i="2" s="1"/>
  <c r="L55" i="4"/>
  <c r="G55" i="4"/>
  <c r="E89" i="14"/>
  <c r="C17" i="14" s="1"/>
  <c r="K55" i="4"/>
  <c r="J55" i="4"/>
  <c r="H55" i="4"/>
  <c r="E6" i="26"/>
  <c r="E7" i="26" s="1"/>
  <c r="E8" i="26" s="1"/>
  <c r="E6" i="10"/>
  <c r="E7" i="10" s="1"/>
  <c r="E8" i="10" s="1"/>
  <c r="J95" i="14"/>
  <c r="E77" i="26"/>
  <c r="I69" i="26"/>
  <c r="S21" i="4"/>
  <c r="J83" i="14" s="1"/>
  <c r="F83" i="14" s="1"/>
  <c r="C33" i="14" s="1"/>
  <c r="Q24" i="4"/>
  <c r="R24" i="4" s="1"/>
  <c r="G28" i="21"/>
  <c r="E28" i="21"/>
  <c r="J80" i="14"/>
  <c r="K82" i="14"/>
  <c r="E82" i="14"/>
  <c r="C16" i="14" s="1"/>
  <c r="P8" i="2"/>
  <c r="O8" i="2"/>
  <c r="K10" i="2"/>
  <c r="K12" i="2" s="1"/>
  <c r="O29" i="2"/>
  <c r="P29" i="2"/>
  <c r="J84" i="14"/>
  <c r="I10" i="2"/>
  <c r="I12" i="2" s="1"/>
  <c r="E13" i="10"/>
  <c r="S46" i="4"/>
  <c r="Q37" i="4"/>
  <c r="R37" i="4" s="1"/>
  <c r="S35" i="4"/>
  <c r="E31" i="10" s="1"/>
  <c r="E12" i="26"/>
  <c r="E13" i="26" s="1"/>
  <c r="E17" i="22" l="1"/>
  <c r="G17" i="22" s="1"/>
  <c r="G19" i="22" s="1"/>
  <c r="G23" i="22" s="1"/>
  <c r="G27" i="22" s="1"/>
  <c r="G31" i="22" s="1"/>
  <c r="J17" i="23" s="1"/>
  <c r="L17" i="23" s="1"/>
  <c r="L19" i="23" s="1"/>
  <c r="L21" i="23" s="1"/>
  <c r="G55" i="21"/>
  <c r="E55" i="21"/>
  <c r="E21" i="22"/>
  <c r="B654" i="24"/>
  <c r="B673" i="24" s="1"/>
  <c r="B674" i="24" s="1"/>
  <c r="B677" i="24" s="1"/>
  <c r="F97" i="14"/>
  <c r="C35" i="14" s="1"/>
  <c r="I78" i="14"/>
  <c r="D49" i="14"/>
  <c r="K78" i="14"/>
  <c r="L30" i="5"/>
  <c r="S49" i="4"/>
  <c r="S51" i="4" s="1"/>
  <c r="L19" i="2"/>
  <c r="L23" i="2" s="1"/>
  <c r="L27" i="2" s="1"/>
  <c r="L31" i="2" s="1"/>
  <c r="R16" i="4"/>
  <c r="K19" i="2"/>
  <c r="K21" i="2" s="1"/>
  <c r="F21" i="2"/>
  <c r="F23" i="2"/>
  <c r="F27" i="2" s="1"/>
  <c r="F31" i="2" s="1"/>
  <c r="G21" i="2"/>
  <c r="E21" i="2"/>
  <c r="L89" i="14"/>
  <c r="L82" i="14"/>
  <c r="S24" i="4"/>
  <c r="E24" i="10"/>
  <c r="S14" i="4"/>
  <c r="E14" i="10" s="1"/>
  <c r="J21" i="2"/>
  <c r="J23" i="2"/>
  <c r="J27" i="2" s="1"/>
  <c r="J31" i="2" s="1"/>
  <c r="Q53" i="4"/>
  <c r="R53" i="4" s="1"/>
  <c r="E80" i="14"/>
  <c r="K80" i="14"/>
  <c r="K84" i="14"/>
  <c r="E84" i="14"/>
  <c r="C24" i="14" s="1"/>
  <c r="I23" i="2"/>
  <c r="I27" i="2" s="1"/>
  <c r="I31" i="2" s="1"/>
  <c r="I21" i="2"/>
  <c r="E54" i="10"/>
  <c r="E55" i="10" s="1"/>
  <c r="T46" i="4"/>
  <c r="N10" i="2"/>
  <c r="J85" i="14"/>
  <c r="S37" i="4"/>
  <c r="G21" i="22" l="1"/>
  <c r="H19" i="22"/>
  <c r="J19" i="23"/>
  <c r="L80" i="14"/>
  <c r="L21" i="2"/>
  <c r="K23" i="2"/>
  <c r="K27" i="2" s="1"/>
  <c r="K31" i="2" s="1"/>
  <c r="P15" i="2"/>
  <c r="I97" i="14"/>
  <c r="E14" i="26"/>
  <c r="K83" i="14"/>
  <c r="L83" i="14"/>
  <c r="L84" i="14"/>
  <c r="S53" i="4"/>
  <c r="J81" i="14"/>
  <c r="S16" i="4"/>
  <c r="S27" i="4" s="1"/>
  <c r="K85" i="14"/>
  <c r="E85" i="14"/>
  <c r="C25" i="14" s="1"/>
  <c r="P25" i="2"/>
  <c r="E72" i="10" s="1"/>
  <c r="O25" i="2"/>
  <c r="O19" i="2"/>
  <c r="C22" i="14"/>
  <c r="P10" i="2"/>
  <c r="O10" i="2"/>
  <c r="N12" i="2"/>
  <c r="N21" i="2" s="1"/>
  <c r="O16" i="2"/>
  <c r="P16" i="2"/>
  <c r="Q27" i="4"/>
  <c r="R27" i="4" l="1"/>
  <c r="Q55" i="4"/>
  <c r="O15" i="2"/>
  <c r="L78" i="14"/>
  <c r="P17" i="2"/>
  <c r="P19" i="2" s="1"/>
  <c r="O17" i="2"/>
  <c r="K81" i="14"/>
  <c r="E81" i="14"/>
  <c r="L85" i="14"/>
  <c r="N23" i="2"/>
  <c r="O12" i="2"/>
  <c r="E62" i="10"/>
  <c r="P12" i="2"/>
  <c r="S55" i="4"/>
  <c r="L81" i="14" l="1"/>
  <c r="P21" i="2"/>
  <c r="P23" i="2"/>
  <c r="P27" i="2" s="1"/>
  <c r="P31" i="2" s="1"/>
  <c r="C23" i="14"/>
  <c r="O23" i="2"/>
  <c r="N27" i="2"/>
  <c r="P18" i="5" l="1"/>
  <c r="J96" i="14"/>
  <c r="N31" i="2"/>
  <c r="O31" i="2" s="1"/>
  <c r="O27" i="2"/>
  <c r="J97" i="14" l="1"/>
  <c r="E96" i="14"/>
  <c r="E97" i="14" s="1"/>
  <c r="R18" i="5"/>
  <c r="R26" i="5" s="1"/>
  <c r="R29" i="5" s="1"/>
  <c r="P26" i="5"/>
  <c r="P28" i="5" s="1"/>
  <c r="L96" i="14" l="1"/>
  <c r="L97" i="14"/>
  <c r="C9" i="14"/>
  <c r="C28" i="14" s="1"/>
  <c r="C46" i="14" s="1"/>
  <c r="C49" i="14" s="1"/>
  <c r="E49" i="14" s="1"/>
  <c r="E99" i="14" l="1"/>
  <c r="L98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ASUS</author>
  </authors>
  <commentList>
    <comment ref="E83" authorId="0" shapeId="0" xr:uid="{2CF5960C-66EA-4A93-9EEE-C7182740D8A3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depritiation</t>
        </r>
      </text>
    </comment>
    <comment ref="F83" authorId="0" shapeId="0" xr:uid="{1E87057B-C5B5-47E3-B4EB-CF0156D33111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Assets purchases
from GL</t>
        </r>
      </text>
    </comment>
    <comment ref="D95" authorId="0" shapeId="0" xr:uid="{157F81FD-EA61-4856-9996-8181BF9D8330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retained earnings are 11091 USD on NS, 10806 on sighed statements.
Add last FY REV to this balance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ASUS</author>
  </authors>
  <commentList>
    <comment ref="H12" authorId="0" shapeId="0" xr:uid="{4DB79101-A2B7-4965-951B-EB7877270123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Soc-Gen excersized warrants</t>
        </r>
      </text>
    </comment>
    <comment ref="H22" authorId="0" shapeId="0" xr:uid="{4E8D9334-56A5-4BC6-BF53-22217888B845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Soc-Gen excersized warrants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ASUS</author>
  </authors>
  <commentList>
    <comment ref="D24" authorId="0" shapeId="0" xr:uid="{AEB51F43-3612-4848-AA3C-A5800EFA5737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32" authorId="0" shapeId="0" xr:uid="{81170CB6-A94B-45B8-8EC0-C6CFAB8AA79C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column C on "B&amp;S Valuation Records" spread sheet</t>
        </r>
      </text>
    </comment>
  </commentList>
</comments>
</file>

<file path=xl/sharedStrings.xml><?xml version="1.0" encoding="utf-8"?>
<sst xmlns="http://schemas.openxmlformats.org/spreadsheetml/2006/main" count="2841" uniqueCount="824">
  <si>
    <t>Wematch.live R&amp;D LTD</t>
  </si>
  <si>
    <t>Wematch.live R&amp;D LTD (Consolidated)</t>
  </si>
  <si>
    <t>WM INCOME STATEMENT</t>
  </si>
  <si>
    <t>From Jan 2022 to Dec 2022</t>
  </si>
  <si>
    <t/>
  </si>
  <si>
    <t>Financial Row</t>
  </si>
  <si>
    <t>WEMATCH.SUPPORT US INC.</t>
  </si>
  <si>
    <t>Wematch EQD LTD</t>
  </si>
  <si>
    <t>Wematch Interest rate LTD</t>
  </si>
  <si>
    <t>Wematch Securities. Financing LTD [IL]</t>
  </si>
  <si>
    <t>Wematch.Securities Financing LTD</t>
  </si>
  <si>
    <t>Wematch.live Tech Support Europe</t>
  </si>
  <si>
    <t>Total</t>
  </si>
  <si>
    <t> </t>
  </si>
  <si>
    <t>Amount</t>
  </si>
  <si>
    <t>Gross Income</t>
  </si>
  <si>
    <t>TRS</t>
  </si>
  <si>
    <t>SBL</t>
  </si>
  <si>
    <t>Interest rate</t>
  </si>
  <si>
    <t>Equity Derivative</t>
  </si>
  <si>
    <t>Total Gross Income</t>
  </si>
  <si>
    <t>Revenue Shared With Regulated Broker Dealer</t>
  </si>
  <si>
    <t>45000 - Revenues shared to third parties</t>
  </si>
  <si>
    <t>45002 - Commission Shared with third party</t>
  </si>
  <si>
    <t>45001 - IS IN</t>
  </si>
  <si>
    <t>45003 - Non Reclaimable VAT</t>
  </si>
  <si>
    <t>Total - 45000 - Revenues shared to third parties</t>
  </si>
  <si>
    <t>Total Revenue Shared With Regulated Broker Dealer</t>
  </si>
  <si>
    <t>Net Income</t>
  </si>
  <si>
    <t>Cost Of Sales</t>
  </si>
  <si>
    <t>50000 - COGS expenses</t>
  </si>
  <si>
    <t>50100 - Payroll and Related expenses [COGS]</t>
  </si>
  <si>
    <t>50101 - COGS Gross Salaries</t>
  </si>
  <si>
    <t>50105 - COGS Employer taxes</t>
  </si>
  <si>
    <t>50107 - COGS Benefits</t>
  </si>
  <si>
    <t>50108 - COGS Employee stock-based compensation</t>
  </si>
  <si>
    <t>Total - 50100 - Payroll and Related expenses [COGS]</t>
  </si>
  <si>
    <t>51001 - Social Security</t>
  </si>
  <si>
    <t>51002 - Participation in vocational training</t>
  </si>
  <si>
    <t>51100 - Other Payroll related cost [COGS]</t>
  </si>
  <si>
    <t>51101 - Pension Contribution [COGS]</t>
  </si>
  <si>
    <t>Total - 51100 - Other Payroll related cost [COGS]</t>
  </si>
  <si>
    <t>50400 - COGS Hosting</t>
  </si>
  <si>
    <t>50402 - AWS</t>
  </si>
  <si>
    <t>50401 - COGS Hosting exp.</t>
  </si>
  <si>
    <t>Total - 50400 - COGS Hosting</t>
  </si>
  <si>
    <t>50300 - COGS Tools/ Systems</t>
  </si>
  <si>
    <t>50301 - COGS Tools</t>
  </si>
  <si>
    <t>Total - 50300 - COGS Tools/ Systems</t>
  </si>
  <si>
    <t>51110 - Recruiting Fees</t>
  </si>
  <si>
    <t>Total - 50000 - COGS expenses</t>
  </si>
  <si>
    <t>61200 - Benefits - Financial</t>
  </si>
  <si>
    <t>61203 - Benefits</t>
  </si>
  <si>
    <t>61118 - Medical Insurance</t>
  </si>
  <si>
    <t>Total - 61200 - Benefits - Financial</t>
  </si>
  <si>
    <t>69000 - Depreciation &amp; Amortization</t>
  </si>
  <si>
    <t>69001 - Depr. - Computers &amp; Software Licenses</t>
  </si>
  <si>
    <t>69003 - Depr. - Electric &amp; Office Equipment</t>
  </si>
  <si>
    <t>69002 - Depr. - Furniture and Fixtures</t>
  </si>
  <si>
    <t>Total - 69000 - Depreciation &amp; Amortization</t>
  </si>
  <si>
    <t>67000 - IT, Rent, &amp; Office Expenses</t>
  </si>
  <si>
    <t>67500 - Insurance</t>
  </si>
  <si>
    <t>67504 - Life / Risk insurance</t>
  </si>
  <si>
    <t>Total - 67500 - Insurance</t>
  </si>
  <si>
    <t>67400 - Other Office Expenses</t>
  </si>
  <si>
    <t>67402 - Office Food</t>
  </si>
  <si>
    <t>67401 - Office Supplies</t>
  </si>
  <si>
    <t>Total - 67400 - Other Office Expenses</t>
  </si>
  <si>
    <t>67100 - Rent Expenses</t>
  </si>
  <si>
    <t>67101 - Office rent</t>
  </si>
  <si>
    <t>Total - 67100 - Rent Expenses</t>
  </si>
  <si>
    <t>67300 - Software &amp; Equipment</t>
  </si>
  <si>
    <t>62105 - Communication</t>
  </si>
  <si>
    <t>67301 - IT Equipment (non-capitalizable)</t>
  </si>
  <si>
    <t>67303 - IT services</t>
  </si>
  <si>
    <t>Total - 67300 - Software &amp; Equipment</t>
  </si>
  <si>
    <t>Total - 67000 - IT, Rent, &amp; Office Expenses</t>
  </si>
  <si>
    <t>61400 - Payroll Services</t>
  </si>
  <si>
    <t>61401 - Payroll processing fees</t>
  </si>
  <si>
    <t>Total - 61400 - Payroll Services</t>
  </si>
  <si>
    <t>61100 - Payroll Taxes</t>
  </si>
  <si>
    <t>61101 - Employer taxes</t>
  </si>
  <si>
    <t>Total - 61100 - Payroll Taxes</t>
  </si>
  <si>
    <t>61000 - Salaries &amp; Wages</t>
  </si>
  <si>
    <t>61700 - Team Events &amp; Welfare</t>
  </si>
  <si>
    <t>61701 - Employee gifts</t>
  </si>
  <si>
    <t>61703 - Employee meals</t>
  </si>
  <si>
    <t>61705 - Team events</t>
  </si>
  <si>
    <t>Total - 61700 - Team Events &amp; Welfare</t>
  </si>
  <si>
    <t>Total - 61000 - Salaries &amp; Wages</t>
  </si>
  <si>
    <t>Total - Cost Of Sales</t>
  </si>
  <si>
    <t>Gross Profit</t>
  </si>
  <si>
    <t>Gross Profit as % of Gross Income</t>
  </si>
  <si>
    <t>Operation Expense</t>
  </si>
  <si>
    <t>- No Department -</t>
  </si>
  <si>
    <t>Total - No Department -</t>
  </si>
  <si>
    <t>R&amp;D</t>
  </si>
  <si>
    <t>Product</t>
  </si>
  <si>
    <t>61001 - Gross Salaries</t>
  </si>
  <si>
    <t>61003 - Vacation expenses</t>
  </si>
  <si>
    <t>61702 - Company events</t>
  </si>
  <si>
    <t>61704 - Onboarding new employee</t>
  </si>
  <si>
    <t>61105 - Gift value - Debit</t>
  </si>
  <si>
    <t>61106 - Gift value - Credit</t>
  </si>
  <si>
    <t>61107 - Imputation of benefits - Debit</t>
  </si>
  <si>
    <t>61108 - Imputation of benefits - Credit</t>
  </si>
  <si>
    <t>61109 - Education fund Imputation - Debit</t>
  </si>
  <si>
    <t>61110 - Education fund Imputation - Credit</t>
  </si>
  <si>
    <t>61111 - Meals value - Debit</t>
  </si>
  <si>
    <t>61112 - Meals value - Credit</t>
  </si>
  <si>
    <t>61201 - Keren Hishtalmut</t>
  </si>
  <si>
    <t>61205 - Pension contributions</t>
  </si>
  <si>
    <t>61206 - Post Employee Benefits expenses</t>
  </si>
  <si>
    <t>61300 - Stock-Based Compensation</t>
  </si>
  <si>
    <t>61301 - Employee stock-based compensation</t>
  </si>
  <si>
    <t>Total - 61300 - Stock-Based Compensation</t>
  </si>
  <si>
    <t>61500 - Recruiting</t>
  </si>
  <si>
    <t>61501 - Job posting</t>
  </si>
  <si>
    <t>61502 - Placement fees</t>
  </si>
  <si>
    <t>Total - 61500 - Recruiting</t>
  </si>
  <si>
    <t>61600 - Professional Development</t>
  </si>
  <si>
    <t>61602 - Training &amp; courses</t>
  </si>
  <si>
    <t>Total - 61600 - Professional Development</t>
  </si>
  <si>
    <t>62000 - Travel and Entertainment</t>
  </si>
  <si>
    <t>62100 - Travel &amp; Entertainment</t>
  </si>
  <si>
    <t>62101 - Airfare</t>
  </si>
  <si>
    <t>62102 - Lodging</t>
  </si>
  <si>
    <t>62103 - Ground Transportation</t>
  </si>
  <si>
    <t>62106 - Other Travel expenses</t>
  </si>
  <si>
    <t>62107 - Meals &amp; Entertainment (T&amp;E)</t>
  </si>
  <si>
    <t>Total - 62100 - Travel &amp; Entertainment</t>
  </si>
  <si>
    <t>Total - 62000 - Travel and Entertainment</t>
  </si>
  <si>
    <t>66000 - Professional Services</t>
  </si>
  <si>
    <t>66100 - Consulting</t>
  </si>
  <si>
    <t>66101 - Reccuring Consultants &amp; Subcontractors</t>
  </si>
  <si>
    <t>Total - 66100 - Consulting</t>
  </si>
  <si>
    <t>Total - 66000 - Professional Services</t>
  </si>
  <si>
    <t>67302 - Cloud services</t>
  </si>
  <si>
    <t>Total - Product</t>
  </si>
  <si>
    <t>Technology</t>
  </si>
  <si>
    <t>61002 - Reserve duty receipts</t>
  </si>
  <si>
    <t>61009 - Allowances and miscellaneous benefits</t>
  </si>
  <si>
    <t>61102 - Workers Compensation</t>
  </si>
  <si>
    <t>61117 - Participation in vocational training</t>
  </si>
  <si>
    <t>65000 - Hosting</t>
  </si>
  <si>
    <t>65001 - Hosting exp.</t>
  </si>
  <si>
    <t>Total - 65000 - Hosting</t>
  </si>
  <si>
    <t>66102 - Onetime Consultants</t>
  </si>
  <si>
    <t>67104 - Parking</t>
  </si>
  <si>
    <t>Total - Technology</t>
  </si>
  <si>
    <t>Total - R&amp;D</t>
  </si>
  <si>
    <t>S&amp;M</t>
  </si>
  <si>
    <t>Sales</t>
  </si>
  <si>
    <t>61011 - Gross Salaries (Directors' salaries)</t>
  </si>
  <si>
    <t>64000 - Tools/ systmes</t>
  </si>
  <si>
    <t>64001 - Tools</t>
  </si>
  <si>
    <t>64002 - Communication</t>
  </si>
  <si>
    <t>Total - 64000 - Tools/ systmes</t>
  </si>
  <si>
    <t>67200 - Other Facility Expense</t>
  </si>
  <si>
    <t>67201 - Utilities</t>
  </si>
  <si>
    <t>Total - 67200 - Other Facility Expense</t>
  </si>
  <si>
    <t>67406 - Other office expenses</t>
  </si>
  <si>
    <t>68000 - Other Operating Expenses</t>
  </si>
  <si>
    <t>68001 - Filing Fees &amp; Licenses</t>
  </si>
  <si>
    <t>68002 - Other Operating Exp</t>
  </si>
  <si>
    <t>Total - 68000 - Other Operating Expenses</t>
  </si>
  <si>
    <t>Total - Sales</t>
  </si>
  <si>
    <t>Marketing</t>
  </si>
  <si>
    <t>63000 - Marketing expenses</t>
  </si>
  <si>
    <t>63003 - Marketing Conferences</t>
  </si>
  <si>
    <t>63004 - Content</t>
  </si>
  <si>
    <t>63006 - Other Marketing</t>
  </si>
  <si>
    <t>Total - 63000 - Marketing expenses</t>
  </si>
  <si>
    <t>Total - Marketing</t>
  </si>
  <si>
    <t>Total - S&amp;M</t>
  </si>
  <si>
    <t>G&amp;A</t>
  </si>
  <si>
    <t>Finance</t>
  </si>
  <si>
    <t>66200 - Accounting &amp; Finance</t>
  </si>
  <si>
    <t>66201 - Audit, tax and accounting Services</t>
  </si>
  <si>
    <t>Total - 66200 - Accounting &amp; Finance</t>
  </si>
  <si>
    <t>67505 - Other Insurance</t>
  </si>
  <si>
    <t>Total - Finance</t>
  </si>
  <si>
    <t>Legal</t>
  </si>
  <si>
    <t>66300 - Legal</t>
  </si>
  <si>
    <t>66301 - Corporate</t>
  </si>
  <si>
    <t>66302 - Commercial</t>
  </si>
  <si>
    <t>66303 - Privacy and compliance</t>
  </si>
  <si>
    <t>66304 - Patents and IP</t>
  </si>
  <si>
    <t>66305 - Other legal exp.</t>
  </si>
  <si>
    <t>Total - 66300 - Legal</t>
  </si>
  <si>
    <t>67502 - Commercial General Liability</t>
  </si>
  <si>
    <t>68003 - Relocation Expenses</t>
  </si>
  <si>
    <t>Total - Legal</t>
  </si>
  <si>
    <t>HR</t>
  </si>
  <si>
    <t>Total - HR</t>
  </si>
  <si>
    <t>General</t>
  </si>
  <si>
    <t>67405 - Vendor and client gifts</t>
  </si>
  <si>
    <t>Total - General</t>
  </si>
  <si>
    <t>Total - G&amp;A</t>
  </si>
  <si>
    <t>Total Operation Expense</t>
  </si>
  <si>
    <t>Earning/(Loss) Before Interest &amp; Tax</t>
  </si>
  <si>
    <t>Financial Income/(Expenses)</t>
  </si>
  <si>
    <t>Financial Income</t>
  </si>
  <si>
    <t>71000 - Financing income</t>
  </si>
  <si>
    <t>71004 - Interest Income</t>
  </si>
  <si>
    <t>Total - 71000 - Financing income</t>
  </si>
  <si>
    <t>Total Financial Income</t>
  </si>
  <si>
    <t>Financial expenses</t>
  </si>
  <si>
    <t>Rounding Gain/Loss</t>
  </si>
  <si>
    <t>Unrealized Gain/Loss</t>
  </si>
  <si>
    <t>Unrealized Matching Gain/Loss</t>
  </si>
  <si>
    <t>81000 - Financing expenses</t>
  </si>
  <si>
    <t>81003 - Institutions fines</t>
  </si>
  <si>
    <t>81002 - CC Commisions</t>
  </si>
  <si>
    <t>81001 - Bank Charges</t>
  </si>
  <si>
    <t>Total - 81000 - Financing expenses</t>
  </si>
  <si>
    <t>72001 - FX Gain/Loss- realized</t>
  </si>
  <si>
    <t>Total Financial expenses</t>
  </si>
  <si>
    <t>Total Financial Income/(Expenses)</t>
  </si>
  <si>
    <t>Net Income Before Tax</t>
  </si>
  <si>
    <t>Tax on Income</t>
  </si>
  <si>
    <t>80000 - Taxes</t>
  </si>
  <si>
    <t>80001 - Tax on Income</t>
  </si>
  <si>
    <t>Total - 80000 - Taxes</t>
  </si>
  <si>
    <t>Total - Tax on Income</t>
  </si>
  <si>
    <t>Revenues</t>
  </si>
  <si>
    <t>INDEX</t>
  </si>
  <si>
    <t>Cost of Revenues</t>
  </si>
  <si>
    <t>Gross profit</t>
  </si>
  <si>
    <t>WUS- INC</t>
  </si>
  <si>
    <t xml:space="preserve"> EQD</t>
  </si>
  <si>
    <t>WSF- LTD [IL]</t>
  </si>
  <si>
    <t>WSF LTD</t>
  </si>
  <si>
    <t xml:space="preserve">R&amp;D </t>
  </si>
  <si>
    <t>WTSE</t>
  </si>
  <si>
    <t>WIR</t>
  </si>
  <si>
    <t>Operating expenses:</t>
  </si>
  <si>
    <t>Loss Before Taxes On Income</t>
  </si>
  <si>
    <t xml:space="preserve">Net Loss </t>
  </si>
  <si>
    <t>Total Capital and Reserves</t>
  </si>
  <si>
    <t>Retained Earnings</t>
  </si>
  <si>
    <t>Total - Capital and Reserves</t>
  </si>
  <si>
    <t>Total - 31000 - APIC</t>
  </si>
  <si>
    <t>31007 - Warrants</t>
  </si>
  <si>
    <t>31006 - Issuance Costs</t>
  </si>
  <si>
    <t>31005 - Stock Based Compensation</t>
  </si>
  <si>
    <t>31004 - Option exercise by employees</t>
  </si>
  <si>
    <t>31003 - Series B</t>
  </si>
  <si>
    <t>31002 - Series A</t>
  </si>
  <si>
    <t>31001 - Ordinary Shares - Series A</t>
  </si>
  <si>
    <t>31000 - APIC</t>
  </si>
  <si>
    <t>Total - 30000 - Preferred and Common Stock</t>
  </si>
  <si>
    <t>30001 - Preferred &amp; Common Stock</t>
  </si>
  <si>
    <t>30000 - Preferred and Common Stock</t>
  </si>
  <si>
    <t>Capital and Reserves</t>
  </si>
  <si>
    <t>Total Assets Less Total Liabilities</t>
  </si>
  <si>
    <t>Total Assets Less Current Liabilities</t>
  </si>
  <si>
    <t>Current Assets Less Current Liabilities</t>
  </si>
  <si>
    <t>Total Liabilities</t>
  </si>
  <si>
    <t>Total Other Current Liability</t>
  </si>
  <si>
    <t>27002 - Intercompany loan</t>
  </si>
  <si>
    <t>27001 - Other non Current Liability</t>
  </si>
  <si>
    <t>Total - 26000 - Deffered Income</t>
  </si>
  <si>
    <t>26002 - Deffered revenues offset</t>
  </si>
  <si>
    <t>26001 - Deferred Revenues</t>
  </si>
  <si>
    <t>26000 - Deffered Income</t>
  </si>
  <si>
    <t>23501 - Other Current Liability</t>
  </si>
  <si>
    <t>Total - 23000 - Accrued Expenses</t>
  </si>
  <si>
    <t>23001 - Accrued Expenses &amp; Related</t>
  </si>
  <si>
    <t>23000 - Accrued Expenses</t>
  </si>
  <si>
    <t>Total - 22100 - Payroll institutions</t>
  </si>
  <si>
    <t>22102 - Payroll Taxes Payable</t>
  </si>
  <si>
    <t>22101 - Social Security</t>
  </si>
  <si>
    <t>22100 - Payroll institutions</t>
  </si>
  <si>
    <t>Total - 21100 - Retirement Funds</t>
  </si>
  <si>
    <t>21203 - Worker Disability Insurance</t>
  </si>
  <si>
    <t>21102 - Retirement Funds : Retirement Funds (Mosdot) - differential</t>
  </si>
  <si>
    <t>21101 - Pension Contribution Liability</t>
  </si>
  <si>
    <t>21100 - Retirement Funds</t>
  </si>
  <si>
    <t>Total - 21000 - Payroll and related</t>
  </si>
  <si>
    <t>21200 - Health Insurance Liability</t>
  </si>
  <si>
    <t>21012 - Social security on Accrued Vacation</t>
  </si>
  <si>
    <t>21002 - Accrued Vacation</t>
  </si>
  <si>
    <t>21001 - Net Payroll</t>
  </si>
  <si>
    <t>21000 - Payroll and related</t>
  </si>
  <si>
    <t>20203 - Tax on Income</t>
  </si>
  <si>
    <t>Total - 20060 - Intercompany (O.C Liability)</t>
  </si>
  <si>
    <t>20066 - Wematch.Support US INC [PL]</t>
  </si>
  <si>
    <t>20065 - WeMatch EQD Ltd. [PL]</t>
  </si>
  <si>
    <t>20064 - WeMatch Interest Rates Ltd. [PL]</t>
  </si>
  <si>
    <t>20063 - WeMatch Securities Financing Ltd. [PL]</t>
  </si>
  <si>
    <t>20062 - WeMatch.Live Tech Support Europe [PL]</t>
  </si>
  <si>
    <t>20061 - WeMatch.Securitiesfinancing Ltd. [PL]</t>
  </si>
  <si>
    <t>20060 - Intercompany (O.C Liability)</t>
  </si>
  <si>
    <t>Other Current Liability</t>
  </si>
  <si>
    <t>Total Credit Card</t>
  </si>
  <si>
    <t>Total - 20100 - Credit Cards</t>
  </si>
  <si>
    <t>20114 - BH CC 0070 EURO</t>
  </si>
  <si>
    <t>20113 - BH CC 7544 EURO</t>
  </si>
  <si>
    <t>20111 - BH CC 0070 ILS</t>
  </si>
  <si>
    <t>20110 - BH CC 7544 ILS</t>
  </si>
  <si>
    <t>20109 - Netwest CC #9694 2 Credit GBP</t>
  </si>
  <si>
    <t>20106 - FIBI CC 7644</t>
  </si>
  <si>
    <t>20105 - FIBI CC 6491</t>
  </si>
  <si>
    <t>20103 - BH CC 4700</t>
  </si>
  <si>
    <t>20102 - BH CC 0070</t>
  </si>
  <si>
    <t>20101 - BH CC 7544</t>
  </si>
  <si>
    <t>20100 - Credit Cards</t>
  </si>
  <si>
    <t>Credit Card</t>
  </si>
  <si>
    <t>Total Accounts Payable</t>
  </si>
  <si>
    <t>Total - 20050 - Intercompany Liabilities</t>
  </si>
  <si>
    <t>20052 - WeMatch.Live Tech Support Europe</t>
  </si>
  <si>
    <t>20050 - Intercompany Liabilities</t>
  </si>
  <si>
    <t>Total - 20000 - AP</t>
  </si>
  <si>
    <t>20001 - Accounts Payable</t>
  </si>
  <si>
    <t>20000 - AP</t>
  </si>
  <si>
    <t>Accounts Payable</t>
  </si>
  <si>
    <t>Current Liabilities</t>
  </si>
  <si>
    <t>Total Fixed Assets</t>
  </si>
  <si>
    <t>Total - 15100 - Accumulated Depr.</t>
  </si>
  <si>
    <t>15104 - AD - Electronic equipments</t>
  </si>
  <si>
    <t>15103 - AD - Furniture and Fixtures</t>
  </si>
  <si>
    <t>15102 - AD - Leasehold Improvements</t>
  </si>
  <si>
    <t>15101 - AD - Computers &amp; Software</t>
  </si>
  <si>
    <t>15100 - Accumulated Depr.</t>
  </si>
  <si>
    <t>Total - 15000 - FA Cost</t>
  </si>
  <si>
    <t>15004 - Cost - Electronic equipment</t>
  </si>
  <si>
    <t>15003 - Cost - Furniture and Fixtures</t>
  </si>
  <si>
    <t>15002 - Cost - Leasehold Improvements</t>
  </si>
  <si>
    <t>15001 - Cost - Computers &amp; Software</t>
  </si>
  <si>
    <t>15000 - FA Cost</t>
  </si>
  <si>
    <t>Fixed Assets</t>
  </si>
  <si>
    <t>Total Current Assets</t>
  </si>
  <si>
    <t>Total Other Current Asset</t>
  </si>
  <si>
    <t>Advances Paid</t>
  </si>
  <si>
    <t>Total - 17000 - Other long term assets</t>
  </si>
  <si>
    <t>17002 - Employee Loans</t>
  </si>
  <si>
    <t>17001 - Interco Loans</t>
  </si>
  <si>
    <t>17000 - Other long term assets</t>
  </si>
  <si>
    <t>16100 - other current asset</t>
  </si>
  <si>
    <t>Total - 16000 - Other Current Asset</t>
  </si>
  <si>
    <t>16002 - Other Deposits</t>
  </si>
  <si>
    <t>16001 - Rent deposit</t>
  </si>
  <si>
    <t>16000 - Other Current Asset</t>
  </si>
  <si>
    <t>Total - 13009 - Government Institutions</t>
  </si>
  <si>
    <t>Total - 13300 - TAX Assets</t>
  </si>
  <si>
    <t>13304 - Other current tax asset</t>
  </si>
  <si>
    <t>13303 - Tax Benefits</t>
  </si>
  <si>
    <t>13302 - Reversal for Exceed expenses</t>
  </si>
  <si>
    <t>13301 - Advances for Odfot</t>
  </si>
  <si>
    <t>13300 - TAX Assets</t>
  </si>
  <si>
    <t>Total - 13100 - VAT Assets</t>
  </si>
  <si>
    <t>13202 - VAT on Purchases UK</t>
  </si>
  <si>
    <t>13124 - VAT deductible on goods and services</t>
  </si>
  <si>
    <t>13123 - VAT on Purchases FR</t>
  </si>
  <si>
    <t>13122 - VAT on FA Purchases FR</t>
  </si>
  <si>
    <t>13107 - VAT D/C</t>
  </si>
  <si>
    <t>13103 - VAT Proforma IL</t>
  </si>
  <si>
    <t>13102 - VAT on Purchases IL</t>
  </si>
  <si>
    <t>13101 - VAT on FA Purchases IL</t>
  </si>
  <si>
    <t>13100 - VAT Assets</t>
  </si>
  <si>
    <t>13009 - Government Institutions</t>
  </si>
  <si>
    <t>Total - 13000 - Prepaid Exp.</t>
  </si>
  <si>
    <t>13003 - Deferred Customer acquisition cost</t>
  </si>
  <si>
    <t>13002 - Prepaid rent</t>
  </si>
  <si>
    <t>13001 - Prepaid Expenses</t>
  </si>
  <si>
    <t>13000 - Prepaid Exp.</t>
  </si>
  <si>
    <t>Total - 12600 - Intercompany (O.C Assets)</t>
  </si>
  <si>
    <t>12606 - Wematch.Support US INC [P]</t>
  </si>
  <si>
    <t>12605 - WeMatch EQD Ltd. [P]</t>
  </si>
  <si>
    <t>12603 - WeMatch Securities Financing Ltd. [P]</t>
  </si>
  <si>
    <t>12602 - WeMatch.Live Tech Support Europe [P]</t>
  </si>
  <si>
    <t>12601 - WeMatch.Securitiesfinancing Ltd. [P]</t>
  </si>
  <si>
    <t>12600 - Intercompany (O.C Assets)</t>
  </si>
  <si>
    <t>12004 - Unbilled Revenue</t>
  </si>
  <si>
    <t>Other Current Asset</t>
  </si>
  <si>
    <t>Total Unbilled Receivable</t>
  </si>
  <si>
    <t>Unbilled Receivable</t>
  </si>
  <si>
    <t>Total Accounts Receivable</t>
  </si>
  <si>
    <t>Total - 12500 - Intercompany (Receviable)</t>
  </si>
  <si>
    <t>12502 - WeMatch.Live Tech Support Europe</t>
  </si>
  <si>
    <t>12500 - Intercompany (Receviable)</t>
  </si>
  <si>
    <t>Total - 12000 - Accounts Receivable</t>
  </si>
  <si>
    <t>12002 - Accounts Receivable - Customers offset</t>
  </si>
  <si>
    <t>12001 - Accounts Receivable</t>
  </si>
  <si>
    <t>12000 - Accounts Receivable</t>
  </si>
  <si>
    <t>Accounts Receivable</t>
  </si>
  <si>
    <t>Total Bank</t>
  </si>
  <si>
    <t>Total - 11100 - Short term Bank Deposit</t>
  </si>
  <si>
    <t>11101 - Short term Bank Deposit [BANK HAPOALIM]</t>
  </si>
  <si>
    <t>11100 - Short term Bank Deposit</t>
  </si>
  <si>
    <t>Total - 11000 - Short-term Restricted cash</t>
  </si>
  <si>
    <t>11003 - Bank FIBI Deposit EUR</t>
  </si>
  <si>
    <t>11002 - Bank FIBI Deposit NIS</t>
  </si>
  <si>
    <t>11001 - Bank Hapoalim Deposit NIS</t>
  </si>
  <si>
    <t>11000 - Short-term Restricted cash</t>
  </si>
  <si>
    <t>Total - 10600 - Cash and Cash Equivalent (WUS-US)</t>
  </si>
  <si>
    <t>10602 - Bank Hapoalim 0700 Checking USD</t>
  </si>
  <si>
    <t>10601 - Bank Hapoalim 542 Saving USD</t>
  </si>
  <si>
    <t>10600 - Cash and Cash Equivalent (WUS-US)</t>
  </si>
  <si>
    <t>Total - 10500 - Cash and Cash Equivalent (WTSE-FR)</t>
  </si>
  <si>
    <t>10501 - Bank SG 20020671 EUR</t>
  </si>
  <si>
    <t>10500 - Cash and Cash Equivalent (WTSE-FR)</t>
  </si>
  <si>
    <t>Total - 10400 - Cash and Cash Equivalent (WSF-UK)</t>
  </si>
  <si>
    <t>10401 - Bank Netwest 27557405 GBP</t>
  </si>
  <si>
    <t>10400 - Cash and Cash Equivalent (WSF-UK)</t>
  </si>
  <si>
    <t>Total - 10300 - Cash and Cash Equivalent (WEQD-IL)</t>
  </si>
  <si>
    <t>10302 - Bank Hapoalim 120702 USD</t>
  </si>
  <si>
    <t>10301 - Bank Hapoalim 120702 NIS</t>
  </si>
  <si>
    <t>10300 - Cash and Cash Equivalent (WEQD-IL)</t>
  </si>
  <si>
    <t>Total - 10200 - Cash and Cash Equivalent (WSF-IL)</t>
  </si>
  <si>
    <t>10203 - Bank Hapoalim 120729 EUR</t>
  </si>
  <si>
    <t>10202 - Bank Hapoalim 120729 USD</t>
  </si>
  <si>
    <t>10201 - Bank Hapoalim 120729 NIS</t>
  </si>
  <si>
    <t>10200 - Cash and Cash Equivalent (WSF-IL)</t>
  </si>
  <si>
    <t>Total - 10100 - Cash and Cash Equivalent (WIR-IL)</t>
  </si>
  <si>
    <t>10101 - Bank Hapoalim 120720 NIS</t>
  </si>
  <si>
    <t>10100 - Cash and Cash Equivalent (WIR-IL)</t>
  </si>
  <si>
    <t>101 - Dummy USD [UK]</t>
  </si>
  <si>
    <t>Total - 10000 - Cash and Cash Equivalent (WRD-IL)</t>
  </si>
  <si>
    <t>10005 - Bank Hapoalim 120737 EUR</t>
  </si>
  <si>
    <t>10004 - Bank Hapoalim 120737 GBP</t>
  </si>
  <si>
    <t>10003 - Bank Hapoalim 120737 USD</t>
  </si>
  <si>
    <t>10002 - Bank Hapoalim 120737 NIS</t>
  </si>
  <si>
    <t>10001 - Bank Fibi 327492 NIS</t>
  </si>
  <si>
    <t>10000 - Cash and Cash Equivalent (WRD-IL)</t>
  </si>
  <si>
    <t>Bank</t>
  </si>
  <si>
    <t>Current Assets</t>
  </si>
  <si>
    <t>Elimination</t>
  </si>
  <si>
    <t>End of FY 2022</t>
  </si>
  <si>
    <t>Balance Sheet</t>
  </si>
  <si>
    <t>Assets</t>
  </si>
  <si>
    <t>Cash and cash equivalent</t>
  </si>
  <si>
    <t>Short term restricted deposits</t>
  </si>
  <si>
    <t>Trade recievables</t>
  </si>
  <si>
    <t>other recievables and prepaid expenses</t>
  </si>
  <si>
    <t>Current Assets:</t>
  </si>
  <si>
    <t>Total cerrent assets</t>
  </si>
  <si>
    <t>Long-Term assets:</t>
  </si>
  <si>
    <t>loans to employees</t>
  </si>
  <si>
    <t>Total Long-term assets</t>
  </si>
  <si>
    <t>Total assets</t>
  </si>
  <si>
    <t>property and equipment</t>
  </si>
  <si>
    <t>Liabilities and shareholders' equity</t>
  </si>
  <si>
    <t>Current Liabilities:</t>
  </si>
  <si>
    <t>Trade payables</t>
  </si>
  <si>
    <t>Accrued expenses and other liabilities</t>
  </si>
  <si>
    <t>Long-Term liabilities:</t>
  </si>
  <si>
    <t>Shareholders equity</t>
  </si>
  <si>
    <t>additrional paid in capital</t>
  </si>
  <si>
    <t>Recievable on share account</t>
  </si>
  <si>
    <t>Accumulated deficit</t>
  </si>
  <si>
    <t>Total shareholders equity</t>
  </si>
  <si>
    <t>Total liabilities and shareholders' equity</t>
  </si>
  <si>
    <t>Total current liabilities</t>
  </si>
  <si>
    <t>ידני</t>
  </si>
  <si>
    <t>Wematch.live</t>
  </si>
  <si>
    <t>USD</t>
  </si>
  <si>
    <t>80005 - Other Taxes</t>
  </si>
  <si>
    <t>Preferred  Shares</t>
  </si>
  <si>
    <t>Additional</t>
  </si>
  <si>
    <t>Receivable on</t>
  </si>
  <si>
    <t xml:space="preserve">Accumulated </t>
  </si>
  <si>
    <t>Total shareholders' equity</t>
  </si>
  <si>
    <t>paid-in</t>
  </si>
  <si>
    <t>Number</t>
  </si>
  <si>
    <t>capital</t>
  </si>
  <si>
    <t>Shares account</t>
  </si>
  <si>
    <t>deficit</t>
  </si>
  <si>
    <t>(deficit)</t>
  </si>
  <si>
    <t>-</t>
  </si>
  <si>
    <t>Net loss and other comprehensive loss</t>
  </si>
  <si>
    <t>Share based compensation</t>
  </si>
  <si>
    <t>Issuance of preferred A Shares, net of issuance cost</t>
  </si>
  <si>
    <t>SAFE exercise</t>
  </si>
  <si>
    <t>Warrant exercise</t>
  </si>
  <si>
    <t>Issuance of preferred B Shares, net of issuance cost</t>
  </si>
  <si>
    <t>Balance as of December 31, 2021</t>
  </si>
  <si>
    <t>Working peper for cash flow</t>
  </si>
  <si>
    <t>Closing balance as</t>
  </si>
  <si>
    <t>Cash flow from</t>
  </si>
  <si>
    <t>Opeartion</t>
  </si>
  <si>
    <t>Investing</t>
  </si>
  <si>
    <t>Financing</t>
  </si>
  <si>
    <t>Non-cash activites</t>
  </si>
  <si>
    <t>Change in cash</t>
  </si>
  <si>
    <t>Check</t>
  </si>
  <si>
    <t>Balance as of January 1, 2021</t>
  </si>
  <si>
    <t>Number of Awards</t>
  </si>
  <si>
    <t>Weighted Average Exercise Price</t>
  </si>
  <si>
    <t>Weighted Average Share Price on Date of Exercise</t>
  </si>
  <si>
    <t>Weighted Average Remaining Contractual Life</t>
  </si>
  <si>
    <t>Aggregate Intrinsic Value</t>
  </si>
  <si>
    <t>Outstanding, beginning of period</t>
  </si>
  <si>
    <t>Granted</t>
  </si>
  <si>
    <t>Exercised/Released</t>
  </si>
  <si>
    <t>Cancelled/Forfeited</t>
  </si>
  <si>
    <t>Expired</t>
  </si>
  <si>
    <t>Outstanding, End of period</t>
  </si>
  <si>
    <t>Exercisable, End of period</t>
  </si>
  <si>
    <t>in 000'</t>
  </si>
  <si>
    <t>Issuance of ordinary stocks, net of issuance cost</t>
  </si>
  <si>
    <t>Balance as of December 31, 2022</t>
  </si>
  <si>
    <t>Operating Loss</t>
  </si>
  <si>
    <t>Financial expenses, net</t>
  </si>
  <si>
    <t>NOTE</t>
  </si>
  <si>
    <t>Bank fees</t>
  </si>
  <si>
    <t>Revaluation expenses</t>
  </si>
  <si>
    <t>Exchange difference</t>
  </si>
  <si>
    <t>Subscription fees</t>
  </si>
  <si>
    <t>Variable Fees</t>
  </si>
  <si>
    <t>From rev File</t>
  </si>
  <si>
    <t>NS</t>
  </si>
  <si>
    <t>DIFF</t>
  </si>
  <si>
    <t>Revenues shared with third parties</t>
  </si>
  <si>
    <t>Other cost of sales</t>
  </si>
  <si>
    <t>note</t>
  </si>
  <si>
    <t>P&amp;L Notes</t>
  </si>
  <si>
    <t>Balance Sheet Notes</t>
  </si>
  <si>
    <t xml:space="preserve">Trade recievables </t>
  </si>
  <si>
    <t>Unbilled revenue</t>
  </si>
  <si>
    <t xml:space="preserve">Prepaid expenses </t>
  </si>
  <si>
    <t xml:space="preserve">Government institutions </t>
  </si>
  <si>
    <t>Other current assts</t>
  </si>
  <si>
    <t>Cost:</t>
  </si>
  <si>
    <t>Computers &amp; Software</t>
  </si>
  <si>
    <t>Office furniture</t>
  </si>
  <si>
    <t>Leasehold improvements</t>
  </si>
  <si>
    <t>Accumulated depritiation</t>
  </si>
  <si>
    <t>Preperty and equipment, net</t>
  </si>
  <si>
    <t>Accrued employee compensation and benefits</t>
  </si>
  <si>
    <t>Income and indirect tax payable</t>
  </si>
  <si>
    <t>Accrued expenses</t>
  </si>
  <si>
    <t xml:space="preserve">Create a working paper </t>
  </si>
  <si>
    <t>Share capital:</t>
  </si>
  <si>
    <t xml:space="preserve">ordinary shares </t>
  </si>
  <si>
    <t>ordinary A Shares</t>
  </si>
  <si>
    <t>Preferred A shares (*)</t>
  </si>
  <si>
    <t>preferred B shares (*)</t>
  </si>
  <si>
    <t>December 31,2022</t>
  </si>
  <si>
    <t>Authorized</t>
  </si>
  <si>
    <t>issued and outstanding</t>
  </si>
  <si>
    <t>Shareholders' equity</t>
  </si>
  <si>
    <t>number of options</t>
  </si>
  <si>
    <t>weightes average excersise price</t>
  </si>
  <si>
    <t>Balance as of December 31,2021</t>
  </si>
  <si>
    <t>Balance as of December 31,2022</t>
  </si>
  <si>
    <t>Excercisable as of December 31,2021</t>
  </si>
  <si>
    <t>Other Equity</t>
  </si>
  <si>
    <t>Cash and cash equivalents</t>
  </si>
  <si>
    <t>Restricted Bank Deposit</t>
  </si>
  <si>
    <t xml:space="preserve">Account Receivable </t>
  </si>
  <si>
    <t xml:space="preserve">Prepaid expenses and other current assets </t>
  </si>
  <si>
    <t>Other long term accounts receivables</t>
  </si>
  <si>
    <t>Property &amp; Equipment, Net</t>
  </si>
  <si>
    <t>Account Payable</t>
  </si>
  <si>
    <t>Accrued expenses and other current liabilities</t>
  </si>
  <si>
    <t>Deferred Revenues</t>
  </si>
  <si>
    <t>Warrants</t>
  </si>
  <si>
    <t>Safe agreement</t>
  </si>
  <si>
    <t>Provision for post employment benefits</t>
  </si>
  <si>
    <t>Ordinary shares</t>
  </si>
  <si>
    <t>Preferred shares</t>
  </si>
  <si>
    <t>Additional paid in capital-Share based compensation</t>
  </si>
  <si>
    <t>Additional paid in capital</t>
  </si>
  <si>
    <t>Current year Profit (loss)</t>
  </si>
  <si>
    <t>61113 - Social Security</t>
  </si>
  <si>
    <t>Allocation</t>
  </si>
  <si>
    <t>Total - Allocation</t>
  </si>
  <si>
    <t>Total Operatiing Expense</t>
  </si>
  <si>
    <t>Non current Liabilities:</t>
  </si>
  <si>
    <t>check</t>
  </si>
  <si>
    <t>14ב</t>
  </si>
  <si>
    <t>Cash flows from operating activities:</t>
  </si>
  <si>
    <t>  </t>
  </si>
  <si>
    <t>US thousand</t>
  </si>
  <si>
    <t>Net loss</t>
  </si>
  <si>
    <t>Adjustments to reconcile net loss to net cash provided by operating activities:</t>
  </si>
  <si>
    <t>Depreciation and amortization and impermanent</t>
  </si>
  <si>
    <t>Share-based compensation expense</t>
  </si>
  <si>
    <t>Change in employee long term loans</t>
  </si>
  <si>
    <t>Change in long time employee benefit</t>
  </si>
  <si>
    <t>Change in SAFE fair value</t>
  </si>
  <si>
    <t>Changes in operating assets and liabilities:</t>
  </si>
  <si>
    <t>Accounts receivable</t>
  </si>
  <si>
    <t>Prepaid expenses and other assets</t>
  </si>
  <si>
    <t>Accounts payable</t>
  </si>
  <si>
    <t>Change in Deferred revenue</t>
  </si>
  <si>
    <t>Net cash provided by operating activities</t>
  </si>
  <si>
    <t>Cash flows from investing activities:</t>
  </si>
  <si>
    <t>Change in short term restricted deposit</t>
  </si>
  <si>
    <t>Purchases of property and equipment</t>
  </si>
  <si>
    <t>Net cash used in investing activities</t>
  </si>
  <si>
    <t>Cash flows from financing activities:</t>
  </si>
  <si>
    <t>Proceeds from issuance of Sample agreement for future equity ("SAFE")</t>
  </si>
  <si>
    <t>Issuance of Preferred B shares, net of issuance cost</t>
  </si>
  <si>
    <t>Proceeds from issuance of convertible preferred shares, net of issuance costs</t>
  </si>
  <si>
    <t>Net cash provided by financing activities</t>
  </si>
  <si>
    <t>Net increase (decrease) in cash, cash equivalents, and restricted cash</t>
  </si>
  <si>
    <t>Cash, cash equivalents, and restricted cash—beginning of period</t>
  </si>
  <si>
    <t>Cash, cash equivalents, and restricted cash—end of period</t>
  </si>
  <si>
    <t>Option exercise by employees</t>
  </si>
  <si>
    <t>Total Credit Card- add manualy</t>
  </si>
  <si>
    <t>.</t>
  </si>
  <si>
    <t>Proceeds from opsions excersize</t>
  </si>
  <si>
    <t>JE'S</t>
  </si>
  <si>
    <t>JEIL-01719</t>
  </si>
  <si>
    <t>D</t>
  </si>
  <si>
    <t>12002 AR OFFSET</t>
  </si>
  <si>
    <t>C</t>
  </si>
  <si>
    <t>26002 DR OFFSET</t>
  </si>
  <si>
    <t>AR-DR Offset</t>
  </si>
  <si>
    <t>includes DR</t>
  </si>
  <si>
    <t>December 31,2021</t>
  </si>
  <si>
    <t>The information is taken from Carta- "Summery Cap Table" report</t>
  </si>
  <si>
    <t>(*)</t>
  </si>
  <si>
    <t>ILS</t>
  </si>
  <si>
    <t>10303 - Bank BIA</t>
  </si>
  <si>
    <t>אם הפקדונות משמשים לפעילות השוטפת או נזילים תוך פחות מ-3 חודשים הם מסווגים כמזומן ושווי מזומן</t>
  </si>
  <si>
    <t>Wematch.SecuritiesFinancing LTD</t>
  </si>
  <si>
    <t>Excercisable as of December 31,2022</t>
  </si>
  <si>
    <t>Number of options</t>
  </si>
  <si>
    <t>Weightes average exercise price</t>
  </si>
  <si>
    <t>Grant date</t>
  </si>
  <si>
    <t>Exercise price</t>
  </si>
  <si>
    <t>Excercisable through</t>
  </si>
  <si>
    <t>December 31,</t>
  </si>
  <si>
    <t>01/05/2022</t>
  </si>
  <si>
    <t>22/09/2022</t>
  </si>
  <si>
    <t>CogS</t>
  </si>
  <si>
    <t>*</t>
  </si>
  <si>
    <t>Wematch.live R&amp;D LTD Options Exercised &amp; RSUs Settled</t>
  </si>
  <si>
    <t xml:space="preserve">As of 12/31/2022 • Generated by Hila Eliasi (hila.eliasi@wematch.live) at 08/10/2023 06:10:37 </t>
  </si>
  <si>
    <t>ID</t>
  </si>
  <si>
    <t>Optionholder</t>
  </si>
  <si>
    <t>Employee ID</t>
  </si>
  <si>
    <t>Shares Exercised</t>
  </si>
  <si>
    <t>Grant Date</t>
  </si>
  <si>
    <t>Exercise Request Date</t>
  </si>
  <si>
    <t>Off System Transaction</t>
  </si>
  <si>
    <t>Exercise Price</t>
  </si>
  <si>
    <t>Total Exercise Price</t>
  </si>
  <si>
    <t>ES-1008</t>
  </si>
  <si>
    <t>Rudy Perez</t>
  </si>
  <si>
    <t>ES-1019</t>
  </si>
  <si>
    <t>Eitan Katz</t>
  </si>
  <si>
    <t>ES-1054</t>
  </si>
  <si>
    <t>From Carta</t>
  </si>
  <si>
    <t>299997 - Conversion payable account</t>
  </si>
  <si>
    <t>Interest income</t>
  </si>
  <si>
    <t>JEIL-03339</t>
  </si>
  <si>
    <t>20001 AP</t>
  </si>
  <si>
    <t>67101 Rent</t>
  </si>
  <si>
    <t>Niv Sabag</t>
  </si>
  <si>
    <t>Shane Martin</t>
  </si>
  <si>
    <t>Christine Lowe</t>
  </si>
  <si>
    <t>Jason Hunter</t>
  </si>
  <si>
    <t>Michael Sabbah</t>
  </si>
  <si>
    <t>2023 grants</t>
  </si>
  <si>
    <t>Diff</t>
  </si>
  <si>
    <t>01/08/2023 from Carta</t>
  </si>
  <si>
    <t>Option exercise</t>
  </si>
  <si>
    <t>See WP AR Breakdown</t>
  </si>
  <si>
    <t>See WP Prepaid expenses</t>
  </si>
  <si>
    <t>See WP : Accruals Breakdown</t>
  </si>
  <si>
    <t>See WP: Revenue File</t>
  </si>
  <si>
    <t>End of Dec 2022</t>
  </si>
  <si>
    <t>Undeposited Funds</t>
  </si>
  <si>
    <t>- No Class -</t>
  </si>
  <si>
    <t>Securities Financing</t>
  </si>
  <si>
    <t>Total - 51110 - Recruiting Fees</t>
  </si>
  <si>
    <t>67407 - Business meals</t>
  </si>
  <si>
    <t>intercompany</t>
  </si>
  <si>
    <t xml:space="preserve">הון </t>
  </si>
  <si>
    <t>המניות</t>
  </si>
  <si>
    <t>חייבים על חשבון מניות</t>
  </si>
  <si>
    <t>פרמיה</t>
  </si>
  <si>
    <t>עודפים</t>
  </si>
  <si>
    <t>סה"כ</t>
  </si>
  <si>
    <t>אלפי ש"ח</t>
  </si>
  <si>
    <t>יתרה ליום 1 בינואר, 2021</t>
  </si>
  <si>
    <t>הנפקת מניות</t>
  </si>
  <si>
    <t>קרן הון בגין אופציות</t>
  </si>
  <si>
    <t>הפסד נקי</t>
  </si>
  <si>
    <t>יתרה ליום 31 בדצמבר, 2021</t>
  </si>
  <si>
    <t>יתרה ליום 31 בדצמבר, 2022</t>
  </si>
  <si>
    <t>This report doesn't include intercompany transactions</t>
  </si>
  <si>
    <t>download them from report: Income statement--&gt;Account 60002</t>
  </si>
  <si>
    <t>60002- intercompany expenses</t>
  </si>
  <si>
    <t>from income statement</t>
  </si>
  <si>
    <t>Net Loss</t>
  </si>
  <si>
    <t xml:space="preserve">מימוש אופציות </t>
  </si>
  <si>
    <t>Intercompany</t>
  </si>
  <si>
    <t>16.1.1</t>
  </si>
  <si>
    <t>16.1.2</t>
  </si>
  <si>
    <t>16.1.3</t>
  </si>
  <si>
    <t>16.1.4</t>
  </si>
  <si>
    <t>16.1.5</t>
  </si>
  <si>
    <t>13.5.1</t>
  </si>
  <si>
    <t>13.5.2</t>
  </si>
  <si>
    <t>13.5.3</t>
  </si>
  <si>
    <t>13.5.4</t>
  </si>
  <si>
    <t>different from 2021 signed report</t>
  </si>
  <si>
    <t>הוצאות (הכנסות) הפרשי שער</t>
  </si>
  <si>
    <t>הוצאות עמלות בנקים</t>
  </si>
  <si>
    <t>הוצאות בגין שערוך התחייבות לזמן ארוך</t>
  </si>
  <si>
    <t>Wematch.Support US INC.</t>
  </si>
  <si>
    <t>NET-For Financial Statements</t>
  </si>
  <si>
    <t>income</t>
  </si>
  <si>
    <t>expense</t>
  </si>
  <si>
    <t>(Most are R&amp;D)</t>
  </si>
  <si>
    <t>IC expenses</t>
  </si>
  <si>
    <t>31.12.2023</t>
  </si>
  <si>
    <t>As of December 31, 2023</t>
  </si>
  <si>
    <t>Options excercisable as of December 31,2023</t>
  </si>
  <si>
    <t>Options outstanding as of December 31, 2023</t>
  </si>
  <si>
    <t>number of options excercised during 2023</t>
  </si>
  <si>
    <t>number of options granted during 2023</t>
  </si>
  <si>
    <t>10401 - Bank Netwest 27557405 £</t>
  </si>
  <si>
    <t>12003 - Unbilled Receivable</t>
  </si>
  <si>
    <t>Gross Revenue</t>
  </si>
  <si>
    <t>Total - Securities Financing</t>
  </si>
  <si>
    <t>Total Gross Revenue</t>
  </si>
  <si>
    <t>45001 - ISIN</t>
  </si>
  <si>
    <t>Net Revenue</t>
  </si>
  <si>
    <t>CoS</t>
  </si>
  <si>
    <t>Platform Operation</t>
  </si>
  <si>
    <t>50106 - COGS Workers Compensation</t>
  </si>
  <si>
    <t>50109 - COGS Payroll processing fees</t>
  </si>
  <si>
    <t>50112 - COGS Employee Life Insurance</t>
  </si>
  <si>
    <t>50114 - COGS Gym membership</t>
  </si>
  <si>
    <t>51003 - COGS Medical Insurance</t>
  </si>
  <si>
    <t>50200 - COGS Travel and Entertainment</t>
  </si>
  <si>
    <t>50201 - COGS Airfare</t>
  </si>
  <si>
    <t>50202 - COGS Lodging</t>
  </si>
  <si>
    <t>Total - 50200 - COGS Travel and Entertainment</t>
  </si>
  <si>
    <t>Wematch.Live LLC</t>
  </si>
  <si>
    <t>WM INCOME STATEMENT for budget -Oren</t>
  </si>
  <si>
    <t>From Jan 2023 to Dec 2023</t>
  </si>
  <si>
    <t>51000 - Payroll Taxes [COGS]</t>
  </si>
  <si>
    <t>51103 - COGS Car value - Debit</t>
  </si>
  <si>
    <t>Total - 51000 - Payroll Taxes [COGS]</t>
  </si>
  <si>
    <t>Total - Platform Operation</t>
  </si>
  <si>
    <t>Tech. Support</t>
  </si>
  <si>
    <t>50110 - COGS Employee's housing</t>
  </si>
  <si>
    <t>50111 - COGS Keren Hishtalmut</t>
  </si>
  <si>
    <t>50115 - COGS Employee meals</t>
  </si>
  <si>
    <t>50117 - COGS Vacation expenses</t>
  </si>
  <si>
    <t>50203 - COGS Ground Transportation</t>
  </si>
  <si>
    <t>Total - Tech. Support</t>
  </si>
  <si>
    <t>Total - CoS</t>
  </si>
  <si>
    <t>61207 - Medical Insurance</t>
  </si>
  <si>
    <t>61210 - Gym membership</t>
  </si>
  <si>
    <t>61208 - Employee Life Insurance</t>
  </si>
  <si>
    <t>64000 - Tools/ systems</t>
  </si>
  <si>
    <t>Total - 64000 - Tools/ systems</t>
  </si>
  <si>
    <t>61012 - Employee's housing</t>
  </si>
  <si>
    <t>62108 - Employees Travel Reports</t>
  </si>
  <si>
    <t>61008 - Commissions</t>
  </si>
  <si>
    <t>61506 - Visa expenses</t>
  </si>
  <si>
    <t>61603 - Management development</t>
  </si>
  <si>
    <t>62300 - Mang. Internal meetings</t>
  </si>
  <si>
    <t>62301 - Meals &amp; Entertainment (Mang.)</t>
  </si>
  <si>
    <t>Total - 62300 - Mang. Internal meetings</t>
  </si>
  <si>
    <t>61505 - Other</t>
  </si>
  <si>
    <t>62303 - Travel Reports (Mang.)</t>
  </si>
  <si>
    <t>66202 - Other accounting services</t>
  </si>
  <si>
    <t>67102 - Rent - Arnona</t>
  </si>
  <si>
    <t>67103 - Rent - maintenance fees</t>
  </si>
  <si>
    <t>67202 - Cleaning</t>
  </si>
  <si>
    <t>67203 - Internet</t>
  </si>
  <si>
    <t>67501 - Office Insurance</t>
  </si>
  <si>
    <t>68005 - Previous Years accrual adjustments</t>
  </si>
  <si>
    <t>61706 - Other welfare expenses</t>
  </si>
  <si>
    <t>Other Income and Expenses</t>
  </si>
  <si>
    <t>Other Income</t>
  </si>
  <si>
    <t>72000 - FX Gains &amp; Losses</t>
  </si>
  <si>
    <t>72002 - FX Gain/Loss - unrealized</t>
  </si>
  <si>
    <t>Total - 72000 - FX Gains &amp; Losses</t>
  </si>
  <si>
    <t>Total - Other Income</t>
  </si>
  <si>
    <t>Net Other Income</t>
  </si>
  <si>
    <t>71003 - Revaluation expenses</t>
  </si>
  <si>
    <t>80007 - French Professional Tax (CFE)</t>
  </si>
  <si>
    <t>100 - DUMMY USD</t>
  </si>
  <si>
    <t>10006 - Bank Hapoalim 120737 CAD</t>
  </si>
  <si>
    <t>10007 - Bank Hapoalim 120737 SGD</t>
  </si>
  <si>
    <t>102 - DUMMY - FR</t>
  </si>
  <si>
    <t>70942471 - Soldo UK Wallet</t>
  </si>
  <si>
    <t>70424674 - Soldo FR Wallet €</t>
  </si>
  <si>
    <t>10603 - Bank Hapoalim 2845 Checking USD</t>
  </si>
  <si>
    <t>10604 - Bank Hapoalim 3800 Saving USD</t>
  </si>
  <si>
    <t>14251668 - Soldo US LLC Wallet $</t>
  </si>
  <si>
    <t>14251669 - Soldo US INC Wallet £</t>
  </si>
  <si>
    <t>37940705 - Soldo US LLC Wallet £</t>
  </si>
  <si>
    <t>65554811 - Soldo US INC Wallet $</t>
  </si>
  <si>
    <t>11102 - Short term Bank Deposit [HAPOALIM EUR]</t>
  </si>
  <si>
    <t>11103 - Soc Gen Deposit 2258E2376200016</t>
  </si>
  <si>
    <t>11104 - Soc Gen Deposit 2258E2376200024</t>
  </si>
  <si>
    <t>12607 - Wematch.Support US LLC [P]</t>
  </si>
  <si>
    <t>20002 - Employees Payable</t>
  </si>
  <si>
    <t>20104 - BH CC 9885</t>
  </si>
  <si>
    <t>20116 - CREDIT CARD [DUMMY]</t>
  </si>
  <si>
    <t>20117 - BH CC 9885 ILS</t>
  </si>
  <si>
    <t>20119 - CREDIT CARD DUMMY LLC</t>
  </si>
  <si>
    <t>20067 - Wematch.Support US LLC [PL]</t>
  </si>
  <si>
    <t>20200 - Taxes payable</t>
  </si>
  <si>
    <t>20207 - NYS sales tax</t>
  </si>
  <si>
    <t>20208 - NYC sales tax</t>
  </si>
  <si>
    <t>Total - 20200 - Taxes payable</t>
  </si>
  <si>
    <t>22103 - Paid Family leave</t>
  </si>
  <si>
    <t>22105 - New York voluntary disability</t>
  </si>
  <si>
    <t>Sales Taxes Payable NY</t>
  </si>
  <si>
    <t>32000 - Other Equity</t>
  </si>
  <si>
    <t>32001 - Other Capital</t>
  </si>
  <si>
    <t>Total - 32000 - Other Equity</t>
  </si>
  <si>
    <t>Cumulative Translation Adjustment-Elimination</t>
  </si>
  <si>
    <t>End of Dec 2023</t>
  </si>
  <si>
    <t>Elimination US</t>
  </si>
  <si>
    <t>WUS- LLC</t>
  </si>
  <si>
    <t>WSF (UK)</t>
  </si>
  <si>
    <t>WUS INC</t>
  </si>
  <si>
    <t>WUS LLC</t>
  </si>
  <si>
    <t>Rent paid upfront- wework</t>
  </si>
  <si>
    <t>December 31,2023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</si>
</sst>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3" formatCode="_ * #,##0.00_ ;_ * \-#,##0.00_ ;_ * &quot;-&quot;??_ ;_ @_ "/>
    <numFmt numFmtId="164" formatCode="_-* #,##0.00_-;\-* #,##0.00_-;_-* &quot;-&quot;??_-;_-@_-"/>
    <numFmt numFmtId="165" formatCode="_(* #,##0.00_);_(* \(#,##0.00\);_(* &quot;-&quot;??_);_(@_)"/>
    <numFmt numFmtId="166" formatCode="#,##0.00&quot;%&quot;_);\(#,##0.00\)&quot;%&quot;"/>
    <numFmt numFmtId="167" formatCode="_-* #,##0_-;\-* #,##0_-;_-* &quot;-&quot;??_-;_-@_-"/>
    <numFmt numFmtId="168" formatCode="&quot;$&quot;#,##0.00_);\(&quot;$&quot;#,##0.00\)"/>
    <numFmt numFmtId="169" formatCode="&quot;$&quot;#,##0_);[Red]\(&quot;$&quot;#,##0\)"/>
    <numFmt numFmtId="170" formatCode="_(* #,##0_);_(* \(#,##0\);_(* &quot;-&quot;??_);_(@_)"/>
    <numFmt numFmtId="171" formatCode="_-[$$-409]* #,##0.000_ ;_-[$$-409]* \-#,##0.000\ ;_-[$$-409]* &quot;-&quot;??_ ;_-@_ "/>
    <numFmt numFmtId="172" formatCode="_-[$$-409]* #,##0.00_ ;_-[$$-409]* \-#,##0.00\ ;_-[$$-409]* &quot;-&quot;??_ ;_-@_ "/>
    <numFmt numFmtId="173" formatCode="_-[$$-409]* #,##0_ ;_-[$$-409]* \-#,##0\ ;_-[$$-409]* &quot;-&quot;??_ ;_-@_ "/>
    <numFmt numFmtId="174" formatCode="_-* #,##0.0_-;\-* #,##0.0_-;_-* &quot;-&quot;??_-;_-@_-"/>
    <numFmt numFmtId="175" formatCode="#,##0.0;\-#,##0.0"/>
    <numFmt numFmtId="176" formatCode="_-* #,##0.0000_-;\-* #,##0.0000_-;_-* &quot;-&quot;??_-;_-@_-"/>
    <numFmt numFmtId="177" formatCode="#,###"/>
    <numFmt numFmtId="178" formatCode="mm\-dd\-yyyy"/>
    <numFmt numFmtId="179" formatCode="_-[$$]* #,##0.00_-;\-[$$]* #,##0.00_-;_-[$$]* &quot;-&quot;??_-;* @"/>
    <numFmt numFmtId="180" formatCode="#,##0.00_);\(#,##0.00\)"/>
    <numFmt numFmtId="181" formatCode="&quot;₪&quot;#,##0.00"/>
  </numFmts>
  <fonts count="87">
    <font>
      <sz val="8"/>
      <name val="Arial"/>
      <family val="2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b/>
      <sz val="12"/>
      <name val="Arial"/>
      <family val="2"/>
    </font>
    <font>
      <b/>
      <sz val="14"/>
      <name val="Arial"/>
      <family val="2"/>
    </font>
    <font>
      <b/>
      <sz val="7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b/>
      <sz val="10"/>
      <name val="Arial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sz val="11"/>
      <name val="Arial"/>
      <family val="2"/>
      <scheme val="minor"/>
    </font>
    <font>
      <sz val="8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b/>
      <sz val="7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0"/>
      <color theme="4" tint="-0.249977111117893"/>
      <name val="Arial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theme="1"/>
      <name val="Arial"/>
      <family val="2"/>
      <charset val="177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0" tint="-0.249977111117893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0" tint="-0.249977111117893"/>
      <name val="Arial"/>
      <family val="2"/>
    </font>
    <font>
      <b/>
      <sz val="8"/>
      <name val="Arial"/>
      <family val="2"/>
    </font>
    <font>
      <b/>
      <sz val="8"/>
      <color theme="0"/>
      <name val="Arial"/>
      <family val="2"/>
    </font>
    <font>
      <sz val="8"/>
      <color theme="0" tint="-0.249977111117893"/>
      <name val="Arial"/>
      <family val="2"/>
    </font>
    <font>
      <sz val="11"/>
      <color indexed="8"/>
      <name val="Arial"/>
      <family val="2"/>
      <scheme val="minor"/>
    </font>
    <font>
      <b/>
      <u/>
      <sz val="10"/>
      <name val="Arial"/>
      <family val="2"/>
    </font>
    <font>
      <sz val="9"/>
      <name val="Arial"/>
      <family val="2"/>
    </font>
    <font>
      <sz val="8"/>
      <color theme="0" tint="-0.499984740745262"/>
      <name val="Arial"/>
      <family val="2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8"/>
      <name val="Arial"/>
      <family val="2"/>
      <scheme val="minor"/>
    </font>
    <font>
      <b/>
      <sz val="11"/>
      <color rgb="FFFF0000"/>
      <name val="Arial"/>
      <family val="2"/>
    </font>
    <font>
      <u/>
      <sz val="8"/>
      <color theme="10"/>
      <name val="Arial"/>
      <family val="2"/>
    </font>
    <font>
      <b/>
      <sz val="9"/>
      <color rgb="FF1F1F1F"/>
      <name val="Arial"/>
      <family val="2"/>
    </font>
    <font>
      <sz val="9"/>
      <color rgb="FF1F1F1F"/>
      <name val="Arial"/>
      <family val="2"/>
    </font>
    <font>
      <sz val="9"/>
      <color rgb="FF000000"/>
      <name val="Calibri"/>
      <family val="2"/>
    </font>
    <font>
      <sz val="8"/>
      <color theme="0" tint="-0.34998626667073579"/>
      <name val="Arial"/>
      <family val="2"/>
    </font>
    <font>
      <sz val="11"/>
      <color theme="0" tint="-0.34998626667073579"/>
      <name val="Arial"/>
      <family val="2"/>
    </font>
    <font>
      <sz val="9"/>
      <color rgb="FF333333"/>
      <name val="Arial"/>
      <family val="2"/>
    </font>
    <font>
      <sz val="11"/>
      <color rgb="FF535353"/>
      <name val="Arial"/>
      <family val="2"/>
    </font>
    <font>
      <sz val="11"/>
      <color rgb="FF131E29"/>
      <name val="Inherit"/>
    </font>
    <font>
      <sz val="11"/>
      <color rgb="FF131E29"/>
      <name val="Arial"/>
      <family val="2"/>
    </font>
    <font>
      <sz val="11"/>
      <color theme="0" tint="-0.249977111117893"/>
      <name val="Arial"/>
      <family val="2"/>
      <charset val="177"/>
      <scheme val="minor"/>
    </font>
    <font>
      <b/>
      <sz val="12"/>
      <name val="Arial"/>
      <family val="2"/>
    </font>
    <font>
      <b/>
      <sz val="14"/>
      <name val="Arial"/>
      <family val="2"/>
    </font>
    <font>
      <b/>
      <sz val="7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b/>
      <sz val="8"/>
      <color indexed="9"/>
      <name val="Arial"/>
      <family val="2"/>
    </font>
    <font>
      <sz val="10"/>
      <name val="Arial"/>
      <family val="2"/>
      <scheme val="minor"/>
    </font>
    <font>
      <u/>
      <sz val="10"/>
      <name val="Arial"/>
      <family val="2"/>
      <scheme val="minor"/>
    </font>
    <font>
      <b/>
      <sz val="9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7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b/>
      <sz val="8"/>
      <color indexed="9"/>
      <name val="Arial"/>
      <family val="2"/>
    </font>
  </fonts>
  <fills count="5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0D0D0"/>
        <bgColor indexed="64"/>
      </patternFill>
    </fill>
    <fill>
      <patternFill patternType="solid">
        <fgColor rgb="FFD6A5A5"/>
        <bgColor indexed="64"/>
      </patternFill>
    </fill>
    <fill>
      <patternFill patternType="solid">
        <fgColor rgb="FFE2EAF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C6EBF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79998168889431442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dotted">
        <color rgb="FFC0C0C0"/>
      </top>
      <bottom/>
      <diagonal/>
    </border>
    <border>
      <left/>
      <right/>
      <top style="dotted">
        <color rgb="FF969696"/>
      </top>
      <bottom/>
      <diagonal/>
    </border>
    <border>
      <left/>
      <right/>
      <top style="dotted">
        <color rgb="FFFFFFFF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rgb="FF888A85"/>
      </bottom>
      <diagonal/>
    </border>
    <border>
      <left/>
      <right/>
      <top style="thin">
        <color rgb="FFEEEEEC"/>
      </top>
      <bottom/>
      <diagonal/>
    </border>
    <border>
      <left style="medium">
        <color rgb="FFE3E3E3"/>
      </left>
      <right style="medium">
        <color rgb="FFE3E3E3"/>
      </right>
      <top style="medium">
        <color rgb="FFE3E3E3"/>
      </top>
      <bottom style="medium">
        <color rgb="FFE3E3E3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82">
    <xf numFmtId="0" fontId="0" fillId="0" borderId="0"/>
    <xf numFmtId="164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1" applyNumberFormat="0" applyFill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10" fillId="2" borderId="0" applyNumberFormat="0" applyBorder="0" applyAlignment="0" applyProtection="0"/>
    <xf numFmtId="0" fontId="11" fillId="3" borderId="0" applyNumberFormat="0" applyBorder="0" applyAlignment="0" applyProtection="0"/>
    <xf numFmtId="0" fontId="12" fillId="4" borderId="0" applyNumberFormat="0" applyBorder="0" applyAlignment="0" applyProtection="0"/>
    <xf numFmtId="0" fontId="13" fillId="5" borderId="4" applyNumberFormat="0" applyAlignment="0" applyProtection="0"/>
    <xf numFmtId="0" fontId="14" fillId="6" borderId="5" applyNumberFormat="0" applyAlignment="0" applyProtection="0"/>
    <xf numFmtId="0" fontId="15" fillId="6" borderId="4" applyNumberFormat="0" applyAlignment="0" applyProtection="0"/>
    <xf numFmtId="0" fontId="16" fillId="0" borderId="6" applyNumberFormat="0" applyFill="0" applyAlignment="0" applyProtection="0"/>
    <xf numFmtId="0" fontId="17" fillId="7" borderId="7" applyNumberFormat="0" applyAlignment="0" applyProtection="0"/>
    <xf numFmtId="0" fontId="18" fillId="0" borderId="0" applyNumberFormat="0" applyFill="0" applyBorder="0" applyAlignment="0" applyProtection="0"/>
    <xf numFmtId="0" fontId="5" fillId="8" borderId="8" applyNumberFormat="0" applyFont="0" applyAlignment="0" applyProtection="0"/>
    <xf numFmtId="0" fontId="19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21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21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21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21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21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8" borderId="0" applyNumberFormat="0" applyBorder="0" applyAlignment="0" applyProtection="0"/>
    <xf numFmtId="0" fontId="21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2" borderId="0" applyNumberFormat="0" applyBorder="0" applyAlignment="0" applyProtection="0"/>
    <xf numFmtId="0" fontId="31" fillId="0" borderId="0"/>
    <xf numFmtId="0" fontId="40" fillId="0" borderId="0"/>
    <xf numFmtId="165" fontId="40" fillId="0" borderId="0" applyFont="0" applyFill="0" applyBorder="0" applyAlignment="0" applyProtection="0"/>
    <xf numFmtId="171" fontId="38" fillId="0" borderId="0"/>
    <xf numFmtId="0" fontId="4" fillId="0" borderId="0"/>
    <xf numFmtId="0" fontId="44" fillId="0" borderId="0"/>
    <xf numFmtId="43" fontId="44" fillId="0" borderId="0" applyFont="0" applyFill="0" applyBorder="0" applyAlignment="0" applyProtection="0"/>
    <xf numFmtId="0" fontId="44" fillId="0" borderId="0"/>
    <xf numFmtId="43" fontId="44" fillId="0" borderId="0" applyFont="0" applyFill="0" applyBorder="0" applyAlignment="0" applyProtection="0"/>
    <xf numFmtId="0" fontId="3" fillId="8" borderId="8" applyNumberFormat="0" applyFont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164" fontId="3" fillId="0" borderId="0" applyFont="0" applyFill="0" applyBorder="0" applyAlignment="0" applyProtection="0"/>
    <xf numFmtId="164" fontId="40" fillId="0" borderId="0" applyFont="0" applyFill="0" applyBorder="0" applyAlignment="0" applyProtection="0"/>
    <xf numFmtId="0" fontId="38" fillId="0" borderId="0"/>
    <xf numFmtId="0" fontId="3" fillId="0" borderId="0"/>
    <xf numFmtId="9" fontId="40" fillId="0" borderId="0" applyFont="0" applyFill="0" applyBorder="0" applyAlignment="0" applyProtection="0"/>
    <xf numFmtId="171" fontId="38" fillId="0" borderId="0"/>
    <xf numFmtId="0" fontId="40" fillId="0" borderId="0"/>
    <xf numFmtId="0" fontId="53" fillId="0" borderId="0"/>
    <xf numFmtId="164" fontId="1" fillId="0" borderId="0" applyFont="0" applyFill="0" applyBorder="0" applyAlignment="0" applyProtection="0"/>
    <xf numFmtId="0" fontId="61" fillId="0" borderId="0" applyNumberFormat="0" applyFill="0" applyBorder="0" applyAlignment="0" applyProtection="0"/>
    <xf numFmtId="0" fontId="31" fillId="0" borderId="0"/>
  </cellStyleXfs>
  <cellXfs count="407">
    <xf numFmtId="0" fontId="0" fillId="0" borderId="0" xfId="0"/>
    <xf numFmtId="0" fontId="24" fillId="33" borderId="0" xfId="0" applyFont="1" applyFill="1" applyAlignment="1">
      <alignment horizontal="right"/>
    </xf>
    <xf numFmtId="0" fontId="25" fillId="0" borderId="0" xfId="0" applyFont="1" applyAlignment="1">
      <alignment horizontal="left" vertical="center"/>
    </xf>
    <xf numFmtId="0" fontId="26" fillId="0" borderId="0" xfId="0" applyFont="1" applyAlignment="1">
      <alignment horizontal="left" indent="1"/>
    </xf>
    <xf numFmtId="0" fontId="25" fillId="0" borderId="0" xfId="0" applyFont="1" applyAlignment="1">
      <alignment horizontal="left" indent="1"/>
    </xf>
    <xf numFmtId="0" fontId="26" fillId="0" borderId="0" xfId="0" applyFont="1" applyAlignment="1">
      <alignment horizontal="left" indent="2"/>
    </xf>
    <xf numFmtId="0" fontId="25" fillId="0" borderId="11" xfId="0" applyFont="1" applyBorder="1" applyAlignment="1">
      <alignment horizontal="left" vertical="center"/>
    </xf>
    <xf numFmtId="0" fontId="26" fillId="0" borderId="0" xfId="0" applyFont="1" applyAlignment="1">
      <alignment horizontal="left" indent="3"/>
    </xf>
    <xf numFmtId="0" fontId="28" fillId="0" borderId="0" xfId="0" applyFont="1"/>
    <xf numFmtId="0" fontId="29" fillId="0" borderId="0" xfId="0" applyFont="1"/>
    <xf numFmtId="0" fontId="22" fillId="0" borderId="0" xfId="0" applyFont="1"/>
    <xf numFmtId="0" fontId="23" fillId="0" borderId="0" xfId="0" applyFont="1"/>
    <xf numFmtId="167" fontId="0" fillId="0" borderId="0" xfId="1" applyNumberFormat="1" applyFont="1"/>
    <xf numFmtId="167" fontId="30" fillId="0" borderId="0" xfId="1" applyNumberFormat="1" applyFont="1" applyFill="1" applyAlignment="1">
      <alignment horizontal="right"/>
    </xf>
    <xf numFmtId="167" fontId="28" fillId="0" borderId="0" xfId="1" applyNumberFormat="1" applyFont="1"/>
    <xf numFmtId="167" fontId="29" fillId="0" borderId="0" xfId="1" applyNumberFormat="1" applyFont="1"/>
    <xf numFmtId="167" fontId="29" fillId="0" borderId="13" xfId="1" applyNumberFormat="1" applyFont="1" applyBorder="1"/>
    <xf numFmtId="167" fontId="28" fillId="0" borderId="13" xfId="1" applyNumberFormat="1" applyFont="1" applyBorder="1"/>
    <xf numFmtId="167" fontId="29" fillId="0" borderId="0" xfId="1" applyNumberFormat="1" applyFont="1" applyBorder="1"/>
    <xf numFmtId="167" fontId="28" fillId="0" borderId="0" xfId="1" applyNumberFormat="1" applyFont="1" applyBorder="1"/>
    <xf numFmtId="0" fontId="31" fillId="0" borderId="0" xfId="43"/>
    <xf numFmtId="168" fontId="33" fillId="0" borderId="0" xfId="43" applyNumberFormat="1" applyFont="1" applyAlignment="1">
      <alignment horizontal="right" vertical="center"/>
    </xf>
    <xf numFmtId="168" fontId="32" fillId="0" borderId="10" xfId="43" applyNumberFormat="1" applyFont="1" applyBorder="1" applyAlignment="1">
      <alignment horizontal="right" vertical="center"/>
    </xf>
    <xf numFmtId="0" fontId="32" fillId="0" borderId="10" xfId="43" applyFont="1" applyBorder="1" applyAlignment="1">
      <alignment horizontal="left" indent="1"/>
    </xf>
    <xf numFmtId="0" fontId="33" fillId="0" borderId="0" xfId="43" applyFont="1" applyAlignment="1">
      <alignment horizontal="left" indent="2"/>
    </xf>
    <xf numFmtId="168" fontId="32" fillId="0" borderId="0" xfId="43" applyNumberFormat="1" applyFont="1" applyAlignment="1">
      <alignment horizontal="right" vertical="center"/>
    </xf>
    <xf numFmtId="0" fontId="32" fillId="0" borderId="0" xfId="43" applyFont="1" applyAlignment="1">
      <alignment horizontal="left" indent="1"/>
    </xf>
    <xf numFmtId="0" fontId="32" fillId="0" borderId="0" xfId="43" applyFont="1" applyAlignment="1">
      <alignment horizontal="left" vertical="center"/>
    </xf>
    <xf numFmtId="0" fontId="32" fillId="0" borderId="10" xfId="43" applyFont="1" applyBorder="1" applyAlignment="1">
      <alignment horizontal="left" indent="2"/>
    </xf>
    <xf numFmtId="0" fontId="33" fillId="0" borderId="0" xfId="43" applyFont="1" applyAlignment="1">
      <alignment horizontal="left" indent="3"/>
    </xf>
    <xf numFmtId="0" fontId="32" fillId="0" borderId="0" xfId="43" applyFont="1" applyAlignment="1">
      <alignment horizontal="left" indent="2"/>
    </xf>
    <xf numFmtId="0" fontId="34" fillId="33" borderId="0" xfId="43" applyFont="1" applyFill="1" applyAlignment="1">
      <alignment horizontal="right"/>
    </xf>
    <xf numFmtId="0" fontId="34" fillId="33" borderId="0" xfId="43" applyFont="1" applyFill="1" applyAlignment="1">
      <alignment horizontal="left"/>
    </xf>
    <xf numFmtId="0" fontId="30" fillId="0" borderId="14" xfId="1" applyNumberFormat="1" applyFont="1" applyFill="1" applyBorder="1" applyAlignment="1">
      <alignment horizontal="center" vertical="center"/>
    </xf>
    <xf numFmtId="0" fontId="37" fillId="0" borderId="15" xfId="0" applyFont="1" applyBorder="1" applyAlignment="1">
      <alignment horizontal="center"/>
    </xf>
    <xf numFmtId="0" fontId="38" fillId="0" borderId="0" xfId="0" applyFont="1"/>
    <xf numFmtId="167" fontId="38" fillId="0" borderId="0" xfId="1" applyNumberFormat="1" applyFont="1"/>
    <xf numFmtId="0" fontId="36" fillId="0" borderId="0" xfId="43" applyFont="1"/>
    <xf numFmtId="0" fontId="35" fillId="0" borderId="0" xfId="43" applyFont="1"/>
    <xf numFmtId="0" fontId="37" fillId="0" borderId="0" xfId="0" applyFont="1" applyAlignment="1">
      <alignment horizontal="center"/>
    </xf>
    <xf numFmtId="0" fontId="30" fillId="0" borderId="0" xfId="1" applyNumberFormat="1" applyFont="1" applyFill="1" applyBorder="1" applyAlignment="1">
      <alignment horizontal="center" vertical="center"/>
    </xf>
    <xf numFmtId="167" fontId="30" fillId="0" borderId="0" xfId="1" applyNumberFormat="1" applyFont="1" applyFill="1" applyBorder="1" applyAlignment="1">
      <alignment horizontal="right"/>
    </xf>
    <xf numFmtId="167" fontId="38" fillId="0" borderId="0" xfId="1" applyNumberFormat="1" applyFont="1" applyBorder="1"/>
    <xf numFmtId="0" fontId="27" fillId="0" borderId="15" xfId="0" applyFont="1" applyBorder="1" applyAlignment="1">
      <alignment horizontal="center"/>
    </xf>
    <xf numFmtId="167" fontId="39" fillId="0" borderId="0" xfId="1" applyNumberFormat="1" applyFont="1"/>
    <xf numFmtId="0" fontId="39" fillId="0" borderId="0" xfId="0" applyFont="1"/>
    <xf numFmtId="0" fontId="31" fillId="38" borderId="0" xfId="43" applyFill="1"/>
    <xf numFmtId="4" fontId="0" fillId="0" borderId="0" xfId="0" applyNumberFormat="1"/>
    <xf numFmtId="168" fontId="31" fillId="0" borderId="0" xfId="43" applyNumberFormat="1"/>
    <xf numFmtId="0" fontId="41" fillId="0" borderId="0" xfId="44" applyFont="1" applyAlignment="1">
      <alignment horizontal="left" vertical="center" wrapText="1" indent="2"/>
    </xf>
    <xf numFmtId="0" fontId="41" fillId="0" borderId="0" xfId="44" applyFont="1" applyAlignment="1">
      <alignment horizontal="justify" vertical="center" wrapText="1"/>
    </xf>
    <xf numFmtId="0" fontId="41" fillId="0" borderId="0" xfId="44" applyFont="1" applyAlignment="1">
      <alignment horizontal="right" wrapText="1"/>
    </xf>
    <xf numFmtId="0" fontId="40" fillId="0" borderId="0" xfId="44"/>
    <xf numFmtId="0" fontId="41" fillId="0" borderId="17" xfId="44" applyFont="1" applyBorder="1" applyAlignment="1">
      <alignment horizontal="right" wrapText="1"/>
    </xf>
    <xf numFmtId="0" fontId="44" fillId="0" borderId="0" xfId="50"/>
    <xf numFmtId="0" fontId="43" fillId="0" borderId="14" xfId="44" applyFont="1" applyBorder="1" applyAlignment="1">
      <alignment horizontal="right" wrapText="1"/>
    </xf>
    <xf numFmtId="167" fontId="46" fillId="0" borderId="0" xfId="1" applyNumberFormat="1" applyFont="1"/>
    <xf numFmtId="167" fontId="29" fillId="0" borderId="14" xfId="1" applyNumberFormat="1" applyFont="1" applyBorder="1"/>
    <xf numFmtId="1" fontId="28" fillId="0" borderId="0" xfId="0" applyNumberFormat="1" applyFont="1"/>
    <xf numFmtId="167" fontId="28" fillId="0" borderId="14" xfId="1" applyNumberFormat="1" applyFont="1" applyBorder="1"/>
    <xf numFmtId="174" fontId="0" fillId="0" borderId="0" xfId="1" applyNumberFormat="1" applyFont="1"/>
    <xf numFmtId="174" fontId="26" fillId="0" borderId="0" xfId="1" applyNumberFormat="1" applyFont="1" applyAlignment="1">
      <alignment horizontal="right" vertical="center"/>
    </xf>
    <xf numFmtId="167" fontId="28" fillId="0" borderId="0" xfId="0" applyNumberFormat="1" applyFont="1"/>
    <xf numFmtId="0" fontId="29" fillId="39" borderId="21" xfId="0" applyFont="1" applyFill="1" applyBorder="1"/>
    <xf numFmtId="0" fontId="28" fillId="39" borderId="21" xfId="0" applyFont="1" applyFill="1" applyBorder="1"/>
    <xf numFmtId="0" fontId="0" fillId="39" borderId="21" xfId="0" applyFill="1" applyBorder="1"/>
    <xf numFmtId="167" fontId="49" fillId="0" borderId="0" xfId="1" applyNumberFormat="1" applyFont="1"/>
    <xf numFmtId="0" fontId="0" fillId="38" borderId="0" xfId="0" applyFill="1"/>
    <xf numFmtId="0" fontId="28" fillId="0" borderId="0" xfId="0" applyFont="1" applyAlignment="1">
      <alignment horizontal="center" wrapText="1"/>
    </xf>
    <xf numFmtId="4" fontId="31" fillId="0" borderId="0" xfId="43" applyNumberFormat="1"/>
    <xf numFmtId="0" fontId="50" fillId="0" borderId="0" xfId="0" applyFont="1"/>
    <xf numFmtId="168" fontId="25" fillId="0" borderId="0" xfId="0" applyNumberFormat="1" applyFont="1" applyAlignment="1">
      <alignment horizontal="right" vertical="center"/>
    </xf>
    <xf numFmtId="168" fontId="26" fillId="0" borderId="0" xfId="0" applyNumberFormat="1" applyFont="1" applyAlignment="1">
      <alignment horizontal="right" vertical="center"/>
    </xf>
    <xf numFmtId="168" fontId="25" fillId="0" borderId="10" xfId="0" applyNumberFormat="1" applyFont="1" applyBorder="1" applyAlignment="1">
      <alignment horizontal="right" vertical="center"/>
    </xf>
    <xf numFmtId="168" fontId="25" fillId="0" borderId="11" xfId="0" applyNumberFormat="1" applyFont="1" applyBorder="1" applyAlignment="1">
      <alignment horizontal="right" vertical="center"/>
    </xf>
    <xf numFmtId="0" fontId="28" fillId="0" borderId="14" xfId="0" applyFont="1" applyBorder="1" applyAlignment="1">
      <alignment wrapText="1"/>
    </xf>
    <xf numFmtId="0" fontId="28" fillId="0" borderId="14" xfId="0" applyFont="1" applyBorder="1" applyAlignment="1">
      <alignment horizontal="center" wrapText="1"/>
    </xf>
    <xf numFmtId="0" fontId="25" fillId="0" borderId="0" xfId="0" applyFont="1" applyAlignment="1">
      <alignment horizontal="left" indent="2"/>
    </xf>
    <xf numFmtId="0" fontId="25" fillId="0" borderId="10" xfId="0" applyFont="1" applyBorder="1" applyAlignment="1">
      <alignment horizontal="left" indent="2"/>
    </xf>
    <xf numFmtId="0" fontId="25" fillId="0" borderId="10" xfId="0" applyFont="1" applyBorder="1" applyAlignment="1">
      <alignment horizontal="left" indent="1"/>
    </xf>
    <xf numFmtId="0" fontId="25" fillId="0" borderId="0" xfId="0" applyFont="1" applyAlignment="1">
      <alignment horizontal="left" indent="3"/>
    </xf>
    <xf numFmtId="0" fontId="26" fillId="0" borderId="0" xfId="0" applyFont="1" applyAlignment="1">
      <alignment horizontal="left" indent="4"/>
    </xf>
    <xf numFmtId="0" fontId="25" fillId="0" borderId="10" xfId="0" applyFont="1" applyBorder="1" applyAlignment="1">
      <alignment horizontal="left" indent="3"/>
    </xf>
    <xf numFmtId="0" fontId="25" fillId="0" borderId="10" xfId="0" applyFont="1" applyBorder="1" applyAlignment="1">
      <alignment horizontal="left" vertical="center"/>
    </xf>
    <xf numFmtId="0" fontId="0" fillId="37" borderId="0" xfId="0" applyFill="1"/>
    <xf numFmtId="175" fontId="26" fillId="0" borderId="0" xfId="0" applyNumberFormat="1" applyFont="1" applyAlignment="1">
      <alignment horizontal="right" vertical="center"/>
    </xf>
    <xf numFmtId="0" fontId="52" fillId="0" borderId="0" xfId="0" applyFont="1"/>
    <xf numFmtId="167" fontId="52" fillId="0" borderId="0" xfId="1" applyNumberFormat="1" applyFont="1"/>
    <xf numFmtId="167" fontId="0" fillId="0" borderId="13" xfId="1" applyNumberFormat="1" applyFont="1" applyBorder="1"/>
    <xf numFmtId="167" fontId="29" fillId="39" borderId="0" xfId="1" applyNumberFormat="1" applyFont="1" applyFill="1"/>
    <xf numFmtId="167" fontId="38" fillId="41" borderId="16" xfId="1" applyNumberFormat="1" applyFont="1" applyFill="1" applyBorder="1"/>
    <xf numFmtId="0" fontId="54" fillId="0" borderId="0" xfId="0" applyFont="1"/>
    <xf numFmtId="167" fontId="49" fillId="0" borderId="0" xfId="1" applyNumberFormat="1" applyFont="1" applyFill="1"/>
    <xf numFmtId="0" fontId="49" fillId="0" borderId="0" xfId="0" applyFont="1"/>
    <xf numFmtId="0" fontId="31" fillId="41" borderId="0" xfId="43" applyFill="1"/>
    <xf numFmtId="0" fontId="0" fillId="0" borderId="0" xfId="1" applyNumberFormat="1" applyFont="1"/>
    <xf numFmtId="0" fontId="55" fillId="0" borderId="0" xfId="0" applyFont="1"/>
    <xf numFmtId="0" fontId="0" fillId="39" borderId="0" xfId="0" applyFill="1"/>
    <xf numFmtId="167" fontId="50" fillId="39" borderId="0" xfId="1" applyNumberFormat="1" applyFont="1" applyFill="1"/>
    <xf numFmtId="167" fontId="50" fillId="39" borderId="13" xfId="1" applyNumberFormat="1" applyFont="1" applyFill="1" applyBorder="1"/>
    <xf numFmtId="14" fontId="50" fillId="0" borderId="13" xfId="0" applyNumberFormat="1" applyFont="1" applyBorder="1" applyAlignment="1">
      <alignment horizontal="center"/>
    </xf>
    <xf numFmtId="0" fontId="50" fillId="41" borderId="22" xfId="0" applyFont="1" applyFill="1" applyBorder="1" applyAlignment="1">
      <alignment horizontal="center"/>
    </xf>
    <xf numFmtId="0" fontId="50" fillId="0" borderId="23" xfId="0" applyFont="1" applyBorder="1" applyAlignment="1">
      <alignment horizontal="center"/>
    </xf>
    <xf numFmtId="0" fontId="50" fillId="41" borderId="24" xfId="0" applyFont="1" applyFill="1" applyBorder="1" applyAlignment="1">
      <alignment horizontal="center"/>
    </xf>
    <xf numFmtId="14" fontId="50" fillId="41" borderId="25" xfId="0" applyNumberFormat="1" applyFont="1" applyFill="1" applyBorder="1" applyAlignment="1">
      <alignment horizontal="center"/>
    </xf>
    <xf numFmtId="14" fontId="50" fillId="41" borderId="26" xfId="0" applyNumberFormat="1" applyFont="1" applyFill="1" applyBorder="1" applyAlignment="1">
      <alignment horizontal="center"/>
    </xf>
    <xf numFmtId="167" fontId="28" fillId="42" borderId="0" xfId="1" applyNumberFormat="1" applyFont="1" applyFill="1"/>
    <xf numFmtId="167" fontId="28" fillId="42" borderId="13" xfId="1" applyNumberFormat="1" applyFont="1" applyFill="1" applyBorder="1"/>
    <xf numFmtId="0" fontId="56" fillId="0" borderId="0" xfId="0" applyFont="1"/>
    <xf numFmtId="167" fontId="0" fillId="0" borderId="0" xfId="1" applyNumberFormat="1" applyFont="1" applyFill="1"/>
    <xf numFmtId="0" fontId="32" fillId="43" borderId="10" xfId="43" applyFont="1" applyFill="1" applyBorder="1" applyAlignment="1">
      <alignment horizontal="left" indent="1"/>
    </xf>
    <xf numFmtId="168" fontId="32" fillId="43" borderId="10" xfId="43" applyNumberFormat="1" applyFont="1" applyFill="1" applyBorder="1" applyAlignment="1">
      <alignment horizontal="right" vertical="center"/>
    </xf>
    <xf numFmtId="0" fontId="31" fillId="43" borderId="0" xfId="43" applyFill="1"/>
    <xf numFmtId="168" fontId="25" fillId="43" borderId="10" xfId="0" applyNumberFormat="1" applyFont="1" applyFill="1" applyBorder="1" applyAlignment="1">
      <alignment horizontal="right" vertical="center"/>
    </xf>
    <xf numFmtId="4" fontId="31" fillId="43" borderId="0" xfId="43" applyNumberFormat="1" applyFill="1"/>
    <xf numFmtId="17" fontId="42" fillId="39" borderId="27" xfId="0" applyNumberFormat="1" applyFont="1" applyFill="1" applyBorder="1" applyAlignment="1">
      <alignment horizontal="left" wrapText="1"/>
    </xf>
    <xf numFmtId="167" fontId="0" fillId="0" borderId="0" xfId="0" applyNumberFormat="1"/>
    <xf numFmtId="0" fontId="50" fillId="0" borderId="0" xfId="0" applyFont="1" applyAlignment="1">
      <alignment horizontal="left" wrapText="1"/>
    </xf>
    <xf numFmtId="167" fontId="50" fillId="0" borderId="13" xfId="1" applyNumberFormat="1" applyFont="1" applyBorder="1"/>
    <xf numFmtId="167" fontId="0" fillId="0" borderId="15" xfId="1" applyNumberFormat="1" applyFont="1" applyBorder="1"/>
    <xf numFmtId="167" fontId="50" fillId="37" borderId="0" xfId="1" applyNumberFormat="1" applyFont="1" applyFill="1"/>
    <xf numFmtId="167" fontId="50" fillId="37" borderId="13" xfId="1" applyNumberFormat="1" applyFont="1" applyFill="1" applyBorder="1"/>
    <xf numFmtId="167" fontId="50" fillId="45" borderId="0" xfId="1" applyNumberFormat="1" applyFont="1" applyFill="1"/>
    <xf numFmtId="167" fontId="50" fillId="44" borderId="0" xfId="1" applyNumberFormat="1" applyFont="1" applyFill="1"/>
    <xf numFmtId="167" fontId="50" fillId="43" borderId="0" xfId="1" applyNumberFormat="1" applyFont="1" applyFill="1"/>
    <xf numFmtId="167" fontId="50" fillId="46" borderId="0" xfId="1" applyNumberFormat="1" applyFont="1" applyFill="1"/>
    <xf numFmtId="167" fontId="56" fillId="0" borderId="0" xfId="0" applyNumberFormat="1" applyFont="1"/>
    <xf numFmtId="0" fontId="27" fillId="0" borderId="0" xfId="0" applyFont="1" applyAlignment="1">
      <alignment horizontal="center"/>
    </xf>
    <xf numFmtId="167" fontId="38" fillId="41" borderId="0" xfId="1" applyNumberFormat="1" applyFont="1" applyFill="1" applyBorder="1"/>
    <xf numFmtId="0" fontId="2" fillId="0" borderId="0" xfId="44" applyFont="1"/>
    <xf numFmtId="0" fontId="57" fillId="0" borderId="0" xfId="44" applyFont="1" applyAlignment="1">
      <alignment horizontal="left" vertical="center" wrapText="1" indent="2"/>
    </xf>
    <xf numFmtId="0" fontId="57" fillId="0" borderId="0" xfId="44" applyFont="1" applyAlignment="1">
      <alignment horizontal="right" wrapText="1"/>
    </xf>
    <xf numFmtId="0" fontId="57" fillId="0" borderId="17" xfId="44" applyFont="1" applyBorder="1" applyAlignment="1">
      <alignment horizontal="right" wrapText="1"/>
    </xf>
    <xf numFmtId="3" fontId="57" fillId="0" borderId="0" xfId="44" applyNumberFormat="1" applyFont="1" applyAlignment="1">
      <alignment horizontal="right" wrapText="1"/>
    </xf>
    <xf numFmtId="164" fontId="57" fillId="0" borderId="0" xfId="44" applyNumberFormat="1" applyFont="1" applyAlignment="1">
      <alignment horizontal="right" wrapText="1"/>
    </xf>
    <xf numFmtId="170" fontId="57" fillId="0" borderId="0" xfId="45" applyNumberFormat="1" applyFont="1" applyAlignment="1">
      <alignment horizontal="right" wrapText="1"/>
    </xf>
    <xf numFmtId="164" fontId="57" fillId="0" borderId="14" xfId="44" applyNumberFormat="1" applyFont="1" applyBorder="1" applyAlignment="1">
      <alignment horizontal="right" wrapText="1"/>
    </xf>
    <xf numFmtId="170" fontId="57" fillId="0" borderId="14" xfId="45" applyNumberFormat="1" applyFont="1" applyBorder="1" applyAlignment="1">
      <alignment horizontal="right" wrapText="1"/>
    </xf>
    <xf numFmtId="0" fontId="57" fillId="0" borderId="14" xfId="44" applyFont="1" applyBorder="1" applyAlignment="1">
      <alignment horizontal="right" wrapText="1"/>
    </xf>
    <xf numFmtId="167" fontId="57" fillId="0" borderId="14" xfId="44" applyNumberFormat="1" applyFont="1" applyBorder="1" applyAlignment="1">
      <alignment horizontal="right" wrapText="1"/>
    </xf>
    <xf numFmtId="172" fontId="57" fillId="0" borderId="14" xfId="44" applyNumberFormat="1" applyFont="1" applyBorder="1" applyAlignment="1">
      <alignment horizontal="right" wrapText="1"/>
    </xf>
    <xf numFmtId="173" fontId="57" fillId="0" borderId="14" xfId="44" applyNumberFormat="1" applyFont="1" applyBorder="1" applyAlignment="1">
      <alignment horizontal="right" wrapText="1"/>
    </xf>
    <xf numFmtId="3" fontId="57" fillId="0" borderId="16" xfId="44" applyNumberFormat="1" applyFont="1" applyBorder="1" applyAlignment="1">
      <alignment horizontal="right" wrapText="1"/>
    </xf>
    <xf numFmtId="0" fontId="2" fillId="0" borderId="0" xfId="44" applyFont="1" applyAlignment="1">
      <alignment horizontal="right"/>
    </xf>
    <xf numFmtId="3" fontId="2" fillId="0" borderId="0" xfId="44" applyNumberFormat="1" applyFont="1" applyAlignment="1">
      <alignment horizontal="right"/>
    </xf>
    <xf numFmtId="170" fontId="59" fillId="0" borderId="0" xfId="45" applyNumberFormat="1" applyFont="1" applyAlignment="1">
      <alignment horizontal="right"/>
    </xf>
    <xf numFmtId="0" fontId="58" fillId="0" borderId="0" xfId="44" applyFont="1" applyAlignment="1">
      <alignment horizontal="left" vertical="center" wrapText="1" indent="2"/>
    </xf>
    <xf numFmtId="167" fontId="28" fillId="0" borderId="0" xfId="1" applyNumberFormat="1" applyFont="1" applyFill="1"/>
    <xf numFmtId="167" fontId="28" fillId="0" borderId="13" xfId="1" applyNumberFormat="1" applyFont="1" applyFill="1" applyBorder="1"/>
    <xf numFmtId="167" fontId="28" fillId="38" borderId="13" xfId="1" applyNumberFormat="1" applyFont="1" applyFill="1" applyBorder="1"/>
    <xf numFmtId="164" fontId="40" fillId="0" borderId="0" xfId="44" applyNumberFormat="1"/>
    <xf numFmtId="3" fontId="2" fillId="0" borderId="0" xfId="44" applyNumberFormat="1" applyFont="1"/>
    <xf numFmtId="170" fontId="2" fillId="0" borderId="0" xfId="44" applyNumberFormat="1" applyFont="1"/>
    <xf numFmtId="0" fontId="58" fillId="0" borderId="28" xfId="44" applyFont="1" applyBorder="1" applyAlignment="1">
      <alignment horizontal="center" vertical="center" wrapText="1"/>
    </xf>
    <xf numFmtId="0" fontId="58" fillId="0" borderId="28" xfId="44" applyFont="1" applyBorder="1" applyAlignment="1">
      <alignment horizontal="left" vertical="center" wrapText="1" indent="2"/>
    </xf>
    <xf numFmtId="0" fontId="41" fillId="0" borderId="28" xfId="44" applyFont="1" applyBorder="1" applyAlignment="1">
      <alignment horizontal="right" wrapText="1"/>
    </xf>
    <xf numFmtId="169" fontId="57" fillId="0" borderId="28" xfId="44" applyNumberFormat="1" applyFont="1" applyBorder="1" applyAlignment="1">
      <alignment horizontal="right" wrapText="1"/>
    </xf>
    <xf numFmtId="0" fontId="57" fillId="0" borderId="28" xfId="44" applyFont="1" applyBorder="1" applyAlignment="1">
      <alignment horizontal="right" wrapText="1"/>
    </xf>
    <xf numFmtId="169" fontId="57" fillId="0" borderId="29" xfId="44" applyNumberFormat="1" applyFont="1" applyBorder="1" applyAlignment="1">
      <alignment horizontal="right" wrapText="1"/>
    </xf>
    <xf numFmtId="170" fontId="57" fillId="0" borderId="28" xfId="45" applyNumberFormat="1" applyFont="1" applyBorder="1" applyAlignment="1">
      <alignment horizontal="right" wrapText="1"/>
    </xf>
    <xf numFmtId="170" fontId="57" fillId="0" borderId="29" xfId="45" applyNumberFormat="1" applyFont="1" applyBorder="1" applyAlignment="1">
      <alignment horizontal="right" wrapText="1"/>
    </xf>
    <xf numFmtId="170" fontId="57" fillId="0" borderId="30" xfId="45" applyNumberFormat="1" applyFont="1" applyBorder="1" applyAlignment="1">
      <alignment horizontal="right" wrapText="1"/>
    </xf>
    <xf numFmtId="0" fontId="2" fillId="0" borderId="28" xfId="44" applyFont="1" applyBorder="1" applyAlignment="1">
      <alignment horizontal="right"/>
    </xf>
    <xf numFmtId="3" fontId="2" fillId="0" borderId="28" xfId="44" applyNumberFormat="1" applyFont="1" applyBorder="1"/>
    <xf numFmtId="0" fontId="40" fillId="0" borderId="28" xfId="44" applyBorder="1"/>
    <xf numFmtId="170" fontId="40" fillId="0" borderId="28" xfId="44" applyNumberFormat="1" applyBorder="1"/>
    <xf numFmtId="167" fontId="40" fillId="0" borderId="28" xfId="1" applyNumberFormat="1" applyFont="1" applyBorder="1"/>
    <xf numFmtId="3" fontId="40" fillId="0" borderId="0" xfId="44" applyNumberFormat="1"/>
    <xf numFmtId="164" fontId="28" fillId="0" borderId="0" xfId="1" applyFont="1"/>
    <xf numFmtId="164" fontId="28" fillId="0" borderId="0" xfId="0" applyNumberFormat="1" applyFont="1"/>
    <xf numFmtId="164" fontId="0" fillId="0" borderId="0" xfId="0" applyNumberFormat="1"/>
    <xf numFmtId="0" fontId="61" fillId="0" borderId="0" xfId="80"/>
    <xf numFmtId="176" fontId="28" fillId="0" borderId="0" xfId="1" applyNumberFormat="1" applyFont="1"/>
    <xf numFmtId="0" fontId="0" fillId="0" borderId="31" xfId="0" applyBorder="1"/>
    <xf numFmtId="167" fontId="0" fillId="0" borderId="21" xfId="1" applyNumberFormat="1" applyFont="1" applyBorder="1"/>
    <xf numFmtId="0" fontId="0" fillId="0" borderId="21" xfId="0" applyBorder="1"/>
    <xf numFmtId="0" fontId="0" fillId="0" borderId="32" xfId="0" applyBorder="1"/>
    <xf numFmtId="0" fontId="50" fillId="39" borderId="0" xfId="0" applyFont="1" applyFill="1"/>
    <xf numFmtId="167" fontId="28" fillId="42" borderId="0" xfId="1" applyNumberFormat="1" applyFont="1" applyFill="1" applyBorder="1"/>
    <xf numFmtId="0" fontId="44" fillId="0" borderId="13" xfId="50" applyBorder="1"/>
    <xf numFmtId="0" fontId="45" fillId="0" borderId="0" xfId="50" applyFont="1"/>
    <xf numFmtId="0" fontId="44" fillId="0" borderId="15" xfId="50" applyBorder="1" applyAlignment="1">
      <alignment wrapText="1"/>
    </xf>
    <xf numFmtId="14" fontId="44" fillId="0" borderId="0" xfId="50" applyNumberFormat="1"/>
    <xf numFmtId="0" fontId="45" fillId="0" borderId="13" xfId="50" applyFont="1" applyBorder="1"/>
    <xf numFmtId="167" fontId="44" fillId="0" borderId="0" xfId="1" applyNumberFormat="1" applyFont="1"/>
    <xf numFmtId="172" fontId="44" fillId="0" borderId="0" xfId="50" applyNumberFormat="1"/>
    <xf numFmtId="0" fontId="44" fillId="47" borderId="15" xfId="50" applyFill="1" applyBorder="1"/>
    <xf numFmtId="167" fontId="44" fillId="0" borderId="13" xfId="1" applyNumberFormat="1" applyFont="1" applyBorder="1"/>
    <xf numFmtId="167" fontId="44" fillId="0" borderId="16" xfId="1" applyNumberFormat="1" applyFont="1" applyBorder="1"/>
    <xf numFmtId="43" fontId="44" fillId="0" borderId="13" xfId="50" applyNumberFormat="1" applyBorder="1"/>
    <xf numFmtId="43" fontId="44" fillId="0" borderId="16" xfId="50" applyNumberFormat="1" applyBorder="1"/>
    <xf numFmtId="43" fontId="44" fillId="0" borderId="0" xfId="50" applyNumberFormat="1"/>
    <xf numFmtId="167" fontId="44" fillId="0" borderId="0" xfId="1" applyNumberFormat="1" applyFont="1" applyBorder="1"/>
    <xf numFmtId="0" fontId="44" fillId="0" borderId="0" xfId="50" applyAlignment="1">
      <alignment horizontal="right"/>
    </xf>
    <xf numFmtId="164" fontId="44" fillId="0" borderId="22" xfId="50" applyNumberFormat="1" applyBorder="1"/>
    <xf numFmtId="164" fontId="44" fillId="0" borderId="24" xfId="50" applyNumberFormat="1" applyBorder="1"/>
    <xf numFmtId="164" fontId="44" fillId="0" borderId="28" xfId="50" applyNumberFormat="1" applyBorder="1"/>
    <xf numFmtId="164" fontId="44" fillId="0" borderId="33" xfId="50" applyNumberFormat="1" applyBorder="1"/>
    <xf numFmtId="0" fontId="44" fillId="0" borderId="25" xfId="50" applyBorder="1"/>
    <xf numFmtId="164" fontId="44" fillId="0" borderId="26" xfId="50" applyNumberFormat="1" applyBorder="1"/>
    <xf numFmtId="14" fontId="44" fillId="0" borderId="0" xfId="50" applyNumberFormat="1" applyAlignment="1">
      <alignment horizontal="right"/>
    </xf>
    <xf numFmtId="0" fontId="45" fillId="0" borderId="13" xfId="50" applyFont="1" applyBorder="1" applyAlignment="1">
      <alignment horizontal="center" vertical="center" wrapText="1"/>
    </xf>
    <xf numFmtId="0" fontId="45" fillId="0" borderId="13" xfId="50" applyFont="1" applyBorder="1" applyAlignment="1">
      <alignment wrapText="1"/>
    </xf>
    <xf numFmtId="0" fontId="45" fillId="0" borderId="13" xfId="50" applyFont="1" applyBorder="1" applyAlignment="1">
      <alignment horizontal="right"/>
    </xf>
    <xf numFmtId="0" fontId="62" fillId="48" borderId="0" xfId="0" applyFont="1" applyFill="1"/>
    <xf numFmtId="0" fontId="63" fillId="48" borderId="0" xfId="0" applyFont="1" applyFill="1"/>
    <xf numFmtId="0" fontId="64" fillId="0" borderId="0" xfId="50" applyFont="1"/>
    <xf numFmtId="0" fontId="62" fillId="48" borderId="34" xfId="0" applyFont="1" applyFill="1" applyBorder="1" applyAlignment="1">
      <alignment horizontal="left" vertical="center"/>
    </xf>
    <xf numFmtId="177" fontId="62" fillId="48" borderId="34" xfId="0" applyNumberFormat="1" applyFont="1" applyFill="1" applyBorder="1" applyAlignment="1">
      <alignment horizontal="left" vertical="center"/>
    </xf>
    <xf numFmtId="178" fontId="62" fillId="48" borderId="34" xfId="0" applyNumberFormat="1" applyFont="1" applyFill="1" applyBorder="1" applyAlignment="1">
      <alignment horizontal="left" vertical="center"/>
    </xf>
    <xf numFmtId="178" fontId="62" fillId="48" borderId="34" xfId="0" applyNumberFormat="1" applyFont="1" applyFill="1" applyBorder="1" applyAlignment="1">
      <alignment horizontal="center" vertical="center" wrapText="1"/>
    </xf>
    <xf numFmtId="0" fontId="62" fillId="48" borderId="34" xfId="0" applyFont="1" applyFill="1" applyBorder="1" applyAlignment="1">
      <alignment horizontal="left" vertical="center" wrapText="1"/>
    </xf>
    <xf numFmtId="179" fontId="62" fillId="48" borderId="34" xfId="0" applyNumberFormat="1" applyFont="1" applyFill="1" applyBorder="1" applyAlignment="1">
      <alignment horizontal="left" vertical="center" wrapText="1"/>
    </xf>
    <xf numFmtId="0" fontId="63" fillId="0" borderId="35" xfId="0" applyFont="1" applyBorder="1" applyAlignment="1">
      <alignment horizontal="left"/>
    </xf>
    <xf numFmtId="177" fontId="63" fillId="0" borderId="35" xfId="0" applyNumberFormat="1" applyFont="1" applyBorder="1" applyAlignment="1">
      <alignment horizontal="left"/>
    </xf>
    <xf numFmtId="178" fontId="63" fillId="0" borderId="35" xfId="0" applyNumberFormat="1" applyFont="1" applyBorder="1" applyAlignment="1">
      <alignment horizontal="left"/>
    </xf>
    <xf numFmtId="178" fontId="63" fillId="0" borderId="35" xfId="0" applyNumberFormat="1" applyFont="1" applyBorder="1" applyAlignment="1">
      <alignment horizontal="center" wrapText="1"/>
    </xf>
    <xf numFmtId="0" fontId="63" fillId="0" borderId="35" xfId="0" applyFont="1" applyBorder="1" applyAlignment="1">
      <alignment horizontal="left" wrapText="1"/>
    </xf>
    <xf numFmtId="179" fontId="63" fillId="0" borderId="35" xfId="0" applyNumberFormat="1" applyFont="1" applyBorder="1" applyAlignment="1">
      <alignment horizontal="left" vertical="center" wrapText="1"/>
    </xf>
    <xf numFmtId="167" fontId="0" fillId="49" borderId="0" xfId="1" applyNumberFormat="1" applyFont="1" applyFill="1"/>
    <xf numFmtId="167" fontId="0" fillId="0" borderId="13" xfId="1" applyNumberFormat="1" applyFont="1" applyFill="1" applyBorder="1"/>
    <xf numFmtId="167" fontId="65" fillId="0" borderId="0" xfId="0" applyNumberFormat="1" applyFont="1"/>
    <xf numFmtId="167" fontId="66" fillId="0" borderId="0" xfId="0" applyNumberFormat="1" applyFont="1"/>
    <xf numFmtId="1" fontId="65" fillId="0" borderId="0" xfId="0" applyNumberFormat="1" applyFont="1"/>
    <xf numFmtId="0" fontId="28" fillId="39" borderId="0" xfId="0" applyFont="1" applyFill="1"/>
    <xf numFmtId="0" fontId="29" fillId="39" borderId="0" xfId="0" applyFont="1" applyFill="1"/>
    <xf numFmtId="167" fontId="28" fillId="39" borderId="0" xfId="1" applyNumberFormat="1" applyFont="1" applyFill="1"/>
    <xf numFmtId="0" fontId="60" fillId="39" borderId="0" xfId="0" applyFont="1" applyFill="1"/>
    <xf numFmtId="0" fontId="44" fillId="0" borderId="20" xfId="50" applyBorder="1" applyAlignment="1">
      <alignment horizontal="left"/>
    </xf>
    <xf numFmtId="0" fontId="45" fillId="0" borderId="20" xfId="50" applyFont="1" applyBorder="1" applyAlignment="1">
      <alignment horizontal="center" vertical="center" wrapText="1"/>
    </xf>
    <xf numFmtId="0" fontId="44" fillId="0" borderId="20" xfId="50" applyBorder="1" applyAlignment="1">
      <alignment horizontal="left" vertical="center"/>
    </xf>
    <xf numFmtId="43" fontId="44" fillId="0" borderId="20" xfId="51" applyFont="1" applyFill="1" applyBorder="1" applyAlignment="1">
      <alignment horizontal="left"/>
    </xf>
    <xf numFmtId="0" fontId="67" fillId="0" borderId="0" xfId="0" applyFont="1"/>
    <xf numFmtId="17" fontId="28" fillId="0" borderId="0" xfId="0" applyNumberFormat="1" applyFont="1"/>
    <xf numFmtId="0" fontId="68" fillId="0" borderId="0" xfId="0" applyFont="1"/>
    <xf numFmtId="0" fontId="69" fillId="50" borderId="36" xfId="0" applyFont="1" applyFill="1" applyBorder="1" applyAlignment="1">
      <alignment horizontal="right" vertical="center" wrapText="1" indent="1"/>
    </xf>
    <xf numFmtId="0" fontId="70" fillId="0" borderId="0" xfId="0" applyFont="1"/>
    <xf numFmtId="3" fontId="71" fillId="0" borderId="0" xfId="44" applyNumberFormat="1" applyFont="1"/>
    <xf numFmtId="170" fontId="40" fillId="0" borderId="0" xfId="44" applyNumberFormat="1"/>
    <xf numFmtId="0" fontId="38" fillId="41" borderId="0" xfId="0" applyFont="1" applyFill="1"/>
    <xf numFmtId="0" fontId="74" fillId="33" borderId="0" xfId="0" applyFont="1" applyFill="1" applyAlignment="1">
      <alignment horizontal="left"/>
    </xf>
    <xf numFmtId="0" fontId="74" fillId="33" borderId="0" xfId="0" applyFont="1" applyFill="1" applyAlignment="1">
      <alignment horizontal="right"/>
    </xf>
    <xf numFmtId="0" fontId="75" fillId="0" borderId="0" xfId="0" applyFont="1" applyAlignment="1">
      <alignment horizontal="left" vertical="center"/>
    </xf>
    <xf numFmtId="181" fontId="75" fillId="0" borderId="0" xfId="0" applyNumberFormat="1" applyFont="1" applyAlignment="1">
      <alignment horizontal="right" vertical="center"/>
    </xf>
    <xf numFmtId="0" fontId="75" fillId="0" borderId="0" xfId="0" applyFont="1" applyAlignment="1">
      <alignment horizontal="left" indent="1"/>
    </xf>
    <xf numFmtId="0" fontId="75" fillId="0" borderId="0" xfId="0" applyFont="1" applyAlignment="1">
      <alignment horizontal="left" indent="2"/>
    </xf>
    <xf numFmtId="0" fontId="76" fillId="0" borderId="0" xfId="0" applyFont="1" applyAlignment="1">
      <alignment horizontal="left" indent="3"/>
    </xf>
    <xf numFmtId="181" fontId="76" fillId="0" borderId="0" xfId="0" applyNumberFormat="1" applyFont="1" applyAlignment="1">
      <alignment horizontal="right" vertical="center"/>
    </xf>
    <xf numFmtId="0" fontId="75" fillId="0" borderId="10" xfId="0" applyFont="1" applyBorder="1" applyAlignment="1">
      <alignment horizontal="left" indent="2"/>
    </xf>
    <xf numFmtId="181" fontId="75" fillId="0" borderId="10" xfId="0" applyNumberFormat="1" applyFont="1" applyBorder="1" applyAlignment="1">
      <alignment horizontal="right" vertical="center"/>
    </xf>
    <xf numFmtId="0" fontId="75" fillId="0" borderId="10" xfId="0" applyFont="1" applyBorder="1" applyAlignment="1">
      <alignment horizontal="left" indent="1"/>
    </xf>
    <xf numFmtId="0" fontId="76" fillId="0" borderId="0" xfId="0" applyFont="1" applyAlignment="1">
      <alignment horizontal="left" indent="2"/>
    </xf>
    <xf numFmtId="0" fontId="75" fillId="0" borderId="0" xfId="0" applyFont="1" applyAlignment="1">
      <alignment horizontal="left" indent="3"/>
    </xf>
    <xf numFmtId="0" fontId="76" fillId="0" borderId="0" xfId="0" applyFont="1" applyAlignment="1">
      <alignment horizontal="left" indent="4"/>
    </xf>
    <xf numFmtId="0" fontId="75" fillId="0" borderId="10" xfId="0" applyFont="1" applyBorder="1" applyAlignment="1">
      <alignment horizontal="left" indent="3"/>
    </xf>
    <xf numFmtId="0" fontId="75" fillId="0" borderId="11" xfId="0" applyFont="1" applyBorder="1" applyAlignment="1">
      <alignment horizontal="left" vertical="center"/>
    </xf>
    <xf numFmtId="181" fontId="75" fillId="0" borderId="11" xfId="0" applyNumberFormat="1" applyFont="1" applyBorder="1" applyAlignment="1">
      <alignment horizontal="right" vertical="center"/>
    </xf>
    <xf numFmtId="0" fontId="75" fillId="0" borderId="10" xfId="0" applyFont="1" applyBorder="1" applyAlignment="1">
      <alignment horizontal="left" vertical="center"/>
    </xf>
    <xf numFmtId="0" fontId="76" fillId="0" borderId="0" xfId="0" applyFont="1" applyAlignment="1">
      <alignment horizontal="left" indent="1"/>
    </xf>
    <xf numFmtId="180" fontId="75" fillId="0" borderId="0" xfId="0" applyNumberFormat="1" applyFont="1" applyAlignment="1">
      <alignment horizontal="right" vertical="center"/>
    </xf>
    <xf numFmtId="180" fontId="76" fillId="0" borderId="0" xfId="0" applyNumberFormat="1" applyFont="1" applyAlignment="1">
      <alignment horizontal="right" vertical="center"/>
    </xf>
    <xf numFmtId="180" fontId="75" fillId="0" borderId="10" xfId="0" applyNumberFormat="1" applyFont="1" applyBorder="1" applyAlignment="1">
      <alignment horizontal="right" vertical="center"/>
    </xf>
    <xf numFmtId="0" fontId="75" fillId="0" borderId="11" xfId="0" applyFont="1" applyBorder="1" applyAlignment="1">
      <alignment horizontal="left" indent="1"/>
    </xf>
    <xf numFmtId="180" fontId="75" fillId="0" borderId="11" xfId="0" applyNumberFormat="1" applyFont="1" applyBorder="1" applyAlignment="1">
      <alignment horizontal="right" vertical="center"/>
    </xf>
    <xf numFmtId="0" fontId="75" fillId="34" borderId="11" xfId="0" applyFont="1" applyFill="1" applyBorder="1" applyAlignment="1">
      <alignment horizontal="left" vertical="center"/>
    </xf>
    <xf numFmtId="180" fontId="75" fillId="34" borderId="11" xfId="0" applyNumberFormat="1" applyFont="1" applyFill="1" applyBorder="1" applyAlignment="1">
      <alignment horizontal="right" vertical="center"/>
    </xf>
    <xf numFmtId="0" fontId="75" fillId="35" borderId="0" xfId="0" applyFont="1" applyFill="1" applyAlignment="1">
      <alignment horizontal="left" vertical="center"/>
    </xf>
    <xf numFmtId="180" fontId="75" fillId="35" borderId="0" xfId="0" applyNumberFormat="1" applyFont="1" applyFill="1" applyAlignment="1">
      <alignment horizontal="right" vertical="center"/>
    </xf>
    <xf numFmtId="0" fontId="75" fillId="35" borderId="0" xfId="0" applyFont="1" applyFill="1" applyAlignment="1">
      <alignment horizontal="left" indent="1"/>
    </xf>
    <xf numFmtId="0" fontId="75" fillId="35" borderId="0" xfId="0" applyFont="1" applyFill="1" applyAlignment="1">
      <alignment horizontal="left" indent="2"/>
    </xf>
    <xf numFmtId="0" fontId="75" fillId="35" borderId="10" xfId="0" applyFont="1" applyFill="1" applyBorder="1" applyAlignment="1">
      <alignment horizontal="left" indent="2"/>
    </xf>
    <xf numFmtId="180" fontId="75" fillId="35" borderId="10" xfId="0" applyNumberFormat="1" applyFont="1" applyFill="1" applyBorder="1" applyAlignment="1">
      <alignment horizontal="right" vertical="center"/>
    </xf>
    <xf numFmtId="0" fontId="75" fillId="35" borderId="10" xfId="0" applyFont="1" applyFill="1" applyBorder="1" applyAlignment="1">
      <alignment horizontal="left" indent="1"/>
    </xf>
    <xf numFmtId="0" fontId="75" fillId="35" borderId="10" xfId="0" applyFont="1" applyFill="1" applyBorder="1" applyAlignment="1">
      <alignment horizontal="left" vertical="center"/>
    </xf>
    <xf numFmtId="0" fontId="77" fillId="36" borderId="12" xfId="0" applyFont="1" applyFill="1" applyBorder="1" applyAlignment="1">
      <alignment horizontal="left" vertical="center"/>
    </xf>
    <xf numFmtId="166" fontId="77" fillId="36" borderId="12" xfId="0" applyNumberFormat="1" applyFont="1" applyFill="1" applyBorder="1" applyAlignment="1">
      <alignment horizontal="right" vertical="center"/>
    </xf>
    <xf numFmtId="0" fontId="75" fillId="35" borderId="0" xfId="0" applyFont="1" applyFill="1" applyAlignment="1">
      <alignment horizontal="left" indent="3"/>
    </xf>
    <xf numFmtId="0" fontId="75" fillId="35" borderId="10" xfId="0" applyFont="1" applyFill="1" applyBorder="1" applyAlignment="1">
      <alignment horizontal="left" indent="3"/>
    </xf>
    <xf numFmtId="0" fontId="75" fillId="35" borderId="0" xfId="0" applyFont="1" applyFill="1" applyAlignment="1">
      <alignment horizontal="left" indent="4"/>
    </xf>
    <xf numFmtId="0" fontId="76" fillId="0" borderId="0" xfId="0" applyFont="1" applyAlignment="1">
      <alignment horizontal="left" indent="5"/>
    </xf>
    <xf numFmtId="0" fontId="75" fillId="35" borderId="10" xfId="0" applyFont="1" applyFill="1" applyBorder="1" applyAlignment="1">
      <alignment horizontal="left" indent="4"/>
    </xf>
    <xf numFmtId="0" fontId="75" fillId="35" borderId="11" xfId="0" applyFont="1" applyFill="1" applyBorder="1" applyAlignment="1">
      <alignment horizontal="left" vertical="center"/>
    </xf>
    <xf numFmtId="180" fontId="75" fillId="35" borderId="11" xfId="0" applyNumberFormat="1" applyFont="1" applyFill="1" applyBorder="1" applyAlignment="1">
      <alignment horizontal="right" vertical="center"/>
    </xf>
    <xf numFmtId="0" fontId="75" fillId="0" borderId="11" xfId="0" applyFont="1" applyBorder="1" applyAlignment="1">
      <alignment horizontal="left" indent="2"/>
    </xf>
    <xf numFmtId="181" fontId="0" fillId="0" borderId="0" xfId="0" applyNumberFormat="1"/>
    <xf numFmtId="0" fontId="0" fillId="0" borderId="14" xfId="0" applyBorder="1"/>
    <xf numFmtId="0" fontId="57" fillId="0" borderId="0" xfId="44" applyFont="1"/>
    <xf numFmtId="0" fontId="78" fillId="0" borderId="0" xfId="0" applyFont="1" applyAlignment="1">
      <alignment horizontal="right" vertical="center" wrapText="1" readingOrder="2"/>
    </xf>
    <xf numFmtId="0" fontId="78" fillId="0" borderId="0" xfId="0" applyFont="1" applyAlignment="1">
      <alignment horizontal="center" vertical="center" wrapText="1" readingOrder="2"/>
    </xf>
    <xf numFmtId="0" fontId="78" fillId="0" borderId="14" xfId="0" applyFont="1" applyBorder="1" applyAlignment="1">
      <alignment horizontal="center" vertical="center" wrapText="1" readingOrder="2"/>
    </xf>
    <xf numFmtId="0" fontId="78" fillId="0" borderId="17" xfId="0" applyFont="1" applyBorder="1" applyAlignment="1">
      <alignment horizontal="center" vertical="center" wrapText="1" readingOrder="2"/>
    </xf>
    <xf numFmtId="0" fontId="79" fillId="0" borderId="0" xfId="0" applyFont="1" applyAlignment="1">
      <alignment horizontal="right" vertical="center" wrapText="1" readingOrder="2"/>
    </xf>
    <xf numFmtId="0" fontId="78" fillId="0" borderId="0" xfId="0" applyFont="1" applyAlignment="1">
      <alignment horizontal="justify" vertical="center" wrapText="1" readingOrder="2"/>
    </xf>
    <xf numFmtId="3" fontId="78" fillId="0" borderId="0" xfId="0" applyNumberFormat="1" applyFont="1" applyAlignment="1">
      <alignment horizontal="justify" vertical="center" wrapText="1" readingOrder="2"/>
    </xf>
    <xf numFmtId="0" fontId="78" fillId="0" borderId="14" xfId="0" applyFont="1" applyBorder="1" applyAlignment="1">
      <alignment horizontal="justify" vertical="center" wrapText="1" readingOrder="2"/>
    </xf>
    <xf numFmtId="3" fontId="78" fillId="0" borderId="14" xfId="0" applyNumberFormat="1" applyFont="1" applyBorder="1" applyAlignment="1">
      <alignment horizontal="justify" vertical="center" wrapText="1" readingOrder="2"/>
    </xf>
    <xf numFmtId="167" fontId="78" fillId="0" borderId="0" xfId="1" applyNumberFormat="1" applyFont="1" applyAlignment="1">
      <alignment horizontal="justify" vertical="center" wrapText="1" readingOrder="2"/>
    </xf>
    <xf numFmtId="167" fontId="78" fillId="0" borderId="14" xfId="1" applyNumberFormat="1" applyFont="1" applyBorder="1" applyAlignment="1">
      <alignment horizontal="justify" vertical="center" wrapText="1" readingOrder="2"/>
    </xf>
    <xf numFmtId="167" fontId="78" fillId="0" borderId="16" xfId="0" applyNumberFormat="1" applyFont="1" applyBorder="1" applyAlignment="1">
      <alignment horizontal="justify" vertical="center" wrapText="1" readingOrder="2"/>
    </xf>
    <xf numFmtId="167" fontId="78" fillId="0" borderId="14" xfId="0" applyNumberFormat="1" applyFont="1" applyBorder="1" applyAlignment="1">
      <alignment horizontal="justify" vertical="center" wrapText="1" readingOrder="2"/>
    </xf>
    <xf numFmtId="181" fontId="26" fillId="0" borderId="0" xfId="0" applyNumberFormat="1" applyFont="1" applyAlignment="1">
      <alignment horizontal="right" vertical="center"/>
    </xf>
    <xf numFmtId="0" fontId="50" fillId="0" borderId="13" xfId="0" applyFont="1" applyBorder="1"/>
    <xf numFmtId="0" fontId="0" fillId="0" borderId="37" xfId="0" applyBorder="1"/>
    <xf numFmtId="0" fontId="0" fillId="0" borderId="17" xfId="0" applyBorder="1"/>
    <xf numFmtId="0" fontId="0" fillId="0" borderId="38" xfId="0" applyBorder="1"/>
    <xf numFmtId="0" fontId="0" fillId="0" borderId="18" xfId="0" applyBorder="1"/>
    <xf numFmtId="0" fontId="0" fillId="0" borderId="19" xfId="0" applyBorder="1"/>
    <xf numFmtId="180" fontId="50" fillId="0" borderId="39" xfId="0" applyNumberFormat="1" applyFont="1" applyBorder="1"/>
    <xf numFmtId="167" fontId="31" fillId="0" borderId="0" xfId="1" applyNumberFormat="1" applyFont="1" applyBorder="1"/>
    <xf numFmtId="167" fontId="31" fillId="0" borderId="13" xfId="1" applyNumberFormat="1" applyFont="1" applyBorder="1"/>
    <xf numFmtId="0" fontId="80" fillId="0" borderId="0" xfId="0" applyFont="1"/>
    <xf numFmtId="167" fontId="50" fillId="0" borderId="0" xfId="0" applyNumberFormat="1" applyFont="1"/>
    <xf numFmtId="164" fontId="0" fillId="0" borderId="13" xfId="0" applyNumberFormat="1" applyBorder="1"/>
    <xf numFmtId="1" fontId="78" fillId="0" borderId="0" xfId="0" applyNumberFormat="1" applyFont="1" applyAlignment="1">
      <alignment horizontal="justify" vertical="center" wrapText="1" readingOrder="2"/>
    </xf>
    <xf numFmtId="0" fontId="28" fillId="38" borderId="0" xfId="0" applyFont="1" applyFill="1"/>
    <xf numFmtId="167" fontId="28" fillId="38" borderId="0" xfId="1" applyNumberFormat="1" applyFont="1" applyFill="1"/>
    <xf numFmtId="167" fontId="28" fillId="38" borderId="14" xfId="1" applyNumberFormat="1" applyFont="1" applyFill="1" applyBorder="1"/>
    <xf numFmtId="167" fontId="28" fillId="38" borderId="0" xfId="0" applyNumberFormat="1" applyFont="1" applyFill="1"/>
    <xf numFmtId="167" fontId="65" fillId="38" borderId="0" xfId="0" applyNumberFormat="1" applyFont="1" applyFill="1"/>
    <xf numFmtId="0" fontId="0" fillId="38" borderId="13" xfId="0" applyFill="1" applyBorder="1"/>
    <xf numFmtId="181" fontId="26" fillId="38" borderId="0" xfId="0" applyNumberFormat="1" applyFont="1" applyFill="1" applyAlignment="1">
      <alignment horizontal="right" vertical="center"/>
    </xf>
    <xf numFmtId="181" fontId="26" fillId="38" borderId="13" xfId="0" applyNumberFormat="1" applyFont="1" applyFill="1" applyBorder="1" applyAlignment="1">
      <alignment horizontal="right" vertical="center"/>
    </xf>
    <xf numFmtId="167" fontId="38" fillId="0" borderId="0" xfId="0" applyNumberFormat="1" applyFont="1"/>
    <xf numFmtId="167" fontId="29" fillId="0" borderId="0" xfId="0" applyNumberFormat="1" applyFont="1"/>
    <xf numFmtId="167" fontId="28" fillId="0" borderId="13" xfId="0" applyNumberFormat="1" applyFont="1" applyBorder="1"/>
    <xf numFmtId="0" fontId="29" fillId="43" borderId="0" xfId="0" applyFont="1" applyFill="1"/>
    <xf numFmtId="167" fontId="46" fillId="0" borderId="0" xfId="0" applyNumberFormat="1" applyFont="1"/>
    <xf numFmtId="164" fontId="29" fillId="0" borderId="0" xfId="1" applyFont="1"/>
    <xf numFmtId="167" fontId="50" fillId="0" borderId="0" xfId="1" applyNumberFormat="1" applyFont="1"/>
    <xf numFmtId="0" fontId="39" fillId="43" borderId="0" xfId="0" applyFont="1" applyFill="1"/>
    <xf numFmtId="167" fontId="38" fillId="0" borderId="13" xfId="0" applyNumberFormat="1" applyFont="1" applyBorder="1"/>
    <xf numFmtId="167" fontId="39" fillId="0" borderId="0" xfId="0" applyNumberFormat="1" applyFont="1"/>
    <xf numFmtId="167" fontId="38" fillId="0" borderId="13" xfId="1" applyNumberFormat="1" applyFont="1" applyBorder="1"/>
    <xf numFmtId="0" fontId="44" fillId="38" borderId="0" xfId="50" applyFill="1"/>
    <xf numFmtId="0" fontId="44" fillId="38" borderId="13" xfId="50" applyFill="1" applyBorder="1"/>
    <xf numFmtId="0" fontId="83" fillId="33" borderId="0" xfId="0" applyFont="1" applyFill="1" applyAlignment="1">
      <alignment horizontal="left"/>
    </xf>
    <xf numFmtId="0" fontId="83" fillId="33" borderId="0" xfId="0" applyFont="1" applyFill="1" applyAlignment="1">
      <alignment horizontal="right"/>
    </xf>
    <xf numFmtId="0" fontId="84" fillId="0" borderId="0" xfId="0" applyFont="1" applyAlignment="1">
      <alignment horizontal="left" vertical="center"/>
    </xf>
    <xf numFmtId="0" fontId="84" fillId="0" borderId="0" xfId="0" applyFont="1" applyAlignment="1">
      <alignment horizontal="left" indent="1"/>
    </xf>
    <xf numFmtId="0" fontId="84" fillId="0" borderId="0" xfId="0" applyFont="1" applyAlignment="1">
      <alignment horizontal="left" indent="2"/>
    </xf>
    <xf numFmtId="0" fontId="85" fillId="0" borderId="0" xfId="0" applyFont="1" applyAlignment="1">
      <alignment horizontal="left" indent="3"/>
    </xf>
    <xf numFmtId="0" fontId="84" fillId="0" borderId="10" xfId="0" applyFont="1" applyBorder="1" applyAlignment="1">
      <alignment horizontal="left" indent="2"/>
    </xf>
    <xf numFmtId="0" fontId="85" fillId="0" borderId="0" xfId="0" applyFont="1" applyAlignment="1">
      <alignment horizontal="left" indent="2"/>
    </xf>
    <xf numFmtId="0" fontId="84" fillId="0" borderId="10" xfId="0" applyFont="1" applyBorder="1" applyAlignment="1">
      <alignment horizontal="left" indent="1"/>
    </xf>
    <xf numFmtId="0" fontId="84" fillId="0" borderId="0" xfId="0" applyFont="1" applyAlignment="1">
      <alignment horizontal="left" indent="3"/>
    </xf>
    <xf numFmtId="0" fontId="85" fillId="0" borderId="0" xfId="0" applyFont="1" applyAlignment="1">
      <alignment horizontal="left" indent="4"/>
    </xf>
    <xf numFmtId="0" fontId="84" fillId="0" borderId="10" xfId="0" applyFont="1" applyBorder="1" applyAlignment="1">
      <alignment horizontal="left" indent="3"/>
    </xf>
    <xf numFmtId="0" fontId="84" fillId="0" borderId="11" xfId="0" applyFont="1" applyBorder="1" applyAlignment="1">
      <alignment horizontal="left" vertical="center"/>
    </xf>
    <xf numFmtId="0" fontId="84" fillId="0" borderId="10" xfId="0" applyFont="1" applyBorder="1" applyAlignment="1">
      <alignment horizontal="left" vertical="center"/>
    </xf>
    <xf numFmtId="0" fontId="85" fillId="0" borderId="0" xfId="0" applyFont="1" applyAlignment="1">
      <alignment horizontal="left" indent="1"/>
    </xf>
    <xf numFmtId="0" fontId="85" fillId="38" borderId="0" xfId="0" applyFont="1" applyFill="1" applyAlignment="1">
      <alignment horizontal="left" indent="3"/>
    </xf>
    <xf numFmtId="0" fontId="84" fillId="34" borderId="11" xfId="0" applyFont="1" applyFill="1" applyBorder="1" applyAlignment="1">
      <alignment horizontal="left" vertical="center"/>
    </xf>
    <xf numFmtId="0" fontId="84" fillId="35" borderId="0" xfId="0" applyFont="1" applyFill="1" applyAlignment="1">
      <alignment horizontal="left" indent="1"/>
    </xf>
    <xf numFmtId="0" fontId="84" fillId="35" borderId="0" xfId="0" applyFont="1" applyFill="1" applyAlignment="1">
      <alignment horizontal="left" indent="2"/>
    </xf>
    <xf numFmtId="0" fontId="85" fillId="0" borderId="0" xfId="0" applyFont="1" applyAlignment="1">
      <alignment horizontal="left" indent="5"/>
    </xf>
    <xf numFmtId="0" fontId="84" fillId="35" borderId="0" xfId="0" applyFont="1" applyFill="1" applyAlignment="1">
      <alignment horizontal="left" indent="4"/>
    </xf>
    <xf numFmtId="0" fontId="84" fillId="35" borderId="10" xfId="0" applyFont="1" applyFill="1" applyBorder="1" applyAlignment="1">
      <alignment horizontal="left" indent="4"/>
    </xf>
    <xf numFmtId="180" fontId="84" fillId="0" borderId="0" xfId="0" applyNumberFormat="1" applyFont="1" applyAlignment="1">
      <alignment horizontal="right" vertical="center"/>
    </xf>
    <xf numFmtId="180" fontId="85" fillId="0" borderId="0" xfId="0" applyNumberFormat="1" applyFont="1" applyAlignment="1">
      <alignment horizontal="right" vertical="center"/>
    </xf>
    <xf numFmtId="180" fontId="84" fillId="0" borderId="10" xfId="0" applyNumberFormat="1" applyFont="1" applyBorder="1" applyAlignment="1">
      <alignment horizontal="right" vertical="center"/>
    </xf>
    <xf numFmtId="180" fontId="84" fillId="0" borderId="11" xfId="0" applyNumberFormat="1" applyFont="1" applyBorder="1" applyAlignment="1">
      <alignment horizontal="right" vertical="center"/>
    </xf>
    <xf numFmtId="180" fontId="84" fillId="34" borderId="11" xfId="0" applyNumberFormat="1" applyFont="1" applyFill="1" applyBorder="1" applyAlignment="1">
      <alignment horizontal="right" vertical="center"/>
    </xf>
    <xf numFmtId="180" fontId="84" fillId="35" borderId="0" xfId="0" applyNumberFormat="1" applyFont="1" applyFill="1" applyAlignment="1">
      <alignment horizontal="right" vertical="center"/>
    </xf>
    <xf numFmtId="180" fontId="84" fillId="35" borderId="10" xfId="0" applyNumberFormat="1" applyFont="1" applyFill="1" applyBorder="1" applyAlignment="1">
      <alignment horizontal="right" vertical="center"/>
    </xf>
    <xf numFmtId="166" fontId="86" fillId="36" borderId="12" xfId="0" applyNumberFormat="1" applyFont="1" applyFill="1" applyBorder="1" applyAlignment="1">
      <alignment horizontal="right" vertical="center"/>
    </xf>
    <xf numFmtId="180" fontId="84" fillId="35" borderId="11" xfId="0" applyNumberFormat="1" applyFont="1" applyFill="1" applyBorder="1" applyAlignment="1">
      <alignment horizontal="right" vertical="center"/>
    </xf>
    <xf numFmtId="0" fontId="84" fillId="0" borderId="11" xfId="0" applyFont="1" applyBorder="1" applyAlignment="1">
      <alignment horizontal="left" indent="1"/>
    </xf>
    <xf numFmtId="0" fontId="84" fillId="35" borderId="0" xfId="0" applyFont="1" applyFill="1" applyAlignment="1">
      <alignment horizontal="left" vertical="center"/>
    </xf>
    <xf numFmtId="0" fontId="84" fillId="35" borderId="0" xfId="0" applyFont="1" applyFill="1" applyAlignment="1">
      <alignment horizontal="left" indent="3"/>
    </xf>
    <xf numFmtId="0" fontId="84" fillId="35" borderId="10" xfId="0" applyFont="1" applyFill="1" applyBorder="1" applyAlignment="1">
      <alignment horizontal="left" indent="3"/>
    </xf>
    <xf numFmtId="0" fontId="84" fillId="35" borderId="10" xfId="0" applyFont="1" applyFill="1" applyBorder="1" applyAlignment="1">
      <alignment horizontal="left" indent="2"/>
    </xf>
    <xf numFmtId="0" fontId="84" fillId="35" borderId="10" xfId="0" applyFont="1" applyFill="1" applyBorder="1" applyAlignment="1">
      <alignment horizontal="left" indent="1"/>
    </xf>
    <xf numFmtId="0" fontId="84" fillId="35" borderId="10" xfId="0" applyFont="1" applyFill="1" applyBorder="1" applyAlignment="1">
      <alignment horizontal="left" vertical="center"/>
    </xf>
    <xf numFmtId="0" fontId="86" fillId="36" borderId="12" xfId="0" applyFont="1" applyFill="1" applyBorder="1" applyAlignment="1">
      <alignment horizontal="left" vertical="center"/>
    </xf>
    <xf numFmtId="0" fontId="84" fillId="35" borderId="11" xfId="0" applyFont="1" applyFill="1" applyBorder="1" applyAlignment="1">
      <alignment horizontal="left" vertical="center"/>
    </xf>
    <xf numFmtId="0" fontId="84" fillId="0" borderId="11" xfId="0" applyFont="1" applyBorder="1" applyAlignment="1">
      <alignment horizontal="left" indent="2"/>
    </xf>
    <xf numFmtId="167" fontId="28" fillId="0" borderId="0" xfId="1" applyNumberFormat="1" applyFont="1" applyFill="1" applyAlignment="1">
      <alignment vertical="top"/>
    </xf>
    <xf numFmtId="168" fontId="25" fillId="38" borderId="10" xfId="0" applyNumberFormat="1" applyFont="1" applyFill="1" applyBorder="1" applyAlignment="1">
      <alignment horizontal="right" vertical="center"/>
    </xf>
    <xf numFmtId="0" fontId="82" fillId="0" borderId="0" xfId="0" applyFont="1" applyAlignment="1"/>
    <xf numFmtId="0" fontId="81" fillId="0" borderId="0" xfId="0" applyFont="1" applyAlignment="1"/>
    <xf numFmtId="0" fontId="81" fillId="0" borderId="0" xfId="0" applyFont="1"/>
    <xf numFmtId="0" fontId="82" fillId="0" borderId="0" xfId="0" applyFont="1"/>
    <xf numFmtId="167" fontId="29" fillId="0" borderId="0" xfId="1" applyNumberFormat="1" applyFont="1" applyFill="1"/>
    <xf numFmtId="0" fontId="65" fillId="0" borderId="0" xfId="0" applyFont="1"/>
    <xf numFmtId="3" fontId="57" fillId="0" borderId="28" xfId="44" applyNumberFormat="1" applyFont="1" applyBorder="1" applyAlignment="1">
      <alignment horizontal="right" wrapText="1"/>
    </xf>
    <xf numFmtId="0" fontId="41" fillId="0" borderId="0" xfId="44" applyFont="1" applyBorder="1" applyAlignment="1">
      <alignment horizontal="right" wrapText="1"/>
    </xf>
    <xf numFmtId="0" fontId="57" fillId="0" borderId="0" xfId="44" applyFont="1" applyBorder="1" applyAlignment="1">
      <alignment horizontal="right" wrapText="1"/>
    </xf>
    <xf numFmtId="170" fontId="57" fillId="0" borderId="0" xfId="45" applyNumberFormat="1" applyFont="1" applyBorder="1" applyAlignment="1">
      <alignment horizontal="right" wrapText="1"/>
    </xf>
    <xf numFmtId="164" fontId="57" fillId="0" borderId="0" xfId="44" applyNumberFormat="1" applyFont="1" applyBorder="1" applyAlignment="1">
      <alignment horizontal="right" wrapText="1"/>
    </xf>
    <xf numFmtId="3" fontId="57" fillId="0" borderId="0" xfId="44" applyNumberFormat="1" applyFont="1" applyBorder="1" applyAlignment="1">
      <alignment horizontal="right" wrapText="1"/>
    </xf>
    <xf numFmtId="167" fontId="57" fillId="0" borderId="14" xfId="44" applyNumberFormat="1" applyFont="1" applyFill="1" applyBorder="1" applyAlignment="1">
      <alignment horizontal="right" wrapText="1"/>
    </xf>
    <xf numFmtId="168" fontId="26" fillId="51" borderId="0" xfId="0" applyNumberFormat="1" applyFont="1" applyFill="1" applyAlignment="1">
      <alignment horizontal="right" vertical="center"/>
    </xf>
    <xf numFmtId="0" fontId="50" fillId="0" borderId="0" xfId="0" applyFont="1" applyAlignment="1">
      <alignment horizontal="left" wrapText="1"/>
    </xf>
    <xf numFmtId="0" fontId="51" fillId="40" borderId="0" xfId="0" applyFont="1" applyFill="1" applyAlignment="1">
      <alignment horizontal="center"/>
    </xf>
    <xf numFmtId="167" fontId="0" fillId="0" borderId="0" xfId="1" applyNumberFormat="1" applyFont="1" applyAlignment="1">
      <alignment horizontal="center" wrapText="1"/>
    </xf>
    <xf numFmtId="0" fontId="41" fillId="0" borderId="0" xfId="44" applyFont="1" applyAlignment="1">
      <alignment horizontal="left" vertical="center" wrapText="1" indent="2"/>
    </xf>
    <xf numFmtId="0" fontId="41" fillId="0" borderId="0" xfId="44" applyFont="1" applyAlignment="1">
      <alignment horizontal="justify" vertical="center" wrapText="1"/>
    </xf>
    <xf numFmtId="0" fontId="29" fillId="0" borderId="0" xfId="0" applyFont="1" applyAlignment="1">
      <alignment horizontal="center"/>
    </xf>
    <xf numFmtId="0" fontId="39" fillId="0" borderId="14" xfId="0" applyFont="1" applyBorder="1" applyAlignment="1">
      <alignment horizontal="center"/>
    </xf>
    <xf numFmtId="0" fontId="44" fillId="0" borderId="13" xfId="50" applyBorder="1" applyAlignment="1">
      <alignment horizontal="center"/>
    </xf>
    <xf numFmtId="0" fontId="45" fillId="0" borderId="13" xfId="50" applyFont="1" applyBorder="1" applyAlignment="1">
      <alignment horizontal="center"/>
    </xf>
    <xf numFmtId="0" fontId="44" fillId="0" borderId="0" xfId="50" applyAlignment="1">
      <alignment horizontal="center" vertical="center"/>
    </xf>
    <xf numFmtId="0" fontId="78" fillId="0" borderId="14" xfId="0" applyFont="1" applyBorder="1" applyAlignment="1">
      <alignment horizontal="center" vertical="center" wrapText="1" readingOrder="2"/>
    </xf>
    <xf numFmtId="0" fontId="78" fillId="0" borderId="0" xfId="0" applyFont="1" applyAlignment="1">
      <alignment horizontal="center" vertical="center" wrapText="1" readingOrder="2"/>
    </xf>
    <xf numFmtId="0" fontId="78" fillId="0" borderId="0" xfId="0" applyFont="1" applyAlignment="1">
      <alignment horizontal="right" vertical="center" wrapText="1" readingOrder="2"/>
    </xf>
    <xf numFmtId="0" fontId="73" fillId="0" borderId="0" xfId="0" applyFont="1" applyAlignment="1">
      <alignment horizontal="center"/>
    </xf>
    <xf numFmtId="0" fontId="72" fillId="0" borderId="0" xfId="0" applyFont="1" applyAlignment="1">
      <alignment horizontal="center"/>
    </xf>
  </cellXfs>
  <cellStyles count="82">
    <cellStyle name="$_Axxana  December 2008" xfId="46" xr:uid="{74B238C5-F0A6-499C-8C57-170721DE4972}"/>
    <cellStyle name="20% - Accent1" xfId="20" builtinId="30" customBuiltin="1"/>
    <cellStyle name="20% - Accent1 2" xfId="53" xr:uid="{274F888D-F85F-41AA-BDDF-9CCBA5BBC1B9}"/>
    <cellStyle name="20% - Accent2" xfId="24" builtinId="34" customBuiltin="1"/>
    <cellStyle name="20% - Accent2 2" xfId="56" xr:uid="{C13E7F3E-62ED-42B4-91A8-EFBCEBE8F2F0}"/>
    <cellStyle name="20% - Accent3" xfId="28" builtinId="38" customBuiltin="1"/>
    <cellStyle name="20% - Accent3 2" xfId="59" xr:uid="{8E847B84-E534-4236-8068-6F56FA7624DA}"/>
    <cellStyle name="20% - Accent4" xfId="32" builtinId="42" customBuiltin="1"/>
    <cellStyle name="20% - Accent4 2" xfId="62" xr:uid="{B5D16977-C69B-4E15-96BD-A720C6E8C2AF}"/>
    <cellStyle name="20% - Accent5" xfId="36" builtinId="46" customBuiltin="1"/>
    <cellStyle name="20% - Accent5 2" xfId="65" xr:uid="{2BCD2EA8-E88B-48F2-8B78-B80A964B6FD2}"/>
    <cellStyle name="20% - Accent6" xfId="40" builtinId="50" customBuiltin="1"/>
    <cellStyle name="20% - Accent6 2" xfId="68" xr:uid="{E6F3F1B1-8F6F-439E-933D-5D258AFEF459}"/>
    <cellStyle name="40% - Accent1" xfId="21" builtinId="31" customBuiltin="1"/>
    <cellStyle name="40% - Accent1 2" xfId="54" xr:uid="{16565FD4-6721-48E2-8ABC-D164CB5944A3}"/>
    <cellStyle name="40% - Accent2" xfId="25" builtinId="35" customBuiltin="1"/>
    <cellStyle name="40% - Accent2 2" xfId="57" xr:uid="{79769B1D-8AE8-454F-A6AF-BDBF5FA458FF}"/>
    <cellStyle name="40% - Accent3" xfId="29" builtinId="39" customBuiltin="1"/>
    <cellStyle name="40% - Accent3 2" xfId="60" xr:uid="{B7ECE2ED-294E-4957-8A67-B0A8C0ABACCC}"/>
    <cellStyle name="40% - Accent4" xfId="33" builtinId="43" customBuiltin="1"/>
    <cellStyle name="40% - Accent4 2" xfId="63" xr:uid="{CEFA1C45-B5D4-447E-856F-0CFE0A23E7AA}"/>
    <cellStyle name="40% - Accent5" xfId="37" builtinId="47" customBuiltin="1"/>
    <cellStyle name="40% - Accent5 2" xfId="66" xr:uid="{275A487A-F955-4EE9-8099-83FEAA925B03}"/>
    <cellStyle name="40% - Accent6" xfId="41" builtinId="51" customBuiltin="1"/>
    <cellStyle name="40% - Accent6 2" xfId="69" xr:uid="{DB632167-BB98-4693-9FCD-C74DB52D4FC6}"/>
    <cellStyle name="60% - Accent1" xfId="22" builtinId="32" customBuiltin="1"/>
    <cellStyle name="60% - Accent1 2" xfId="55" xr:uid="{52762974-F07A-4BE6-B482-DAD757CB51B7}"/>
    <cellStyle name="60% - Accent2" xfId="26" builtinId="36" customBuiltin="1"/>
    <cellStyle name="60% - Accent2 2" xfId="58" xr:uid="{31197338-BF38-49C6-9D7E-1DFB4B66D52A}"/>
    <cellStyle name="60% - Accent3" xfId="30" builtinId="40" customBuiltin="1"/>
    <cellStyle name="60% - Accent3 2" xfId="61" xr:uid="{699E7334-EB05-4702-8A3A-5CBF1AFCA18F}"/>
    <cellStyle name="60% - Accent4" xfId="34" builtinId="44" customBuiltin="1"/>
    <cellStyle name="60% - Accent4 2" xfId="64" xr:uid="{E270CE52-B961-434C-A33C-6E34AE3F3ED5}"/>
    <cellStyle name="60% - Accent5" xfId="38" builtinId="48" customBuiltin="1"/>
    <cellStyle name="60% - Accent5 2" xfId="67" xr:uid="{A756D289-D164-46B1-9E07-A59E756E21C1}"/>
    <cellStyle name="60% - Accent6" xfId="42" builtinId="52" customBuiltin="1"/>
    <cellStyle name="60% - Accent6 2" xfId="70" xr:uid="{BC28EB87-96A1-44D0-9FC3-4186E5AFE277}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Comma 10" xfId="76" xr:uid="{2EF15B8F-2593-4015-A458-65FB2F3C7B45}"/>
    <cellStyle name="Comma 2" xfId="45" xr:uid="{5F917ED9-A9BD-455F-9D24-F11E305CC729}"/>
    <cellStyle name="Comma 2 2" xfId="51" xr:uid="{0A8B5435-A0BA-4ED9-B187-783DC08AB359}"/>
    <cellStyle name="Comma 2 3" xfId="71" xr:uid="{949742E1-8254-407C-8DFC-5D2D3C562497}"/>
    <cellStyle name="Comma 3" xfId="49" xr:uid="{EC7395FC-8180-426E-9F28-DF43B232D5C4}"/>
    <cellStyle name="Comma 4" xfId="72" xr:uid="{269C8448-2BB6-483D-A1B8-54BBA686017F}"/>
    <cellStyle name="Comma 5" xfId="79" xr:uid="{6DF6602D-9C4B-414D-9093-8EA95B0AF030}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yperlink" xfId="80" builtinId="8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 customBuiltin="1"/>
    <cellStyle name="Normal 2" xfId="43" xr:uid="{F0859166-E9CD-4E5D-A048-7A06AB9C0D83}"/>
    <cellStyle name="Normal 2 2" xfId="50" xr:uid="{E6049C7B-EF2F-4B96-8F71-2B14CE3E4113}"/>
    <cellStyle name="Normal 2 3" xfId="78" xr:uid="{3E4175F3-9D05-4C09-84C8-169BCE509A4C}"/>
    <cellStyle name="Normal 3" xfId="44" xr:uid="{6EF14FE4-E1E2-4627-AE03-03A941F14647}"/>
    <cellStyle name="Normal 3 2" xfId="47" xr:uid="{A9AB160D-2251-44B5-98BA-7802819B85A0}"/>
    <cellStyle name="Normal 3 3" xfId="74" xr:uid="{3F2321CD-6A1C-4ADC-9D63-B49CEA0AB461}"/>
    <cellStyle name="Normal 31" xfId="73" xr:uid="{C4DEA490-A413-4094-B10F-0FFCFC333EBB}"/>
    <cellStyle name="Normal 36" xfId="77" xr:uid="{22994153-5D05-448B-942A-FE70C30ED8EE}"/>
    <cellStyle name="Normal 4" xfId="48" xr:uid="{A8F4E9FB-4F69-4AA5-BDDE-1D692EE3D182}"/>
    <cellStyle name="Normal 5" xfId="81" xr:uid="{51CD617A-0EB5-42B4-9849-918A3E8536F9}"/>
    <cellStyle name="Note" xfId="16" builtinId="10" customBuiltin="1"/>
    <cellStyle name="Note 2" xfId="52" xr:uid="{43F4967D-8E3A-4012-B394-C78FF08DB23B}"/>
    <cellStyle name="Output" xfId="11" builtinId="21" customBuiltin="1"/>
    <cellStyle name="Percent 2" xfId="75" xr:uid="{1CB69751-69C3-41B5-9AF3-1A4B5673E444}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colors>
    <mruColors>
      <color rgb="FFCCCCFF"/>
      <color rgb="FF7CF0B9"/>
      <color rgb="FFFF85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0</xdr:rowOff>
    </xdr:from>
    <xdr:to>
      <xdr:col>1</xdr:col>
      <xdr:colOff>1089025</xdr:colOff>
      <xdr:row>3</xdr:row>
      <xdr:rowOff>125095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F6C669-1169-43C1-A0EF-6012CA9E846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0"/>
          <a:ext cx="3327400" cy="698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SUS\Downloads\BalanceSheet-21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Sheet"/>
    </sheetNames>
    <sheetDataSet>
      <sheetData sheetId="0">
        <row r="8">
          <cell r="A8" t="str">
            <v>Current Assets</v>
          </cell>
        </row>
        <row r="9">
          <cell r="A9" t="str">
            <v>Bank</v>
          </cell>
        </row>
        <row r="10">
          <cell r="A10" t="str">
            <v>10000 - Cash and Cash Equivalent (WRD-IL)</v>
          </cell>
        </row>
        <row r="11">
          <cell r="A11" t="str">
            <v>10001 - Bank Fibi 327492 NIS</v>
          </cell>
          <cell r="B11">
            <v>26151.22</v>
          </cell>
        </row>
        <row r="12">
          <cell r="A12" t="str">
            <v>10002 - Bank Hapoalim 120737 NIS</v>
          </cell>
          <cell r="B12">
            <v>344.4</v>
          </cell>
        </row>
        <row r="13">
          <cell r="A13" t="str">
            <v>10003 - Bank Hapoalim 120737 USD</v>
          </cell>
          <cell r="B13">
            <v>26906063.66</v>
          </cell>
        </row>
        <row r="14">
          <cell r="A14" t="str">
            <v>10004 - Bank Hapoalim 120737 GBP</v>
          </cell>
          <cell r="B14">
            <v>5309.75</v>
          </cell>
        </row>
        <row r="15">
          <cell r="A15" t="str">
            <v>10005 - Bank Hapoalim 120737 EUR</v>
          </cell>
          <cell r="B15">
            <v>367423.66</v>
          </cell>
        </row>
        <row r="16">
          <cell r="A16" t="str">
            <v>Total - 10000 - Cash and Cash Equivalent (WRD-IL)</v>
          </cell>
          <cell r="B16">
            <v>27305292.690000001</v>
          </cell>
        </row>
        <row r="17">
          <cell r="A17" t="str">
            <v>10100 - Cash and Cash Equivalent (WIR-IL)</v>
          </cell>
        </row>
        <row r="18">
          <cell r="A18" t="str">
            <v>10101 - Bank Hapoalim 120720 NIS</v>
          </cell>
          <cell r="B18">
            <v>156.37</v>
          </cell>
        </row>
        <row r="19">
          <cell r="A19" t="str">
            <v>Total - 10100 - Cash and Cash Equivalent (WIR-IL)</v>
          </cell>
          <cell r="B19">
            <v>156.37</v>
          </cell>
        </row>
        <row r="20">
          <cell r="A20" t="str">
            <v>10200 - Cash and Cash Equivalent (WSF-IL)</v>
          </cell>
        </row>
        <row r="21">
          <cell r="A21" t="str">
            <v>10201 - Bank Hapoalim 120729 NIS</v>
          </cell>
          <cell r="B21">
            <v>422.32</v>
          </cell>
        </row>
        <row r="22">
          <cell r="A22" t="str">
            <v>10202 - Bank Hapoalim 120729 USD</v>
          </cell>
          <cell r="B22">
            <v>24.67</v>
          </cell>
        </row>
        <row r="23">
          <cell r="A23" t="str">
            <v>10203 - Bank Hapoalim 120729 EUR</v>
          </cell>
          <cell r="B23">
            <v>346.29</v>
          </cell>
        </row>
        <row r="24">
          <cell r="A24" t="str">
            <v>Total - 10200 - Cash and Cash Equivalent (WSF-IL)</v>
          </cell>
          <cell r="B24">
            <v>793.28</v>
          </cell>
        </row>
        <row r="25">
          <cell r="A25" t="str">
            <v>10300 - Cash and Cash Equivalent (WEQD-IL)</v>
          </cell>
        </row>
        <row r="26">
          <cell r="A26" t="str">
            <v>10301 - Bank Hapoalim 120702 NIS</v>
          </cell>
          <cell r="B26">
            <v>3.88</v>
          </cell>
        </row>
        <row r="27">
          <cell r="A27" t="str">
            <v>10302 - Bank Hapoalim 120702 USD</v>
          </cell>
          <cell r="B27">
            <v>6563.41</v>
          </cell>
        </row>
        <row r="28">
          <cell r="A28" t="str">
            <v>Total - 10300 - Cash and Cash Equivalent (WEQD-IL)</v>
          </cell>
          <cell r="B28">
            <v>6567.29</v>
          </cell>
        </row>
        <row r="29">
          <cell r="A29" t="str">
            <v>10400 - Cash and Cash Equivalent (WSF-UK)</v>
          </cell>
        </row>
        <row r="30">
          <cell r="A30" t="str">
            <v>10401 - Bank Netwest 27557405 GBP</v>
          </cell>
          <cell r="B30">
            <v>25648.28</v>
          </cell>
        </row>
        <row r="31">
          <cell r="A31" t="str">
            <v>Total - 10400 - Cash and Cash Equivalent (WSF-UK)</v>
          </cell>
          <cell r="B31">
            <v>25648.28</v>
          </cell>
        </row>
        <row r="32">
          <cell r="A32" t="str">
            <v>10500 - Cash and Cash Equivalent (WTSE-FR)</v>
          </cell>
        </row>
        <row r="33">
          <cell r="A33" t="str">
            <v>10501 - Bank SG 20020671 EUR</v>
          </cell>
          <cell r="B33">
            <v>49912.93</v>
          </cell>
        </row>
        <row r="34">
          <cell r="A34" t="str">
            <v>Total - 10500 - Cash and Cash Equivalent (WTSE-FR)</v>
          </cell>
          <cell r="B34">
            <v>49912.93</v>
          </cell>
        </row>
        <row r="35">
          <cell r="A35" t="str">
            <v>11000 - Short-term Restricted cash</v>
          </cell>
        </row>
        <row r="36">
          <cell r="A36" t="str">
            <v>11001 - Bank Hapoalim Deposit NIS</v>
          </cell>
          <cell r="B36">
            <v>19293.46</v>
          </cell>
        </row>
        <row r="37">
          <cell r="A37" t="str">
            <v>11002 - Bank FIBI Deposit NIS</v>
          </cell>
          <cell r="B37">
            <v>3215.43</v>
          </cell>
        </row>
        <row r="38">
          <cell r="A38" t="str">
            <v>11003 - Bank FIBI Deposit EUR</v>
          </cell>
          <cell r="B38">
            <v>8556.41</v>
          </cell>
        </row>
        <row r="39">
          <cell r="A39" t="str">
            <v>Total - 11000 - Short-term Restricted cash</v>
          </cell>
          <cell r="B39">
            <v>31065.3</v>
          </cell>
        </row>
        <row r="40">
          <cell r="A40" t="str">
            <v>Total Bank</v>
          </cell>
          <cell r="B40">
            <v>27419436.140000004</v>
          </cell>
        </row>
        <row r="41">
          <cell r="A41" t="str">
            <v>Accounts Receivable</v>
          </cell>
        </row>
        <row r="42">
          <cell r="A42" t="str">
            <v>12000 - Accounts Receivable</v>
          </cell>
        </row>
        <row r="43">
          <cell r="A43" t="str">
            <v>12001 - Accounts Receivable</v>
          </cell>
          <cell r="B43">
            <v>867787</v>
          </cell>
        </row>
        <row r="44">
          <cell r="A44" t="str">
            <v>12002 - Accounts Receivable - Customers offset</v>
          </cell>
          <cell r="B44">
            <v>-43969.38</v>
          </cell>
        </row>
        <row r="45">
          <cell r="A45" t="str">
            <v>Total - 12000 - Accounts Receivable</v>
          </cell>
          <cell r="B45">
            <v>823817.62</v>
          </cell>
        </row>
        <row r="46">
          <cell r="A46" t="str">
            <v>Total Accounts Receivable</v>
          </cell>
          <cell r="B46">
            <v>823817.62</v>
          </cell>
        </row>
        <row r="47">
          <cell r="A47" t="str">
            <v>Other Current Asset</v>
          </cell>
        </row>
        <row r="48">
          <cell r="A48" t="str">
            <v>12004 - Unbilled Revenue</v>
          </cell>
          <cell r="B48">
            <v>192570.33</v>
          </cell>
        </row>
        <row r="49">
          <cell r="A49" t="str">
            <v>13000 - Prepaid Exp.</v>
          </cell>
        </row>
        <row r="50">
          <cell r="A50" t="str">
            <v>13001 - Prepaid Expenses</v>
          </cell>
          <cell r="B50">
            <v>37005.61</v>
          </cell>
        </row>
        <row r="51">
          <cell r="A51" t="str">
            <v>Total - 13000 - Prepaid Exp.</v>
          </cell>
          <cell r="B51">
            <v>37005.61</v>
          </cell>
        </row>
        <row r="52">
          <cell r="A52" t="str">
            <v>13009 - Government Institutions</v>
          </cell>
        </row>
        <row r="53">
          <cell r="A53" t="str">
            <v>13100 - VAT Assets</v>
          </cell>
        </row>
        <row r="54">
          <cell r="A54" t="str">
            <v>13102 - VAT on Purchases IL</v>
          </cell>
          <cell r="B54">
            <v>32.799999999999997</v>
          </cell>
        </row>
        <row r="55">
          <cell r="A55" t="str">
            <v>13103 - VAT Proforma IL</v>
          </cell>
          <cell r="B55">
            <v>80072.820000000007</v>
          </cell>
        </row>
        <row r="56">
          <cell r="A56" t="str">
            <v>13122 - VAT on FA Purchases FR</v>
          </cell>
          <cell r="B56">
            <v>5870.77</v>
          </cell>
        </row>
        <row r="57">
          <cell r="A57" t="str">
            <v>13123 - VAT on Purchases FR</v>
          </cell>
          <cell r="B57">
            <v>11696.16</v>
          </cell>
        </row>
        <row r="58">
          <cell r="A58" t="str">
            <v>13124 - VAT deductible on goods and services</v>
          </cell>
          <cell r="B58">
            <v>899.79</v>
          </cell>
        </row>
        <row r="59">
          <cell r="A59" t="str">
            <v>Total - 13100 - VAT Assets</v>
          </cell>
          <cell r="B59">
            <v>98572.340000000011</v>
          </cell>
        </row>
        <row r="60">
          <cell r="A60" t="str">
            <v>13300 - TAX Assets</v>
          </cell>
        </row>
        <row r="61">
          <cell r="A61" t="str">
            <v>13301 - Advances for Odfot</v>
          </cell>
          <cell r="B61">
            <v>17204.02</v>
          </cell>
        </row>
        <row r="62">
          <cell r="A62" t="str">
            <v>13302 - Reversal for Exceed expenses</v>
          </cell>
          <cell r="B62">
            <v>-17204.02</v>
          </cell>
        </row>
        <row r="63">
          <cell r="A63" t="str">
            <v>13303 - Tax Benefits</v>
          </cell>
          <cell r="B63">
            <v>76473.19</v>
          </cell>
        </row>
        <row r="64">
          <cell r="A64" t="str">
            <v>13304 - Other current tax asset</v>
          </cell>
          <cell r="B64">
            <v>3267.88</v>
          </cell>
        </row>
        <row r="65">
          <cell r="A65" t="str">
            <v>Total - 13300 - TAX Assets</v>
          </cell>
          <cell r="B65">
            <v>79741.070000000007</v>
          </cell>
        </row>
        <row r="66">
          <cell r="A66" t="str">
            <v>Total - 13009 - Government Institutions</v>
          </cell>
          <cell r="B66">
            <v>178313.41000000003</v>
          </cell>
        </row>
        <row r="67">
          <cell r="A67" t="str">
            <v>16000 - Other Current Asset</v>
          </cell>
        </row>
        <row r="68">
          <cell r="A68" t="str">
            <v>16001 - Rent deposit</v>
          </cell>
          <cell r="B68">
            <v>36888.949999999997</v>
          </cell>
        </row>
        <row r="69">
          <cell r="A69" t="str">
            <v>Total - 16000 - Other Current Asset</v>
          </cell>
          <cell r="B69">
            <v>36888.949999999997</v>
          </cell>
        </row>
        <row r="70">
          <cell r="A70" t="str">
            <v>16100 - other current asset</v>
          </cell>
          <cell r="B70">
            <v>693.74</v>
          </cell>
        </row>
        <row r="71">
          <cell r="A71" t="str">
            <v>17000 - Other long term assets</v>
          </cell>
        </row>
        <row r="72">
          <cell r="A72" t="str">
            <v>17002 - Employee Loans</v>
          </cell>
          <cell r="B72">
            <v>37427.660000000003</v>
          </cell>
        </row>
        <row r="73">
          <cell r="A73" t="str">
            <v>Total - 17000 - Other long term assets</v>
          </cell>
          <cell r="B73">
            <v>37427.660000000003</v>
          </cell>
        </row>
        <row r="74">
          <cell r="A74" t="str">
            <v>Total Other Current Asset</v>
          </cell>
          <cell r="B74">
            <v>482899.70000000007</v>
          </cell>
        </row>
        <row r="75">
          <cell r="A75" t="str">
            <v>Total Current Assets</v>
          </cell>
          <cell r="B75">
            <v>28726153.460000005</v>
          </cell>
        </row>
        <row r="76">
          <cell r="A76" t="str">
            <v>Fixed Assets</v>
          </cell>
        </row>
        <row r="77">
          <cell r="A77" t="str">
            <v>15000 - FA Cost</v>
          </cell>
        </row>
        <row r="78">
          <cell r="A78" t="str">
            <v>15001 - Cost - Computers &amp; Software</v>
          </cell>
          <cell r="B78">
            <v>114079.91</v>
          </cell>
        </row>
        <row r="79">
          <cell r="A79" t="str">
            <v>15002 - Cost - Leasehold Improvements</v>
          </cell>
          <cell r="B79">
            <v>2652.33</v>
          </cell>
        </row>
        <row r="80">
          <cell r="A80" t="str">
            <v>15003 - Cost - Furniture and Fixtures</v>
          </cell>
          <cell r="B80">
            <v>1906</v>
          </cell>
        </row>
        <row r="81">
          <cell r="A81" t="str">
            <v>15004 - Cost - Electronic equipment</v>
          </cell>
          <cell r="B81">
            <v>7892</v>
          </cell>
        </row>
        <row r="82">
          <cell r="A82" t="str">
            <v>Total - 15000 - FA Cost</v>
          </cell>
          <cell r="B82">
            <v>126530.24000000001</v>
          </cell>
        </row>
        <row r="83">
          <cell r="A83" t="str">
            <v>15100 - Accumulated Depr.</v>
          </cell>
        </row>
        <row r="84">
          <cell r="A84" t="str">
            <v>15101 - AD - Computers &amp; Software</v>
          </cell>
          <cell r="B84">
            <v>-42435.5</v>
          </cell>
        </row>
        <row r="85">
          <cell r="A85" t="str">
            <v>15102 - AD - Leasehold Improvements</v>
          </cell>
          <cell r="B85">
            <v>-2652</v>
          </cell>
        </row>
        <row r="86">
          <cell r="A86" t="str">
            <v>15103 - AD - Furniture and Fixtures</v>
          </cell>
          <cell r="B86">
            <v>-17152.53</v>
          </cell>
        </row>
        <row r="87">
          <cell r="A87" t="str">
            <v>15104 - AD - Electronic equipments</v>
          </cell>
          <cell r="B87">
            <v>-4074</v>
          </cell>
        </row>
        <row r="88">
          <cell r="A88" t="str">
            <v>Total - 15100 - Accumulated Depr.</v>
          </cell>
          <cell r="B88">
            <v>-66314.03</v>
          </cell>
        </row>
        <row r="89">
          <cell r="A89" t="str">
            <v>Total Fixed Assets</v>
          </cell>
          <cell r="B89">
            <v>60216.210000000006</v>
          </cell>
        </row>
        <row r="90">
          <cell r="A90" t="str">
            <v>Current Liabilities</v>
          </cell>
        </row>
        <row r="91">
          <cell r="A91" t="str">
            <v>Accounts Payable</v>
          </cell>
        </row>
        <row r="92">
          <cell r="A92" t="str">
            <v>20000 - AP</v>
          </cell>
        </row>
        <row r="93">
          <cell r="A93" t="str">
            <v>20001 - Accounts Payable</v>
          </cell>
          <cell r="B93">
            <v>119261.92</v>
          </cell>
        </row>
        <row r="94">
          <cell r="A94" t="str">
            <v>20003 - Fournisseurs</v>
          </cell>
          <cell r="B94">
            <v>-1702</v>
          </cell>
        </row>
        <row r="95">
          <cell r="A95" t="str">
            <v>Total - 20000 - AP</v>
          </cell>
          <cell r="B95">
            <v>117559.92</v>
          </cell>
        </row>
        <row r="96">
          <cell r="A96" t="str">
            <v>Total Accounts Payable</v>
          </cell>
          <cell r="B96">
            <v>117559.92</v>
          </cell>
        </row>
        <row r="97">
          <cell r="A97" t="str">
            <v>Credit Card</v>
          </cell>
        </row>
        <row r="98">
          <cell r="A98" t="str">
            <v>20100 - Credit Cards</v>
          </cell>
        </row>
        <row r="99">
          <cell r="A99" t="str">
            <v>20102 - BH CC 0070</v>
          </cell>
          <cell r="B99">
            <v>4663.59</v>
          </cell>
        </row>
        <row r="100">
          <cell r="A100" t="str">
            <v>20105 - FIBI CC 6491</v>
          </cell>
          <cell r="B100">
            <v>326.69</v>
          </cell>
        </row>
        <row r="101">
          <cell r="A101" t="str">
            <v>20106 - FIBI CC 7644</v>
          </cell>
          <cell r="B101">
            <v>1569.4</v>
          </cell>
        </row>
        <row r="102">
          <cell r="A102" t="str">
            <v>20110 - BH CC 7544 ILS</v>
          </cell>
          <cell r="B102">
            <v>4133.62</v>
          </cell>
        </row>
        <row r="103">
          <cell r="A103" t="str">
            <v>20111 - BH CC 0070 ILS</v>
          </cell>
          <cell r="B103">
            <v>627.14</v>
          </cell>
        </row>
        <row r="104">
          <cell r="A104" t="str">
            <v>20112 - BH CC 4700 ILS</v>
          </cell>
          <cell r="B104">
            <v>24.08</v>
          </cell>
        </row>
        <row r="105">
          <cell r="A105" t="str">
            <v>Total - 20100 - Credit Cards</v>
          </cell>
          <cell r="B105">
            <v>11344.519999999999</v>
          </cell>
        </row>
        <row r="106">
          <cell r="A106" t="str">
            <v>Total Credit Card</v>
          </cell>
          <cell r="B106">
            <v>11344.519999999999</v>
          </cell>
        </row>
        <row r="107">
          <cell r="A107" t="str">
            <v>Other Current Liability</v>
          </cell>
        </row>
        <row r="108">
          <cell r="A108" t="str">
            <v>20203 - Tax on Income</v>
          </cell>
          <cell r="B108">
            <v>31638.13</v>
          </cell>
        </row>
        <row r="109">
          <cell r="A109" t="str">
            <v>21000 - Payroll and related</v>
          </cell>
        </row>
        <row r="110">
          <cell r="A110" t="str">
            <v>21001 - Net Payroll</v>
          </cell>
          <cell r="B110">
            <v>178386.02</v>
          </cell>
        </row>
        <row r="111">
          <cell r="A111" t="str">
            <v>21002 - Accrued Vacation</v>
          </cell>
          <cell r="B111">
            <v>135418.63</v>
          </cell>
        </row>
        <row r="112">
          <cell r="A112" t="str">
            <v>21012 - Social security on Accrued Vacation</v>
          </cell>
          <cell r="B112">
            <v>7942.68</v>
          </cell>
        </row>
        <row r="113">
          <cell r="A113" t="str">
            <v>Total - 21000 - Payroll and related</v>
          </cell>
          <cell r="B113">
            <v>321747.33</v>
          </cell>
        </row>
        <row r="114">
          <cell r="A114" t="str">
            <v>21100 - Retirement Funds</v>
          </cell>
        </row>
        <row r="115">
          <cell r="A115" t="str">
            <v>21101 - Pension Contribution Liability</v>
          </cell>
          <cell r="B115">
            <v>37479.919999999998</v>
          </cell>
        </row>
        <row r="116">
          <cell r="A116" t="str">
            <v>21102 - Retirement Funds : Retirement Funds (Mosdot) - differential</v>
          </cell>
          <cell r="B116">
            <v>15776.9</v>
          </cell>
        </row>
        <row r="117">
          <cell r="A117" t="str">
            <v>21203 - Worker Disability Insurance</v>
          </cell>
          <cell r="B117">
            <v>472.02</v>
          </cell>
        </row>
        <row r="118">
          <cell r="A118" t="str">
            <v>22104 - National Insurance France I</v>
          </cell>
          <cell r="B118">
            <v>15387.24</v>
          </cell>
        </row>
        <row r="119">
          <cell r="A119" t="str">
            <v>Total - 21100 - Retirement Funds</v>
          </cell>
          <cell r="B119">
            <v>69116.08</v>
          </cell>
        </row>
        <row r="120">
          <cell r="A120" t="str">
            <v>22100 - Payroll institutions</v>
          </cell>
        </row>
        <row r="121">
          <cell r="A121" t="str">
            <v>22101 - Social Security</v>
          </cell>
          <cell r="B121">
            <v>41269.86</v>
          </cell>
        </row>
        <row r="122">
          <cell r="A122" t="str">
            <v>22102 - Payroll Taxes Payable</v>
          </cell>
          <cell r="B122">
            <v>63526.66</v>
          </cell>
        </row>
        <row r="123">
          <cell r="A123" t="str">
            <v>Total - 22100 - Payroll institutions</v>
          </cell>
          <cell r="B123">
            <v>104796.52</v>
          </cell>
        </row>
        <row r="124">
          <cell r="A124" t="str">
            <v>23000 - Accrued Expenses</v>
          </cell>
        </row>
        <row r="125">
          <cell r="A125" t="str">
            <v>23001 - Accrued Expenses &amp; Related</v>
          </cell>
          <cell r="B125">
            <v>171665.04</v>
          </cell>
        </row>
        <row r="126">
          <cell r="A126" t="str">
            <v>Total - 23000 - Accrued Expenses</v>
          </cell>
          <cell r="B126">
            <v>171665.04</v>
          </cell>
        </row>
        <row r="127">
          <cell r="A127" t="str">
            <v>23501 - Other Current Liability</v>
          </cell>
          <cell r="B127">
            <v>65419.27</v>
          </cell>
        </row>
        <row r="128">
          <cell r="A128" t="str">
            <v>26000 - Deffered Income</v>
          </cell>
        </row>
        <row r="129">
          <cell r="A129" t="str">
            <v>26001 - Deferred Revenues</v>
          </cell>
          <cell r="B129">
            <v>43970</v>
          </cell>
        </row>
        <row r="130">
          <cell r="A130" t="str">
            <v>26002 - Deffered revenues offset</v>
          </cell>
          <cell r="B130">
            <v>-43969.38</v>
          </cell>
        </row>
        <row r="131">
          <cell r="A131" t="str">
            <v>Total - 26000 - Deffered Income</v>
          </cell>
          <cell r="B131">
            <v>0.62000000000261934</v>
          </cell>
        </row>
        <row r="132">
          <cell r="A132" t="str">
            <v>27001 - Other non Current Liability</v>
          </cell>
          <cell r="B132">
            <v>393230.19</v>
          </cell>
        </row>
        <row r="133">
          <cell r="A133" t="str">
            <v>Total Other Current Liability</v>
          </cell>
          <cell r="B133">
            <v>1157613.1800000002</v>
          </cell>
        </row>
        <row r="134">
          <cell r="A134" t="str">
            <v>Total Liabilities</v>
          </cell>
          <cell r="B134">
            <v>1286517.6200000001</v>
          </cell>
        </row>
        <row r="135">
          <cell r="A135" t="str">
            <v>Current Assets Less Current Liabilities</v>
          </cell>
          <cell r="B135">
            <v>27439635.840000004</v>
          </cell>
        </row>
        <row r="136">
          <cell r="A136" t="str">
            <v>Total Assets Less Current Liabilities</v>
          </cell>
          <cell r="B136">
            <v>27499852.050000004</v>
          </cell>
        </row>
        <row r="137">
          <cell r="A137" t="str">
            <v>Total Assets Less Total Liabilities</v>
          </cell>
          <cell r="B137">
            <v>27499852.050000004</v>
          </cell>
        </row>
        <row r="138">
          <cell r="A138" t="str">
            <v>Capital and Reserves</v>
          </cell>
        </row>
        <row r="139">
          <cell r="A139" t="str">
            <v>Capital and Reserves</v>
          </cell>
        </row>
        <row r="140">
          <cell r="A140" t="str">
            <v>30000 - Preferred and Common Stock</v>
          </cell>
        </row>
        <row r="141">
          <cell r="A141" t="str">
            <v>30001 - Preferred &amp; Common Stock</v>
          </cell>
          <cell r="B141">
            <v>1661592.22</v>
          </cell>
        </row>
        <row r="142">
          <cell r="A142" t="str">
            <v>Total - 30000 - Preferred and Common Stock</v>
          </cell>
        </row>
        <row r="143">
          <cell r="A143" t="str">
            <v>31000 - APIC</v>
          </cell>
        </row>
        <row r="144">
          <cell r="A144" t="str">
            <v>31001 - Ordinary Shares - Series A</v>
          </cell>
          <cell r="B144">
            <v>1099977.5</v>
          </cell>
        </row>
        <row r="145">
          <cell r="A145" t="str">
            <v>31002 - Series A</v>
          </cell>
          <cell r="B145">
            <v>6911859.6200000001</v>
          </cell>
        </row>
        <row r="146">
          <cell r="A146" t="str">
            <v>31003 - Series B</v>
          </cell>
          <cell r="B146">
            <v>29463107.91</v>
          </cell>
        </row>
        <row r="147">
          <cell r="A147" t="str">
            <v>31005 - Stock Based Compensation</v>
          </cell>
          <cell r="B147">
            <v>1397190</v>
          </cell>
        </row>
        <row r="148">
          <cell r="A148" t="str">
            <v>31006 - Issuance Costs</v>
          </cell>
          <cell r="B148">
            <v>-595402</v>
          </cell>
        </row>
        <row r="149">
          <cell r="A149" t="str">
            <v>31007 - Warrants</v>
          </cell>
          <cell r="B149">
            <v>1922733.5</v>
          </cell>
        </row>
        <row r="150">
          <cell r="A150" t="str">
            <v>Total - 31000 - APIC</v>
          </cell>
        </row>
        <row r="151">
          <cell r="A151" t="str">
            <v>Total - Capital and Reserves</v>
          </cell>
          <cell r="B151">
            <v>0</v>
          </cell>
        </row>
        <row r="152">
          <cell r="A152" t="str">
            <v>Retained Earnings</v>
          </cell>
          <cell r="B152">
            <v>-11090757.92</v>
          </cell>
        </row>
        <row r="153">
          <cell r="A153" t="str">
            <v>Net Income</v>
          </cell>
          <cell r="B153">
            <v>-3270448.780000004</v>
          </cell>
        </row>
        <row r="154">
          <cell r="A154" t="str">
            <v>Total Capital and Reserves</v>
          </cell>
          <cell r="B154">
            <v>-14361206.700000003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file:///C:\Users\ASUS\AppData\Roaming\Microsoft\Accruals%20Breakdown-12.22.xlsx" TargetMode="External"/><Relationship Id="rId2" Type="http://schemas.openxmlformats.org/officeDocument/2006/relationships/hyperlink" Target="file:///C:\Users\ASUS\AppData\Roaming\Microsoft\prepaid%20exp..xlsx" TargetMode="External"/><Relationship Id="rId1" Type="http://schemas.openxmlformats.org/officeDocument/2006/relationships/hyperlink" Target="file:///C:\Users\ASUS\AppData\Roaming\Microsoft\AR%20Breakdown%20Final%20V.xlsx" TargetMode="External"/><Relationship Id="rId4" Type="http://schemas.openxmlformats.org/officeDocument/2006/relationships/hyperlink" Target="file:///C:\Users\ASUS\AppData\Roaming\Microsoft\EY%20Requests%20Updated%2006.23\Rev-Rec%20WP.xlsx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5E172-62FC-4BC4-8DD5-ED8693F99030}">
  <sheetPr>
    <tabColor rgb="FFCCCCFF"/>
  </sheetPr>
  <dimension ref="B1:AD71"/>
  <sheetViews>
    <sheetView topLeftCell="A15" workbookViewId="0">
      <selection activeCell="K35" sqref="K35"/>
    </sheetView>
  </sheetViews>
  <sheetFormatPr defaultColWidth="8.6640625" defaultRowHeight="11.25"/>
  <cols>
    <col min="2" max="2" width="8.5" bestFit="1" customWidth="1"/>
    <col min="3" max="3" width="44.1640625" customWidth="1"/>
    <col min="4" max="4" width="13.1640625" customWidth="1"/>
    <col min="5" max="8" width="15.1640625" bestFit="1" customWidth="1"/>
    <col min="9" max="10" width="15.6640625" bestFit="1" customWidth="1"/>
    <col min="11" max="11" width="17.5" bestFit="1" customWidth="1"/>
    <col min="12" max="12" width="15.1640625" bestFit="1" customWidth="1"/>
    <col min="13" max="14" width="15.6640625" bestFit="1" customWidth="1"/>
    <col min="15" max="15" width="15.1640625" customWidth="1"/>
    <col min="16" max="16" width="5.5" bestFit="1" customWidth="1"/>
    <col min="17" max="17" width="17.5" bestFit="1" customWidth="1"/>
    <col min="18" max="18" width="15" customWidth="1"/>
    <col min="19" max="19" width="15" bestFit="1" customWidth="1"/>
    <col min="21" max="21" width="11.5" bestFit="1" customWidth="1"/>
  </cols>
  <sheetData>
    <row r="1" spans="2:30" ht="18">
      <c r="C1" s="11" t="s">
        <v>456</v>
      </c>
    </row>
    <row r="2" spans="2:30" ht="15">
      <c r="C2" s="9" t="s">
        <v>457</v>
      </c>
    </row>
    <row r="5" spans="2:30" ht="12.75">
      <c r="E5" s="34" t="s">
        <v>230</v>
      </c>
      <c r="F5" s="34" t="s">
        <v>818</v>
      </c>
      <c r="G5" s="34" t="s">
        <v>235</v>
      </c>
      <c r="H5" s="34" t="s">
        <v>231</v>
      </c>
      <c r="I5" s="34" t="s">
        <v>819</v>
      </c>
      <c r="J5" s="34" t="s">
        <v>229</v>
      </c>
      <c r="K5" s="34" t="s">
        <v>233</v>
      </c>
      <c r="L5" s="34" t="s">
        <v>234</v>
      </c>
      <c r="M5" s="43" t="s">
        <v>428</v>
      </c>
      <c r="N5" s="43" t="s">
        <v>817</v>
      </c>
      <c r="O5" s="127"/>
      <c r="P5" s="39" t="s">
        <v>605</v>
      </c>
      <c r="Q5" s="34" t="s">
        <v>12</v>
      </c>
    </row>
    <row r="6" spans="2:30" ht="15.75" thickBot="1">
      <c r="E6" s="33" t="str">
        <f>+'BS ILS'!$E$6</f>
        <v>31.12.2023</v>
      </c>
      <c r="F6" s="33" t="str">
        <f>+'BS ILS'!$E$6</f>
        <v>31.12.2023</v>
      </c>
      <c r="G6" s="33" t="str">
        <f>+'BS ILS'!$E$6</f>
        <v>31.12.2023</v>
      </c>
      <c r="H6" s="33" t="str">
        <f>+'BS ILS'!$E$6</f>
        <v>31.12.2023</v>
      </c>
      <c r="I6" s="33" t="str">
        <f>+'BS ILS'!$E$6</f>
        <v>31.12.2023</v>
      </c>
      <c r="J6" s="33" t="str">
        <f>+'BS ILS'!$E$6</f>
        <v>31.12.2023</v>
      </c>
      <c r="K6" s="33" t="str">
        <f>+'BS ILS'!$E$6</f>
        <v>31.12.2023</v>
      </c>
      <c r="L6" s="33" t="str">
        <f>+'BS ILS'!$E$6</f>
        <v>31.12.2023</v>
      </c>
      <c r="M6" s="33"/>
      <c r="N6" s="33"/>
      <c r="O6" s="40"/>
      <c r="P6" s="40"/>
      <c r="Q6" s="33" t="str">
        <f>+'BS ILS'!$E$6</f>
        <v>31.12.2023</v>
      </c>
      <c r="S6" s="55" t="s">
        <v>500</v>
      </c>
      <c r="U6" s="15" t="s">
        <v>505</v>
      </c>
    </row>
    <row r="7" spans="2:30" ht="15">
      <c r="B7" s="96" t="s">
        <v>226</v>
      </c>
      <c r="S7" s="13"/>
      <c r="T7" s="14"/>
    </row>
    <row r="8" spans="2:30" ht="14.25">
      <c r="C8" s="35" t="s">
        <v>431</v>
      </c>
      <c r="S8" s="14">
        <f>+Q8/1000</f>
        <v>0</v>
      </c>
      <c r="T8" s="14"/>
    </row>
    <row r="9" spans="2:30" ht="14.25">
      <c r="C9" s="35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42"/>
      <c r="Q9" s="36"/>
      <c r="R9" s="36"/>
      <c r="S9" s="14"/>
      <c r="T9" s="14"/>
      <c r="U9" s="36"/>
      <c r="V9" s="36"/>
      <c r="W9" s="36"/>
      <c r="X9" s="35"/>
      <c r="Y9" s="35"/>
      <c r="Z9" s="35"/>
      <c r="AA9" s="35"/>
      <c r="AB9" s="35"/>
      <c r="AC9" s="35"/>
      <c r="AD9" s="35"/>
    </row>
    <row r="10" spans="2:30" ht="14.25">
      <c r="C10" s="35" t="s">
        <v>436</v>
      </c>
      <c r="D10" s="36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9"/>
      <c r="Q10" s="14"/>
      <c r="R10" s="66"/>
      <c r="S10" s="14">
        <f>+Q10/1000</f>
        <v>0</v>
      </c>
      <c r="T10" s="14"/>
      <c r="U10" s="36"/>
      <c r="V10" s="36"/>
      <c r="W10" s="36"/>
      <c r="X10" s="35"/>
      <c r="Y10" s="35"/>
      <c r="Z10" s="35"/>
      <c r="AA10" s="35"/>
      <c r="AB10" s="35"/>
      <c r="AC10" s="35"/>
      <c r="AD10" s="35"/>
    </row>
    <row r="11" spans="2:30" ht="14.25">
      <c r="B11">
        <v>10</v>
      </c>
      <c r="C11" s="35" t="s">
        <v>432</v>
      </c>
      <c r="E11" s="14">
        <f>+SUMIF('Full BS-USD'!$M:$M,B11,'Full BS-USD'!$D:$D)</f>
        <v>20694.27</v>
      </c>
      <c r="F11" s="14">
        <f>+SUMIF('Full BS-USD'!$M:$M,B11,'Full BS-USD'!$G:$G)</f>
        <v>1183093.17</v>
      </c>
      <c r="G11" s="14">
        <f>+SUMIF('Full BS-USD'!$M:$M,B11,'Full BS-USD'!$E:$E)</f>
        <v>21.14</v>
      </c>
      <c r="H11" s="14">
        <f>+SUMIF('Full BS-USD'!$M:$M,B11,'Full BS-USD'!$F:$F)</f>
        <v>299.37</v>
      </c>
      <c r="I11" s="14">
        <f>+SUMIF('Full BS-USD'!$M:$M,B11,'Full BS-USD'!$H:$H)</f>
        <v>195757.56</v>
      </c>
      <c r="J11" s="14">
        <f>+SUMIF('Full BS-USD'!$M:$M,B11,'Full BS-USD'!$I:$I)</f>
        <v>490094.22</v>
      </c>
      <c r="K11" s="147">
        <f>+SUMIF('Full BS-USD'!$M:$M,B11,'Full BS-USD'!$J:$J)</f>
        <v>3193193.24</v>
      </c>
      <c r="L11" s="14">
        <f>+SUMIF('Full BS-USD'!$M:$M,B11,'Full BS-USD'!$K:$K)</f>
        <v>208398.82</v>
      </c>
      <c r="M11" s="14">
        <f>+SUMIF('Full BS-USD'!$M:$M,B11,'Full BS-USD'!$B:$B)</f>
        <v>0</v>
      </c>
      <c r="N11" s="14">
        <f>+SUMIF('Full BS-USD'!$M:$M,B11,'Full BS-USD'!$C:$C)</f>
        <v>0</v>
      </c>
      <c r="O11" s="14"/>
      <c r="P11" s="14"/>
      <c r="Q11" s="14">
        <f>+SUMIF('Full BS-USD'!$M:$M,B11,'Full BS-USD'!$L:$L)</f>
        <v>5291551.790000001</v>
      </c>
      <c r="R11" s="66">
        <f>+Q11-SUM(E11:N11)</f>
        <v>0</v>
      </c>
      <c r="S11" s="106">
        <f>+ROUND((Q11/1000),0)</f>
        <v>5292</v>
      </c>
      <c r="T11" s="14"/>
      <c r="U11" s="36"/>
      <c r="V11" s="36"/>
      <c r="W11" s="36"/>
      <c r="X11" s="35"/>
      <c r="Y11" s="35"/>
      <c r="Z11" s="35"/>
      <c r="AA11" s="35"/>
      <c r="AB11" s="35"/>
      <c r="AC11" s="35"/>
      <c r="AD11" s="35"/>
    </row>
    <row r="12" spans="2:30" ht="14.25">
      <c r="B12">
        <v>11</v>
      </c>
      <c r="C12" s="35" t="s">
        <v>433</v>
      </c>
      <c r="E12" s="14">
        <f>+SUMIF('Full BS-USD'!$M:$M,B12,'Full BS-USD'!$D:$D)</f>
        <v>0</v>
      </c>
      <c r="F12" s="14">
        <f>+SUMIF('Full BS-USD'!$M:$M,B12,'Full BS-USD'!$G:$G)</f>
        <v>0</v>
      </c>
      <c r="G12" s="14">
        <f>+SUMIF('Full BS-USD'!$M:$M,B12,'Full BS-USD'!$E:$E)</f>
        <v>0</v>
      </c>
      <c r="H12" s="14">
        <f>+SUMIF('Full BS-USD'!$M:$M,B12,'Full BS-USD'!$F:$F)</f>
        <v>0</v>
      </c>
      <c r="I12" s="14">
        <f>+SUMIF('Full BS-USD'!$M:$M,B12,'Full BS-USD'!$H:$H)</f>
        <v>0</v>
      </c>
      <c r="J12" s="14">
        <f>+SUMIF('Full BS-USD'!$M:$M,B12,'Full BS-USD'!$I:$I)</f>
        <v>0</v>
      </c>
      <c r="K12" s="147">
        <f>+SUMIF('Full BS-USD'!$M:$M,B12,'Full BS-USD'!$J:$J)</f>
        <v>7718871.6800000006</v>
      </c>
      <c r="L12" s="14">
        <f>+SUMIF('Full BS-USD'!$M:$M,B12,'Full BS-USD'!$K:$K)</f>
        <v>607156</v>
      </c>
      <c r="M12" s="14">
        <f>+SUMIF('Full BS-USD'!$M:$M,B12,'Full BS-USD'!$B:$B)</f>
        <v>0</v>
      </c>
      <c r="N12" s="14">
        <f>+SUMIF('Full BS-USD'!$M:$M,B12,'Full BS-USD'!$C:$C)</f>
        <v>0</v>
      </c>
      <c r="O12" s="14"/>
      <c r="P12" s="14"/>
      <c r="Q12" s="14">
        <f>+SUMIF('Full BS-USD'!$M:$M,B12,'Full BS-USD'!$L:$L)</f>
        <v>8326027.6800000006</v>
      </c>
      <c r="R12" s="66">
        <f t="shared" ref="R12:R53" si="0">+Q12-SUM(E12:N12)</f>
        <v>0</v>
      </c>
      <c r="S12" s="106">
        <f>+ROUND((Q12/1000),0)</f>
        <v>8326</v>
      </c>
      <c r="T12" s="14"/>
      <c r="U12" s="36"/>
      <c r="V12" s="36"/>
      <c r="W12" s="36"/>
      <c r="X12" s="35"/>
      <c r="Y12" s="35"/>
      <c r="Z12" s="35"/>
      <c r="AA12" s="35"/>
      <c r="AB12" s="35"/>
      <c r="AC12" s="35"/>
      <c r="AD12" s="35"/>
    </row>
    <row r="13" spans="2:30" ht="14.25">
      <c r="B13">
        <v>12</v>
      </c>
      <c r="C13" s="35" t="s">
        <v>434</v>
      </c>
      <c r="E13" s="14">
        <f>+SUMIF('Full BS-USD'!$M:$M,B13,'Full BS-USD'!$D:$D)</f>
        <v>0</v>
      </c>
      <c r="F13" s="14">
        <f>+SUMIF('Full BS-USD'!$M:$M,B13,'Full BS-USD'!$G:$G)</f>
        <v>0</v>
      </c>
      <c r="G13" s="14">
        <f>+SUMIF('Full BS-USD'!$M:$M,B13,'Full BS-USD'!$E:$E)</f>
        <v>0</v>
      </c>
      <c r="H13" s="14">
        <f>+SUMIF('Full BS-USD'!$M:$M,B13,'Full BS-USD'!$F:$F)</f>
        <v>0</v>
      </c>
      <c r="I13" s="14">
        <f>+SUMIF('Full BS-USD'!$M:$M,B13,'Full BS-USD'!$H:$H)</f>
        <v>0</v>
      </c>
      <c r="J13" s="14">
        <f>+SUMIF('Full BS-USD'!$M:$M,B13,'Full BS-USD'!$I:$I)</f>
        <v>0</v>
      </c>
      <c r="K13" s="147">
        <f>+SUMIF('Full BS-USD'!$M:$M,B13,'Full BS-USD'!$J:$J)</f>
        <v>658882.12</v>
      </c>
      <c r="L13" s="14">
        <f>+SUMIF('Full BS-USD'!$M:$M,B13,'Full BS-USD'!$K:$K)</f>
        <v>0</v>
      </c>
      <c r="M13" s="14">
        <f>+SUMIF('Full BS-USD'!$M:$M,B13,'Full BS-USD'!$B:$B)</f>
        <v>0</v>
      </c>
      <c r="N13" s="14">
        <f>+SUMIF('Full BS-USD'!$M:$M,B13,'Full BS-USD'!$C:$C)</f>
        <v>0</v>
      </c>
      <c r="O13" s="14"/>
      <c r="P13" s="14"/>
      <c r="Q13" s="14">
        <f>+SUMIF('Full BS-USD'!$M:$M,B13,'Full BS-USD'!$L:$L)</f>
        <v>658882.12</v>
      </c>
      <c r="R13" s="66">
        <f t="shared" si="0"/>
        <v>0</v>
      </c>
      <c r="S13" s="106">
        <f>+ROUND((Q13/1000),0)</f>
        <v>659</v>
      </c>
      <c r="T13" s="14"/>
      <c r="U13" s="36">
        <f>+'NOTES-Conso'!B5</f>
        <v>3</v>
      </c>
      <c r="V13" s="36"/>
      <c r="W13" s="36"/>
      <c r="X13" s="35"/>
      <c r="Y13" s="35"/>
      <c r="Z13" s="35"/>
      <c r="AA13" s="35"/>
      <c r="AB13" s="35"/>
      <c r="AC13" s="35"/>
      <c r="AD13" s="35"/>
    </row>
    <row r="14" spans="2:30" ht="14.25">
      <c r="B14">
        <v>13</v>
      </c>
      <c r="C14" s="35" t="s">
        <v>435</v>
      </c>
      <c r="E14" s="17">
        <f>+SUMIF('Full BS-USD'!$M:$M,B14,'Full BS-USD'!$D:$D)</f>
        <v>4101.54</v>
      </c>
      <c r="F14" s="17">
        <f>+SUMIF('Full BS-USD'!$M:$M,B14,'Full BS-USD'!$G:$G)</f>
        <v>1359.83</v>
      </c>
      <c r="G14" s="17">
        <f>+SUMIF('Full BS-USD'!$M:$M,B14,'Full BS-USD'!$E:$E)</f>
        <v>491.94</v>
      </c>
      <c r="H14" s="17">
        <f>+SUMIF('Full BS-USD'!$M:$M,B14,'Full BS-USD'!$F:$F)</f>
        <v>48261.82</v>
      </c>
      <c r="I14" s="17">
        <f>+SUMIF('Full BS-USD'!$M:$M,B14,'Full BS-USD'!$H:$H)</f>
        <v>2433115.0300000007</v>
      </c>
      <c r="J14" s="17">
        <f>+SUMIF('Full BS-USD'!$M:$M,B14,'Full BS-USD'!$I:$I)</f>
        <v>546686.67000000004</v>
      </c>
      <c r="K14" s="17">
        <f>+SUMIF('Full BS-USD'!$M:$M,B14,'Full BS-USD'!$J:$J)</f>
        <v>5432383.4699999997</v>
      </c>
      <c r="L14" s="17">
        <f>+SUMIF('Full BS-USD'!$M:$M,B14,'Full BS-USD'!$K:$K)</f>
        <v>975458.8600000001</v>
      </c>
      <c r="M14" s="17">
        <f>+SUMIF('Full BS-USD'!$M:$M,B14,'Full BS-USD'!$B:$B)</f>
        <v>-8791437.709999999</v>
      </c>
      <c r="N14" s="17">
        <f>+SUMIF('Full BS-USD'!$M:$M,B14,'Full BS-USD'!$C:$C)</f>
        <v>8338.7799999999988</v>
      </c>
      <c r="O14" s="19"/>
      <c r="P14" s="14"/>
      <c r="Q14" s="17">
        <f>+SUMIF('Full BS-USD'!$M:$M,B14,'Full BS-USD'!$L:$L)</f>
        <v>658760.22999999975</v>
      </c>
      <c r="R14" s="66">
        <f>+Q14-SUM(E14:N14)</f>
        <v>-1.3969838619232178E-9</v>
      </c>
      <c r="S14" s="107">
        <f>+ROUND((Q14/1000),0)</f>
        <v>659</v>
      </c>
      <c r="T14" s="14"/>
      <c r="U14" s="36">
        <f>+'NOTES-Conso'!B10</f>
        <v>4</v>
      </c>
      <c r="V14" s="36"/>
      <c r="W14" s="36"/>
      <c r="X14" s="35"/>
      <c r="Y14" s="35"/>
      <c r="Z14" s="35"/>
      <c r="AA14" s="35"/>
      <c r="AB14" s="35"/>
      <c r="AC14" s="35"/>
      <c r="AD14" s="35"/>
    </row>
    <row r="15" spans="2:30" ht="14.25">
      <c r="C15" s="35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42"/>
      <c r="Q15" s="36"/>
      <c r="R15" s="66">
        <f t="shared" si="0"/>
        <v>0</v>
      </c>
      <c r="S15" s="36">
        <f>+Q15/1000</f>
        <v>0</v>
      </c>
      <c r="T15" s="14"/>
      <c r="U15" s="36"/>
      <c r="V15" s="36"/>
      <c r="W15" s="36"/>
      <c r="X15" s="35"/>
      <c r="Y15" s="35"/>
      <c r="Z15" s="35"/>
      <c r="AA15" s="35"/>
      <c r="AB15" s="35"/>
      <c r="AC15" s="35"/>
      <c r="AD15" s="35"/>
    </row>
    <row r="16" spans="2:30" ht="14.25">
      <c r="C16" s="45" t="s">
        <v>437</v>
      </c>
      <c r="D16" s="36"/>
      <c r="E16" s="44">
        <f>+SUM(E11:E14)</f>
        <v>24795.81</v>
      </c>
      <c r="F16" s="44">
        <f>+SUM(F11:F14)</f>
        <v>1184453</v>
      </c>
      <c r="G16" s="44">
        <f t="shared" ref="G16:M16" si="1">+SUM(G11:G14)</f>
        <v>513.08000000000004</v>
      </c>
      <c r="H16" s="44">
        <f t="shared" si="1"/>
        <v>48561.19</v>
      </c>
      <c r="I16" s="44">
        <f t="shared" si="1"/>
        <v>2628872.5900000008</v>
      </c>
      <c r="J16" s="44">
        <f t="shared" si="1"/>
        <v>1036780.89</v>
      </c>
      <c r="K16" s="44">
        <f t="shared" si="1"/>
        <v>17003330.510000002</v>
      </c>
      <c r="L16" s="44">
        <f t="shared" si="1"/>
        <v>1791013.6800000002</v>
      </c>
      <c r="M16" s="44">
        <f t="shared" si="1"/>
        <v>-8791437.709999999</v>
      </c>
      <c r="N16" s="44">
        <f t="shared" ref="N16" si="2">+SUM(N11:N14)</f>
        <v>8338.7799999999988</v>
      </c>
      <c r="O16" s="44"/>
      <c r="P16" s="42"/>
      <c r="Q16" s="44">
        <f>+SUM(Q11:Q14)</f>
        <v>14935221.820000002</v>
      </c>
      <c r="R16" s="66">
        <f t="shared" si="0"/>
        <v>0</v>
      </c>
      <c r="S16" s="44">
        <f>+SUM(S11:S14)</f>
        <v>14936</v>
      </c>
      <c r="T16" s="14"/>
      <c r="U16" s="36"/>
      <c r="V16" s="36"/>
      <c r="W16" s="36"/>
      <c r="X16" s="35"/>
      <c r="Y16" s="35"/>
      <c r="Z16" s="35"/>
      <c r="AA16" s="35"/>
      <c r="AB16" s="35"/>
      <c r="AC16" s="35"/>
      <c r="AD16" s="35"/>
    </row>
    <row r="17" spans="2:30" ht="14.25">
      <c r="C17" s="35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42"/>
      <c r="Q17" s="36"/>
      <c r="R17" s="66">
        <f t="shared" si="0"/>
        <v>0</v>
      </c>
      <c r="S17" s="36">
        <f>+Q17/1000</f>
        <v>0</v>
      </c>
      <c r="T17" s="14"/>
      <c r="U17" s="36"/>
      <c r="V17" s="36"/>
      <c r="W17" s="36"/>
      <c r="X17" s="35"/>
      <c r="Y17" s="35"/>
      <c r="Z17" s="35"/>
      <c r="AA17" s="35"/>
      <c r="AB17" s="35"/>
      <c r="AC17" s="35"/>
      <c r="AD17" s="35"/>
    </row>
    <row r="18" spans="2:30" ht="14.25">
      <c r="C18" s="35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42"/>
      <c r="Q18" s="36"/>
      <c r="R18" s="66">
        <f t="shared" si="0"/>
        <v>0</v>
      </c>
      <c r="S18" s="36"/>
      <c r="T18" s="14"/>
      <c r="U18" s="36"/>
      <c r="V18" s="36"/>
      <c r="W18" s="36"/>
      <c r="X18" s="35"/>
      <c r="Y18" s="35"/>
      <c r="Z18" s="35"/>
      <c r="AA18" s="35"/>
      <c r="AB18" s="35"/>
      <c r="AC18" s="35"/>
      <c r="AD18" s="35"/>
    </row>
    <row r="19" spans="2:30" ht="14.25">
      <c r="C19" s="35" t="s">
        <v>438</v>
      </c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42"/>
      <c r="Q19" s="36"/>
      <c r="R19" s="66">
        <f t="shared" si="0"/>
        <v>0</v>
      </c>
      <c r="S19" s="36"/>
      <c r="T19" s="14"/>
      <c r="U19" s="36"/>
      <c r="V19" s="36"/>
      <c r="W19" s="36"/>
      <c r="X19" s="35"/>
      <c r="Y19" s="35"/>
      <c r="Z19" s="35"/>
      <c r="AA19" s="35"/>
      <c r="AB19" s="35"/>
      <c r="AC19" s="35"/>
      <c r="AD19" s="35"/>
    </row>
    <row r="20" spans="2:30" ht="14.25">
      <c r="B20">
        <v>14</v>
      </c>
      <c r="C20" s="35" t="s">
        <v>439</v>
      </c>
      <c r="D20" s="36"/>
      <c r="E20" s="14">
        <f>+SUMIF('Full BS-USD'!$M:$M,B20,'Full BS-USD'!$D:$D)</f>
        <v>38487.03</v>
      </c>
      <c r="F20" s="14">
        <f>+SUMIF('Full BS-USD'!$M:$M,B20,'Full BS-USD'!$G:$G)</f>
        <v>0</v>
      </c>
      <c r="G20" s="14">
        <f>+SUMIF('Full BS-USD'!$M:$M,B20,'Full BS-USD'!$E:$E)</f>
        <v>0</v>
      </c>
      <c r="H20" s="14">
        <f>+SUMIF('Full BS-USD'!$M:$M,B20,'Full BS-USD'!$F:$F)</f>
        <v>0</v>
      </c>
      <c r="I20" s="14">
        <f>+SUMIF('Full BS-USD'!$M:$M,B20,'Full BS-USD'!$H:$H)</f>
        <v>0</v>
      </c>
      <c r="J20" s="14">
        <f>+SUMIF('Full BS-USD'!$M:$M,B20,'Full BS-USD'!$I:$I)</f>
        <v>0</v>
      </c>
      <c r="K20" s="147">
        <f>+SUMIF('Full BS-USD'!$M:$M,B20,'Full BS-USD'!$J:$J)</f>
        <v>261263.83</v>
      </c>
      <c r="L20" s="14">
        <f>+SUMIF('Full BS-USD'!$M:$M,B20,'Full BS-USD'!$K:$K)</f>
        <v>0</v>
      </c>
      <c r="M20" s="14">
        <f>+SUMIF('Full BS-USD'!$M:$M,B20,'Full BS-USD'!$B:$B)</f>
        <v>-261263.83</v>
      </c>
      <c r="N20" s="14">
        <f>+SUMIF('Full BS-USD'!$M:$M,B20,'Full BS-USD'!$C:$C)</f>
        <v>0</v>
      </c>
      <c r="O20" s="14"/>
      <c r="P20" s="14"/>
      <c r="Q20" s="14">
        <f>+SUMIF('Full BS-USD'!$M:$M,B20,'Full BS-USD'!$L:$L)</f>
        <v>38487.03</v>
      </c>
      <c r="R20" s="66">
        <f t="shared" si="0"/>
        <v>0</v>
      </c>
      <c r="S20" s="178">
        <f>+ROUND((Q20/1000),0)</f>
        <v>38</v>
      </c>
      <c r="T20" s="14"/>
      <c r="U20" s="36"/>
      <c r="V20" s="36"/>
      <c r="W20" s="36"/>
      <c r="X20" s="35"/>
      <c r="Y20" s="35"/>
      <c r="Z20" s="35"/>
      <c r="AA20" s="35"/>
      <c r="AB20" s="35"/>
      <c r="AC20" s="35"/>
      <c r="AD20" s="35"/>
    </row>
    <row r="21" spans="2:30" ht="14.25">
      <c r="B21">
        <v>15</v>
      </c>
      <c r="C21" s="35" t="s">
        <v>442</v>
      </c>
      <c r="D21" s="36"/>
      <c r="E21" s="17">
        <f>+SUMIF('Full BS-USD'!$M:$M,B21,'Full BS-USD'!$D:$D)</f>
        <v>0</v>
      </c>
      <c r="F21" s="17">
        <f>+SUMIF('Full BS-USD'!$M:$M,B21,'Full BS-USD'!$G:$G)</f>
        <v>279.12</v>
      </c>
      <c r="G21" s="17">
        <f>+SUMIF('Full BS-USD'!$M:$M,B21,'Full BS-USD'!$E:$E)</f>
        <v>0</v>
      </c>
      <c r="H21" s="17">
        <f>+SUMIF('Full BS-USD'!$M:$M,B21,'Full BS-USD'!$F:$F)</f>
        <v>0</v>
      </c>
      <c r="I21" s="17">
        <f>+SUMIF('Full BS-USD'!$M:$M,B21,'Full BS-USD'!$H:$H)</f>
        <v>46935.500000000015</v>
      </c>
      <c r="J21" s="17">
        <f>+SUMIF('Full BS-USD'!$M:$M,B21,'Full BS-USD'!$I:$I)</f>
        <v>4503.67</v>
      </c>
      <c r="K21" s="148">
        <f>+SUMIF('Full BS-USD'!$M:$M,B21,'Full BS-USD'!$J:$J)</f>
        <v>53053.189999999988</v>
      </c>
      <c r="L21" s="17">
        <f>+SUMIF('Full BS-USD'!$M:$M,B21,'Full BS-USD'!$K:$K)</f>
        <v>16549.810000000001</v>
      </c>
      <c r="M21" s="17">
        <f>+SUMIF('Full BS-USD'!$M:$M,B21,'Full BS-USD'!$B:$B)</f>
        <v>0</v>
      </c>
      <c r="N21" s="17">
        <f>+SUMIF('Full BS-USD'!$M:$M,B21,'Full BS-USD'!$C:$C)</f>
        <v>0</v>
      </c>
      <c r="O21" s="19"/>
      <c r="P21" s="14"/>
      <c r="Q21" s="17">
        <f>+SUMIF('Full BS-USD'!$M:$M,B21,'Full BS-USD'!$L:$L)</f>
        <v>121321.29000000001</v>
      </c>
      <c r="R21" s="66">
        <f t="shared" si="0"/>
        <v>0</v>
      </c>
      <c r="S21" s="107">
        <f>+ROUND((Q21/1000),0)</f>
        <v>121</v>
      </c>
      <c r="T21" s="14"/>
      <c r="U21" s="36">
        <v>5</v>
      </c>
      <c r="V21" s="36"/>
      <c r="W21" s="36"/>
      <c r="X21" s="35"/>
      <c r="Y21" s="35"/>
      <c r="Z21" s="35"/>
      <c r="AA21" s="35"/>
      <c r="AB21" s="35"/>
      <c r="AC21" s="35"/>
      <c r="AD21" s="35"/>
    </row>
    <row r="22" spans="2:30" ht="14.25">
      <c r="C22" s="35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42"/>
      <c r="Q22" s="36"/>
      <c r="R22" s="66">
        <f t="shared" si="0"/>
        <v>0</v>
      </c>
      <c r="S22" s="36"/>
      <c r="T22" s="14"/>
      <c r="U22" s="36"/>
      <c r="V22" s="36"/>
      <c r="W22" s="36"/>
      <c r="X22" s="35"/>
      <c r="Y22" s="35"/>
      <c r="Z22" s="35"/>
      <c r="AA22" s="35"/>
      <c r="AB22" s="35"/>
      <c r="AC22" s="35"/>
      <c r="AD22" s="35"/>
    </row>
    <row r="23" spans="2:30" ht="14.25">
      <c r="C23" s="35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42"/>
      <c r="Q23" s="36"/>
      <c r="R23" s="66">
        <f t="shared" si="0"/>
        <v>0</v>
      </c>
      <c r="S23" s="36"/>
      <c r="T23" s="14"/>
      <c r="U23" s="36"/>
      <c r="V23" s="36"/>
      <c r="W23" s="36"/>
      <c r="X23" s="35"/>
      <c r="Y23" s="35"/>
      <c r="Z23" s="35"/>
      <c r="AA23" s="35"/>
      <c r="AB23" s="35"/>
      <c r="AC23" s="35"/>
      <c r="AD23" s="35"/>
    </row>
    <row r="24" spans="2:30" ht="14.25">
      <c r="C24" s="45" t="s">
        <v>440</v>
      </c>
      <c r="D24" s="36"/>
      <c r="E24" s="44">
        <f>+E20+E21</f>
        <v>38487.03</v>
      </c>
      <c r="F24" s="44">
        <f>+F20+F21</f>
        <v>279.12</v>
      </c>
      <c r="G24" s="44">
        <f t="shared" ref="G24:Q24" si="3">+G20+G21</f>
        <v>0</v>
      </c>
      <c r="H24" s="44">
        <f t="shared" si="3"/>
        <v>0</v>
      </c>
      <c r="I24" s="44">
        <f t="shared" si="3"/>
        <v>46935.500000000015</v>
      </c>
      <c r="J24" s="44">
        <f t="shared" si="3"/>
        <v>4503.67</v>
      </c>
      <c r="K24" s="44">
        <f>+K20+K21</f>
        <v>314317.01999999996</v>
      </c>
      <c r="L24" s="44">
        <f t="shared" si="3"/>
        <v>16549.810000000001</v>
      </c>
      <c r="M24" s="44">
        <f t="shared" si="3"/>
        <v>-261263.83</v>
      </c>
      <c r="N24" s="44">
        <f t="shared" ref="N24" si="4">+N20+N21</f>
        <v>0</v>
      </c>
      <c r="O24" s="44"/>
      <c r="P24" s="42"/>
      <c r="Q24" s="44">
        <f t="shared" si="3"/>
        <v>159808.32000000001</v>
      </c>
      <c r="R24" s="66">
        <f t="shared" si="0"/>
        <v>0</v>
      </c>
      <c r="S24" s="44">
        <f>+ROUND(Q24/1000,0)</f>
        <v>160</v>
      </c>
      <c r="T24" s="14"/>
      <c r="U24" s="36"/>
      <c r="V24" s="36"/>
      <c r="W24" s="36"/>
      <c r="X24" s="35"/>
      <c r="Y24" s="35"/>
      <c r="Z24" s="35"/>
      <c r="AA24" s="35"/>
      <c r="AB24" s="35"/>
      <c r="AC24" s="35"/>
      <c r="AD24" s="35"/>
    </row>
    <row r="25" spans="2:30" ht="14.25">
      <c r="C25" s="35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42"/>
      <c r="Q25" s="36"/>
      <c r="R25" s="66">
        <f t="shared" si="0"/>
        <v>0</v>
      </c>
      <c r="S25" s="36"/>
      <c r="T25" s="14"/>
      <c r="U25" s="36"/>
      <c r="V25" s="36"/>
      <c r="W25" s="36"/>
      <c r="X25" s="35"/>
      <c r="Y25" s="35"/>
      <c r="Z25" s="35"/>
      <c r="AA25" s="35"/>
      <c r="AB25" s="35"/>
      <c r="AC25" s="35"/>
      <c r="AD25" s="35"/>
    </row>
    <row r="26" spans="2:30" ht="14.25">
      <c r="C26" s="35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42"/>
      <c r="Q26" s="36"/>
      <c r="R26" s="66">
        <f t="shared" si="0"/>
        <v>0</v>
      </c>
      <c r="S26" s="36"/>
      <c r="T26" s="14"/>
      <c r="U26" s="36"/>
      <c r="V26" s="36"/>
      <c r="W26" s="36"/>
      <c r="X26" s="35"/>
      <c r="Y26" s="35"/>
      <c r="Z26" s="35"/>
      <c r="AA26" s="35"/>
      <c r="AB26" s="35"/>
      <c r="AC26" s="35"/>
      <c r="AD26" s="35"/>
    </row>
    <row r="27" spans="2:30" ht="15" thickBot="1">
      <c r="C27" s="91" t="s">
        <v>441</v>
      </c>
      <c r="D27" s="36"/>
      <c r="E27" s="90">
        <f>+E24+E16</f>
        <v>63282.84</v>
      </c>
      <c r="F27" s="90">
        <f>+F24+F16</f>
        <v>1184732.1200000001</v>
      </c>
      <c r="G27" s="90">
        <f t="shared" ref="G27:L27" si="5">+G24+G16</f>
        <v>513.08000000000004</v>
      </c>
      <c r="H27" s="90">
        <f t="shared" si="5"/>
        <v>48561.19</v>
      </c>
      <c r="I27" s="90">
        <f t="shared" si="5"/>
        <v>2675808.0900000008</v>
      </c>
      <c r="J27" s="90">
        <f t="shared" si="5"/>
        <v>1041284.56</v>
      </c>
      <c r="K27" s="90">
        <f t="shared" si="5"/>
        <v>17317647.530000001</v>
      </c>
      <c r="L27" s="90">
        <f t="shared" si="5"/>
        <v>1807563.4900000002</v>
      </c>
      <c r="M27" s="90">
        <f>+M24+M16</f>
        <v>-9052701.5399999991</v>
      </c>
      <c r="N27" s="90">
        <f>+N24+N16</f>
        <v>8338.7799999999988</v>
      </c>
      <c r="P27" s="42"/>
      <c r="Q27" s="90">
        <f>+Q24+Q16</f>
        <v>15095030.140000002</v>
      </c>
      <c r="R27" s="66">
        <f t="shared" si="0"/>
        <v>0</v>
      </c>
      <c r="S27" s="90">
        <f>+S24+S16</f>
        <v>15096</v>
      </c>
      <c r="T27" s="14"/>
      <c r="U27" s="36"/>
      <c r="V27" s="36"/>
      <c r="W27" s="36"/>
      <c r="X27" s="35"/>
      <c r="Y27" s="35"/>
      <c r="Z27" s="35"/>
      <c r="AA27" s="35"/>
      <c r="AB27" s="35"/>
      <c r="AC27" s="35"/>
      <c r="AD27" s="35"/>
    </row>
    <row r="28" spans="2:30" ht="15" thickTop="1">
      <c r="C28" s="35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42"/>
      <c r="Q28" s="36"/>
      <c r="R28" s="66">
        <f t="shared" si="0"/>
        <v>0</v>
      </c>
      <c r="S28" s="36"/>
      <c r="T28" s="14"/>
      <c r="U28" s="36"/>
      <c r="V28" s="36"/>
      <c r="W28" s="36"/>
      <c r="X28" s="35"/>
      <c r="Y28" s="35"/>
      <c r="Z28" s="35"/>
      <c r="AA28" s="35"/>
      <c r="AB28" s="35"/>
      <c r="AC28" s="35"/>
      <c r="AD28" s="35"/>
    </row>
    <row r="29" spans="2:30" ht="14.25">
      <c r="C29" s="35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42"/>
      <c r="Q29" s="36"/>
      <c r="R29" s="66">
        <f t="shared" si="0"/>
        <v>0</v>
      </c>
      <c r="S29" s="36">
        <f>+Q29/1000</f>
        <v>0</v>
      </c>
      <c r="T29" s="14"/>
      <c r="U29" s="36"/>
      <c r="V29" s="36"/>
      <c r="W29" s="36"/>
      <c r="X29" s="35"/>
      <c r="Y29" s="35"/>
      <c r="Z29" s="35"/>
      <c r="AA29" s="35"/>
      <c r="AB29" s="35"/>
      <c r="AC29" s="35"/>
      <c r="AD29" s="35"/>
    </row>
    <row r="30" spans="2:30" ht="14.25">
      <c r="C30" s="35" t="s">
        <v>443</v>
      </c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42"/>
      <c r="Q30" s="36"/>
      <c r="R30" s="66">
        <f t="shared" si="0"/>
        <v>0</v>
      </c>
      <c r="S30" s="36"/>
      <c r="T30" s="14"/>
      <c r="U30" s="36"/>
      <c r="V30" s="36"/>
      <c r="W30" s="36"/>
      <c r="X30" s="35"/>
      <c r="Y30" s="35"/>
      <c r="Z30" s="35"/>
      <c r="AA30" s="35"/>
      <c r="AB30" s="35"/>
      <c r="AC30" s="35"/>
      <c r="AD30" s="35"/>
    </row>
    <row r="31" spans="2:30" ht="14.25">
      <c r="C31" s="35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42"/>
      <c r="Q31" s="36"/>
      <c r="R31" s="66">
        <f t="shared" si="0"/>
        <v>0</v>
      </c>
      <c r="S31" s="36"/>
      <c r="T31" s="14"/>
      <c r="U31" s="36"/>
      <c r="V31" s="36"/>
      <c r="W31" s="36"/>
      <c r="X31" s="35"/>
      <c r="Y31" s="35"/>
      <c r="Z31" s="35"/>
      <c r="AA31" s="35"/>
      <c r="AB31" s="35"/>
      <c r="AC31" s="35"/>
      <c r="AD31" s="35"/>
    </row>
    <row r="32" spans="2:30" ht="18">
      <c r="C32" s="11" t="s">
        <v>444</v>
      </c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42"/>
      <c r="Q32" s="36"/>
      <c r="R32" s="66">
        <f t="shared" si="0"/>
        <v>0</v>
      </c>
      <c r="S32" s="36"/>
      <c r="T32" s="14"/>
      <c r="U32" s="36"/>
      <c r="V32" s="36"/>
      <c r="W32" s="36"/>
      <c r="X32" s="35"/>
      <c r="Y32" s="35"/>
      <c r="Z32" s="35"/>
      <c r="AA32" s="35"/>
      <c r="AB32" s="35"/>
      <c r="AC32" s="35"/>
      <c r="AD32" s="35"/>
    </row>
    <row r="33" spans="2:30" ht="18">
      <c r="C33" s="11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42"/>
      <c r="Q33" s="36"/>
      <c r="R33" s="66">
        <f t="shared" si="0"/>
        <v>0</v>
      </c>
      <c r="S33" s="36"/>
      <c r="T33" s="14"/>
      <c r="U33" s="36"/>
      <c r="V33" s="36"/>
      <c r="W33" s="36"/>
      <c r="X33" s="35"/>
      <c r="Y33" s="35"/>
      <c r="Z33" s="35"/>
      <c r="AA33" s="35"/>
      <c r="AB33" s="35"/>
      <c r="AC33" s="35"/>
      <c r="AD33" s="35"/>
    </row>
    <row r="34" spans="2:30" ht="14.25">
      <c r="B34">
        <v>16</v>
      </c>
      <c r="C34" s="35" t="s">
        <v>445</v>
      </c>
      <c r="D34" s="36"/>
      <c r="E34" s="147">
        <f>+SUMIF('Full BS-USD'!$M:$M,B34,'Full BS-USD'!$D:$D)</f>
        <v>0</v>
      </c>
      <c r="F34" s="14">
        <f>+SUMIF('Full BS-USD'!$M:$M,B34,'Full BS-USD'!$G:$G)+'Full BS-USD'!G157</f>
        <v>8115.99</v>
      </c>
      <c r="G34" s="14">
        <f>+SUMIF('Full BS-USD'!$M:$M,B34,'Full BS-USD'!$E:$E)+'Full BS-USD'!E157</f>
        <v>0</v>
      </c>
      <c r="H34" s="14">
        <f>+SUMIF('Full BS-USD'!$M:$M,B34,'Full BS-USD'!$F:$F)+'Full BS-USD'!F157</f>
        <v>0</v>
      </c>
      <c r="I34" s="14">
        <f>+SUMIF('Full BS-USD'!$M:$M,B34,'Full BS-USD'!$H:$H)+'Full BS-USD'!H157</f>
        <v>30952.399999999998</v>
      </c>
      <c r="J34" s="147">
        <f>+SUMIF('Full BS-USD'!$M:$M,B34,'Full BS-USD'!$I:$I)+'Full BS-USD'!I157</f>
        <v>5746.2800000000007</v>
      </c>
      <c r="K34" s="376">
        <f>+SUMIF('Full BS-USD'!$M:$M,B34,'Full BS-USD'!$J:$J)+'Full BS-USD'!J157</f>
        <v>93784.12</v>
      </c>
      <c r="L34" s="147">
        <f>+SUMIF('Full BS-USD'!$M:$M,B34,'Full BS-USD'!$K:$K)+'Full BS-USD'!K157</f>
        <v>28738.66</v>
      </c>
      <c r="M34" s="147">
        <f>+SUMIF('Full BS-USD'!$M:$M,B34,'Full BS-USD'!$B:$B)+'Full BS-USD'!B157</f>
        <v>0.01</v>
      </c>
      <c r="N34" s="14">
        <f>+SUMIF('Full BS-USD'!$M:$M,B34,'Full BS-USD'!$C:$C)</f>
        <v>0</v>
      </c>
      <c r="O34" s="14"/>
      <c r="P34" s="14"/>
      <c r="Q34" s="14">
        <f>+SUMIF('Full BS-USD'!$M:$M,B34,'Full BS-USD'!$L:$L)+'Full BS-USD'!L157</f>
        <v>167337.46000000002</v>
      </c>
      <c r="R34" s="66">
        <f t="shared" si="0"/>
        <v>0</v>
      </c>
      <c r="S34" s="178">
        <f>+ROUND((Q34/1000),0)</f>
        <v>167</v>
      </c>
      <c r="T34" s="14"/>
      <c r="U34" s="36"/>
      <c r="V34" s="36"/>
      <c r="W34" s="36"/>
      <c r="X34" s="35"/>
      <c r="Y34" s="35"/>
      <c r="Z34" s="35"/>
      <c r="AA34" s="35"/>
      <c r="AB34" s="35"/>
      <c r="AC34" s="35"/>
      <c r="AD34" s="35"/>
    </row>
    <row r="35" spans="2:30" ht="14.25">
      <c r="B35">
        <v>17</v>
      </c>
      <c r="C35" s="35" t="s">
        <v>446</v>
      </c>
      <c r="D35" s="36"/>
      <c r="E35" s="17">
        <f>+SUMIF('Full BS-USD'!$M:$M,B35,'Full BS-USD'!$D:$D)</f>
        <v>320.38</v>
      </c>
      <c r="F35" s="17">
        <f>+SUMIF('Full BS-USD'!$M:$M,B35,'Full BS-USD'!$G:$G)</f>
        <v>21787.94</v>
      </c>
      <c r="G35" s="17">
        <f>+SUMIF('Full BS-USD'!$M:$M,B35,'Full BS-USD'!$E:$E)</f>
        <v>320.38</v>
      </c>
      <c r="H35" s="17">
        <f>+SUMIF('Full BS-USD'!$M:$M,B35,'Full BS-USD'!$F:$F)</f>
        <v>8858.119999999999</v>
      </c>
      <c r="I35" s="17">
        <f>+SUMIF('Full BS-USD'!$M:$M,B35,'Full BS-USD'!$H:$H)</f>
        <v>2128996.9</v>
      </c>
      <c r="J35" s="17">
        <f>+SUMIF('Full BS-USD'!$M:$M,B35,'Full BS-USD'!$I:$I)</f>
        <v>346957.74</v>
      </c>
      <c r="K35" s="17">
        <f>+SUMIF('Full BS-USD'!$M:$M,B35,'Full BS-USD'!$J:$J)</f>
        <v>4359939.37</v>
      </c>
      <c r="L35" s="17">
        <f>+SUMIF('Full BS-USD'!$M:$M,B35,'Full BS-USD'!$K:$K)</f>
        <v>1432154.31</v>
      </c>
      <c r="M35" s="17">
        <f>+SUMIF('Full BS-USD'!$M:$M,B35,'Full BS-USD'!$B:$B)</f>
        <v>-8789619.3699999992</v>
      </c>
      <c r="N35" s="17">
        <f>+SUMIF('Full BS-USD'!$M:$M,B35,'Full BS-USD'!$C:$C)</f>
        <v>1608338.78</v>
      </c>
      <c r="O35" s="19"/>
      <c r="P35" s="14"/>
      <c r="Q35" s="17">
        <f>+SUMIF('Full BS-USD'!$M:$M,B35,'Full BS-USD'!$L:$L)</f>
        <v>1118054.55</v>
      </c>
      <c r="R35" s="66">
        <f t="shared" si="0"/>
        <v>0</v>
      </c>
      <c r="S35" s="107">
        <f>+ROUND((Q35/1000),0)</f>
        <v>1118</v>
      </c>
      <c r="U35" s="14">
        <f>+'NOTES-Conso'!B27</f>
        <v>6</v>
      </c>
      <c r="V35" s="36"/>
      <c r="W35" s="36"/>
      <c r="X35" s="35"/>
      <c r="Y35" s="35"/>
      <c r="Z35" s="35"/>
      <c r="AA35" s="35"/>
      <c r="AB35" s="35"/>
      <c r="AC35" s="35"/>
      <c r="AD35" s="35"/>
    </row>
    <row r="36" spans="2:30" ht="14.25">
      <c r="C36" s="35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66">
        <f t="shared" si="0"/>
        <v>0</v>
      </c>
      <c r="S36" s="36"/>
      <c r="T36" s="14"/>
      <c r="U36" s="36"/>
      <c r="V36" s="36"/>
      <c r="W36" s="36"/>
      <c r="X36" s="35"/>
      <c r="Y36" s="35"/>
      <c r="Z36" s="35"/>
      <c r="AA36" s="35"/>
      <c r="AB36" s="35"/>
      <c r="AC36" s="35"/>
      <c r="AD36" s="35"/>
    </row>
    <row r="37" spans="2:30" ht="14.25">
      <c r="C37" s="45" t="s">
        <v>454</v>
      </c>
      <c r="D37" s="36"/>
      <c r="E37" s="44">
        <f>+E35+E34</f>
        <v>320.38</v>
      </c>
      <c r="F37" s="44">
        <f>+F35+F34</f>
        <v>29903.93</v>
      </c>
      <c r="G37" s="44">
        <f t="shared" ref="G37:Q37" si="6">+G35+G34</f>
        <v>320.38</v>
      </c>
      <c r="H37" s="44">
        <f t="shared" si="6"/>
        <v>8858.119999999999</v>
      </c>
      <c r="I37" s="44">
        <f t="shared" si="6"/>
        <v>2159949.2999999998</v>
      </c>
      <c r="J37" s="44">
        <f t="shared" si="6"/>
        <v>352704.02</v>
      </c>
      <c r="K37" s="44">
        <f t="shared" si="6"/>
        <v>4453723.49</v>
      </c>
      <c r="L37" s="44">
        <f t="shared" si="6"/>
        <v>1460892.97</v>
      </c>
      <c r="M37" s="44">
        <f t="shared" si="6"/>
        <v>-8789619.3599999994</v>
      </c>
      <c r="N37" s="44">
        <f t="shared" ref="N37" si="7">+N35+N34</f>
        <v>1608338.78</v>
      </c>
      <c r="O37" s="44"/>
      <c r="P37" s="44"/>
      <c r="Q37" s="44">
        <f t="shared" si="6"/>
        <v>1285392.01</v>
      </c>
      <c r="R37" s="66">
        <f t="shared" si="0"/>
        <v>0</v>
      </c>
      <c r="S37" s="44">
        <f>+S35+S34</f>
        <v>1285</v>
      </c>
      <c r="T37" s="14"/>
      <c r="U37" s="36"/>
      <c r="V37" s="36"/>
      <c r="W37" s="36"/>
      <c r="X37" s="35"/>
      <c r="Y37" s="35"/>
      <c r="Z37" s="35"/>
      <c r="AA37" s="35"/>
      <c r="AB37" s="35"/>
      <c r="AC37" s="35"/>
      <c r="AD37" s="35"/>
    </row>
    <row r="38" spans="2:30" ht="14.25">
      <c r="C38" s="35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66">
        <f t="shared" si="0"/>
        <v>0</v>
      </c>
      <c r="S38" s="36"/>
      <c r="T38" s="14"/>
      <c r="U38" s="36"/>
      <c r="V38" s="36"/>
      <c r="W38" s="36"/>
      <c r="X38" s="35"/>
      <c r="Y38" s="35"/>
      <c r="Z38" s="35"/>
      <c r="AA38" s="35"/>
      <c r="AB38" s="35"/>
      <c r="AC38" s="35"/>
      <c r="AD38" s="35"/>
    </row>
    <row r="39" spans="2:30" ht="14.25">
      <c r="C39" s="35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66">
        <f t="shared" si="0"/>
        <v>0</v>
      </c>
      <c r="S39" s="36"/>
      <c r="T39" s="14"/>
      <c r="U39" s="36"/>
      <c r="V39" s="36"/>
      <c r="W39" s="36"/>
      <c r="X39" s="35"/>
      <c r="Y39" s="35"/>
      <c r="Z39" s="35"/>
      <c r="AA39" s="35"/>
      <c r="AB39" s="35"/>
      <c r="AC39" s="35"/>
      <c r="AD39" s="35"/>
    </row>
    <row r="40" spans="2:30" ht="18">
      <c r="C40" s="11" t="s">
        <v>570</v>
      </c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66">
        <f t="shared" si="0"/>
        <v>0</v>
      </c>
      <c r="S40" s="36"/>
      <c r="T40" s="14"/>
      <c r="U40" s="36"/>
      <c r="V40" s="36"/>
      <c r="W40" s="36"/>
      <c r="X40" s="35"/>
      <c r="Y40" s="35"/>
      <c r="Z40" s="35"/>
      <c r="AA40" s="35"/>
      <c r="AB40" s="35"/>
      <c r="AC40" s="35"/>
      <c r="AD40" s="35"/>
    </row>
    <row r="41" spans="2:30" ht="18">
      <c r="C41" s="11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66">
        <f t="shared" si="0"/>
        <v>0</v>
      </c>
      <c r="S41" s="36"/>
      <c r="T41" s="14"/>
      <c r="U41" s="36"/>
      <c r="V41" s="36"/>
      <c r="W41" s="36"/>
      <c r="X41" s="35"/>
      <c r="Y41" s="35"/>
      <c r="Z41" s="35"/>
      <c r="AA41" s="35"/>
      <c r="AB41" s="35"/>
      <c r="AC41" s="35"/>
      <c r="AD41" s="35"/>
    </row>
    <row r="42" spans="2:30" ht="15">
      <c r="B42">
        <v>18</v>
      </c>
      <c r="C42" s="45" t="s">
        <v>447</v>
      </c>
      <c r="D42" s="36"/>
      <c r="E42" s="44">
        <f>+SUMIF('Full BS-USD'!$M:$M,B42,'Full BS-USD'!$D:$D)</f>
        <v>0</v>
      </c>
      <c r="F42" s="15">
        <f>+SUMIF('Full BS-USD'!$M:$M,B42,'Full BS-USD'!$G:$G)</f>
        <v>0</v>
      </c>
      <c r="G42" s="44">
        <f>+SUMIF('Full BS-USD'!$M:$M,B42,'Full BS-USD'!$E:$E)</f>
        <v>261263.83</v>
      </c>
      <c r="H42" s="44">
        <f>+SUMIF('Full BS-USD'!$M:$M,B42,'Full BS-USD'!$F:$F)</f>
        <v>0</v>
      </c>
      <c r="I42" s="44">
        <f>+SUMIF('Full BS-USD'!$M:$M,B42,'Full BS-USD'!$H:$H)</f>
        <v>0</v>
      </c>
      <c r="J42" s="44">
        <f>+SUMIF('Full BS-USD'!$M:$M,B42,'Full BS-USD'!$I:$I)</f>
        <v>0</v>
      </c>
      <c r="K42" s="44">
        <f>+SUMIF('Full BS-USD'!$M:$M,B42,'Full BS-USD'!$J:$J)</f>
        <v>44955.43</v>
      </c>
      <c r="L42" s="44">
        <f>+SUMIF('Full BS-USD'!$M:$M,B42,'Full BS-USD'!$K:$K)</f>
        <v>50.78</v>
      </c>
      <c r="M42" s="44">
        <f>+SUMIF('Full BS-USD'!$M:$M,B42,'Full BS-USD'!$B:$B)</f>
        <v>-261263.83</v>
      </c>
      <c r="N42" s="14">
        <f>+SUMIF('Full BS-USD'!$M:$M,B42,'Full BS-USD'!$C:$C)</f>
        <v>0</v>
      </c>
      <c r="O42" s="44"/>
      <c r="P42" s="44"/>
      <c r="Q42" s="44">
        <f>+SUMIF('Full BS-USD'!$M:$M,B42,'Full BS-USD'!$L:$L)</f>
        <v>45006.21</v>
      </c>
      <c r="R42" s="66">
        <f t="shared" si="0"/>
        <v>0</v>
      </c>
      <c r="S42" s="44">
        <f>+ROUND(Q42/1000,0)-1</f>
        <v>44</v>
      </c>
      <c r="T42" s="14"/>
      <c r="U42" s="36"/>
      <c r="V42" s="36"/>
      <c r="W42" s="36"/>
      <c r="X42" s="35"/>
      <c r="Y42" s="35"/>
      <c r="Z42" s="35"/>
      <c r="AA42" s="35"/>
      <c r="AB42" s="35"/>
      <c r="AC42" s="35"/>
      <c r="AD42" s="35"/>
    </row>
    <row r="43" spans="2:30" ht="14.25">
      <c r="C43" s="35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66">
        <f t="shared" si="0"/>
        <v>0</v>
      </c>
      <c r="S43" s="36"/>
      <c r="T43" s="14"/>
      <c r="U43" s="36"/>
      <c r="V43" s="36"/>
      <c r="W43" s="36"/>
      <c r="X43" s="35"/>
      <c r="Y43" s="35"/>
      <c r="Z43" s="35"/>
      <c r="AA43" s="35"/>
      <c r="AB43" s="35"/>
      <c r="AC43" s="35"/>
      <c r="AD43" s="35"/>
    </row>
    <row r="44" spans="2:30" ht="14.25">
      <c r="C44" s="35" t="s">
        <v>448</v>
      </c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66">
        <f t="shared" si="0"/>
        <v>0</v>
      </c>
      <c r="S44" s="36"/>
      <c r="T44" s="14"/>
      <c r="U44" s="36"/>
      <c r="V44" s="36"/>
      <c r="W44" s="36"/>
      <c r="X44" s="35"/>
      <c r="Y44" s="35"/>
      <c r="Z44" s="35"/>
      <c r="AA44" s="35"/>
      <c r="AB44" s="35"/>
      <c r="AC44" s="35"/>
      <c r="AD44" s="35"/>
    </row>
    <row r="45" spans="2:30" ht="14.25">
      <c r="C45" s="35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66">
        <f t="shared" si="0"/>
        <v>0</v>
      </c>
      <c r="S45" s="36"/>
      <c r="T45" s="14"/>
      <c r="U45" s="36"/>
      <c r="V45" s="36"/>
      <c r="W45" s="36"/>
      <c r="X45" s="35"/>
      <c r="Y45" s="35"/>
      <c r="Z45" s="35"/>
      <c r="AA45" s="35"/>
      <c r="AB45" s="35"/>
      <c r="AC45" s="35"/>
      <c r="AD45" s="35"/>
    </row>
    <row r="46" spans="2:30" ht="14.25">
      <c r="B46">
        <v>19</v>
      </c>
      <c r="C46" s="35" t="s">
        <v>449</v>
      </c>
      <c r="D46" s="36"/>
      <c r="E46" s="14">
        <f>+SUMIF('Full BS-USD'!$M:$M,B46,'Full BS-USD'!$D:$D)</f>
        <v>600244.31000000006</v>
      </c>
      <c r="F46" s="14">
        <f>+SUMIF('Full BS-USD'!$M:$M,B46,'Full BS-USD'!$G:$G)</f>
        <v>0</v>
      </c>
      <c r="G46" s="14">
        <f>+SUMIF('Full BS-USD'!$M:$M,B46,'Full BS-USD'!$E:$E)</f>
        <v>27.32</v>
      </c>
      <c r="H46" s="14">
        <f>+SUMIF('Full BS-USD'!$M:$M,B46,'Full BS-USD'!$F:$F)</f>
        <v>1000280.62</v>
      </c>
      <c r="I46" s="14">
        <f>+SUMIF('Full BS-USD'!$M:$M,B46,'Full BS-USD'!$H:$H)</f>
        <v>0</v>
      </c>
      <c r="J46" s="14">
        <f>+SUMIF('Full BS-USD'!$M:$M,B46,'Full BS-USD'!$I:$I)</f>
        <v>0</v>
      </c>
      <c r="K46" s="14">
        <f>+SUMIF('Full BS-USD'!$M:$M,B46,'Full BS-USD'!$J:$J)</f>
        <v>40818892.369999997</v>
      </c>
      <c r="L46" s="14">
        <f>+SUMIF('Full BS-USD'!$M:$M,B46,'Full BS-USD'!$K:$K)</f>
        <v>1227</v>
      </c>
      <c r="M46" s="14">
        <f>+SUMIF('Full BS-USD'!$M:$M,B46,'Full BS-USD'!$B:$B)</f>
        <v>0</v>
      </c>
      <c r="N46" s="14">
        <f>+SUMIF('Full BS-USD'!$M:$M,B46,'Full BS-USD'!$C:$C)</f>
        <v>0</v>
      </c>
      <c r="O46" s="14"/>
      <c r="P46" s="14"/>
      <c r="Q46" s="14">
        <f>+SUMIF('Full BS-USD'!$M:$M,B46,'Full BS-USD'!$L:$L)</f>
        <v>42420671.619999997</v>
      </c>
      <c r="R46" s="66">
        <f t="shared" si="0"/>
        <v>0</v>
      </c>
      <c r="S46" s="178">
        <f>+'Change in Equity'!L26</f>
        <v>42141.364000000001</v>
      </c>
      <c r="T46" s="56">
        <f>+S46-'Change in Equity'!L26</f>
        <v>0</v>
      </c>
      <c r="U46" s="36"/>
      <c r="V46" s="36"/>
      <c r="W46" s="36"/>
      <c r="X46" s="35"/>
      <c r="Y46" s="35"/>
      <c r="Z46" s="35"/>
      <c r="AA46" s="35"/>
      <c r="AB46" s="35"/>
      <c r="AC46" s="35"/>
      <c r="AD46" s="35"/>
    </row>
    <row r="47" spans="2:30" ht="14.25">
      <c r="B47">
        <v>20</v>
      </c>
      <c r="C47" s="35" t="s">
        <v>450</v>
      </c>
      <c r="D47" s="36"/>
      <c r="E47" s="14">
        <f>+SUMIF('Full BS-USD'!$M:$M,B47,'Full BS-USD'!$D:$D)</f>
        <v>0</v>
      </c>
      <c r="F47" s="14">
        <f>+SUMIF('Full BS-USD'!$M:$M,B47,'Full BS-USD'!$G:$G)</f>
        <v>0</v>
      </c>
      <c r="G47" s="14">
        <f>+SUMIF('Full BS-USD'!$M:$M,B47,'Full BS-USD'!$E:$E)</f>
        <v>0</v>
      </c>
      <c r="H47" s="14">
        <f>+SUMIF('Full BS-USD'!$M:$M,B47,'Full BS-USD'!$F:$F)</f>
        <v>0</v>
      </c>
      <c r="I47" s="14">
        <f>+SUMIF('Full BS-USD'!$M:$M,B47,'Full BS-USD'!$H:$H)</f>
        <v>0</v>
      </c>
      <c r="J47" s="14">
        <f>+SUMIF('Full BS-USD'!$M:$M,B47,'Full BS-USD'!$I:$I)</f>
        <v>0</v>
      </c>
      <c r="K47" s="14">
        <f>+SUMIF('Full BS-USD'!$M:$M,B47,'Full BS-USD'!$J:$J)</f>
        <v>0</v>
      </c>
      <c r="L47" s="14">
        <f>+SUMIF('Full BS-USD'!$M:$M,B47,'Full BS-USD'!$K:$K)</f>
        <v>0</v>
      </c>
      <c r="M47" s="14">
        <f>+SUMIF('Full BS-USD'!$M:$M,B47,'Full BS-USD'!$B:$B)</f>
        <v>0</v>
      </c>
      <c r="N47" s="14">
        <f>+SUMIF('Full BS-USD'!$M:$M,B47,'Full BS-USD'!$C:$C)</f>
        <v>0</v>
      </c>
      <c r="O47" s="14"/>
      <c r="P47" s="14"/>
      <c r="Q47" s="14">
        <f>+SUMIF('Full BS-USD'!$M:$M,B47,'Full BS-USD'!$L:$L)</f>
        <v>0</v>
      </c>
      <c r="R47" s="66">
        <f t="shared" si="0"/>
        <v>0</v>
      </c>
      <c r="S47" s="178">
        <f>+ROUND((Q47/1000),0)</f>
        <v>0</v>
      </c>
      <c r="T47" s="14"/>
      <c r="U47" s="36"/>
      <c r="V47" s="36"/>
      <c r="W47" s="36"/>
      <c r="X47" s="35"/>
      <c r="Y47" s="35"/>
      <c r="Z47" s="35"/>
      <c r="AA47" s="35"/>
      <c r="AB47" s="35"/>
      <c r="AC47" s="35"/>
      <c r="AD47" s="35"/>
    </row>
    <row r="48" spans="2:30" ht="14.25">
      <c r="B48">
        <v>22</v>
      </c>
      <c r="C48" s="35" t="s">
        <v>548</v>
      </c>
      <c r="D48" s="36"/>
      <c r="E48" s="14">
        <f>+SUMIF('Full BS-USD'!$M:$M,B48,'Full BS-USD'!$D:$D)</f>
        <v>0</v>
      </c>
      <c r="F48" s="14">
        <f>+SUMIF('Full BS-USD'!$M:$M,B48,'Full BS-USD'!$G:$G)</f>
        <v>1600000</v>
      </c>
      <c r="G48" s="14">
        <f>+SUMIF('Full BS-USD'!$M:$M,B48,'Full BS-USD'!$E:$E)</f>
        <v>0</v>
      </c>
      <c r="H48" s="14">
        <f>+SUMIF('Full BS-USD'!$M:$M,B48,'Full BS-USD'!$F:$F)</f>
        <v>0</v>
      </c>
      <c r="I48" s="14">
        <f>+SUMIF('Full BS-USD'!$M:$M,B48,'Full BS-USD'!$H:$H)</f>
        <v>0</v>
      </c>
      <c r="J48" s="14">
        <f>+SUMIF('Full BS-USD'!$M:$M,B48,'Full BS-USD'!$I:$I)</f>
        <v>0</v>
      </c>
      <c r="K48" s="14">
        <f>+SUMIF('Full BS-USD'!$M:$M,B48,'Full BS-USD'!$J:$J)</f>
        <v>0</v>
      </c>
      <c r="L48" s="14">
        <f>+SUMIF('Full BS-USD'!$M:$M,B48,'Full BS-USD'!$K:$K)</f>
        <v>0</v>
      </c>
      <c r="M48" s="14">
        <f>+SUMIF('Full BS-USD'!$M:$M,B48,'Full BS-USD'!$B:$B)</f>
        <v>-1818.35</v>
      </c>
      <c r="N48" s="14">
        <f>+SUMIF('Full BS-USD'!$M:$M,B48,'Full BS-USD'!$C:$C)</f>
        <v>-1600000</v>
      </c>
      <c r="O48" s="14"/>
      <c r="P48" s="14"/>
      <c r="Q48" s="14">
        <f>+SUMIF('Full BS-USD'!$M:$M,B48,'Full BS-USD'!$L:$L)</f>
        <v>-1818.3500000000931</v>
      </c>
      <c r="R48" s="66">
        <f t="shared" si="0"/>
        <v>0</v>
      </c>
      <c r="S48" s="178"/>
      <c r="T48" s="14"/>
      <c r="U48" s="36"/>
      <c r="V48" s="36"/>
      <c r="W48" s="36"/>
      <c r="X48" s="35"/>
      <c r="Y48" s="35"/>
      <c r="Z48" s="35"/>
      <c r="AA48" s="35"/>
      <c r="AB48" s="35"/>
      <c r="AC48" s="35"/>
      <c r="AD48" s="35"/>
    </row>
    <row r="49" spans="2:30" ht="14.25">
      <c r="B49">
        <v>21</v>
      </c>
      <c r="C49" s="35" t="s">
        <v>451</v>
      </c>
      <c r="D49" s="36"/>
      <c r="E49" s="17">
        <f>+SUMIF('Full BS-USD'!$M:$M,B49,'Full BS-USD'!$D:$D)</f>
        <v>-537281.85</v>
      </c>
      <c r="F49" s="17">
        <f>+SUMIF('Full BS-USD'!$M:$M,B49,'Full BS-USD'!$G:$G)</f>
        <v>-445171.81000000006</v>
      </c>
      <c r="G49" s="17">
        <f>+SUMIF('Full BS-USD'!$M:$M,B49,'Full BS-USD'!$E:$E)</f>
        <v>-261098.45</v>
      </c>
      <c r="H49" s="17">
        <f>+SUMIF('Full BS-USD'!$M:$M,B49,'Full BS-USD'!$F:$F)</f>
        <v>-960577.54999999993</v>
      </c>
      <c r="I49" s="17">
        <f>+SUMIF('Full BS-USD'!$M:$M,B49,'Full BS-USD'!$H:$H)</f>
        <v>515858.7899999998</v>
      </c>
      <c r="J49" s="17">
        <f>+SUMIF('Full BS-USD'!$M:$M,B49,'Full BS-USD'!$I:$I)</f>
        <v>688580.5399999998</v>
      </c>
      <c r="K49" s="17">
        <f>+SUMIF('Full BS-USD'!$M:$M,B49,'Full BS-USD'!$J:$J)</f>
        <v>-27999923.760000002</v>
      </c>
      <c r="L49" s="17">
        <f>+SUMIF('Full BS-USD'!$M:$M,B49,'Full BS-USD'!$K:$K)</f>
        <v>345392.73999999976</v>
      </c>
      <c r="M49" s="17">
        <f>+SUMIF('Full BS-USD'!$M:$M,B49,'Full BS-USD'!$B:$B)</f>
        <v>1.1641532182693481E-10</v>
      </c>
      <c r="N49" s="17">
        <f>+SUMIF('Full BS-USD'!$M:$M,B49,'Full BS-USD'!$C:$C)</f>
        <v>0</v>
      </c>
      <c r="O49" s="19"/>
      <c r="P49" s="14"/>
      <c r="Q49" s="17">
        <f>+SUMIF('Full BS-USD'!$M:$M,B49,'Full BS-USD'!$L:$L)</f>
        <v>-28654221.350000005</v>
      </c>
      <c r="R49" s="66">
        <f t="shared" si="0"/>
        <v>0</v>
      </c>
      <c r="S49" s="107">
        <f>+ROUND((Q49/1000),0)+ROUND(Q46/1000,0)-S46</f>
        <v>-28374.364000000001</v>
      </c>
      <c r="T49" s="14"/>
      <c r="U49" s="36"/>
      <c r="V49" s="36"/>
      <c r="W49" s="36"/>
      <c r="X49" s="35"/>
      <c r="Y49" s="35"/>
      <c r="Z49" s="35"/>
      <c r="AA49" s="35"/>
      <c r="AB49" s="35"/>
      <c r="AC49" s="35"/>
      <c r="AD49" s="35"/>
    </row>
    <row r="50" spans="2:30" ht="14.25">
      <c r="C50" s="35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66">
        <f t="shared" si="0"/>
        <v>0</v>
      </c>
      <c r="S50" s="36"/>
      <c r="T50" s="14"/>
      <c r="U50" s="36"/>
      <c r="V50" s="36"/>
      <c r="W50" s="36"/>
      <c r="X50" s="35"/>
      <c r="Y50" s="35"/>
      <c r="Z50" s="35"/>
      <c r="AA50" s="35"/>
      <c r="AB50" s="35"/>
      <c r="AC50" s="35"/>
      <c r="AD50" s="35"/>
    </row>
    <row r="51" spans="2:30" ht="15">
      <c r="C51" s="91" t="s">
        <v>452</v>
      </c>
      <c r="D51" s="36"/>
      <c r="E51" s="89">
        <f>+SUM(E46:E49)</f>
        <v>62962.460000000079</v>
      </c>
      <c r="F51" s="89">
        <f>+SUM(F46:F49)</f>
        <v>1154828.19</v>
      </c>
      <c r="G51" s="89">
        <f t="shared" ref="G51:Q51" si="8">+SUM(G46:G49)</f>
        <v>-261071.13</v>
      </c>
      <c r="H51" s="89">
        <f t="shared" si="8"/>
        <v>39703.070000000065</v>
      </c>
      <c r="I51" s="89">
        <f t="shared" si="8"/>
        <v>515858.7899999998</v>
      </c>
      <c r="J51" s="89">
        <f t="shared" si="8"/>
        <v>688580.5399999998</v>
      </c>
      <c r="K51" s="89">
        <f t="shared" si="8"/>
        <v>12818968.609999996</v>
      </c>
      <c r="L51" s="89">
        <f t="shared" si="8"/>
        <v>346619.73999999976</v>
      </c>
      <c r="M51" s="89">
        <f t="shared" si="8"/>
        <v>-1818.3499999998835</v>
      </c>
      <c r="N51" s="89">
        <f t="shared" ref="N51" si="9">+SUM(N46:N49)</f>
        <v>-1600000</v>
      </c>
      <c r="O51" s="89"/>
      <c r="P51" s="15"/>
      <c r="Q51" s="89">
        <f t="shared" si="8"/>
        <v>13764631.919999991</v>
      </c>
      <c r="R51" s="66">
        <f t="shared" si="0"/>
        <v>0</v>
      </c>
      <c r="S51" s="89">
        <f>+SUM(S46:S49)</f>
        <v>13767</v>
      </c>
      <c r="T51" s="14"/>
      <c r="U51" s="36"/>
      <c r="V51" s="36"/>
      <c r="W51" s="36"/>
      <c r="X51" s="35"/>
      <c r="Y51" s="35"/>
      <c r="Z51" s="35"/>
      <c r="AA51" s="35"/>
      <c r="AB51" s="35"/>
      <c r="AC51" s="35"/>
      <c r="AD51" s="35"/>
    </row>
    <row r="52" spans="2:30" ht="14.25">
      <c r="C52" s="35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66">
        <f t="shared" si="0"/>
        <v>0</v>
      </c>
      <c r="S52" s="36"/>
      <c r="T52" s="14"/>
      <c r="U52" s="36"/>
      <c r="V52" s="36"/>
      <c r="W52" s="36"/>
      <c r="X52" s="35"/>
      <c r="Y52" s="35"/>
      <c r="Z52" s="35"/>
      <c r="AA52" s="35"/>
      <c r="AB52" s="35"/>
      <c r="AC52" s="35"/>
      <c r="AD52" s="35"/>
    </row>
    <row r="53" spans="2:30" ht="15" thickBot="1">
      <c r="C53" s="91" t="s">
        <v>453</v>
      </c>
      <c r="D53" s="36"/>
      <c r="E53" s="90">
        <f t="shared" ref="E53:M53" si="10">+E51+E42+E37</f>
        <v>63282.840000000077</v>
      </c>
      <c r="F53" s="90">
        <f>+F51+F42+F37</f>
        <v>1184732.1199999999</v>
      </c>
      <c r="G53" s="90">
        <f>+G51+G42+G37</f>
        <v>513.07999999998253</v>
      </c>
      <c r="H53" s="90">
        <f t="shared" si="10"/>
        <v>48561.190000000061</v>
      </c>
      <c r="I53" s="90">
        <f t="shared" si="10"/>
        <v>2675808.09</v>
      </c>
      <c r="J53" s="90">
        <f t="shared" si="10"/>
        <v>1041284.5599999998</v>
      </c>
      <c r="K53" s="90">
        <f t="shared" si="10"/>
        <v>17317647.529999994</v>
      </c>
      <c r="L53" s="90">
        <f t="shared" si="10"/>
        <v>1807563.4899999998</v>
      </c>
      <c r="M53" s="90">
        <f t="shared" si="10"/>
        <v>-9052701.5399999991</v>
      </c>
      <c r="N53" s="90">
        <f t="shared" ref="N53" si="11">+N51+N42+N37</f>
        <v>8338.7800000000279</v>
      </c>
      <c r="O53" s="128"/>
      <c r="P53" s="36"/>
      <c r="Q53" s="90">
        <f>+Q51+Q42+Q37</f>
        <v>15095030.139999991</v>
      </c>
      <c r="R53" s="66">
        <f t="shared" si="0"/>
        <v>0</v>
      </c>
      <c r="S53" s="90">
        <f>+S51+S42+S37</f>
        <v>15096</v>
      </c>
      <c r="T53" s="14"/>
      <c r="U53" s="36"/>
      <c r="V53" s="36"/>
      <c r="W53" s="36"/>
      <c r="X53" s="35"/>
      <c r="Y53" s="35"/>
      <c r="Z53" s="35"/>
      <c r="AA53" s="35"/>
      <c r="AB53" s="35"/>
      <c r="AC53" s="35"/>
      <c r="AD53" s="35"/>
    </row>
    <row r="54" spans="2:30" ht="15" thickTop="1">
      <c r="C54" s="35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66"/>
      <c r="S54" s="36"/>
      <c r="T54" s="14"/>
      <c r="U54" s="36"/>
      <c r="V54" s="36"/>
      <c r="W54" s="36"/>
      <c r="X54" s="35"/>
      <c r="Y54" s="35"/>
      <c r="Z54" s="35"/>
      <c r="AA54" s="35"/>
      <c r="AB54" s="35"/>
      <c r="AC54" s="35"/>
      <c r="AD54" s="35"/>
    </row>
    <row r="55" spans="2:30" ht="14.25">
      <c r="C55" s="93" t="s">
        <v>571</v>
      </c>
      <c r="D55" s="36"/>
      <c r="E55" s="92">
        <f t="shared" ref="E55:L55" si="12">+E53-E27</f>
        <v>8.0035533756017685E-11</v>
      </c>
      <c r="F55" s="92">
        <f>+F53-F27</f>
        <v>0</v>
      </c>
      <c r="G55" s="92">
        <f t="shared" si="12"/>
        <v>-1.7507773009128869E-11</v>
      </c>
      <c r="H55" s="92">
        <f t="shared" si="12"/>
        <v>5.8207660913467407E-11</v>
      </c>
      <c r="I55" s="92">
        <f>+I53-I27</f>
        <v>0</v>
      </c>
      <c r="J55" s="92">
        <f t="shared" si="12"/>
        <v>0</v>
      </c>
      <c r="K55" s="92">
        <f t="shared" si="12"/>
        <v>0</v>
      </c>
      <c r="L55" s="92">
        <f t="shared" si="12"/>
        <v>0</v>
      </c>
      <c r="M55" s="92">
        <f>+M53-M27</f>
        <v>0</v>
      </c>
      <c r="N55" s="92">
        <f>+N53-N27</f>
        <v>2.9103830456733704E-11</v>
      </c>
      <c r="O55" s="92"/>
      <c r="P55" s="92"/>
      <c r="Q55" s="92">
        <f>+Q53-Q27</f>
        <v>0</v>
      </c>
      <c r="R55" s="92"/>
      <c r="S55" s="92">
        <f>+S53-S27</f>
        <v>0</v>
      </c>
      <c r="T55" s="14"/>
      <c r="U55" s="36"/>
      <c r="V55" s="36"/>
      <c r="W55" s="36"/>
      <c r="X55" s="35"/>
      <c r="Y55" s="35"/>
      <c r="Z55" s="35"/>
      <c r="AA55" s="35"/>
      <c r="AB55" s="35"/>
      <c r="AC55" s="35"/>
      <c r="AD55" s="35"/>
    </row>
    <row r="56" spans="2:30" ht="14.25">
      <c r="C56" s="35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66"/>
      <c r="S56" s="14"/>
      <c r="T56" s="14"/>
      <c r="U56" s="36"/>
      <c r="V56" s="36"/>
      <c r="W56" s="36"/>
      <c r="X56" s="35"/>
      <c r="Y56" s="35"/>
      <c r="Z56" s="35"/>
      <c r="AA56" s="35"/>
      <c r="AB56" s="35"/>
      <c r="AC56" s="35"/>
      <c r="AD56" s="35"/>
    </row>
    <row r="57" spans="2:30" ht="14.25">
      <c r="C57" s="35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14"/>
      <c r="U57" s="36"/>
      <c r="V57" s="36"/>
      <c r="W57" s="36"/>
      <c r="X57" s="35"/>
      <c r="Y57" s="35"/>
      <c r="Z57" s="35"/>
      <c r="AA57" s="35"/>
      <c r="AB57" s="35"/>
      <c r="AC57" s="35"/>
      <c r="AD57" s="35"/>
    </row>
    <row r="58" spans="2:30" ht="14.25">
      <c r="C58" s="35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14"/>
      <c r="U58" s="36"/>
      <c r="V58" s="36"/>
      <c r="W58" s="36"/>
      <c r="X58" s="35"/>
      <c r="Y58" s="35"/>
      <c r="Z58" s="35"/>
      <c r="AA58" s="35"/>
      <c r="AB58" s="35"/>
      <c r="AC58" s="35"/>
      <c r="AD58" s="35"/>
    </row>
    <row r="59" spans="2:30" ht="14.25">
      <c r="C59" s="35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14"/>
      <c r="U59" s="36"/>
      <c r="V59" s="36"/>
      <c r="W59" s="36"/>
      <c r="X59" s="35"/>
      <c r="Y59" s="35"/>
      <c r="Z59" s="35"/>
      <c r="AA59" s="35"/>
      <c r="AB59" s="35"/>
      <c r="AC59" s="35"/>
      <c r="AD59" s="35"/>
    </row>
    <row r="60" spans="2:30" ht="14.25">
      <c r="C60" s="35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14"/>
      <c r="U60" s="36"/>
      <c r="V60" s="36"/>
      <c r="W60" s="36"/>
      <c r="X60" s="35"/>
      <c r="Y60" s="35"/>
      <c r="Z60" s="35"/>
      <c r="AA60" s="35"/>
      <c r="AB60" s="35"/>
      <c r="AC60" s="35"/>
      <c r="AD60" s="35"/>
    </row>
    <row r="61" spans="2:30" ht="14.25">
      <c r="C61" s="35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14"/>
      <c r="U61" s="36"/>
      <c r="V61" s="36"/>
      <c r="W61" s="36"/>
      <c r="X61" s="35"/>
      <c r="Y61" s="35"/>
      <c r="Z61" s="35"/>
      <c r="AA61" s="35"/>
      <c r="AB61" s="35"/>
      <c r="AC61" s="35"/>
      <c r="AD61" s="35"/>
    </row>
    <row r="62" spans="2:30" ht="14.25"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14"/>
      <c r="U62" s="35"/>
      <c r="V62" s="35"/>
      <c r="W62" s="35"/>
      <c r="X62" s="35"/>
      <c r="Y62" s="35"/>
      <c r="Z62" s="35"/>
      <c r="AA62" s="35"/>
      <c r="AB62" s="35"/>
      <c r="AC62" s="35"/>
      <c r="AD62" s="35"/>
    </row>
    <row r="63" spans="2:30" ht="14.25"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14"/>
      <c r="U63" s="35"/>
      <c r="V63" s="35"/>
      <c r="W63" s="35"/>
      <c r="X63" s="35"/>
      <c r="Y63" s="35"/>
      <c r="Z63" s="35"/>
      <c r="AA63" s="35"/>
      <c r="AB63" s="35"/>
      <c r="AC63" s="35"/>
      <c r="AD63" s="35"/>
    </row>
    <row r="64" spans="2:30" ht="14.25"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14"/>
      <c r="U64" s="35"/>
      <c r="V64" s="35"/>
      <c r="W64" s="35"/>
      <c r="X64" s="35"/>
      <c r="Y64" s="35"/>
      <c r="Z64" s="35"/>
      <c r="AA64" s="35"/>
      <c r="AB64" s="35"/>
      <c r="AC64" s="35"/>
      <c r="AD64" s="35"/>
    </row>
    <row r="65" spans="3:30" ht="12.75"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</row>
    <row r="66" spans="3:30" ht="12.75"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</row>
    <row r="67" spans="3:30" ht="12.75"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</row>
    <row r="68" spans="3:30" ht="12.75"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</row>
    <row r="69" spans="3:30" ht="12.75"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</row>
    <row r="70" spans="3:30" ht="12.75"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</row>
    <row r="71" spans="3:30" ht="12.75"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CCCFF"/>
  </sheetPr>
  <dimension ref="A1:W465"/>
  <sheetViews>
    <sheetView workbookViewId="0">
      <selection activeCell="F13" sqref="A1:XFD1048576"/>
    </sheetView>
  </sheetViews>
  <sheetFormatPr defaultColWidth="8.6640625" defaultRowHeight="14.25"/>
  <cols>
    <col min="2" max="2" width="6" bestFit="1" customWidth="1"/>
    <col min="3" max="3" width="45.6640625" style="8" bestFit="1" customWidth="1"/>
    <col min="5" max="5" width="11.5" style="12" bestFit="1" customWidth="1"/>
    <col min="6" max="6" width="11" customWidth="1"/>
    <col min="7" max="8" width="13.5" customWidth="1"/>
    <col min="9" max="9" width="15.6640625" bestFit="1" customWidth="1"/>
    <col min="10" max="12" width="13.6640625" bestFit="1" customWidth="1"/>
    <col min="13" max="13" width="13.6640625" customWidth="1"/>
    <col min="14" max="15" width="15" bestFit="1" customWidth="1"/>
    <col min="16" max="17" width="10.1640625" bestFit="1" customWidth="1"/>
    <col min="18" max="18" width="15" bestFit="1" customWidth="1"/>
  </cols>
  <sheetData>
    <row r="1" spans="1:23" ht="18">
      <c r="C1" s="11" t="s">
        <v>456</v>
      </c>
      <c r="E1"/>
    </row>
    <row r="2" spans="1:23" ht="15">
      <c r="C2" s="9" t="s">
        <v>457</v>
      </c>
      <c r="E2"/>
    </row>
    <row r="3" spans="1:23">
      <c r="E3"/>
    </row>
    <row r="4" spans="1:23">
      <c r="E4"/>
    </row>
    <row r="5" spans="1:23">
      <c r="B5" t="s">
        <v>226</v>
      </c>
      <c r="E5" s="34" t="s">
        <v>230</v>
      </c>
      <c r="F5" s="34" t="s">
        <v>235</v>
      </c>
      <c r="G5" s="34" t="s">
        <v>231</v>
      </c>
      <c r="H5" s="34" t="s">
        <v>821</v>
      </c>
      <c r="I5" s="34" t="s">
        <v>232</v>
      </c>
      <c r="J5" s="34" t="s">
        <v>820</v>
      </c>
      <c r="K5" s="34" t="s">
        <v>233</v>
      </c>
      <c r="L5" s="34" t="s">
        <v>234</v>
      </c>
      <c r="M5" s="39"/>
      <c r="N5" s="34" t="s">
        <v>12</v>
      </c>
    </row>
    <row r="6" spans="1:23" ht="15.75" thickBot="1">
      <c r="E6" s="33">
        <f>+'P&amp;L ILS'!$E$6</f>
        <v>2023</v>
      </c>
      <c r="F6" s="33">
        <f>+'P&amp;L ILS'!$E$6</f>
        <v>2023</v>
      </c>
      <c r="G6" s="33">
        <f>+'P&amp;L ILS'!$E$6</f>
        <v>2023</v>
      </c>
      <c r="H6" s="33">
        <f>+'P&amp;L ILS'!$E$6</f>
        <v>2023</v>
      </c>
      <c r="I6" s="33">
        <f>+'P&amp;L ILS'!$E$6</f>
        <v>2023</v>
      </c>
      <c r="J6" s="33">
        <f>+'P&amp;L ILS'!$E$6</f>
        <v>2023</v>
      </c>
      <c r="K6" s="33">
        <f>+'P&amp;L ILS'!$E$6</f>
        <v>2023</v>
      </c>
      <c r="L6" s="33">
        <f>+'P&amp;L ILS'!$E$6</f>
        <v>2023</v>
      </c>
      <c r="M6" s="40"/>
      <c r="N6" s="33">
        <f>+'P&amp;L ILS'!$E$6</f>
        <v>2023</v>
      </c>
      <c r="O6" s="14"/>
      <c r="P6" s="55" t="s">
        <v>500</v>
      </c>
      <c r="R6" s="15" t="s">
        <v>505</v>
      </c>
      <c r="S6" s="14"/>
      <c r="T6" s="14"/>
      <c r="U6" s="14"/>
      <c r="V6" s="14"/>
      <c r="W6" s="14"/>
    </row>
    <row r="7" spans="1:23" ht="15">
      <c r="E7" s="13"/>
      <c r="F7" s="13"/>
      <c r="G7" s="13"/>
      <c r="H7" s="13"/>
      <c r="I7" s="13"/>
      <c r="J7" s="13"/>
      <c r="K7" s="13"/>
      <c r="L7" s="13"/>
      <c r="M7" s="41"/>
      <c r="N7" s="13"/>
      <c r="O7" s="14"/>
      <c r="P7" s="13"/>
      <c r="Q7" s="14"/>
      <c r="R7" s="14"/>
      <c r="S7" s="14"/>
      <c r="T7" s="14"/>
      <c r="U7" s="14"/>
      <c r="V7" s="14"/>
      <c r="W7" s="14"/>
    </row>
    <row r="8" spans="1:23" ht="15">
      <c r="B8">
        <v>1</v>
      </c>
      <c r="C8" s="9" t="s">
        <v>225</v>
      </c>
      <c r="E8" s="14">
        <f>+SUMIF('Full P&amp;L-USD'!$K:$K,B8,'Full P&amp;L-USD'!$B:$B)</f>
        <v>0</v>
      </c>
      <c r="F8" s="14">
        <f>+SUMIF('Full P&amp;L-USD'!$K:$K,B8,'Full P&amp;L-USD'!$C:$C)</f>
        <v>0</v>
      </c>
      <c r="G8" s="14">
        <f>+SUMIF('Full P&amp;L-USD'!$K:$K,B8,'Full P&amp;L-USD'!$D:$D)</f>
        <v>0</v>
      </c>
      <c r="H8" s="14">
        <f>+SUMIF('Full P&amp;L-USD'!$K:$K,B8,'Full P&amp;L-USD'!$E:$E)</f>
        <v>0</v>
      </c>
      <c r="I8" s="14">
        <f>+SUMIF('Full P&amp;L-USD'!$K:$K,B8,'Full P&amp;L-USD'!$F:$F)</f>
        <v>0</v>
      </c>
      <c r="J8" s="14">
        <f>+SUMIF('Full P&amp;L-USD'!$K:$K,B8,'Full P&amp;L-USD'!$G:$G)</f>
        <v>0</v>
      </c>
      <c r="K8" s="14">
        <f>+SUMIF('Full P&amp;L-USD'!$K:$K,B8,'Full P&amp;L-USD'!$H:$H)</f>
        <v>9466029.3099999987</v>
      </c>
      <c r="L8" s="14">
        <f>+SUMIF('Full P&amp;L-USD'!$K:$K,B8,'Full P&amp;L-USD'!$I:$I)</f>
        <v>0</v>
      </c>
      <c r="M8" s="19"/>
      <c r="N8" s="14">
        <f>+SUMIF('Full P&amp;L-USD'!$K:$K,B8,'Full P&amp;L-USD'!$J:$J)</f>
        <v>9466029.3099999987</v>
      </c>
      <c r="O8" s="56">
        <f t="shared" ref="O8:O31" si="0">+N8-SUM(E8:L8)</f>
        <v>0</v>
      </c>
      <c r="P8" s="14">
        <f>+ROUND(N8/1000,0)</f>
        <v>9466</v>
      </c>
      <c r="Q8" s="14"/>
      <c r="R8" s="14">
        <f>+'NOTES-Conso'!B50</f>
        <v>9</v>
      </c>
      <c r="S8" s="14"/>
      <c r="T8" s="14"/>
      <c r="U8" s="14"/>
      <c r="V8" s="14"/>
      <c r="W8" s="14"/>
    </row>
    <row r="9" spans="1:23" ht="15">
      <c r="C9" s="9"/>
      <c r="E9" s="14"/>
      <c r="F9" s="14"/>
      <c r="G9" s="14"/>
      <c r="H9" s="14"/>
      <c r="I9" s="14"/>
      <c r="J9" s="14"/>
      <c r="K9" s="14"/>
      <c r="L9" s="14"/>
      <c r="M9" s="19"/>
      <c r="N9" s="14"/>
      <c r="O9" s="56">
        <f t="shared" si="0"/>
        <v>0</v>
      </c>
      <c r="P9" s="14"/>
      <c r="Q9" s="14"/>
      <c r="R9" s="14"/>
      <c r="S9" s="14"/>
      <c r="T9" s="14"/>
      <c r="U9" s="14"/>
      <c r="V9" s="14"/>
      <c r="W9" s="14"/>
    </row>
    <row r="10" spans="1:23" ht="15">
      <c r="B10">
        <v>2</v>
      </c>
      <c r="C10" s="9" t="s">
        <v>227</v>
      </c>
      <c r="E10" s="17">
        <f>+SUMIF('Full P&amp;L-USD'!$K:$K,B10,'Full P&amp;L-USD'!$B:$B)</f>
        <v>0</v>
      </c>
      <c r="F10" s="17">
        <f>+SUMIF('Full P&amp;L-USD'!$K:$K,B10,'Full P&amp;L-USD'!$C:$C)</f>
        <v>0</v>
      </c>
      <c r="G10" s="17">
        <f>+SUMIF('Full P&amp;L-USD'!$K:$K,B10,'Full P&amp;L-USD'!$D:$D)</f>
        <v>0</v>
      </c>
      <c r="H10" s="17">
        <f>+SUMIF('Full P&amp;L-USD'!$K:$K,B10,'Full P&amp;L-USD'!$E:$E)</f>
        <v>-71276.44</v>
      </c>
      <c r="I10" s="17">
        <f>+SUMIF('Full P&amp;L-USD'!$K:$K,B10,'Full P&amp;L-USD'!$F:$F)</f>
        <v>-20466.029999999995</v>
      </c>
      <c r="J10" s="17">
        <f>+SUMIF('Full P&amp;L-USD'!$K:$K,B10,'Full P&amp;L-USD'!$G:$G)</f>
        <v>-27322.1</v>
      </c>
      <c r="K10" s="17">
        <f>+SUMIF('Full P&amp;L-USD'!$K:$K,B10,'Full P&amp;L-USD'!$H:$H)</f>
        <v>-2824601.4</v>
      </c>
      <c r="L10" s="17">
        <f>+SUMIF('Full P&amp;L-USD'!$K:$K,B10,'Full P&amp;L-USD'!$I:$I)</f>
        <v>-133042.18</v>
      </c>
      <c r="M10" s="19"/>
      <c r="N10" s="17">
        <f>+SUMIF('Full P&amp;L-USD'!$K:$K,B10,'Full P&amp;L-USD'!$J:$J)</f>
        <v>-3076708.15</v>
      </c>
      <c r="O10" s="56">
        <f>+N10-SUM(E10:L10)</f>
        <v>0</v>
      </c>
      <c r="P10" s="14">
        <f>+ROUND(N10/1000,0)</f>
        <v>-3077</v>
      </c>
      <c r="Q10" s="14"/>
      <c r="R10" s="14">
        <f>+'NOTES-Conso'!B59</f>
        <v>10</v>
      </c>
      <c r="S10" s="14"/>
      <c r="T10" s="14"/>
      <c r="U10" s="14"/>
      <c r="V10" s="14"/>
      <c r="W10" s="14"/>
    </row>
    <row r="11" spans="1:23" ht="15">
      <c r="C11" s="9"/>
      <c r="E11" s="14"/>
      <c r="F11" s="14"/>
      <c r="G11" s="14"/>
      <c r="H11" s="14"/>
      <c r="I11" s="14"/>
      <c r="J11" s="14"/>
      <c r="K11" s="14"/>
      <c r="L11" s="14"/>
      <c r="M11" s="19"/>
      <c r="N11" s="14"/>
      <c r="O11" s="56">
        <f t="shared" si="0"/>
        <v>0</v>
      </c>
      <c r="P11" s="14"/>
      <c r="Q11" s="14"/>
      <c r="R11" s="14"/>
      <c r="S11" s="14"/>
      <c r="T11" s="14"/>
      <c r="U11" s="14"/>
      <c r="V11" s="14"/>
      <c r="W11" s="14"/>
    </row>
    <row r="12" spans="1:23" ht="15">
      <c r="B12">
        <v>3</v>
      </c>
      <c r="C12" s="9" t="s">
        <v>228</v>
      </c>
      <c r="E12" s="15">
        <f t="shared" ref="E12:L12" si="1">+E8+E10</f>
        <v>0</v>
      </c>
      <c r="F12" s="15">
        <f t="shared" si="1"/>
        <v>0</v>
      </c>
      <c r="G12" s="15">
        <f t="shared" si="1"/>
        <v>0</v>
      </c>
      <c r="H12" s="15">
        <f t="shared" ref="H12" si="2">+H8+H10</f>
        <v>-71276.44</v>
      </c>
      <c r="I12" s="15">
        <f t="shared" si="1"/>
        <v>-20466.029999999995</v>
      </c>
      <c r="J12" s="15">
        <f t="shared" si="1"/>
        <v>-27322.1</v>
      </c>
      <c r="K12" s="15">
        <f t="shared" si="1"/>
        <v>6641427.9099999983</v>
      </c>
      <c r="L12" s="15">
        <f t="shared" si="1"/>
        <v>-133042.18</v>
      </c>
      <c r="M12" s="18"/>
      <c r="N12" s="15">
        <f>+N8+N10</f>
        <v>6389321.1599999983</v>
      </c>
      <c r="O12" s="56">
        <f t="shared" si="0"/>
        <v>0</v>
      </c>
      <c r="P12" s="15">
        <f>+P8+P10</f>
        <v>6389</v>
      </c>
      <c r="Q12" s="14"/>
      <c r="R12" s="14"/>
      <c r="S12" s="14"/>
      <c r="T12" s="14"/>
      <c r="U12" s="14"/>
      <c r="V12" s="14"/>
      <c r="W12" s="14"/>
    </row>
    <row r="13" spans="1:23">
      <c r="A13" s="86"/>
      <c r="E13" s="14"/>
      <c r="F13" s="14"/>
      <c r="G13" s="14"/>
      <c r="H13" s="14"/>
      <c r="I13" s="14"/>
      <c r="J13" s="14"/>
      <c r="K13" s="14"/>
      <c r="L13" s="14"/>
      <c r="M13" s="19"/>
      <c r="N13" s="14"/>
      <c r="O13" s="56">
        <f t="shared" si="0"/>
        <v>0</v>
      </c>
      <c r="P13" s="14"/>
      <c r="Q13" s="14"/>
      <c r="R13" s="14"/>
      <c r="S13" s="14"/>
      <c r="T13" s="14"/>
      <c r="U13" s="14"/>
      <c r="V13" s="14"/>
      <c r="W13" s="14"/>
    </row>
    <row r="14" spans="1:23" ht="15">
      <c r="A14" s="86"/>
      <c r="C14" s="9" t="s">
        <v>236</v>
      </c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56">
        <f t="shared" si="0"/>
        <v>0</v>
      </c>
      <c r="P14" s="18"/>
      <c r="Q14" s="14"/>
      <c r="R14" s="14"/>
      <c r="S14" s="14"/>
      <c r="T14" s="14"/>
      <c r="U14" s="14"/>
      <c r="V14" s="14"/>
      <c r="W14" s="14"/>
    </row>
    <row r="15" spans="1:23" ht="15">
      <c r="A15" s="86" t="s">
        <v>150</v>
      </c>
      <c r="B15">
        <v>4.0999999999999996</v>
      </c>
      <c r="C15" s="9" t="s">
        <v>96</v>
      </c>
      <c r="E15" s="19">
        <f>+SUMIF('Full P&amp;L-USD'!$K:$K,B15,'Full P&amp;L-USD'!$B:$B)</f>
        <v>0</v>
      </c>
      <c r="F15" s="19">
        <f>+SUMIF('Full P&amp;L-USD'!$K:$K,B15,'Full P&amp;L-USD'!$C:$C)</f>
        <v>0</v>
      </c>
      <c r="G15" s="19">
        <f>+SUMIF('Full P&amp;L-USD'!$K:$K,B15,'Full P&amp;L-USD'!$D:$D)</f>
        <v>0</v>
      </c>
      <c r="H15" s="14">
        <f>+SUMIF('Full P&amp;L-USD'!$K:$K,B15,'Full P&amp;L-USD'!$E:$E)+'Full P&amp;L-USD'!E222</f>
        <v>8957.16</v>
      </c>
      <c r="I15" s="19">
        <f>+SUMIF('Full P&amp;L-USD'!$K:$K,B15,'Full P&amp;L-USD'!$F:$F)+'Full P&amp;L-USD'!F222</f>
        <v>1513589.7500000002</v>
      </c>
      <c r="J15" s="19">
        <f>+SUMIF('Full P&amp;L-USD'!$K:$K,B15,'Full P&amp;L-USD'!$G:$G)+'Full P&amp;L-USD'!G222</f>
        <v>528752.55999999994</v>
      </c>
      <c r="K15" s="19">
        <f>+SUMIF('Full P&amp;L-USD'!$K:$K,B15,'Full P&amp;L-USD'!$H:$H)+'Full P&amp;L-USD'!H222</f>
        <v>2699383.29</v>
      </c>
      <c r="L15" s="19">
        <f>+SUMIF('Full P&amp;L-USD'!$K:$K,B15,'Full P&amp;L-USD'!$I:$I)+'Full P&amp;L-USD'!I222</f>
        <v>789404.87000000011</v>
      </c>
      <c r="M15" s="19"/>
      <c r="N15" s="19">
        <f>+'Full P&amp;L-USD'!J405+'Full P&amp;L-USD'!J222</f>
        <v>5540087.6299999999</v>
      </c>
      <c r="O15" s="56">
        <f>+N15-SUM(E15:L15)</f>
        <v>0</v>
      </c>
      <c r="P15" s="14">
        <f>+ROUND(N15/1000,0)</f>
        <v>5540</v>
      </c>
      <c r="Q15" s="14"/>
      <c r="R15" s="14"/>
      <c r="S15" s="14"/>
      <c r="T15" s="14"/>
      <c r="U15" s="14"/>
      <c r="V15" s="14"/>
      <c r="W15" s="14"/>
    </row>
    <row r="16" spans="1:23" ht="15">
      <c r="A16" s="86" t="s">
        <v>174</v>
      </c>
      <c r="B16">
        <v>4.2</v>
      </c>
      <c r="C16" s="9" t="s">
        <v>151</v>
      </c>
      <c r="E16" s="14">
        <f>+SUMIF('Full P&amp;L-USD'!$K:$K,B16,'Full P&amp;L-USD'!$B:$B)</f>
        <v>0</v>
      </c>
      <c r="F16" s="14">
        <f>+SUMIF('Full P&amp;L-USD'!$K:$K,B16,'Full P&amp;L-USD'!$C:$C)</f>
        <v>0</v>
      </c>
      <c r="G16" s="14">
        <f>+SUMIF('Full P&amp;L-USD'!$K:$K,B16,'Full P&amp;L-USD'!$D:$D)</f>
        <v>0</v>
      </c>
      <c r="H16" s="14">
        <f>+SUMIF('Full P&amp;L-USD'!$K:$K,B16,'Full P&amp;L-USD'!$E:$E)</f>
        <v>281115.73</v>
      </c>
      <c r="I16" s="14">
        <f>+SUMIF('Full P&amp;L-USD'!$K:$K,B16,'Full P&amp;L-USD'!$F:$F)</f>
        <v>1391589.74</v>
      </c>
      <c r="J16" s="14">
        <f>+SUMIF('Full P&amp;L-USD'!$K:$K,B16,'Full P&amp;L-USD'!$G:$G)</f>
        <v>825110.41</v>
      </c>
      <c r="K16" s="14">
        <f>+SUMIF('Full P&amp;L-USD'!$K:$K,B16,'Full P&amp;L-USD'!$H:$H)</f>
        <v>1892920.4900000002</v>
      </c>
      <c r="L16" s="14">
        <f>+SUMIF('Full P&amp;L-USD'!$K:$K,B16,'Full P&amp;L-USD'!$I:$I)</f>
        <v>365308.15999999997</v>
      </c>
      <c r="M16" s="19"/>
      <c r="N16" s="19">
        <f>+'Full P&amp;L-USD'!J581</f>
        <v>4756044.5300000012</v>
      </c>
      <c r="O16" s="56">
        <f>+N16-SUM(E16:L16)</f>
        <v>0</v>
      </c>
      <c r="P16" s="14">
        <f>+ROUND(N16/1000,0)</f>
        <v>4756</v>
      </c>
      <c r="Q16" s="14"/>
      <c r="R16" s="14"/>
      <c r="S16" s="14"/>
      <c r="T16" s="14"/>
      <c r="U16" s="14"/>
      <c r="V16" s="14"/>
      <c r="W16" s="14"/>
    </row>
    <row r="17" spans="1:23" ht="15">
      <c r="A17" s="86" t="s">
        <v>198</v>
      </c>
      <c r="B17">
        <v>4.3</v>
      </c>
      <c r="C17" s="9" t="s">
        <v>175</v>
      </c>
      <c r="E17" s="17">
        <f>+SUMIF('Full P&amp;L-USD'!$K:$K,B17,'Full P&amp;L-USD'!$B:$B)</f>
        <v>0</v>
      </c>
      <c r="F17" s="17">
        <f>+SUMIF('Full P&amp;L-USD'!$K:$K,B17,'Full P&amp;L-USD'!$C:$C)</f>
        <v>0</v>
      </c>
      <c r="G17" s="17">
        <f>+SUMIF('Full P&amp;L-USD'!$K:$K,B17,'Full P&amp;L-USD'!$D:$D)</f>
        <v>0</v>
      </c>
      <c r="H17" s="17">
        <f>+SUMIF('Full P&amp;L-USD'!$K:$K,B17,'Full P&amp;L-USD'!$E:$E)</f>
        <v>128130.87000000001</v>
      </c>
      <c r="I17" s="17">
        <f>+SUMIF('Full P&amp;L-USD'!$K:$K,B17,'Full P&amp;L-USD'!$F:$F)</f>
        <v>1113905.1199999999</v>
      </c>
      <c r="J17" s="17">
        <f>+SUMIF('Full P&amp;L-USD'!$K:$K,B17,'Full P&amp;L-USD'!$G:$G)</f>
        <v>741036.54999999993</v>
      </c>
      <c r="K17" s="17">
        <f>+SUMIF('Full P&amp;L-USD'!$K:$K,B17,'Full P&amp;L-USD'!$H:$H)</f>
        <v>1411783.63</v>
      </c>
      <c r="L17" s="17">
        <f>+SUMIF('Full P&amp;L-USD'!$K:$K,B17,'Full P&amp;L-USD'!$I:$I)</f>
        <v>129771.13000000002</v>
      </c>
      <c r="M17" s="19"/>
      <c r="N17" s="17">
        <f>+'Full P&amp;L-USD'!J942</f>
        <v>3524627.3000000003</v>
      </c>
      <c r="O17" s="56">
        <f>+N17-SUM(E17:L17)+'Full P&amp;L-USD'!J798</f>
        <v>4.6566128730773926E-10</v>
      </c>
      <c r="P17" s="17">
        <f>+ROUND(N17/1000,0)</f>
        <v>3525</v>
      </c>
      <c r="Q17" s="14"/>
      <c r="R17" s="14"/>
      <c r="S17" s="14"/>
      <c r="T17" s="14"/>
      <c r="U17" s="14"/>
      <c r="V17" s="14"/>
      <c r="W17" s="14"/>
    </row>
    <row r="18" spans="1:23" ht="15">
      <c r="A18" s="86"/>
      <c r="C18" s="9"/>
      <c r="E18" s="14"/>
      <c r="F18" s="14"/>
      <c r="G18" s="14"/>
      <c r="H18" s="14"/>
      <c r="I18" s="14"/>
      <c r="J18" s="14"/>
      <c r="K18" s="14"/>
      <c r="L18" s="14"/>
      <c r="M18" s="19"/>
      <c r="N18" s="14"/>
      <c r="O18" s="56">
        <f t="shared" si="0"/>
        <v>0</v>
      </c>
      <c r="P18" s="14"/>
      <c r="Q18" s="14"/>
      <c r="R18" s="14"/>
      <c r="S18" s="14"/>
      <c r="T18" s="14"/>
      <c r="U18" s="14"/>
      <c r="V18" s="14"/>
      <c r="W18" s="14"/>
    </row>
    <row r="19" spans="1:23" ht="15">
      <c r="A19" s="86" t="s">
        <v>199</v>
      </c>
      <c r="B19">
        <v>4</v>
      </c>
      <c r="C19" s="9" t="s">
        <v>569</v>
      </c>
      <c r="E19" s="16">
        <f>+SUM(E15:E17)</f>
        <v>0</v>
      </c>
      <c r="F19" s="16">
        <f t="shared" ref="F19:K19" si="3">+SUM(F15:F17)</f>
        <v>0</v>
      </c>
      <c r="G19" s="16">
        <f t="shared" si="3"/>
        <v>0</v>
      </c>
      <c r="H19" s="16">
        <f t="shared" ref="H19" si="4">+SUM(H15:H17)</f>
        <v>418203.75999999995</v>
      </c>
      <c r="I19" s="16">
        <f t="shared" si="3"/>
        <v>4019084.6100000003</v>
      </c>
      <c r="J19" s="16">
        <f t="shared" si="3"/>
        <v>2094899.52</v>
      </c>
      <c r="K19" s="16">
        <f t="shared" si="3"/>
        <v>6004087.4100000001</v>
      </c>
      <c r="L19" s="16">
        <f>+SUM(L15:L17)</f>
        <v>1284484.1600000001</v>
      </c>
      <c r="M19" s="18"/>
      <c r="N19" s="16">
        <f>+SUM(N15:N17)</f>
        <v>13820759.460000001</v>
      </c>
      <c r="O19" s="56">
        <f>+N19-SUM(E19:L19)</f>
        <v>0</v>
      </c>
      <c r="P19" s="16">
        <f>+SUM(P15:P17)</f>
        <v>13821</v>
      </c>
      <c r="Q19" s="14"/>
      <c r="R19" s="14"/>
      <c r="S19" s="14"/>
      <c r="T19" s="14"/>
      <c r="U19" s="14"/>
      <c r="V19" s="14"/>
      <c r="W19" s="14"/>
    </row>
    <row r="20" spans="1:23">
      <c r="E20" s="14"/>
      <c r="F20" s="14"/>
      <c r="G20" s="14"/>
      <c r="H20" s="14"/>
      <c r="I20" s="14"/>
      <c r="J20" s="14"/>
      <c r="K20" s="14"/>
      <c r="L20" s="14"/>
      <c r="M20" s="19"/>
      <c r="N20" s="14"/>
      <c r="O20" s="56">
        <f t="shared" si="0"/>
        <v>0</v>
      </c>
      <c r="P20" s="14"/>
      <c r="Q20" s="14"/>
      <c r="R20" s="14"/>
      <c r="S20" s="14"/>
      <c r="T20" s="14"/>
      <c r="U20" s="14"/>
      <c r="V20" s="14"/>
      <c r="W20" s="14"/>
    </row>
    <row r="21" spans="1:23" ht="15.75" thickBot="1">
      <c r="C21" s="9" t="s">
        <v>503</v>
      </c>
      <c r="E21" s="57">
        <f>+E12-E19</f>
        <v>0</v>
      </c>
      <c r="F21" s="57">
        <f t="shared" ref="F21:N21" si="5">+F12-F19</f>
        <v>0</v>
      </c>
      <c r="G21" s="57">
        <f t="shared" si="5"/>
        <v>0</v>
      </c>
      <c r="H21" s="57">
        <f t="shared" ref="H21" si="6">+H12-H19</f>
        <v>-489480.19999999995</v>
      </c>
      <c r="I21" s="57">
        <f t="shared" si="5"/>
        <v>-4039550.64</v>
      </c>
      <c r="J21" s="57">
        <f t="shared" si="5"/>
        <v>-2122221.62</v>
      </c>
      <c r="K21" s="57">
        <f t="shared" si="5"/>
        <v>637340.49999999814</v>
      </c>
      <c r="L21" s="57">
        <f t="shared" si="5"/>
        <v>-1417526.34</v>
      </c>
      <c r="M21" s="19"/>
      <c r="N21" s="57">
        <f t="shared" si="5"/>
        <v>-7431438.3000000026</v>
      </c>
      <c r="O21" s="56"/>
      <c r="P21" s="57">
        <f>+P12-P19</f>
        <v>-7432</v>
      </c>
      <c r="Q21" s="14"/>
      <c r="R21" s="14"/>
      <c r="S21" s="14"/>
      <c r="T21" s="14"/>
      <c r="U21" s="14"/>
      <c r="V21" s="14"/>
      <c r="W21" s="14"/>
    </row>
    <row r="22" spans="1:23">
      <c r="E22" s="14"/>
      <c r="F22" s="14"/>
      <c r="G22" s="14"/>
      <c r="H22" s="14"/>
      <c r="I22" s="14"/>
      <c r="J22" s="14"/>
      <c r="K22" s="14"/>
      <c r="L22" s="14"/>
      <c r="M22" s="19"/>
      <c r="N22" s="14"/>
      <c r="O22" s="56"/>
      <c r="P22" s="14"/>
      <c r="Q22" s="14"/>
      <c r="R22" s="14"/>
      <c r="S22" s="14"/>
      <c r="T22" s="14"/>
      <c r="U22" s="14"/>
      <c r="V22" s="14"/>
      <c r="W22" s="14"/>
    </row>
    <row r="23" spans="1:23" ht="15">
      <c r="B23">
        <v>5</v>
      </c>
      <c r="C23" s="9" t="s">
        <v>200</v>
      </c>
      <c r="E23" s="15">
        <f>+E12-E19</f>
        <v>0</v>
      </c>
      <c r="F23" s="15">
        <f t="shared" ref="F23:L23" si="7">+F12-F19</f>
        <v>0</v>
      </c>
      <c r="G23" s="15">
        <f t="shared" si="7"/>
        <v>0</v>
      </c>
      <c r="H23" s="15">
        <f t="shared" ref="H23" si="8">+H12-H19</f>
        <v>-489480.19999999995</v>
      </c>
      <c r="I23" s="15">
        <f t="shared" si="7"/>
        <v>-4039550.64</v>
      </c>
      <c r="J23" s="15">
        <f t="shared" si="7"/>
        <v>-2122221.62</v>
      </c>
      <c r="K23" s="15">
        <f t="shared" si="7"/>
        <v>637340.49999999814</v>
      </c>
      <c r="L23" s="15">
        <f t="shared" si="7"/>
        <v>-1417526.34</v>
      </c>
      <c r="M23" s="18"/>
      <c r="N23" s="15">
        <f>+N12-N19</f>
        <v>-7431438.3000000026</v>
      </c>
      <c r="O23" s="56">
        <f t="shared" si="0"/>
        <v>0</v>
      </c>
      <c r="P23" s="15">
        <f>+P12-P19</f>
        <v>-7432</v>
      </c>
      <c r="Q23" s="14"/>
      <c r="R23" s="14"/>
      <c r="S23" s="14"/>
      <c r="T23" s="14"/>
      <c r="U23" s="14"/>
      <c r="V23" s="14"/>
      <c r="W23" s="14"/>
    </row>
    <row r="24" spans="1:23">
      <c r="E24" s="14"/>
      <c r="F24" s="14"/>
      <c r="G24" s="14"/>
      <c r="H24" s="14"/>
      <c r="I24" s="14"/>
      <c r="J24" s="14"/>
      <c r="K24" s="14"/>
      <c r="L24" s="14"/>
      <c r="M24" s="19"/>
      <c r="N24" s="14"/>
      <c r="O24" s="56">
        <f t="shared" si="0"/>
        <v>0</v>
      </c>
      <c r="P24" s="14"/>
      <c r="Q24" s="14"/>
      <c r="R24" s="14"/>
      <c r="S24" s="14"/>
      <c r="T24" s="14"/>
      <c r="U24" s="14"/>
      <c r="V24" s="14"/>
      <c r="W24" s="14"/>
    </row>
    <row r="25" spans="1:23">
      <c r="B25">
        <v>6</v>
      </c>
      <c r="C25" s="8" t="s">
        <v>504</v>
      </c>
      <c r="E25" s="17">
        <f>+SUMIF('Full P&amp;L-USD'!$K:$K,B25,'Full P&amp;L-USD'!$B:$B)</f>
        <v>5.1499999999999986</v>
      </c>
      <c r="F25" s="17">
        <f>+SUMIF('Full P&amp;L-USD'!$K:$K,B25,'Full P&amp;L-USD'!$C:$C)</f>
        <v>9.56</v>
      </c>
      <c r="G25" s="17">
        <f>+SUMIF('Full P&amp;L-USD'!$K:$K,B25,'Full P&amp;L-USD'!$D:$D)</f>
        <v>-429.42999999999995</v>
      </c>
      <c r="H25" s="17">
        <f>+SUMIF('Full P&amp;L-USD'!$K:$K,B25,'Full P&amp;L-USD'!$E:$E)</f>
        <v>44408.39</v>
      </c>
      <c r="I25" s="17">
        <f>+SUMIF('Full P&amp;L-USD'!$K:$K,B25,'Full P&amp;L-USD'!$F:$F)</f>
        <v>12561.619999999997</v>
      </c>
      <c r="J25" s="17">
        <f>+SUMIF('Full P&amp;L-USD'!$K:$K,B25,'Full P&amp;L-USD'!$G:$G)</f>
        <v>-625.1099999999999</v>
      </c>
      <c r="K25" s="17">
        <f>+SUMIF('Full P&amp;L-USD'!$K:$K,B25,'Full P&amp;L-USD'!$H:$H)</f>
        <v>509470.73000000004</v>
      </c>
      <c r="L25" s="17">
        <f>+SUMIF('Full P&amp;L-USD'!$K:$K,B25,'Full P&amp;L-USD'!$I:$I)</f>
        <v>13097.9</v>
      </c>
      <c r="M25" s="19"/>
      <c r="N25" s="17">
        <f>+SUMIF('Full P&amp;L-USD'!$K:$K,B25,'Full P&amp;L-USD'!$J:$J)</f>
        <v>578498.81000000006</v>
      </c>
      <c r="O25" s="56">
        <f t="shared" si="0"/>
        <v>0</v>
      </c>
      <c r="P25" s="17">
        <f>+ROUND(N25/1000,0)</f>
        <v>578</v>
      </c>
      <c r="R25" s="14">
        <f>+'NOTES-Conso'!B67</f>
        <v>11</v>
      </c>
      <c r="S25" s="14"/>
      <c r="T25" s="14"/>
      <c r="U25" s="14"/>
      <c r="V25" s="14"/>
      <c r="W25" s="14"/>
    </row>
    <row r="26" spans="1:23" ht="15">
      <c r="C26" s="9"/>
      <c r="E26" s="14"/>
      <c r="F26" s="14"/>
      <c r="G26" s="14"/>
      <c r="H26" s="14"/>
      <c r="I26" s="14"/>
      <c r="J26" s="14"/>
      <c r="K26" s="14"/>
      <c r="L26" s="14"/>
      <c r="M26" s="19"/>
      <c r="N26" s="14"/>
      <c r="O26" s="56">
        <f t="shared" si="0"/>
        <v>0</v>
      </c>
      <c r="P26" s="14"/>
      <c r="Q26" s="14"/>
      <c r="R26" s="14"/>
      <c r="S26" s="14"/>
      <c r="T26" s="14"/>
      <c r="U26" s="14"/>
      <c r="V26" s="14"/>
      <c r="W26" s="14"/>
    </row>
    <row r="27" spans="1:23" ht="15">
      <c r="B27">
        <v>7</v>
      </c>
      <c r="C27" s="9" t="s">
        <v>237</v>
      </c>
      <c r="E27" s="15">
        <f>+E25+E23</f>
        <v>5.1499999999999986</v>
      </c>
      <c r="F27" s="15">
        <f t="shared" ref="F27:P27" si="9">+F25+F23</f>
        <v>9.56</v>
      </c>
      <c r="G27" s="15">
        <f t="shared" si="9"/>
        <v>-429.42999999999995</v>
      </c>
      <c r="H27" s="15">
        <f t="shared" ref="H27" si="10">+H25+H23</f>
        <v>-445071.80999999994</v>
      </c>
      <c r="I27" s="15">
        <f t="shared" si="9"/>
        <v>-4026989.02</v>
      </c>
      <c r="J27" s="15">
        <f t="shared" si="9"/>
        <v>-2122846.73</v>
      </c>
      <c r="K27" s="15">
        <f t="shared" si="9"/>
        <v>1146811.2299999981</v>
      </c>
      <c r="L27" s="15">
        <f t="shared" si="9"/>
        <v>-1404428.4400000002</v>
      </c>
      <c r="M27" s="18"/>
      <c r="N27" s="15">
        <f t="shared" si="9"/>
        <v>-6852939.4900000021</v>
      </c>
      <c r="O27" s="56">
        <f t="shared" si="0"/>
        <v>0</v>
      </c>
      <c r="P27" s="15">
        <f t="shared" si="9"/>
        <v>-6854</v>
      </c>
      <c r="Q27" s="14"/>
      <c r="R27" s="14"/>
      <c r="S27" s="14"/>
      <c r="T27" s="14"/>
      <c r="U27" s="14"/>
      <c r="V27" s="14"/>
      <c r="W27" s="14"/>
    </row>
    <row r="28" spans="1:23"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56">
        <f t="shared" si="0"/>
        <v>0</v>
      </c>
      <c r="P28" s="19"/>
      <c r="Q28" s="14"/>
      <c r="R28" s="14"/>
      <c r="S28" s="14"/>
      <c r="T28" s="14"/>
      <c r="U28" s="14"/>
      <c r="V28" s="14"/>
      <c r="W28" s="14"/>
    </row>
    <row r="29" spans="1:23">
      <c r="B29">
        <v>8</v>
      </c>
      <c r="C29" s="8" t="s">
        <v>220</v>
      </c>
      <c r="E29" s="17">
        <f>+SUMIF('Full P&amp;L-USD'!$K:$K,B29,'Full P&amp;L-USD'!$B:$B)</f>
        <v>0</v>
      </c>
      <c r="F29" s="17">
        <f>+SUMIF('Full P&amp;L-USD'!$K:$K,B29,'Full P&amp;L-USD'!$C:$C)</f>
        <v>0</v>
      </c>
      <c r="G29" s="17">
        <f>+SUMIF('Full P&amp;L-USD'!$K:$K,B29,'Full P&amp;L-USD'!$D:$D)</f>
        <v>0</v>
      </c>
      <c r="H29" s="17">
        <f>+SUMIF('Full P&amp;L-USD'!$K:$K,B29,'Full P&amp;L-USD'!$E:$E)</f>
        <v>-100</v>
      </c>
      <c r="I29" s="17">
        <f>+SUMIF('Full P&amp;L-USD'!$K:$K,B29,'Full P&amp;L-USD'!$F:$F)</f>
        <v>-72806.3</v>
      </c>
      <c r="J29" s="17">
        <f>+SUMIF('Full P&amp;L-USD'!$K:$K,B29,'Full P&amp;L-USD'!$G:$G)</f>
        <v>-47086.07</v>
      </c>
      <c r="K29" s="17">
        <f>+SUMIF('Full P&amp;L-USD'!$K:$K,B29,'Full P&amp;L-USD'!$H:$H)</f>
        <v>200</v>
      </c>
      <c r="L29" s="17">
        <f>+SUMIF('Full P&amp;L-USD'!$K:$K,B29,'Full P&amp;L-USD'!$I:$I)</f>
        <v>59189.74</v>
      </c>
      <c r="M29" s="19"/>
      <c r="N29" s="17">
        <f>+SUMIF('Full P&amp;L-USD'!$K:$K,B29,'Full P&amp;L-USD'!$J:$J)</f>
        <v>-60602.62999999999</v>
      </c>
      <c r="O29" s="56">
        <f t="shared" si="0"/>
        <v>0</v>
      </c>
      <c r="P29" s="17">
        <f>+ROUND(N29/1000,0)</f>
        <v>-61</v>
      </c>
      <c r="Q29" s="14"/>
      <c r="R29" s="14"/>
      <c r="S29" s="14"/>
      <c r="T29" s="14"/>
      <c r="U29" s="14"/>
      <c r="V29" s="14"/>
      <c r="W29" s="14"/>
    </row>
    <row r="30" spans="1:23">
      <c r="E30" s="14"/>
      <c r="F30" s="14"/>
      <c r="G30" s="14"/>
      <c r="H30" s="14"/>
      <c r="I30" s="14"/>
      <c r="J30" s="14"/>
      <c r="K30" s="14"/>
      <c r="L30" s="14"/>
      <c r="M30" s="19"/>
      <c r="N30" s="14"/>
      <c r="O30" s="56">
        <f t="shared" si="0"/>
        <v>0</v>
      </c>
      <c r="P30" s="14"/>
      <c r="Q30" s="14"/>
      <c r="R30" s="14"/>
      <c r="S30" s="14"/>
      <c r="T30" s="14"/>
      <c r="U30" s="14"/>
      <c r="V30" s="14"/>
      <c r="W30" s="14"/>
    </row>
    <row r="31" spans="1:23" ht="15">
      <c r="C31" s="8" t="s">
        <v>238</v>
      </c>
      <c r="E31" s="15">
        <f>+E27+E29</f>
        <v>5.1499999999999986</v>
      </c>
      <c r="F31" s="15">
        <f t="shared" ref="F31:N31" si="11">+F27+F29</f>
        <v>9.56</v>
      </c>
      <c r="G31" s="15">
        <f t="shared" si="11"/>
        <v>-429.42999999999995</v>
      </c>
      <c r="H31" s="382">
        <f t="shared" ref="H31" si="12">+H27+H29</f>
        <v>-445171.80999999994</v>
      </c>
      <c r="I31" s="382">
        <f t="shared" si="11"/>
        <v>-4099795.32</v>
      </c>
      <c r="J31" s="382">
        <f t="shared" si="11"/>
        <v>-2169932.7999999998</v>
      </c>
      <c r="K31" s="382">
        <f t="shared" si="11"/>
        <v>1147011.2299999981</v>
      </c>
      <c r="L31" s="382">
        <f t="shared" si="11"/>
        <v>-1345238.7000000002</v>
      </c>
      <c r="M31" s="18"/>
      <c r="N31" s="15">
        <f t="shared" si="11"/>
        <v>-6913542.120000002</v>
      </c>
      <c r="O31" s="56">
        <f t="shared" si="0"/>
        <v>0</v>
      </c>
      <c r="P31" s="15">
        <f>+P27+P29</f>
        <v>-6915</v>
      </c>
      <c r="Q31" s="14"/>
      <c r="R31" s="14"/>
      <c r="S31" s="14"/>
      <c r="T31" s="14"/>
      <c r="U31" s="14"/>
      <c r="V31" s="14"/>
      <c r="W31" s="14"/>
    </row>
    <row r="32" spans="1:23" ht="15">
      <c r="E32" s="14"/>
      <c r="F32" s="14"/>
      <c r="G32" s="14"/>
      <c r="H32" s="14"/>
      <c r="I32" s="14"/>
      <c r="J32" s="14"/>
      <c r="K32" s="14"/>
      <c r="L32" s="14"/>
      <c r="M32" s="19"/>
      <c r="N32" s="14"/>
      <c r="O32" s="14"/>
      <c r="P32" s="13"/>
      <c r="Q32" s="14"/>
      <c r="R32" s="14"/>
      <c r="S32" s="14"/>
      <c r="T32" s="14"/>
      <c r="U32" s="14"/>
      <c r="V32" s="14"/>
      <c r="W32" s="14"/>
    </row>
    <row r="33" spans="5:23">
      <c r="E33" s="14"/>
      <c r="F33" s="14"/>
      <c r="G33" s="14"/>
      <c r="H33" s="14"/>
      <c r="I33" s="14"/>
      <c r="J33" s="14"/>
      <c r="K33" s="14"/>
      <c r="L33" s="14"/>
      <c r="M33" s="19"/>
      <c r="N33" s="14"/>
      <c r="O33" s="14"/>
      <c r="P33" s="14"/>
      <c r="Q33" s="14"/>
      <c r="R33" s="14"/>
      <c r="S33" s="14"/>
      <c r="T33" s="14"/>
      <c r="U33" s="14"/>
      <c r="V33" s="14"/>
      <c r="W33" s="14"/>
    </row>
    <row r="34" spans="5:23">
      <c r="E34" s="14"/>
      <c r="F34" s="14"/>
      <c r="G34" s="14"/>
      <c r="H34" s="14"/>
      <c r="I34" s="14"/>
      <c r="J34" s="14"/>
      <c r="K34" s="14"/>
      <c r="L34" s="14"/>
      <c r="M34" s="19"/>
      <c r="N34" s="14"/>
      <c r="O34" s="14"/>
      <c r="P34" s="14"/>
      <c r="Q34" s="14"/>
      <c r="R34" s="14"/>
      <c r="S34" s="14"/>
      <c r="T34" s="14"/>
      <c r="U34" s="14"/>
      <c r="V34" s="14"/>
      <c r="W34" s="14"/>
    </row>
    <row r="35" spans="5:23">
      <c r="E35" s="14"/>
      <c r="F35" s="14"/>
      <c r="G35" s="14"/>
      <c r="H35" s="14"/>
      <c r="I35" s="14"/>
      <c r="J35" s="14"/>
      <c r="K35" s="14"/>
      <c r="L35" s="14"/>
      <c r="M35" s="19"/>
      <c r="N35" s="14"/>
      <c r="O35" s="14"/>
      <c r="P35" s="14"/>
      <c r="Q35" s="14"/>
      <c r="R35" s="14"/>
      <c r="S35" s="14"/>
      <c r="T35" s="14"/>
      <c r="U35" s="14"/>
      <c r="V35" s="14"/>
      <c r="W35" s="14"/>
    </row>
    <row r="36" spans="5:23">
      <c r="E36" s="14"/>
      <c r="F36" s="14"/>
      <c r="G36" s="14"/>
      <c r="H36" s="14"/>
      <c r="I36" s="14"/>
      <c r="J36" s="14"/>
      <c r="K36" s="14"/>
      <c r="L36" s="14"/>
      <c r="M36" s="19"/>
      <c r="N36" s="14"/>
      <c r="O36" s="14"/>
      <c r="P36" s="14"/>
      <c r="Q36" s="14"/>
      <c r="R36" s="14"/>
      <c r="S36" s="14"/>
      <c r="T36" s="14"/>
      <c r="U36" s="14"/>
      <c r="V36" s="14"/>
      <c r="W36" s="14"/>
    </row>
    <row r="37" spans="5:23">
      <c r="E37" s="14"/>
      <c r="F37" s="14"/>
      <c r="G37" s="14"/>
      <c r="H37" s="14"/>
      <c r="I37" s="14"/>
      <c r="J37" s="14"/>
      <c r="K37" s="14"/>
      <c r="L37" s="14"/>
      <c r="M37" s="19"/>
      <c r="N37" s="14"/>
      <c r="O37" s="14"/>
      <c r="P37" s="14"/>
      <c r="Q37" s="14"/>
      <c r="R37" s="14"/>
      <c r="S37" s="14"/>
      <c r="T37" s="14"/>
      <c r="U37" s="14"/>
      <c r="V37" s="14"/>
      <c r="W37" s="14"/>
    </row>
    <row r="38" spans="5:23"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  <row r="39" spans="5:23"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</row>
    <row r="40" spans="5:23"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</row>
    <row r="41" spans="5:23"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</row>
    <row r="42" spans="5:23"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</row>
    <row r="43" spans="5:23"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</row>
    <row r="44" spans="5:23"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</row>
    <row r="45" spans="5:23"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</row>
    <row r="46" spans="5:23"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</row>
    <row r="47" spans="5:23"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</row>
    <row r="48" spans="5:23"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</row>
    <row r="49" spans="5:23"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</row>
    <row r="50" spans="5:23"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</row>
    <row r="51" spans="5:23"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</row>
    <row r="52" spans="5:23"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</row>
    <row r="53" spans="5:23"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</row>
    <row r="54" spans="5:23"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</row>
    <row r="55" spans="5:23"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</row>
    <row r="56" spans="5:23"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</row>
    <row r="57" spans="5:23"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</row>
    <row r="58" spans="5:23"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</row>
    <row r="59" spans="5:23"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</row>
    <row r="60" spans="5:23"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</row>
    <row r="61" spans="5:23"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</row>
    <row r="62" spans="5:23"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</row>
    <row r="63" spans="5:23"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</row>
    <row r="64" spans="5:23"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</row>
    <row r="65" spans="5:23"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</row>
    <row r="66" spans="5:23"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</row>
    <row r="67" spans="5:23"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</row>
    <row r="68" spans="5:23"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</row>
    <row r="69" spans="5:23"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</row>
    <row r="70" spans="5:23"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</row>
    <row r="71" spans="5:23"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</row>
    <row r="72" spans="5:23"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</row>
    <row r="73" spans="5:23"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</row>
    <row r="74" spans="5:23"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</row>
    <row r="75" spans="5:23"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</row>
    <row r="76" spans="5:23"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</row>
    <row r="77" spans="5:23"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</row>
    <row r="78" spans="5:23"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</row>
    <row r="79" spans="5:23"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</row>
    <row r="80" spans="5:23"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</row>
    <row r="81" spans="5:23"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</row>
    <row r="82" spans="5:23"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</row>
    <row r="83" spans="5:23"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</row>
    <row r="84" spans="5:23"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</row>
    <row r="85" spans="5:23"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</row>
    <row r="86" spans="5:23"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</row>
    <row r="87" spans="5:23"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</row>
    <row r="88" spans="5:23"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</row>
    <row r="89" spans="5:23"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</row>
    <row r="90" spans="5:23"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</row>
    <row r="91" spans="5:23"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</row>
    <row r="92" spans="5:23"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</row>
    <row r="93" spans="5:23"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</row>
    <row r="94" spans="5:23"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</row>
    <row r="95" spans="5:23"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</row>
    <row r="96" spans="5:23"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</row>
    <row r="97" spans="5:23"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</row>
    <row r="98" spans="5:23"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</row>
    <row r="99" spans="5:23"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</row>
    <row r="100" spans="5:23"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</row>
    <row r="101" spans="5:23"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</row>
    <row r="102" spans="5:23"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</row>
    <row r="103" spans="5:23"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</row>
    <row r="104" spans="5:23"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</row>
    <row r="105" spans="5:23"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</row>
    <row r="106" spans="5:23"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</row>
    <row r="107" spans="5:23"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</row>
    <row r="108" spans="5:23"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</row>
    <row r="109" spans="5:23"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</row>
    <row r="110" spans="5:23"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</row>
    <row r="111" spans="5:23"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</row>
    <row r="112" spans="5:23"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</row>
    <row r="113" spans="5:23"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</row>
    <row r="114" spans="5:23"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</row>
    <row r="115" spans="5:23"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</row>
    <row r="116" spans="5:23"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</row>
    <row r="117" spans="5:23"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</row>
    <row r="118" spans="5:23"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</row>
    <row r="119" spans="5:23"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</row>
    <row r="120" spans="5:23"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</row>
    <row r="121" spans="5:23"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</row>
    <row r="122" spans="5:23"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</row>
    <row r="123" spans="5:23"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</row>
    <row r="124" spans="5:23"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</row>
    <row r="125" spans="5:23"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</row>
    <row r="126" spans="5:23"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</row>
    <row r="127" spans="5:23"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</row>
    <row r="128" spans="5:23"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</row>
    <row r="129" spans="5:23"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</row>
    <row r="130" spans="5:23"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</row>
    <row r="131" spans="5:23"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</row>
    <row r="132" spans="5:23"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</row>
    <row r="133" spans="5:23"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</row>
    <row r="134" spans="5:23"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</row>
    <row r="135" spans="5:23"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</row>
    <row r="136" spans="5:23"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</row>
    <row r="137" spans="5:23"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</row>
    <row r="138" spans="5:23"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</row>
    <row r="139" spans="5:23"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</row>
    <row r="140" spans="5:23"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</row>
    <row r="141" spans="5:23"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</row>
    <row r="142" spans="5:23"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</row>
    <row r="143" spans="5:23"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</row>
    <row r="144" spans="5:23"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</row>
    <row r="145" spans="5:23"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</row>
    <row r="146" spans="5:23"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</row>
    <row r="147" spans="5:23"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</row>
    <row r="148" spans="5:23"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</row>
    <row r="149" spans="5:23"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</row>
    <row r="150" spans="5:23"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</row>
    <row r="151" spans="5:23"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</row>
    <row r="152" spans="5:23"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</row>
    <row r="153" spans="5:23"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</row>
    <row r="154" spans="5:23"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</row>
    <row r="155" spans="5:23"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</row>
    <row r="156" spans="5:23"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</row>
    <row r="157" spans="5:23"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</row>
    <row r="158" spans="5:23"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</row>
    <row r="159" spans="5:23"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</row>
    <row r="160" spans="5:23"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</row>
    <row r="161" spans="5:23"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</row>
    <row r="162" spans="5:23"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</row>
    <row r="163" spans="5:23"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</row>
    <row r="164" spans="5:23"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</row>
    <row r="165" spans="5:23"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</row>
    <row r="166" spans="5:23"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</row>
    <row r="167" spans="5:23"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</row>
    <row r="168" spans="5:23"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</row>
    <row r="169" spans="5:23"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</row>
    <row r="170" spans="5:23"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</row>
    <row r="171" spans="5:23"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</row>
    <row r="172" spans="5:23"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</row>
    <row r="173" spans="5:23"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</row>
    <row r="174" spans="5:23"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</row>
    <row r="175" spans="5:23"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</row>
    <row r="176" spans="5:23"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</row>
    <row r="177" spans="5:23"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</row>
    <row r="178" spans="5:23"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</row>
    <row r="179" spans="5:23"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</row>
    <row r="180" spans="5:23"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</row>
    <row r="181" spans="5:23"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</row>
    <row r="182" spans="5:23"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</row>
    <row r="183" spans="5:23"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</row>
    <row r="184" spans="5:23"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</row>
    <row r="185" spans="5:23"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</row>
    <row r="186" spans="5:23"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</row>
    <row r="187" spans="5:23"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</row>
    <row r="188" spans="5:23"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</row>
    <row r="189" spans="5:23"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</row>
    <row r="190" spans="5:23"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</row>
    <row r="191" spans="5:23"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</row>
    <row r="192" spans="5:23"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</row>
    <row r="193" spans="5:23"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</row>
    <row r="194" spans="5:23"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</row>
    <row r="195" spans="5:23"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</row>
    <row r="196" spans="5:23"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</row>
    <row r="197" spans="5:23"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</row>
    <row r="198" spans="5:23"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</row>
    <row r="199" spans="5:23"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</row>
    <row r="200" spans="5:23"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</row>
    <row r="201" spans="5:23"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</row>
    <row r="202" spans="5:23"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</row>
    <row r="203" spans="5:23"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</row>
    <row r="204" spans="5:23"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</row>
    <row r="205" spans="5:23"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</row>
    <row r="206" spans="5:23"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</row>
    <row r="207" spans="5:23"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</row>
    <row r="208" spans="5:23"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</row>
    <row r="209" spans="5:23"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</row>
    <row r="210" spans="5:23"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</row>
    <row r="211" spans="5:23"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</row>
    <row r="212" spans="5:23"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</row>
    <row r="213" spans="5:23"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</row>
    <row r="214" spans="5:23"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</row>
    <row r="215" spans="5:23"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</row>
    <row r="216" spans="5:23"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</row>
    <row r="217" spans="5:23"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</row>
    <row r="218" spans="5:23"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</row>
    <row r="219" spans="5:23"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</row>
    <row r="220" spans="5:23"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</row>
    <row r="221" spans="5:23"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</row>
    <row r="222" spans="5:23"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</row>
    <row r="223" spans="5:23"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</row>
    <row r="224" spans="5:23"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</row>
    <row r="225" spans="5:23"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</row>
    <row r="226" spans="5:23"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</row>
    <row r="227" spans="5:23"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</row>
    <row r="228" spans="5:23"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</row>
    <row r="229" spans="5:23"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</row>
    <row r="230" spans="5:23"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</row>
    <row r="231" spans="5:23"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</row>
    <row r="232" spans="5:23"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</row>
    <row r="233" spans="5:23"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</row>
    <row r="234" spans="5:23"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</row>
    <row r="235" spans="5:23"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</row>
    <row r="236" spans="5:23"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</row>
    <row r="237" spans="5:23"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</row>
    <row r="238" spans="5:23"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</row>
    <row r="239" spans="5:23"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</row>
    <row r="240" spans="5:23"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</row>
    <row r="241" spans="5:23"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</row>
    <row r="242" spans="5:23"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</row>
    <row r="243" spans="5:23"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</row>
    <row r="244" spans="5:23"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</row>
    <row r="245" spans="5:23"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</row>
    <row r="246" spans="5:23"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</row>
    <row r="247" spans="5:23"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</row>
    <row r="248" spans="5:23"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</row>
    <row r="249" spans="5:23"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</row>
    <row r="250" spans="5:23"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</row>
    <row r="251" spans="5:23"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</row>
    <row r="252" spans="5:23"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</row>
    <row r="253" spans="5:23"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</row>
    <row r="254" spans="5:23"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</row>
    <row r="255" spans="5:23"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</row>
    <row r="256" spans="5:23"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</row>
    <row r="257" spans="5:23"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</row>
    <row r="258" spans="5:23"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</row>
    <row r="259" spans="5:23"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</row>
    <row r="260" spans="5:23"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</row>
    <row r="261" spans="5:23"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</row>
    <row r="262" spans="5:23"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</row>
    <row r="263" spans="5:23"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</row>
    <row r="264" spans="5:23"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</row>
    <row r="265" spans="5:23"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</row>
    <row r="266" spans="5:23"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</row>
    <row r="267" spans="5:23"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</row>
    <row r="268" spans="5:23"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</row>
    <row r="269" spans="5:23"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</row>
    <row r="270" spans="5:23"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</row>
    <row r="271" spans="5:23"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</row>
    <row r="272" spans="5:23"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</row>
    <row r="273" spans="5:23"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</row>
    <row r="274" spans="5:23"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</row>
    <row r="275" spans="5:23"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</row>
    <row r="276" spans="5:23"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</row>
    <row r="277" spans="5:23"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</row>
    <row r="278" spans="5:23"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</row>
    <row r="279" spans="5:23"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</row>
    <row r="280" spans="5:23"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</row>
    <row r="281" spans="5:23"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</row>
    <row r="282" spans="5:23"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</row>
    <row r="283" spans="5:23"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</row>
    <row r="284" spans="5:23"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</row>
    <row r="285" spans="5:23"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</row>
    <row r="286" spans="5:23"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</row>
    <row r="287" spans="5:23"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</row>
    <row r="288" spans="5:23"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</row>
    <row r="289" spans="5:23"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</row>
    <row r="290" spans="5:23"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</row>
    <row r="291" spans="5:23"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</row>
    <row r="292" spans="5:23"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</row>
    <row r="293" spans="5:23"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</row>
    <row r="294" spans="5:23"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</row>
    <row r="295" spans="5:23"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</row>
    <row r="296" spans="5:23"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</row>
    <row r="297" spans="5:23"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</row>
    <row r="298" spans="5:23"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</row>
    <row r="299" spans="5:23"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</row>
    <row r="300" spans="5:23"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</row>
    <row r="301" spans="5:23"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</row>
    <row r="302" spans="5:23"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</row>
    <row r="303" spans="5:23"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</row>
    <row r="304" spans="5:23"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</row>
    <row r="305" spans="5:23"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</row>
    <row r="306" spans="5:23"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</row>
    <row r="307" spans="5:23"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</row>
    <row r="308" spans="5:23"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</row>
    <row r="309" spans="5:23"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</row>
    <row r="310" spans="5:23"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</row>
    <row r="311" spans="5:23"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</row>
    <row r="312" spans="5:23"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</row>
    <row r="313" spans="5:23"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</row>
    <row r="314" spans="5:23"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</row>
    <row r="315" spans="5:23"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</row>
    <row r="316" spans="5:23"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</row>
    <row r="317" spans="5:23"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</row>
    <row r="318" spans="5:23"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</row>
    <row r="319" spans="5:23"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</row>
    <row r="320" spans="5:23"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</row>
    <row r="321" spans="5:23"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</row>
    <row r="322" spans="5:23"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</row>
    <row r="323" spans="5:23"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</row>
    <row r="324" spans="5:23"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</row>
    <row r="325" spans="5:23"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</row>
    <row r="326" spans="5:23"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</row>
    <row r="327" spans="5:23"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</row>
    <row r="328" spans="5:23"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</row>
    <row r="329" spans="5:23"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</row>
    <row r="330" spans="5:23"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</row>
    <row r="331" spans="5:23"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</row>
    <row r="332" spans="5:23"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</row>
    <row r="333" spans="5:23"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</row>
    <row r="334" spans="5:23"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</row>
    <row r="335" spans="5:23"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</row>
    <row r="336" spans="5:23"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</row>
    <row r="337" spans="5:23"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</row>
    <row r="338" spans="5:23"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</row>
    <row r="339" spans="5:23"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</row>
    <row r="340" spans="5:23"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</row>
    <row r="341" spans="5:23"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</row>
    <row r="342" spans="5:23"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</row>
    <row r="343" spans="5:23"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</row>
    <row r="344" spans="5:23"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</row>
    <row r="345" spans="5:23"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</row>
    <row r="346" spans="5:23"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</row>
    <row r="347" spans="5:23"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</row>
    <row r="348" spans="5:23"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</row>
    <row r="349" spans="5:23"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</row>
    <row r="350" spans="5:23"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</row>
    <row r="351" spans="5:23"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</row>
    <row r="352" spans="5:23"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</row>
    <row r="353" spans="5:23"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</row>
    <row r="354" spans="5:23"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</row>
    <row r="355" spans="5:23"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</row>
    <row r="356" spans="5:23"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</row>
    <row r="357" spans="5:23"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</row>
    <row r="358" spans="5:23"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</row>
    <row r="359" spans="5:23"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</row>
    <row r="360" spans="5:23"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</row>
    <row r="361" spans="5:23"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</row>
    <row r="362" spans="5:23"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</row>
    <row r="363" spans="5:23"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</row>
    <row r="364" spans="5:23"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</row>
    <row r="365" spans="5:23"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</row>
    <row r="366" spans="5:23"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</row>
    <row r="367" spans="5:23"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</row>
    <row r="368" spans="5:23"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</row>
    <row r="369" spans="5:23"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</row>
    <row r="370" spans="5:23"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</row>
    <row r="371" spans="5:23"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</row>
    <row r="372" spans="5:23"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</row>
    <row r="373" spans="5:23"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</row>
    <row r="374" spans="5:23"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</row>
    <row r="375" spans="5:23"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</row>
    <row r="376" spans="5:23"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</row>
    <row r="377" spans="5:23"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</row>
    <row r="378" spans="5:23"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</row>
    <row r="379" spans="5:23"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</row>
    <row r="380" spans="5:23"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</row>
    <row r="381" spans="5:23"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</row>
    <row r="382" spans="5:23"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</row>
    <row r="383" spans="5:23"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</row>
    <row r="384" spans="5:23"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</row>
    <row r="385" spans="5:23"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</row>
    <row r="386" spans="5:23"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</row>
    <row r="387" spans="5:23"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</row>
    <row r="388" spans="5:23"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</row>
    <row r="389" spans="5:23"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</row>
    <row r="390" spans="5:23"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</row>
    <row r="391" spans="5:23"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</row>
    <row r="392" spans="5:23"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</row>
    <row r="393" spans="5:23"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</row>
    <row r="394" spans="5:23"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</row>
    <row r="395" spans="5:23"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</row>
    <row r="396" spans="5:23"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</row>
    <row r="397" spans="5:23"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</row>
    <row r="398" spans="5:23"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</row>
    <row r="399" spans="5:23"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</row>
    <row r="400" spans="5:23"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</row>
    <row r="401" spans="5:23"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</row>
    <row r="402" spans="5:23"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</row>
    <row r="403" spans="5:23"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</row>
    <row r="404" spans="5:23"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</row>
    <row r="405" spans="5:23"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</row>
    <row r="406" spans="5:23"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</row>
    <row r="407" spans="5:23"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</row>
    <row r="408" spans="5:23"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</row>
    <row r="409" spans="5:23"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</row>
    <row r="410" spans="5:23"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</row>
    <row r="411" spans="5:23"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</row>
    <row r="412" spans="5:23"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</row>
    <row r="413" spans="5:23"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</row>
    <row r="414" spans="5:23"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</row>
    <row r="415" spans="5:23"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</row>
    <row r="416" spans="5:23"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</row>
    <row r="417" spans="5:23"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</row>
    <row r="418" spans="5:23"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</row>
    <row r="419" spans="5:23"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</row>
    <row r="420" spans="5:23"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</row>
    <row r="421" spans="5:23"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</row>
    <row r="422" spans="5:23"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</row>
    <row r="423" spans="5:23"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</row>
    <row r="424" spans="5:23"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</row>
    <row r="425" spans="5:23"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</row>
    <row r="426" spans="5:23"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</row>
    <row r="427" spans="5:23"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</row>
    <row r="428" spans="5:23"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</row>
    <row r="429" spans="5:23"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</row>
    <row r="430" spans="5:23"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</row>
    <row r="431" spans="5:23"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</row>
    <row r="432" spans="5:23"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</row>
    <row r="433" spans="5:23"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</row>
    <row r="434" spans="5:23"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</row>
    <row r="435" spans="5:23"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</row>
    <row r="436" spans="5:23"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</row>
    <row r="437" spans="5:23"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</row>
    <row r="438" spans="5:23"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</row>
    <row r="439" spans="5:23"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</row>
    <row r="440" spans="5:23"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</row>
    <row r="441" spans="5:23"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</row>
    <row r="442" spans="5:23"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</row>
    <row r="443" spans="5:23"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</row>
    <row r="444" spans="5:23"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</row>
    <row r="445" spans="5:23"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</row>
    <row r="446" spans="5:23"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</row>
    <row r="447" spans="5:23"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</row>
    <row r="448" spans="5:23"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</row>
    <row r="449" spans="5:23"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</row>
    <row r="450" spans="5:23"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</row>
    <row r="451" spans="5:23"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</row>
    <row r="452" spans="5:23"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</row>
    <row r="453" spans="5:23"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</row>
    <row r="454" spans="5:23"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</row>
    <row r="455" spans="5:23"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</row>
    <row r="456" spans="5:23"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</row>
    <row r="457" spans="5:23"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</row>
    <row r="458" spans="5:23"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</row>
    <row r="459" spans="5:23"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</row>
    <row r="460" spans="5:23"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</row>
    <row r="461" spans="5:23"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</row>
    <row r="462" spans="5:23"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</row>
    <row r="463" spans="5:23"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</row>
    <row r="464" spans="5:23"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</row>
    <row r="465" spans="5:23"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383BC-8F28-4156-96E8-B6462696C284}">
  <sheetPr>
    <tabColor rgb="FFCCCCFF"/>
  </sheetPr>
  <dimension ref="A4:M103"/>
  <sheetViews>
    <sheetView workbookViewId="0"/>
  </sheetViews>
  <sheetFormatPr defaultColWidth="8.6640625" defaultRowHeight="11.25"/>
  <cols>
    <col min="1" max="1" width="56.6640625" customWidth="1"/>
    <col min="2" max="2" width="14.5" bestFit="1" customWidth="1"/>
    <col min="3" max="3" width="32.6640625" customWidth="1"/>
    <col min="4" max="4" width="17.5" customWidth="1"/>
    <col min="5" max="5" width="15.1640625" customWidth="1"/>
    <col min="6" max="6" width="16" customWidth="1"/>
    <col min="7" max="7" width="15.5" bestFit="1" customWidth="1"/>
    <col min="8" max="8" width="18.1640625" bestFit="1" customWidth="1"/>
    <col min="9" max="9" width="15.1640625" bestFit="1" customWidth="1"/>
    <col min="10" max="10" width="18.6640625" bestFit="1" customWidth="1"/>
    <col min="12" max="12" width="9.5" bestFit="1" customWidth="1"/>
  </cols>
  <sheetData>
    <row r="4" spans="1:3">
      <c r="A4" s="70" t="s">
        <v>573</v>
      </c>
      <c r="B4" t="s">
        <v>574</v>
      </c>
    </row>
    <row r="5" spans="1:3" ht="13.5" thickBot="1">
      <c r="C5" s="115" t="s">
        <v>713</v>
      </c>
    </row>
    <row r="7" spans="1:3">
      <c r="C7" t="s">
        <v>575</v>
      </c>
    </row>
    <row r="9" spans="1:3">
      <c r="A9" s="70" t="s">
        <v>576</v>
      </c>
      <c r="B9" t="s">
        <v>574</v>
      </c>
      <c r="C9" s="12">
        <f>-E96</f>
        <v>-6915</v>
      </c>
    </row>
    <row r="10" spans="1:3">
      <c r="C10" s="12"/>
    </row>
    <row r="11" spans="1:3">
      <c r="A11" s="392" t="s">
        <v>577</v>
      </c>
      <c r="B11" t="s">
        <v>574</v>
      </c>
      <c r="C11" s="12"/>
    </row>
    <row r="12" spans="1:3">
      <c r="A12" s="392"/>
      <c r="C12" s="12"/>
    </row>
    <row r="13" spans="1:3">
      <c r="A13" s="117"/>
      <c r="C13" s="12"/>
    </row>
    <row r="14" spans="1:3">
      <c r="A14" t="s">
        <v>578</v>
      </c>
      <c r="B14" t="s">
        <v>574</v>
      </c>
      <c r="C14" s="12">
        <f>-E83</f>
        <v>43.220999999999997</v>
      </c>
    </row>
    <row r="15" spans="1:3">
      <c r="A15" t="s">
        <v>579</v>
      </c>
      <c r="B15" t="s">
        <v>574</v>
      </c>
      <c r="C15" s="12">
        <f>-E93</f>
        <v>292.36400000000003</v>
      </c>
    </row>
    <row r="16" spans="1:3">
      <c r="A16" t="s">
        <v>580</v>
      </c>
      <c r="C16" s="12">
        <f>-E82</f>
        <v>-4</v>
      </c>
    </row>
    <row r="17" spans="1:3">
      <c r="A17" t="s">
        <v>581</v>
      </c>
      <c r="C17" s="12">
        <f>-E89</f>
        <v>-370</v>
      </c>
    </row>
    <row r="18" spans="1:3">
      <c r="C18" s="12"/>
    </row>
    <row r="19" spans="1:3">
      <c r="A19" t="s">
        <v>582</v>
      </c>
      <c r="C19" s="12">
        <f>-E88</f>
        <v>0</v>
      </c>
    </row>
    <row r="20" spans="1:3">
      <c r="C20" s="12"/>
    </row>
    <row r="21" spans="1:3">
      <c r="A21" t="s">
        <v>583</v>
      </c>
      <c r="B21" t="s">
        <v>574</v>
      </c>
      <c r="C21" s="12"/>
    </row>
    <row r="22" spans="1:3">
      <c r="A22" t="s">
        <v>584</v>
      </c>
      <c r="B22" t="s">
        <v>574</v>
      </c>
      <c r="C22" s="12">
        <f>-E80</f>
        <v>1378</v>
      </c>
    </row>
    <row r="23" spans="1:3">
      <c r="A23" t="s">
        <v>585</v>
      </c>
      <c r="B23" t="s">
        <v>574</v>
      </c>
      <c r="C23" s="12">
        <f>-E81</f>
        <v>117</v>
      </c>
    </row>
    <row r="24" spans="1:3">
      <c r="A24" t="s">
        <v>586</v>
      </c>
      <c r="B24" t="s">
        <v>574</v>
      </c>
      <c r="C24" s="12">
        <f>-E84</f>
        <v>-35</v>
      </c>
    </row>
    <row r="25" spans="1:3">
      <c r="A25" t="s">
        <v>446</v>
      </c>
      <c r="B25" t="s">
        <v>574</v>
      </c>
      <c r="C25" s="12">
        <f>-E85</f>
        <v>326</v>
      </c>
    </row>
    <row r="26" spans="1:3">
      <c r="A26" t="s">
        <v>587</v>
      </c>
      <c r="C26" s="12">
        <f>-E86</f>
        <v>0</v>
      </c>
    </row>
    <row r="27" spans="1:3">
      <c r="B27" t="s">
        <v>574</v>
      </c>
      <c r="C27" s="12"/>
    </row>
    <row r="28" spans="1:3">
      <c r="A28" s="70" t="s">
        <v>588</v>
      </c>
      <c r="B28" t="s">
        <v>574</v>
      </c>
      <c r="C28" s="118">
        <f>SUM(C9:C27)</f>
        <v>-5167.4150000000009</v>
      </c>
    </row>
    <row r="29" spans="1:3">
      <c r="B29" t="s">
        <v>574</v>
      </c>
      <c r="C29" s="12"/>
    </row>
    <row r="30" spans="1:3">
      <c r="A30" s="70" t="s">
        <v>589</v>
      </c>
      <c r="B30" t="s">
        <v>574</v>
      </c>
      <c r="C30" s="12"/>
    </row>
    <row r="31" spans="1:3">
      <c r="B31" t="s">
        <v>574</v>
      </c>
      <c r="C31" s="12"/>
    </row>
    <row r="32" spans="1:3">
      <c r="A32" t="s">
        <v>590</v>
      </c>
      <c r="C32" s="12">
        <f>-F79-284</f>
        <v>2553</v>
      </c>
    </row>
    <row r="33" spans="1:3">
      <c r="A33" t="s">
        <v>591</v>
      </c>
      <c r="B33" t="s">
        <v>574</v>
      </c>
      <c r="C33" s="12">
        <f>-F83</f>
        <v>-41.220999999999997</v>
      </c>
    </row>
    <row r="34" spans="1:3">
      <c r="B34" t="s">
        <v>574</v>
      </c>
      <c r="C34" s="12"/>
    </row>
    <row r="35" spans="1:3">
      <c r="A35" t="s">
        <v>592</v>
      </c>
      <c r="B35" t="s">
        <v>574</v>
      </c>
      <c r="C35" s="118">
        <f>-F97</f>
        <v>2795.779</v>
      </c>
    </row>
    <row r="36" spans="1:3">
      <c r="B36" t="s">
        <v>574</v>
      </c>
      <c r="C36" s="12"/>
    </row>
    <row r="37" spans="1:3">
      <c r="A37" s="70" t="s">
        <v>593</v>
      </c>
      <c r="B37" t="s">
        <v>574</v>
      </c>
      <c r="C37" s="12"/>
    </row>
    <row r="38" spans="1:3">
      <c r="B38" t="s">
        <v>574</v>
      </c>
      <c r="C38" s="12"/>
    </row>
    <row r="39" spans="1:3">
      <c r="A39" t="s">
        <v>594</v>
      </c>
      <c r="C39" s="12">
        <v>0</v>
      </c>
    </row>
    <row r="40" spans="1:3">
      <c r="A40" t="s">
        <v>604</v>
      </c>
      <c r="C40" s="12">
        <f>-G91</f>
        <v>4</v>
      </c>
    </row>
    <row r="41" spans="1:3">
      <c r="A41" t="s">
        <v>595</v>
      </c>
      <c r="C41" s="12"/>
    </row>
    <row r="42" spans="1:3">
      <c r="A42" t="s">
        <v>596</v>
      </c>
      <c r="B42" t="s">
        <v>574</v>
      </c>
      <c r="C42" s="109"/>
    </row>
    <row r="43" spans="1:3">
      <c r="B43" t="s">
        <v>574</v>
      </c>
      <c r="C43" s="12"/>
    </row>
    <row r="44" spans="1:3">
      <c r="A44" s="70" t="s">
        <v>597</v>
      </c>
      <c r="B44" t="s">
        <v>574</v>
      </c>
      <c r="C44" s="118">
        <f>+C42+C41+C39+C40</f>
        <v>4</v>
      </c>
    </row>
    <row r="45" spans="1:3">
      <c r="B45" t="s">
        <v>574</v>
      </c>
      <c r="C45" s="12"/>
    </row>
    <row r="46" spans="1:3">
      <c r="A46" t="s">
        <v>598</v>
      </c>
      <c r="B46" t="s">
        <v>574</v>
      </c>
      <c r="C46" s="12">
        <f>+C44+C28+C35</f>
        <v>-2367.6360000000009</v>
      </c>
    </row>
    <row r="47" spans="1:3">
      <c r="A47" t="s">
        <v>599</v>
      </c>
      <c r="B47" t="s">
        <v>574</v>
      </c>
      <c r="C47" s="12">
        <f>+D78</f>
        <v>7660</v>
      </c>
    </row>
    <row r="48" spans="1:3">
      <c r="B48" t="s">
        <v>574</v>
      </c>
      <c r="C48" s="12"/>
    </row>
    <row r="49" spans="1:5">
      <c r="A49" t="s">
        <v>600</v>
      </c>
      <c r="B49" t="s">
        <v>574</v>
      </c>
      <c r="C49" s="12">
        <f>+C46+C47</f>
        <v>5292.3639999999996</v>
      </c>
      <c r="D49" s="126">
        <f>+J78</f>
        <v>5292</v>
      </c>
      <c r="E49" s="126">
        <f>+C49-D49</f>
        <v>0.36399999999957799</v>
      </c>
    </row>
    <row r="50" spans="1:5">
      <c r="C50" s="12"/>
    </row>
    <row r="51" spans="1:5">
      <c r="C51" s="12"/>
    </row>
    <row r="52" spans="1:5">
      <c r="C52" s="12"/>
    </row>
    <row r="53" spans="1:5">
      <c r="C53" s="12"/>
    </row>
    <row r="54" spans="1:5" ht="12" thickBot="1">
      <c r="C54" s="109"/>
    </row>
    <row r="55" spans="1:5" ht="12" thickBot="1">
      <c r="B55" s="173"/>
      <c r="C55" s="174"/>
      <c r="D55" s="175"/>
      <c r="E55" s="176" t="s">
        <v>618</v>
      </c>
    </row>
    <row r="56" spans="1:5">
      <c r="C56" s="12"/>
      <c r="E56" t="s">
        <v>603</v>
      </c>
    </row>
    <row r="57" spans="1:5">
      <c r="C57" s="12"/>
    </row>
    <row r="58" spans="1:5">
      <c r="C58" s="12"/>
    </row>
    <row r="59" spans="1:5">
      <c r="C59" s="12"/>
    </row>
    <row r="60" spans="1:5">
      <c r="C60" s="12"/>
    </row>
    <row r="61" spans="1:5">
      <c r="C61" s="12"/>
    </row>
    <row r="62" spans="1:5">
      <c r="C62" s="12"/>
    </row>
    <row r="63" spans="1:5">
      <c r="C63" s="12"/>
    </row>
    <row r="71" spans="2:13">
      <c r="F71" s="393" t="s">
        <v>478</v>
      </c>
      <c r="G71" s="393"/>
    </row>
    <row r="75" spans="2:13">
      <c r="D75" s="101" t="s">
        <v>479</v>
      </c>
      <c r="E75" s="102" t="s">
        <v>480</v>
      </c>
      <c r="F75" s="102" t="s">
        <v>480</v>
      </c>
      <c r="G75" s="102" t="s">
        <v>480</v>
      </c>
      <c r="H75" s="102"/>
      <c r="I75" s="102"/>
      <c r="J75" s="103" t="s">
        <v>479</v>
      </c>
      <c r="K75" s="70"/>
    </row>
    <row r="76" spans="2:13">
      <c r="D76" s="104">
        <v>44926</v>
      </c>
      <c r="E76" s="100" t="s">
        <v>481</v>
      </c>
      <c r="F76" s="100" t="s">
        <v>482</v>
      </c>
      <c r="G76" s="100" t="s">
        <v>483</v>
      </c>
      <c r="H76" s="100" t="s">
        <v>484</v>
      </c>
      <c r="I76" s="100" t="s">
        <v>485</v>
      </c>
      <c r="J76" s="105">
        <v>45291</v>
      </c>
      <c r="L76" t="s">
        <v>486</v>
      </c>
    </row>
    <row r="77" spans="2:13">
      <c r="D77" s="177"/>
      <c r="J77" s="97"/>
    </row>
    <row r="78" spans="2:13">
      <c r="B78" s="108">
        <v>10</v>
      </c>
      <c r="C78" t="s">
        <v>549</v>
      </c>
      <c r="D78" s="98">
        <v>7660</v>
      </c>
      <c r="E78" s="12"/>
      <c r="F78" s="12"/>
      <c r="G78" s="12"/>
      <c r="H78" s="12"/>
      <c r="I78" s="12">
        <f>J78-D78-E78</f>
        <v>-2368</v>
      </c>
      <c r="J78" s="98">
        <f>+'BS USD'!S11</f>
        <v>5292</v>
      </c>
      <c r="K78" s="12">
        <f>+J78-'BS USD'!$S11</f>
        <v>0</v>
      </c>
      <c r="L78" s="87">
        <f t="shared" ref="L78:L98" si="0">SUM(D78:I78)-J78</f>
        <v>0</v>
      </c>
      <c r="M78" s="12"/>
    </row>
    <row r="79" spans="2:13">
      <c r="B79" s="108">
        <v>11</v>
      </c>
      <c r="C79" t="s">
        <v>550</v>
      </c>
      <c r="D79" s="98">
        <v>11163</v>
      </c>
      <c r="E79" s="12"/>
      <c r="F79" s="12">
        <f>J79-D79</f>
        <v>-2837</v>
      </c>
      <c r="G79" s="12"/>
      <c r="H79" s="12"/>
      <c r="I79" s="12"/>
      <c r="J79" s="98">
        <f>+'BS USD'!S12</f>
        <v>8326</v>
      </c>
      <c r="K79" s="12">
        <f>+J79-'BS USD'!$S12</f>
        <v>0</v>
      </c>
      <c r="L79" s="87">
        <f t="shared" si="0"/>
        <v>0</v>
      </c>
      <c r="M79" s="12"/>
    </row>
    <row r="80" spans="2:13">
      <c r="B80" s="108">
        <v>12</v>
      </c>
      <c r="C80" t="s">
        <v>551</v>
      </c>
      <c r="D80" s="98">
        <v>2037</v>
      </c>
      <c r="E80" s="12">
        <f>J80-D80</f>
        <v>-1378</v>
      </c>
      <c r="F80" s="12"/>
      <c r="G80" s="12"/>
      <c r="H80" s="12"/>
      <c r="I80" s="12"/>
      <c r="J80" s="98">
        <f>+'BS USD'!S13</f>
        <v>659</v>
      </c>
      <c r="K80" s="12">
        <f>+J80-'BS USD'!$S13</f>
        <v>0</v>
      </c>
      <c r="L80" s="87">
        <f t="shared" si="0"/>
        <v>0</v>
      </c>
      <c r="M80" s="12"/>
    </row>
    <row r="81" spans="1:13">
      <c r="B81" s="108">
        <v>13</v>
      </c>
      <c r="C81" t="s">
        <v>552</v>
      </c>
      <c r="D81" s="98">
        <v>776</v>
      </c>
      <c r="E81" s="12">
        <f>J81-D81</f>
        <v>-117</v>
      </c>
      <c r="F81" s="12"/>
      <c r="G81" s="12"/>
      <c r="H81" s="12"/>
      <c r="I81" s="12"/>
      <c r="J81" s="98">
        <f>+'BS USD'!S14</f>
        <v>659</v>
      </c>
      <c r="K81" s="12">
        <f>+J81-'BS USD'!$S14</f>
        <v>0</v>
      </c>
      <c r="L81" s="87">
        <f t="shared" si="0"/>
        <v>0</v>
      </c>
      <c r="M81" s="12"/>
    </row>
    <row r="82" spans="1:13">
      <c r="B82" s="108">
        <v>14</v>
      </c>
      <c r="C82" t="s">
        <v>553</v>
      </c>
      <c r="D82" s="98">
        <v>34</v>
      </c>
      <c r="E82" s="12">
        <f>J82-D82</f>
        <v>4</v>
      </c>
      <c r="F82" s="12"/>
      <c r="G82" s="12"/>
      <c r="H82" s="12"/>
      <c r="I82" s="12"/>
      <c r="J82" s="98">
        <f>+'BS USD'!S20</f>
        <v>38</v>
      </c>
      <c r="K82" s="12">
        <f>+J82-'BS USD'!$S20</f>
        <v>0</v>
      </c>
      <c r="L82" s="87">
        <f t="shared" si="0"/>
        <v>0</v>
      </c>
      <c r="M82" s="12"/>
    </row>
    <row r="83" spans="1:13">
      <c r="B83" s="108">
        <v>15</v>
      </c>
      <c r="C83" t="s">
        <v>554</v>
      </c>
      <c r="D83" s="98">
        <v>123</v>
      </c>
      <c r="E83" s="219">
        <f>-43221/1000</f>
        <v>-43.220999999999997</v>
      </c>
      <c r="F83" s="219">
        <f>+J83-D83-E83</f>
        <v>41.220999999999997</v>
      </c>
      <c r="G83" s="12"/>
      <c r="H83" s="12"/>
      <c r="I83" s="12"/>
      <c r="J83" s="98">
        <f>+'BS USD'!S21</f>
        <v>121</v>
      </c>
      <c r="K83" s="12">
        <f>+J83-'BS USD'!$S21</f>
        <v>0</v>
      </c>
      <c r="L83" s="87">
        <f t="shared" si="0"/>
        <v>0</v>
      </c>
      <c r="M83" s="12"/>
    </row>
    <row r="84" spans="1:13">
      <c r="A84" t="s">
        <v>602</v>
      </c>
      <c r="B84" s="108">
        <v>16</v>
      </c>
      <c r="C84" t="s">
        <v>555</v>
      </c>
      <c r="D84" s="98">
        <v>-202</v>
      </c>
      <c r="E84" s="12">
        <f t="shared" ref="E84:E89" si="1">J84-D84</f>
        <v>35</v>
      </c>
      <c r="F84" s="12"/>
      <c r="G84" s="12"/>
      <c r="H84" s="12"/>
      <c r="I84" s="12"/>
      <c r="J84" s="98">
        <f>-'BS USD'!S34</f>
        <v>-167</v>
      </c>
      <c r="K84" s="12">
        <f>+J84+'BS USD'!$S34</f>
        <v>0</v>
      </c>
      <c r="L84" s="87">
        <f t="shared" si="0"/>
        <v>0</v>
      </c>
      <c r="M84" s="12"/>
    </row>
    <row r="85" spans="1:13">
      <c r="B85" s="108">
        <v>17</v>
      </c>
      <c r="C85" t="s">
        <v>556</v>
      </c>
      <c r="D85" s="98">
        <v>-792</v>
      </c>
      <c r="E85" s="12">
        <f t="shared" si="1"/>
        <v>-326</v>
      </c>
      <c r="F85" s="12"/>
      <c r="G85" s="12"/>
      <c r="H85" s="12"/>
      <c r="I85" s="12"/>
      <c r="J85" s="98">
        <f>-'BS USD'!S35</f>
        <v>-1118</v>
      </c>
      <c r="K85" s="12">
        <f>+J85+'BS USD'!$S35</f>
        <v>0</v>
      </c>
      <c r="L85" s="87">
        <f t="shared" si="0"/>
        <v>0</v>
      </c>
      <c r="M85" s="12"/>
    </row>
    <row r="86" spans="1:13">
      <c r="B86" s="108">
        <v>17.399999999999999</v>
      </c>
      <c r="C86" t="s">
        <v>557</v>
      </c>
      <c r="D86" s="98"/>
      <c r="E86" s="12">
        <f t="shared" si="1"/>
        <v>0</v>
      </c>
      <c r="F86" s="12"/>
      <c r="G86" s="12"/>
      <c r="H86" s="12"/>
      <c r="I86" s="12"/>
      <c r="J86" s="98"/>
      <c r="K86" s="12"/>
      <c r="L86" s="87">
        <f t="shared" si="0"/>
        <v>0</v>
      </c>
      <c r="M86" s="12"/>
    </row>
    <row r="87" spans="1:13">
      <c r="B87" s="108"/>
      <c r="C87" t="s">
        <v>558</v>
      </c>
      <c r="D87" s="98">
        <v>0</v>
      </c>
      <c r="E87" s="12">
        <f t="shared" si="1"/>
        <v>0</v>
      </c>
      <c r="F87" s="12"/>
      <c r="G87" s="12"/>
      <c r="H87" s="12"/>
      <c r="I87" s="12"/>
      <c r="J87" s="98">
        <f>+ROUND(SUMIF('BS USD'!$B$7:$B$55,B87,'BS USD'!$S$7:$S$55),0)</f>
        <v>0</v>
      </c>
      <c r="K87" s="12"/>
      <c r="L87" s="87">
        <f t="shared" si="0"/>
        <v>0</v>
      </c>
      <c r="M87" s="12"/>
    </row>
    <row r="88" spans="1:13">
      <c r="B88" s="108"/>
      <c r="C88" t="s">
        <v>559</v>
      </c>
      <c r="D88" s="98">
        <v>0</v>
      </c>
      <c r="E88" s="12">
        <f t="shared" si="1"/>
        <v>0</v>
      </c>
      <c r="F88" s="12"/>
      <c r="G88" s="109"/>
      <c r="H88" s="109"/>
      <c r="I88" s="12"/>
      <c r="J88" s="98">
        <f>+ROUND(SUMIF('BS USD'!$B$7:$B$55,B88,'BS USD'!$S$7:$S$55),0)</f>
        <v>0</v>
      </c>
      <c r="K88" s="12"/>
      <c r="L88" s="87">
        <f t="shared" si="0"/>
        <v>0</v>
      </c>
      <c r="M88" s="12"/>
    </row>
    <row r="89" spans="1:13">
      <c r="B89" s="108">
        <v>18</v>
      </c>
      <c r="C89" t="s">
        <v>560</v>
      </c>
      <c r="D89" s="98">
        <v>-414</v>
      </c>
      <c r="E89" s="12">
        <f t="shared" si="1"/>
        <v>370</v>
      </c>
      <c r="F89" s="12"/>
      <c r="G89" s="109"/>
      <c r="H89" s="109"/>
      <c r="I89" s="12"/>
      <c r="J89" s="98">
        <f>-'BS USD'!S42</f>
        <v>-44</v>
      </c>
      <c r="K89" s="12">
        <f>+J89+'BS USD'!S42</f>
        <v>0</v>
      </c>
      <c r="L89" s="87">
        <f t="shared" si="0"/>
        <v>0</v>
      </c>
      <c r="M89" s="12"/>
    </row>
    <row r="90" spans="1:13">
      <c r="B90" s="108"/>
      <c r="C90" t="s">
        <v>561</v>
      </c>
      <c r="D90" s="98">
        <v>0</v>
      </c>
      <c r="E90" s="12"/>
      <c r="F90" s="12"/>
      <c r="G90" s="109"/>
      <c r="H90" s="109"/>
      <c r="I90" s="12"/>
      <c r="J90" s="98">
        <f>+ROUND(SUMIF('BS USD'!$B$7:$B$55,B90,'BS USD'!$S$7:$S$55),0)</f>
        <v>0</v>
      </c>
      <c r="K90" s="394" t="s">
        <v>254</v>
      </c>
      <c r="L90" s="87">
        <f t="shared" si="0"/>
        <v>0</v>
      </c>
      <c r="M90" s="12"/>
    </row>
    <row r="91" spans="1:13">
      <c r="B91" s="108"/>
      <c r="C91" t="s">
        <v>601</v>
      </c>
      <c r="D91" s="98">
        <v>-7</v>
      </c>
      <c r="E91" s="12"/>
      <c r="F91" s="12"/>
      <c r="G91" s="219">
        <v>-4</v>
      </c>
      <c r="H91" s="109"/>
      <c r="I91" s="12"/>
      <c r="J91" s="125">
        <f>+G91+D91</f>
        <v>-11</v>
      </c>
      <c r="K91" s="394"/>
      <c r="L91" s="87">
        <f>SUM(D91:I91)-J91</f>
        <v>0</v>
      </c>
      <c r="M91" s="12"/>
    </row>
    <row r="92" spans="1:13">
      <c r="B92" s="108">
        <v>19.100000000000001</v>
      </c>
      <c r="C92" t="s">
        <v>562</v>
      </c>
      <c r="D92" s="122">
        <v>-31124.705999999998</v>
      </c>
      <c r="E92" s="12"/>
      <c r="F92" s="12"/>
      <c r="G92" s="109">
        <f>+J92-D92</f>
        <v>0</v>
      </c>
      <c r="H92" s="109"/>
      <c r="I92" s="12"/>
      <c r="J92" s="122">
        <f>-ROUND(SUMIF('Full BS-USD'!M:M,B92,'Full BS-USD'!L:L),0)/1000</f>
        <v>-31124.705999999998</v>
      </c>
      <c r="K92" s="394"/>
      <c r="L92" s="87">
        <f t="shared" si="0"/>
        <v>0</v>
      </c>
      <c r="M92" s="12"/>
    </row>
    <row r="93" spans="1:13">
      <c r="B93" s="108">
        <v>19.2</v>
      </c>
      <c r="C93" t="s">
        <v>563</v>
      </c>
      <c r="D93" s="123">
        <v>-1654.1369999999999</v>
      </c>
      <c r="E93" s="109">
        <f>J93-D93</f>
        <v>-292.36400000000003</v>
      </c>
      <c r="F93" s="12"/>
      <c r="G93" s="12"/>
      <c r="H93" s="12"/>
      <c r="I93" s="12"/>
      <c r="J93" s="123">
        <f>-ROUND(SUMIF('Full BS-USD'!M:M,B93,'Full BS-USD'!L:L),0)/1000-1</f>
        <v>-1946.501</v>
      </c>
      <c r="K93" s="394"/>
      <c r="L93" s="87">
        <f>SUM(D93:I93)-J93</f>
        <v>0</v>
      </c>
      <c r="M93" s="95">
        <v>31005</v>
      </c>
    </row>
    <row r="94" spans="1:13">
      <c r="B94" s="108">
        <v>19.3</v>
      </c>
      <c r="C94" t="s">
        <v>564</v>
      </c>
      <c r="D94" s="124">
        <v>-9339.4639999999999</v>
      </c>
      <c r="E94" s="12"/>
      <c r="F94" s="12"/>
      <c r="G94" s="12"/>
      <c r="H94" s="109"/>
      <c r="I94" s="12"/>
      <c r="J94" s="124">
        <f>-ROUND(SUMIF('Full BS-USD'!M:M,B94,'Full BS-USD'!L:L),0)/1000-J91</f>
        <v>-9339.4639999999999</v>
      </c>
      <c r="K94" s="394"/>
      <c r="L94" s="87"/>
      <c r="M94" s="12"/>
    </row>
    <row r="95" spans="1:13">
      <c r="B95" s="86"/>
      <c r="C95" t="s">
        <v>240</v>
      </c>
      <c r="D95" s="120">
        <f>14349.72+7391</f>
        <v>21740.720000000001</v>
      </c>
      <c r="E95" s="109"/>
      <c r="F95" s="109"/>
      <c r="G95" s="109"/>
      <c r="H95" s="109"/>
      <c r="I95" s="109"/>
      <c r="J95" s="120">
        <f>-ROUND(SUMIF('Full BS-USD'!A:A,C95,'Full BS-USD'!L:L),0)/1000</f>
        <v>21740.691999999999</v>
      </c>
      <c r="K95" s="394"/>
      <c r="L95" s="87"/>
      <c r="M95" s="12"/>
    </row>
    <row r="96" spans="1:13">
      <c r="C96" t="s">
        <v>565</v>
      </c>
      <c r="D96" s="99"/>
      <c r="E96" s="220">
        <f>+J96</f>
        <v>6915</v>
      </c>
      <c r="F96" s="220"/>
      <c r="G96" s="88"/>
      <c r="H96" s="88"/>
      <c r="I96" s="88"/>
      <c r="J96" s="121">
        <f>-'P&amp;L'!P31</f>
        <v>6915</v>
      </c>
      <c r="K96" s="394"/>
      <c r="L96" s="87">
        <f>SUM(D96:I96)-J96</f>
        <v>0</v>
      </c>
      <c r="M96" s="12"/>
    </row>
    <row r="97" spans="3:13">
      <c r="C97" s="383" t="s">
        <v>486</v>
      </c>
      <c r="D97" s="87">
        <f>SUM(D78:D96)</f>
        <v>0.41300000000046566</v>
      </c>
      <c r="E97" s="119">
        <f>SUM(E78:E96)</f>
        <v>5167.415</v>
      </c>
      <c r="F97" s="119">
        <f>SUM(F77:F96)</f>
        <v>-2795.779</v>
      </c>
      <c r="G97" s="119">
        <f>SUM(G77:G96)</f>
        <v>-4</v>
      </c>
      <c r="H97" s="12"/>
      <c r="I97" s="119">
        <f>SUM(I78:I96)</f>
        <v>-2368</v>
      </c>
      <c r="J97" s="12">
        <f>SUM(J78:J96)</f>
        <v>2.1000000000640284E-2</v>
      </c>
      <c r="K97" s="12"/>
      <c r="L97" s="87">
        <f>SUM(E97:I97)-J97</f>
        <v>-0.38500000000067303</v>
      </c>
      <c r="M97" s="12"/>
    </row>
    <row r="98" spans="3:13">
      <c r="F98" s="87"/>
      <c r="G98" s="87"/>
      <c r="H98" s="87"/>
      <c r="J98" s="87"/>
      <c r="K98" s="87"/>
      <c r="L98" s="87">
        <f t="shared" si="0"/>
        <v>0</v>
      </c>
      <c r="M98" s="12"/>
    </row>
    <row r="99" spans="3:13">
      <c r="D99" s="12"/>
      <c r="E99" s="12">
        <f>+E97+C28</f>
        <v>0</v>
      </c>
      <c r="F99" s="12"/>
      <c r="G99" s="12"/>
      <c r="H99" s="12"/>
      <c r="I99" s="12"/>
      <c r="J99" s="12"/>
      <c r="K99" s="12"/>
      <c r="L99" s="87"/>
      <c r="M99" s="12"/>
    </row>
    <row r="100" spans="3:13">
      <c r="D100" s="383"/>
      <c r="E100" s="12"/>
      <c r="F100" s="12"/>
      <c r="G100" s="12"/>
      <c r="H100" s="12"/>
      <c r="I100" s="12"/>
      <c r="J100" s="12"/>
      <c r="K100" s="12"/>
      <c r="L100" s="12"/>
      <c r="M100" s="12"/>
    </row>
    <row r="101" spans="3:13">
      <c r="D101" s="12"/>
      <c r="E101" s="12"/>
      <c r="F101" s="12"/>
      <c r="G101" s="12"/>
      <c r="H101" s="12"/>
      <c r="I101" s="12"/>
      <c r="J101" s="12"/>
      <c r="K101" s="12"/>
      <c r="L101" s="12"/>
      <c r="M101" s="12"/>
    </row>
    <row r="102" spans="3:13">
      <c r="G102" s="116"/>
    </row>
    <row r="103" spans="3:13">
      <c r="G103" s="116"/>
    </row>
  </sheetData>
  <mergeCells count="3">
    <mergeCell ref="A11:A12"/>
    <mergeCell ref="F71:G71"/>
    <mergeCell ref="K90:K96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A707E-D936-4B8D-98E7-34158C5B6805}">
  <sheetPr>
    <tabColor rgb="FFFFFF00"/>
  </sheetPr>
  <dimension ref="B3:U33"/>
  <sheetViews>
    <sheetView workbookViewId="0">
      <selection activeCell="U11" sqref="U11"/>
    </sheetView>
  </sheetViews>
  <sheetFormatPr defaultColWidth="14.1640625" defaultRowHeight="14.25"/>
  <cols>
    <col min="1" max="1" width="14.1640625" style="52"/>
    <col min="2" max="2" width="28.6640625" style="52" customWidth="1"/>
    <col min="3" max="4" width="14.1640625" style="52"/>
    <col min="5" max="5" width="2.1640625" style="52" customWidth="1"/>
    <col min="6" max="6" width="14.1640625" style="52"/>
    <col min="7" max="7" width="2.1640625" style="52" customWidth="1"/>
    <col min="8" max="8" width="14.1640625" style="52"/>
    <col min="9" max="9" width="2.1640625" style="52" customWidth="1"/>
    <col min="10" max="10" width="14.1640625" style="52"/>
    <col min="11" max="11" width="2.1640625" style="52" customWidth="1"/>
    <col min="12" max="12" width="16.1640625" style="52" customWidth="1"/>
    <col min="13" max="13" width="2.1640625" style="52" customWidth="1"/>
    <col min="14" max="14" width="20.5" style="52" customWidth="1"/>
    <col min="15" max="15" width="2.1640625" style="52" customWidth="1"/>
    <col min="16" max="16" width="16.6640625" style="52" customWidth="1"/>
    <col min="17" max="17" width="2.1640625" style="52" customWidth="1"/>
    <col min="18" max="18" width="21.1640625" style="164" customWidth="1"/>
    <col min="19" max="16384" width="14.1640625" style="52"/>
  </cols>
  <sheetData>
    <row r="3" spans="2:21" ht="41.25" customHeight="1">
      <c r="B3" s="395"/>
      <c r="C3" s="396"/>
      <c r="D3" s="146" t="s">
        <v>561</v>
      </c>
      <c r="E3" s="146"/>
      <c r="F3" s="146"/>
      <c r="G3" s="146"/>
      <c r="H3" s="146" t="s">
        <v>459</v>
      </c>
      <c r="I3" s="146"/>
      <c r="J3" s="146"/>
      <c r="K3" s="146"/>
      <c r="L3" s="146" t="s">
        <v>460</v>
      </c>
      <c r="M3" s="146"/>
      <c r="N3" s="146" t="s">
        <v>461</v>
      </c>
      <c r="O3" s="146"/>
      <c r="P3" s="146" t="s">
        <v>462</v>
      </c>
      <c r="Q3" s="146"/>
      <c r="R3" s="153" t="s">
        <v>463</v>
      </c>
    </row>
    <row r="4" spans="2:21">
      <c r="B4" s="395"/>
      <c r="C4" s="396"/>
      <c r="D4" s="146"/>
      <c r="E4" s="146"/>
      <c r="F4" s="146"/>
      <c r="G4" s="146"/>
      <c r="H4" s="146"/>
      <c r="I4" s="146"/>
      <c r="J4" s="146"/>
      <c r="K4" s="146"/>
      <c r="L4" s="146" t="s">
        <v>464</v>
      </c>
      <c r="M4" s="146"/>
      <c r="N4" s="146"/>
      <c r="O4" s="146"/>
      <c r="P4" s="146"/>
      <c r="Q4" s="146"/>
      <c r="R4" s="154"/>
    </row>
    <row r="5" spans="2:21" ht="26.25" thickBot="1">
      <c r="B5" s="49"/>
      <c r="C5" s="50"/>
      <c r="D5" s="146" t="s">
        <v>465</v>
      </c>
      <c r="E5" s="146"/>
      <c r="F5" s="146" t="s">
        <v>14</v>
      </c>
      <c r="G5" s="146"/>
      <c r="H5" s="146" t="s">
        <v>465</v>
      </c>
      <c r="I5" s="146"/>
      <c r="J5" s="146" t="s">
        <v>14</v>
      </c>
      <c r="K5" s="146"/>
      <c r="L5" s="146" t="s">
        <v>466</v>
      </c>
      <c r="M5" s="146"/>
      <c r="N5" s="146" t="s">
        <v>467</v>
      </c>
      <c r="O5" s="146"/>
      <c r="P5" s="146" t="s">
        <v>468</v>
      </c>
      <c r="Q5" s="146"/>
      <c r="R5" s="154" t="s">
        <v>469</v>
      </c>
    </row>
    <row r="6" spans="2:21">
      <c r="B6" s="49"/>
      <c r="C6" s="50"/>
      <c r="D6" s="51"/>
      <c r="E6" s="51"/>
      <c r="F6" s="53"/>
      <c r="G6" s="385"/>
      <c r="H6" s="385"/>
      <c r="I6" s="385"/>
      <c r="J6" s="385"/>
      <c r="K6" s="385"/>
      <c r="L6" s="385"/>
      <c r="M6" s="385"/>
      <c r="N6" s="385"/>
      <c r="O6" s="385"/>
      <c r="P6" s="385"/>
      <c r="Q6" s="51"/>
      <c r="R6" s="155"/>
    </row>
    <row r="7" spans="2:21" ht="25.5">
      <c r="B7" s="130" t="s">
        <v>487</v>
      </c>
      <c r="C7" s="50"/>
      <c r="D7" s="133">
        <v>1401739</v>
      </c>
      <c r="E7" s="131"/>
      <c r="F7" s="133">
        <v>4</v>
      </c>
      <c r="G7" s="386"/>
      <c r="H7" s="387">
        <v>1481702</v>
      </c>
      <c r="I7" s="386"/>
      <c r="J7" s="386">
        <v>5</v>
      </c>
      <c r="K7" s="386"/>
      <c r="L7" s="387">
        <v>41580</v>
      </c>
      <c r="M7" s="386"/>
      <c r="N7" s="386">
        <v>0</v>
      </c>
      <c r="O7" s="386"/>
      <c r="P7" s="387">
        <v>-14078</v>
      </c>
      <c r="Q7" s="131"/>
      <c r="R7" s="384">
        <v>27511</v>
      </c>
    </row>
    <row r="8" spans="2:21">
      <c r="B8" s="49"/>
      <c r="C8" s="50"/>
      <c r="D8" s="131"/>
      <c r="E8" s="131"/>
      <c r="F8" s="131"/>
      <c r="G8" s="386"/>
      <c r="H8" s="387"/>
      <c r="I8" s="386"/>
      <c r="J8" s="386"/>
      <c r="K8" s="386"/>
      <c r="L8" s="387"/>
      <c r="M8" s="386"/>
      <c r="N8" s="386"/>
      <c r="O8" s="386"/>
      <c r="P8" s="386"/>
      <c r="Q8" s="131"/>
      <c r="R8" s="157"/>
    </row>
    <row r="9" spans="2:21" ht="25.5">
      <c r="B9" s="130" t="s">
        <v>471</v>
      </c>
      <c r="C9" s="50"/>
      <c r="D9" s="134">
        <v>0</v>
      </c>
      <c r="E9" s="131"/>
      <c r="F9" s="134">
        <v>0</v>
      </c>
      <c r="G9" s="386"/>
      <c r="H9" s="387">
        <v>0</v>
      </c>
      <c r="I9" s="386"/>
      <c r="J9" s="388">
        <v>0</v>
      </c>
      <c r="K9" s="386"/>
      <c r="L9" s="387">
        <v>0</v>
      </c>
      <c r="M9" s="386"/>
      <c r="N9" s="388">
        <v>0</v>
      </c>
      <c r="O9" s="386"/>
      <c r="P9" s="387">
        <v>-7391</v>
      </c>
      <c r="Q9" s="131"/>
      <c r="R9" s="159">
        <f>+P9+F9+L9+J9</f>
        <v>-7391</v>
      </c>
    </row>
    <row r="10" spans="2:21">
      <c r="B10" s="130" t="s">
        <v>661</v>
      </c>
      <c r="C10" s="50"/>
      <c r="D10" s="134">
        <v>2600</v>
      </c>
      <c r="E10" s="131"/>
      <c r="F10" s="134"/>
      <c r="G10" s="386"/>
      <c r="H10" s="387"/>
      <c r="I10" s="386"/>
      <c r="J10" s="388"/>
      <c r="K10" s="386"/>
      <c r="L10" s="387">
        <v>8</v>
      </c>
      <c r="M10" s="386"/>
      <c r="N10" s="386"/>
      <c r="O10" s="386"/>
      <c r="P10" s="389"/>
      <c r="Q10" s="131"/>
      <c r="R10" s="156">
        <f>+P10+F10+L10+J10+N10</f>
        <v>8</v>
      </c>
    </row>
    <row r="11" spans="2:21" ht="25.5">
      <c r="B11" s="130" t="s">
        <v>472</v>
      </c>
      <c r="C11" s="50"/>
      <c r="D11" s="134">
        <v>0</v>
      </c>
      <c r="E11" s="131"/>
      <c r="F11" s="134">
        <v>0</v>
      </c>
      <c r="G11" s="386"/>
      <c r="H11" s="387">
        <v>0</v>
      </c>
      <c r="I11" s="386"/>
      <c r="J11" s="388">
        <v>0</v>
      </c>
      <c r="K11" s="386"/>
      <c r="L11" s="387">
        <v>257</v>
      </c>
      <c r="M11" s="386"/>
      <c r="N11" s="388">
        <v>0</v>
      </c>
      <c r="O11" s="386"/>
      <c r="P11" s="388">
        <v>0</v>
      </c>
      <c r="Q11" s="131"/>
      <c r="R11" s="156">
        <f>+P11+F11+L11+J11</f>
        <v>257</v>
      </c>
      <c r="T11"/>
    </row>
    <row r="12" spans="2:21">
      <c r="B12" s="130" t="s">
        <v>475</v>
      </c>
      <c r="C12" s="50"/>
      <c r="D12" s="134"/>
      <c r="E12" s="131"/>
      <c r="F12" s="134"/>
      <c r="G12" s="386"/>
      <c r="H12" s="135">
        <v>127247</v>
      </c>
      <c r="I12" s="386"/>
      <c r="J12" s="131" t="s">
        <v>615</v>
      </c>
      <c r="K12" s="386"/>
      <c r="L12" s="387"/>
      <c r="M12" s="386"/>
      <c r="N12" s="388"/>
      <c r="O12" s="386"/>
      <c r="P12" s="388"/>
      <c r="Q12" s="131"/>
      <c r="R12" s="156"/>
    </row>
    <row r="13" spans="2:21">
      <c r="B13" s="130" t="s">
        <v>474</v>
      </c>
      <c r="C13" s="50"/>
      <c r="D13" s="134">
        <v>0</v>
      </c>
      <c r="E13" s="131"/>
      <c r="F13" s="134">
        <v>0</v>
      </c>
      <c r="G13" s="386"/>
      <c r="H13" s="387"/>
      <c r="I13" s="386"/>
      <c r="J13" s="386"/>
      <c r="K13" s="386"/>
      <c r="L13" s="387"/>
      <c r="M13" s="386"/>
      <c r="N13" s="386" t="s">
        <v>470</v>
      </c>
      <c r="O13" s="386"/>
      <c r="P13" s="388">
        <v>0</v>
      </c>
      <c r="Q13" s="131"/>
      <c r="R13" s="156">
        <f>+P13+F13+L13+J13</f>
        <v>0</v>
      </c>
    </row>
    <row r="14" spans="2:21" ht="39" thickBot="1">
      <c r="B14" s="130" t="s">
        <v>476</v>
      </c>
      <c r="C14" s="50"/>
      <c r="D14" s="134">
        <v>0</v>
      </c>
      <c r="E14" s="131"/>
      <c r="F14" s="136">
        <v>0</v>
      </c>
      <c r="G14" s="131"/>
      <c r="H14" s="137"/>
      <c r="I14" s="131"/>
      <c r="J14" s="138"/>
      <c r="K14" s="131"/>
      <c r="L14" s="137"/>
      <c r="M14" s="131"/>
      <c r="N14" s="136"/>
      <c r="O14" s="131"/>
      <c r="P14" s="136">
        <v>0</v>
      </c>
      <c r="Q14" s="131"/>
      <c r="R14" s="158">
        <f>+P14+J14+L14+N14</f>
        <v>0</v>
      </c>
      <c r="S14" s="238">
        <f>+H14+'NOTES-Conso'!H41</f>
        <v>0</v>
      </c>
      <c r="U14" s="238"/>
    </row>
    <row r="15" spans="2:21">
      <c r="B15" s="130"/>
      <c r="C15" s="50"/>
      <c r="D15" s="132"/>
      <c r="E15" s="131"/>
      <c r="F15" s="131"/>
      <c r="G15" s="131"/>
      <c r="H15" s="131"/>
      <c r="I15" s="131"/>
      <c r="J15" s="131"/>
      <c r="K15" s="131"/>
      <c r="L15" s="131"/>
      <c r="M15" s="131"/>
      <c r="N15" s="131"/>
      <c r="O15" s="131"/>
      <c r="P15" s="131"/>
      <c r="Q15" s="131"/>
      <c r="R15" s="157"/>
    </row>
    <row r="16" spans="2:21" ht="26.25" thickBot="1">
      <c r="B16" s="130" t="s">
        <v>477</v>
      </c>
      <c r="C16" s="50"/>
      <c r="D16" s="139">
        <f>SUM(D7:D15)</f>
        <v>1404339</v>
      </c>
      <c r="E16" s="131"/>
      <c r="F16" s="140">
        <f>SUM(F7:F15)</f>
        <v>4</v>
      </c>
      <c r="G16" s="131"/>
      <c r="H16" s="390">
        <f>SUM(H7:H15)</f>
        <v>1608949</v>
      </c>
      <c r="I16" s="131"/>
      <c r="J16" s="140">
        <f>SUM(J7:J15)</f>
        <v>5</v>
      </c>
      <c r="K16" s="131"/>
      <c r="L16" s="141">
        <f>SUM(L7:L15)</f>
        <v>41845</v>
      </c>
      <c r="M16" s="131"/>
      <c r="N16" s="139">
        <f>SUM(N7:N15)</f>
        <v>0</v>
      </c>
      <c r="O16" s="131"/>
      <c r="P16" s="141">
        <f>SUM(P7:P15)</f>
        <v>-21469</v>
      </c>
      <c r="Q16" s="131"/>
      <c r="R16" s="158">
        <f>+P16+F16+L16+N16+J16</f>
        <v>20385</v>
      </c>
    </row>
    <row r="17" spans="2:18">
      <c r="B17" s="130"/>
      <c r="C17" s="50"/>
      <c r="D17" s="131"/>
      <c r="E17" s="131"/>
      <c r="F17" s="131"/>
      <c r="G17" s="131"/>
      <c r="H17" s="131"/>
      <c r="I17" s="131"/>
      <c r="J17" s="131"/>
      <c r="K17" s="131"/>
      <c r="L17" s="131"/>
      <c r="M17" s="131"/>
      <c r="N17" s="131"/>
      <c r="O17" s="131"/>
      <c r="P17" s="131"/>
      <c r="Q17" s="131"/>
      <c r="R17" s="157"/>
    </row>
    <row r="18" spans="2:18" ht="25.5">
      <c r="B18" s="130" t="s">
        <v>471</v>
      </c>
      <c r="C18" s="50"/>
      <c r="D18" s="134">
        <v>0</v>
      </c>
      <c r="E18" s="131"/>
      <c r="F18" s="134">
        <v>0</v>
      </c>
      <c r="G18" s="131"/>
      <c r="H18" s="134">
        <v>0</v>
      </c>
      <c r="I18" s="131"/>
      <c r="J18" s="134">
        <v>0</v>
      </c>
      <c r="K18" s="131"/>
      <c r="L18" s="134">
        <v>0</v>
      </c>
      <c r="M18" s="131"/>
      <c r="N18" s="134">
        <v>0</v>
      </c>
      <c r="O18" s="131"/>
      <c r="P18" s="133">
        <f>+'P&amp;L'!P31</f>
        <v>-6915</v>
      </c>
      <c r="Q18" s="131"/>
      <c r="R18" s="159">
        <f>SUM(J18:P18,F18)</f>
        <v>-6915</v>
      </c>
    </row>
    <row r="19" spans="2:18">
      <c r="B19" s="130" t="s">
        <v>661</v>
      </c>
      <c r="C19" s="50"/>
      <c r="D19" s="131"/>
      <c r="E19" s="131"/>
      <c r="F19" s="131"/>
      <c r="G19" s="131"/>
      <c r="H19" s="131"/>
      <c r="I19" s="131"/>
      <c r="J19" s="131"/>
      <c r="K19" s="131"/>
      <c r="L19" s="131"/>
      <c r="M19" s="131"/>
      <c r="N19" s="131"/>
      <c r="O19" s="131"/>
      <c r="P19" s="131"/>
      <c r="Q19" s="131"/>
      <c r="R19" s="159">
        <f>SUM(J19:P19,F19)</f>
        <v>0</v>
      </c>
    </row>
    <row r="20" spans="2:18" ht="25.5">
      <c r="B20" s="130" t="s">
        <v>472</v>
      </c>
      <c r="C20" s="50"/>
      <c r="D20" s="131"/>
      <c r="E20" s="131"/>
      <c r="F20" s="131"/>
      <c r="G20" s="131"/>
      <c r="H20" s="131"/>
      <c r="I20" s="131"/>
      <c r="J20" s="131"/>
      <c r="K20" s="131"/>
      <c r="L20" s="135">
        <f>-CF!E93+4</f>
        <v>296.36400000000003</v>
      </c>
      <c r="M20" s="131"/>
      <c r="N20" s="131"/>
      <c r="O20" s="131"/>
      <c r="P20" s="131"/>
      <c r="Q20" s="131"/>
      <c r="R20" s="159">
        <f>SUM(J20:P20,F20)</f>
        <v>296.36400000000003</v>
      </c>
    </row>
    <row r="21" spans="2:18">
      <c r="B21" s="130" t="s">
        <v>474</v>
      </c>
      <c r="C21" s="50"/>
      <c r="D21" s="131"/>
      <c r="E21" s="131"/>
      <c r="F21" s="131"/>
      <c r="G21" s="131"/>
      <c r="H21" s="135"/>
      <c r="I21" s="131"/>
      <c r="J21" s="131"/>
      <c r="K21" s="131"/>
      <c r="L21" s="135"/>
      <c r="M21" s="131"/>
      <c r="N21" s="131"/>
      <c r="O21" s="131"/>
      <c r="P21" s="131"/>
      <c r="Q21" s="131"/>
      <c r="R21" s="159">
        <f>SUM(J21:P21,F21)</f>
        <v>0</v>
      </c>
    </row>
    <row r="22" spans="2:18">
      <c r="B22" s="130" t="s">
        <v>475</v>
      </c>
      <c r="C22" s="50"/>
      <c r="D22" s="131"/>
      <c r="E22" s="131"/>
      <c r="F22" s="131"/>
      <c r="G22" s="131"/>
      <c r="H22" s="135"/>
      <c r="I22" s="131"/>
      <c r="J22" s="131" t="s">
        <v>615</v>
      </c>
      <c r="K22" s="131"/>
      <c r="L22" s="135"/>
      <c r="M22" s="131"/>
      <c r="N22" s="131"/>
      <c r="O22" s="131"/>
      <c r="P22" s="131"/>
      <c r="Q22" s="131"/>
      <c r="R22" s="159">
        <f>SUM(J22:P22,F22)</f>
        <v>0</v>
      </c>
    </row>
    <row r="23" spans="2:18" ht="38.25">
      <c r="B23" s="130" t="s">
        <v>473</v>
      </c>
      <c r="C23" s="50"/>
      <c r="D23" s="131"/>
      <c r="E23" s="131"/>
      <c r="F23" s="131"/>
      <c r="G23" s="131"/>
      <c r="I23" s="131"/>
      <c r="J23" s="131"/>
      <c r="K23" s="131"/>
      <c r="L23" s="135"/>
      <c r="M23" s="131"/>
      <c r="N23" s="131"/>
      <c r="O23" s="131"/>
      <c r="P23" s="131"/>
      <c r="Q23" s="131"/>
      <c r="R23" s="156"/>
    </row>
    <row r="24" spans="2:18" ht="39" thickBot="1">
      <c r="B24" s="130" t="s">
        <v>501</v>
      </c>
      <c r="C24" s="50"/>
      <c r="D24" s="139"/>
      <c r="E24" s="131"/>
      <c r="F24" s="136">
        <v>0</v>
      </c>
      <c r="G24" s="131"/>
      <c r="H24" s="137"/>
      <c r="I24" s="131"/>
      <c r="J24" s="138"/>
      <c r="K24" s="131"/>
      <c r="L24" s="137"/>
      <c r="M24" s="131"/>
      <c r="N24" s="136"/>
      <c r="O24" s="131"/>
      <c r="P24" s="136">
        <v>0</v>
      </c>
      <c r="Q24" s="131"/>
      <c r="R24" s="160">
        <f>SUM(J24:P24,F24)</f>
        <v>0</v>
      </c>
    </row>
    <row r="25" spans="2:18">
      <c r="B25" s="130"/>
      <c r="C25" s="50"/>
      <c r="D25" s="131"/>
      <c r="E25" s="131"/>
      <c r="F25" s="131"/>
      <c r="G25" s="131"/>
      <c r="H25" s="131"/>
      <c r="I25" s="131"/>
      <c r="J25" s="131"/>
      <c r="K25" s="131"/>
      <c r="L25" s="131"/>
      <c r="M25" s="131"/>
      <c r="N25" s="131"/>
      <c r="O25" s="131"/>
      <c r="P25" s="131"/>
      <c r="Q25" s="131"/>
      <c r="R25" s="157"/>
    </row>
    <row r="26" spans="2:18" ht="26.25" thickBot="1">
      <c r="B26" s="130" t="s">
        <v>502</v>
      </c>
      <c r="C26" s="50"/>
      <c r="D26" s="142">
        <f>SUM(D16:D24)</f>
        <v>1404339</v>
      </c>
      <c r="E26" s="131"/>
      <c r="F26" s="140">
        <f>SUM(F16:F24)</f>
        <v>4</v>
      </c>
      <c r="G26" s="131"/>
      <c r="H26" s="142">
        <f>SUM(H16:H24)</f>
        <v>1608949</v>
      </c>
      <c r="I26" s="131"/>
      <c r="J26" s="142">
        <f>SUM(J16:J24)</f>
        <v>5</v>
      </c>
      <c r="K26" s="131"/>
      <c r="L26" s="142">
        <f>SUM(L16:L24)</f>
        <v>42141.364000000001</v>
      </c>
      <c r="M26" s="131"/>
      <c r="N26" s="142">
        <f>SUM(N16:N24)</f>
        <v>0</v>
      </c>
      <c r="O26" s="131"/>
      <c r="P26" s="142">
        <f>SUM(P16:P24)</f>
        <v>-28384</v>
      </c>
      <c r="Q26" s="131"/>
      <c r="R26" s="161">
        <f>+R16+R18+R20</f>
        <v>13766.364</v>
      </c>
    </row>
    <row r="27" spans="2:18" ht="15" thickTop="1">
      <c r="D27" s="143"/>
      <c r="E27" s="143"/>
      <c r="F27" s="143"/>
      <c r="G27" s="143"/>
      <c r="H27" s="143"/>
      <c r="I27" s="143"/>
      <c r="J27" s="144"/>
      <c r="K27" s="143"/>
      <c r="L27" s="145"/>
      <c r="M27" s="143"/>
      <c r="N27" s="143"/>
      <c r="O27" s="143"/>
      <c r="P27" s="144"/>
      <c r="Q27" s="143"/>
      <c r="R27" s="162"/>
    </row>
    <row r="28" spans="2:18">
      <c r="D28" s="151">
        <f>+D16+D19+D20-D26</f>
        <v>0</v>
      </c>
      <c r="E28" s="129"/>
      <c r="F28" s="129"/>
      <c r="G28" s="129"/>
      <c r="H28" s="152">
        <f>+H16+H22-H26</f>
        <v>0</v>
      </c>
      <c r="I28" s="129"/>
      <c r="J28" s="129"/>
      <c r="K28" s="129"/>
      <c r="L28" s="152">
        <f>+L16+L20-L26</f>
        <v>0</v>
      </c>
      <c r="M28" s="129"/>
      <c r="N28" s="129"/>
      <c r="O28" s="129"/>
      <c r="P28" s="151">
        <f>+P16+P18-P26</f>
        <v>0</v>
      </c>
      <c r="Q28" s="151">
        <f>+Q16+Q18-Q26</f>
        <v>0</v>
      </c>
      <c r="R28" s="163"/>
    </row>
    <row r="29" spans="2:18">
      <c r="R29" s="166">
        <f>+'BS USD'!S51-R26</f>
        <v>0.63600000000042201</v>
      </c>
    </row>
    <row r="30" spans="2:18">
      <c r="D30" s="150"/>
      <c r="L30" s="237">
        <f>+L26-'BS USD'!S46</f>
        <v>0</v>
      </c>
      <c r="R30" s="165"/>
    </row>
    <row r="32" spans="2:18">
      <c r="B32" s="167"/>
    </row>
    <row r="33" spans="12:16">
      <c r="L33" s="167"/>
      <c r="P33" s="167"/>
    </row>
  </sheetData>
  <mergeCells count="2">
    <mergeCell ref="B3:B4"/>
    <mergeCell ref="C3:C4"/>
  </mergeCell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478FE-0C27-46AB-B486-CFDE72708DEE}">
  <sheetPr>
    <tabColor rgb="FFFFFF00"/>
  </sheetPr>
  <dimension ref="B5:T39"/>
  <sheetViews>
    <sheetView workbookViewId="0"/>
  </sheetViews>
  <sheetFormatPr defaultColWidth="9.1640625" defaultRowHeight="14.25"/>
  <cols>
    <col min="1" max="2" width="9.1640625" style="8"/>
    <col min="3" max="3" width="3" style="8" bestFit="1" customWidth="1"/>
    <col min="4" max="4" width="23.1640625" style="8" bestFit="1" customWidth="1"/>
    <col min="5" max="5" width="10.1640625" style="14" bestFit="1" customWidth="1"/>
    <col min="6" max="6" width="13.6640625" style="8" bestFit="1" customWidth="1"/>
    <col min="7" max="7" width="20.6640625" style="8" customWidth="1"/>
    <col min="8" max="8" width="9.1640625" style="8"/>
    <col min="9" max="13" width="12.1640625" style="8" bestFit="1" customWidth="1"/>
    <col min="14" max="18" width="9.1640625" style="8"/>
    <col min="19" max="19" width="36.1640625" style="8" customWidth="1"/>
    <col min="20" max="20" width="13.6640625" style="8" bestFit="1" customWidth="1"/>
    <col min="21" max="16384" width="9.1640625" style="8"/>
  </cols>
  <sheetData>
    <row r="5" spans="2:8" s="224" customFormat="1" ht="15">
      <c r="B5" s="224">
        <v>1</v>
      </c>
      <c r="D5" s="225" t="s">
        <v>611</v>
      </c>
      <c r="E5" s="226"/>
      <c r="G5" s="225" t="s">
        <v>606</v>
      </c>
    </row>
    <row r="7" spans="2:8" ht="15">
      <c r="D7" s="9"/>
    </row>
    <row r="9" spans="2:8">
      <c r="C9" s="8" t="s">
        <v>607</v>
      </c>
      <c r="D9" s="8" t="s">
        <v>608</v>
      </c>
      <c r="E9" s="14">
        <v>47763.9</v>
      </c>
    </row>
    <row r="10" spans="2:8">
      <c r="C10" s="8" t="s">
        <v>609</v>
      </c>
      <c r="D10" s="8" t="s">
        <v>610</v>
      </c>
      <c r="E10" s="14">
        <v>47763.9</v>
      </c>
    </row>
    <row r="14" spans="2:8" s="224" customFormat="1" ht="15">
      <c r="B14" s="224">
        <v>2</v>
      </c>
      <c r="D14" s="225"/>
      <c r="E14" s="226"/>
      <c r="G14" s="225"/>
      <c r="H14" s="227"/>
    </row>
    <row r="16" spans="2:8" ht="15">
      <c r="F16" s="9"/>
      <c r="G16" s="9"/>
    </row>
    <row r="17" spans="4:20">
      <c r="F17" s="168"/>
      <c r="G17" s="14"/>
    </row>
    <row r="18" spans="4:20">
      <c r="F18" s="169"/>
      <c r="G18" s="14"/>
    </row>
    <row r="19" spans="4:20">
      <c r="F19" s="169"/>
      <c r="G19" s="172"/>
    </row>
    <row r="20" spans="4:20">
      <c r="F20" s="169"/>
      <c r="G20" s="172"/>
    </row>
    <row r="21" spans="4:20" ht="15">
      <c r="D21" s="9"/>
      <c r="G21" s="9"/>
      <c r="R21"/>
      <c r="S21"/>
      <c r="T21"/>
    </row>
    <row r="22" spans="4:20" ht="15">
      <c r="F22" s="9"/>
      <c r="G22" s="9"/>
      <c r="R22"/>
      <c r="S22"/>
      <c r="T22"/>
    </row>
    <row r="23" spans="4:20">
      <c r="F23" s="169"/>
      <c r="G23" s="14"/>
      <c r="R23"/>
      <c r="S23"/>
      <c r="T23"/>
    </row>
    <row r="24" spans="4:20">
      <c r="F24" s="168"/>
      <c r="G24" s="14"/>
      <c r="R24"/>
      <c r="S24"/>
      <c r="T24"/>
    </row>
    <row r="25" spans="4:20">
      <c r="F25" s="168"/>
      <c r="G25" s="14"/>
      <c r="J25" s="171"/>
      <c r="K25" s="168"/>
      <c r="L25" s="171"/>
      <c r="M25" s="168"/>
      <c r="R25"/>
      <c r="S25"/>
      <c r="T25"/>
    </row>
    <row r="26" spans="4:20">
      <c r="F26" s="169"/>
      <c r="R26"/>
      <c r="S26"/>
      <c r="T26"/>
    </row>
    <row r="27" spans="4:20">
      <c r="F27" s="169"/>
      <c r="R27"/>
      <c r="S27"/>
      <c r="T27"/>
    </row>
    <row r="28" spans="4:20" ht="15">
      <c r="F28" s="9"/>
      <c r="G28" s="9"/>
      <c r="H28" s="9"/>
      <c r="R28"/>
      <c r="S28"/>
      <c r="T28"/>
    </row>
    <row r="29" spans="4:20">
      <c r="F29" s="168"/>
      <c r="G29" s="14"/>
      <c r="M29" s="232"/>
      <c r="R29"/>
      <c r="S29"/>
      <c r="T29"/>
    </row>
    <row r="30" spans="4:20">
      <c r="F30" s="169"/>
      <c r="G30" s="14"/>
      <c r="R30"/>
      <c r="S30"/>
      <c r="T30"/>
    </row>
    <row r="31" spans="4:20">
      <c r="F31" s="169"/>
      <c r="R31"/>
      <c r="S31"/>
      <c r="T31"/>
    </row>
    <row r="32" spans="4:20">
      <c r="F32" s="169"/>
      <c r="R32"/>
      <c r="S32"/>
      <c r="T32"/>
    </row>
    <row r="33" spans="2:20">
      <c r="T33" s="14"/>
    </row>
    <row r="34" spans="2:20">
      <c r="T34" s="14"/>
    </row>
    <row r="35" spans="2:20" s="224" customFormat="1" ht="15">
      <c r="B35" s="224">
        <v>3</v>
      </c>
      <c r="D35" s="225" t="s">
        <v>822</v>
      </c>
      <c r="E35" s="226"/>
      <c r="G35" s="225" t="s">
        <v>650</v>
      </c>
      <c r="T35" s="226"/>
    </row>
    <row r="36" spans="2:20" ht="15">
      <c r="G36" s="9" t="s">
        <v>616</v>
      </c>
      <c r="T36" s="14"/>
    </row>
    <row r="37" spans="2:20">
      <c r="C37" s="8" t="s">
        <v>607</v>
      </c>
      <c r="D37" s="8" t="s">
        <v>652</v>
      </c>
      <c r="G37" s="14">
        <v>53520</v>
      </c>
      <c r="T37" s="14"/>
    </row>
    <row r="38" spans="2:20">
      <c r="C38" s="8" t="s">
        <v>609</v>
      </c>
      <c r="D38" s="8" t="s">
        <v>651</v>
      </c>
      <c r="G38" s="14">
        <f>+G37</f>
        <v>53520</v>
      </c>
      <c r="T38" s="14"/>
    </row>
    <row r="39" spans="2:20">
      <c r="T39" s="1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BC652-B4B8-4277-9BDC-E2723988BBD2}">
  <dimension ref="B2:AE168"/>
  <sheetViews>
    <sheetView workbookViewId="0"/>
  </sheetViews>
  <sheetFormatPr defaultColWidth="8.6640625" defaultRowHeight="11.25"/>
  <cols>
    <col min="2" max="2" width="9.1640625" bestFit="1" customWidth="1"/>
    <col min="4" max="4" width="51.5" bestFit="1" customWidth="1"/>
    <col min="5" max="5" width="14.6640625" bestFit="1" customWidth="1"/>
    <col min="6" max="6" width="17.1640625" bestFit="1" customWidth="1"/>
    <col min="7" max="7" width="12.5" bestFit="1" customWidth="1"/>
    <col min="8" max="8" width="9.5" bestFit="1" customWidth="1"/>
    <col min="10" max="11" width="14.6640625" bestFit="1" customWidth="1"/>
    <col min="13" max="13" width="13.1640625" customWidth="1"/>
    <col min="14" max="14" width="44" bestFit="1" customWidth="1"/>
    <col min="15" max="16" width="13.6640625" customWidth="1"/>
  </cols>
  <sheetData>
    <row r="2" spans="2:31" ht="15.75" thickBot="1">
      <c r="B2" s="9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</row>
    <row r="3" spans="2:31" s="65" customFormat="1" ht="15.75" thickBot="1">
      <c r="B3" s="63"/>
      <c r="C3" s="64"/>
      <c r="D3" s="64" t="s">
        <v>518</v>
      </c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</row>
    <row r="4" spans="2:31" ht="14.25"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</row>
    <row r="5" spans="2:31" ht="15">
      <c r="B5" s="9">
        <v>3</v>
      </c>
      <c r="C5" s="8"/>
      <c r="D5" s="8" t="s">
        <v>519</v>
      </c>
      <c r="E5" s="14">
        <f>+SUMIF('Full BS-USD'!$M$9:$M$226,F5,'Full BS-USD'!$L$9:$L$226)/1000</f>
        <v>424.62304999999998</v>
      </c>
      <c r="F5" s="8">
        <v>12.1</v>
      </c>
      <c r="G5" s="8"/>
      <c r="H5" s="8"/>
      <c r="I5" s="171" t="s">
        <v>662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</row>
    <row r="6" spans="2:31" ht="15.75" thickBot="1">
      <c r="B6" s="9"/>
      <c r="C6" s="8"/>
      <c r="D6" s="8" t="s">
        <v>520</v>
      </c>
      <c r="E6" s="59">
        <f>SUMIF('Full BS-USD'!$M$9:$M$226,F6,'Full BS-USD'!$L$9:$L$226)/1000-E5-1</f>
        <v>233.25907000000001</v>
      </c>
      <c r="F6" s="8">
        <v>12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</row>
    <row r="7" spans="2:31" ht="15">
      <c r="B7" s="9"/>
      <c r="C7" s="8"/>
      <c r="D7" s="8"/>
      <c r="E7" s="62">
        <f>SUM(E5:E6)</f>
        <v>657.88211999999999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</row>
    <row r="8" spans="2:31" ht="14.25">
      <c r="E8" s="221">
        <f>+E7-'BS USD'!S13</f>
        <v>-1.1178800000000138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</row>
    <row r="9" spans="2:31" ht="14.25"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</row>
    <row r="10" spans="2:31" ht="15">
      <c r="B10" s="9">
        <v>4</v>
      </c>
      <c r="C10" s="8"/>
      <c r="D10" s="8" t="s">
        <v>521</v>
      </c>
      <c r="E10" s="14">
        <f>+SUMIF('Full BS-USD'!$M$9:$M$226,F10,'Full BS-USD'!$L$9:$L$226)/1000</f>
        <v>273.23525999999998</v>
      </c>
      <c r="F10" s="8">
        <v>13.1</v>
      </c>
      <c r="G10" s="8"/>
      <c r="H10" s="8"/>
      <c r="I10" s="171" t="s">
        <v>663</v>
      </c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</row>
    <row r="11" spans="2:31" ht="15">
      <c r="B11" s="9"/>
      <c r="C11" s="8"/>
      <c r="D11" s="8" t="s">
        <v>522</v>
      </c>
      <c r="E11" s="14">
        <f>+SUMIF('Full BS-USD'!$M$9:$M$226,F11,'Full BS-USD'!$L$9:$L$226)/1000</f>
        <v>162.24782000000002</v>
      </c>
      <c r="F11" s="8">
        <v>13.2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</row>
    <row r="12" spans="2:31" ht="15.75" thickBot="1">
      <c r="B12" s="9"/>
      <c r="C12" s="8"/>
      <c r="D12" s="8" t="s">
        <v>523</v>
      </c>
      <c r="E12" s="59">
        <f>SUMIF('Full BS-USD'!$M$9:$M$226,F12,'Full BS-USD'!$L$9:$L$226)/1000-E11-E10</f>
        <v>223.27714999999972</v>
      </c>
      <c r="F12" s="8">
        <v>13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</row>
    <row r="13" spans="2:31" ht="15">
      <c r="B13" s="9"/>
      <c r="D13" s="8"/>
      <c r="E13" s="62">
        <f>SUM(E10:E12)</f>
        <v>658.76022999999964</v>
      </c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</row>
    <row r="14" spans="2:31" ht="15">
      <c r="B14" s="9"/>
      <c r="E14" s="221">
        <f>+E13-'BS USD'!S14</f>
        <v>-0.23977000000036242</v>
      </c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</row>
    <row r="15" spans="2:31" ht="15">
      <c r="B15" s="9">
        <v>5</v>
      </c>
      <c r="D15" s="8" t="s">
        <v>524</v>
      </c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</row>
    <row r="16" spans="2:31" ht="15">
      <c r="B16" s="9"/>
      <c r="D16" s="8" t="s">
        <v>525</v>
      </c>
      <c r="E16" s="14">
        <f>+SUMIF('Full BS-USD'!$M$9:$M$226,F16,'Full BS-USD'!$L$9:$L$226)/1000</f>
        <v>233.65423000000001</v>
      </c>
      <c r="F16" s="8">
        <v>15.1</v>
      </c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</row>
    <row r="17" spans="2:31" ht="15">
      <c r="B17" s="9"/>
      <c r="D17" s="8" t="s">
        <v>526</v>
      </c>
      <c r="E17" s="14">
        <f>+SUMIF('Full BS-USD'!$M$9:$M$226,F17,'Full BS-USD'!$L$9:$L$226)/1000</f>
        <v>28.005320000000005</v>
      </c>
      <c r="F17" s="8">
        <v>15.2</v>
      </c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</row>
    <row r="18" spans="2:31" ht="15.75" thickBot="1">
      <c r="B18" s="9"/>
      <c r="D18" s="8" t="s">
        <v>527</v>
      </c>
      <c r="E18" s="59">
        <f>SUMIF('Full BS-USD'!$M$9:$M$226,F18,'Full BS-USD'!$L$9:$L$226)/1000</f>
        <v>2.6523300000000001</v>
      </c>
      <c r="F18" s="8">
        <v>15.3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</row>
    <row r="19" spans="2:31" ht="15">
      <c r="B19" s="9"/>
      <c r="E19" s="62">
        <f>SUM(E16:E18)</f>
        <v>264.31188000000003</v>
      </c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</row>
    <row r="20" spans="2:31" ht="15">
      <c r="B20" s="9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</row>
    <row r="21" spans="2:31" ht="15">
      <c r="B21" s="9"/>
      <c r="D21" s="8" t="s">
        <v>528</v>
      </c>
      <c r="E21" s="14">
        <f>SUMIF('Full BS-USD'!$M$9:$M$226,F21,'Full BS-USD'!$L$9:$L$226)/1000</f>
        <v>-142.99059</v>
      </c>
      <c r="F21" s="8">
        <v>15.4</v>
      </c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</row>
    <row r="22" spans="2:31" ht="15">
      <c r="B22" s="9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</row>
    <row r="23" spans="2:31" ht="15">
      <c r="B23" s="9"/>
      <c r="D23" s="8" t="s">
        <v>529</v>
      </c>
      <c r="E23" s="14">
        <f>+E19+E21</f>
        <v>121.32129000000003</v>
      </c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</row>
    <row r="24" spans="2:31" ht="15">
      <c r="B24" s="9"/>
      <c r="D24" s="8"/>
      <c r="E24" s="221">
        <f>+E23-'BS USD'!S21</f>
        <v>0.32129000000003316</v>
      </c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</row>
    <row r="25" spans="2:31" ht="15">
      <c r="B25" s="9"/>
      <c r="D25" s="8"/>
      <c r="E25" s="14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</row>
    <row r="26" spans="2:31" ht="15">
      <c r="B26" s="9"/>
      <c r="D26" s="8"/>
      <c r="E26" s="14"/>
      <c r="F26" s="8"/>
      <c r="G26" s="8"/>
      <c r="H26" s="8"/>
      <c r="I26" s="171" t="s">
        <v>664</v>
      </c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</row>
    <row r="27" spans="2:31" ht="15">
      <c r="B27" s="9">
        <v>6</v>
      </c>
      <c r="C27" s="8"/>
      <c r="D27" s="8" t="s">
        <v>530</v>
      </c>
      <c r="E27" s="14">
        <f>+SUMIF('Full BS-USD'!$M$9:$M$226,F27,'Full BS-USD'!$L$9:$L$226)/1000</f>
        <v>592.20807000000002</v>
      </c>
      <c r="F27" s="8">
        <v>17.100000000000001</v>
      </c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</row>
    <row r="28" spans="2:31" ht="15">
      <c r="B28" s="9"/>
      <c r="C28" s="8"/>
      <c r="D28" s="8" t="s">
        <v>532</v>
      </c>
      <c r="E28" s="14">
        <f>+SUMIF('Full BS-USD'!$M$9:$M$226,F28,'Full BS-USD'!$L$9:$L$226)/1000</f>
        <v>211.29614000000001</v>
      </c>
      <c r="F28" s="8">
        <v>17.2</v>
      </c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</row>
    <row r="29" spans="2:31" ht="15.75" thickBot="1">
      <c r="B29" s="9"/>
      <c r="C29" s="8"/>
      <c r="D29" s="8" t="s">
        <v>531</v>
      </c>
      <c r="E29" s="59">
        <f>+SUMIF('Full BS-USD'!$M$9:$M$226,F29,'Full BS-USD'!$L$9:$L$226)/1000-E28-E27</f>
        <v>314.55034000000001</v>
      </c>
      <c r="F29" s="8">
        <v>17</v>
      </c>
      <c r="G29" s="239" t="s">
        <v>612</v>
      </c>
      <c r="H29" s="35"/>
      <c r="I29" s="35"/>
      <c r="J29" s="35"/>
      <c r="K29" s="35"/>
      <c r="L29" s="35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</row>
    <row r="30" spans="2:31" ht="15">
      <c r="B30" s="9"/>
      <c r="D30" s="8"/>
      <c r="E30" s="62">
        <f>SUM(E27:E29)</f>
        <v>1118.0545500000001</v>
      </c>
      <c r="F30" s="8"/>
      <c r="G30" s="8"/>
      <c r="H30" s="8"/>
      <c r="I30" s="8"/>
      <c r="J30" s="8"/>
      <c r="K30" s="8"/>
      <c r="L30" s="8"/>
      <c r="N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</row>
    <row r="31" spans="2:31" ht="15">
      <c r="B31" s="9"/>
      <c r="E31" s="221">
        <f>+E30-'BS USD'!S35</f>
        <v>5.4550000000062937E-2</v>
      </c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</row>
    <row r="32" spans="2:31" ht="15">
      <c r="B32" s="9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</row>
    <row r="33" spans="2:31" ht="15">
      <c r="B33" s="9">
        <v>8</v>
      </c>
      <c r="D33" s="8" t="s">
        <v>534</v>
      </c>
      <c r="F33" s="8"/>
      <c r="G33" s="8"/>
      <c r="H33" s="8"/>
      <c r="I33" s="8"/>
      <c r="J33" s="8"/>
      <c r="K33" s="8"/>
      <c r="L33" s="8"/>
      <c r="M33" s="8"/>
      <c r="N33" s="8"/>
      <c r="O33" s="8" t="s">
        <v>542</v>
      </c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</row>
    <row r="34" spans="2:31" ht="14.25">
      <c r="F34" s="8"/>
      <c r="G34" s="8"/>
      <c r="H34" s="8"/>
      <c r="I34" s="8"/>
      <c r="J34" s="8"/>
      <c r="K34" s="8"/>
      <c r="L34" s="8"/>
      <c r="M34" s="8"/>
      <c r="N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</row>
    <row r="35" spans="2:31" ht="15">
      <c r="B35" s="9"/>
      <c r="G35" s="8"/>
      <c r="H35" s="8"/>
      <c r="I35" s="8"/>
      <c r="J35" s="8"/>
      <c r="K35" s="8"/>
      <c r="L35" s="8"/>
      <c r="M35" s="8"/>
      <c r="N35" s="8"/>
      <c r="O35" s="397">
        <v>2022</v>
      </c>
      <c r="P35" s="397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</row>
    <row r="36" spans="2:31" ht="58.5" thickBot="1">
      <c r="B36" s="9"/>
      <c r="E36" s="8" t="s">
        <v>540</v>
      </c>
      <c r="F36" s="68" t="s">
        <v>541</v>
      </c>
      <c r="G36" s="8"/>
      <c r="H36" s="8"/>
      <c r="I36" s="8"/>
      <c r="J36" s="8" t="s">
        <v>540</v>
      </c>
      <c r="K36" s="68" t="s">
        <v>541</v>
      </c>
      <c r="L36" s="8"/>
      <c r="M36" s="8"/>
      <c r="N36" s="8"/>
      <c r="O36" s="76" t="s">
        <v>543</v>
      </c>
      <c r="P36" s="75" t="s">
        <v>544</v>
      </c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</row>
    <row r="37" spans="2:31" ht="15.75" thickBot="1">
      <c r="B37" s="9"/>
      <c r="E37" s="398" t="s">
        <v>823</v>
      </c>
      <c r="F37" s="398"/>
      <c r="G37" s="8"/>
      <c r="H37" s="8"/>
      <c r="I37" s="8"/>
      <c r="J37" s="398" t="s">
        <v>539</v>
      </c>
      <c r="K37" s="398"/>
      <c r="L37" s="8"/>
      <c r="M37" s="8"/>
      <c r="N37" s="8" t="s">
        <v>545</v>
      </c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</row>
    <row r="38" spans="2:31" ht="15">
      <c r="B38" s="9"/>
      <c r="D38" s="8" t="s">
        <v>535</v>
      </c>
      <c r="E38" s="315">
        <v>3074000</v>
      </c>
      <c r="F38" s="315">
        <v>1223458</v>
      </c>
      <c r="G38" s="8"/>
      <c r="H38" s="8"/>
      <c r="I38" s="8"/>
      <c r="J38" s="147">
        <v>3074000</v>
      </c>
      <c r="K38" s="147">
        <v>1223458</v>
      </c>
      <c r="L38" s="8"/>
      <c r="M38" s="8"/>
      <c r="N38" s="8" t="s">
        <v>494</v>
      </c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</row>
    <row r="39" spans="2:31" ht="15">
      <c r="B39" s="9"/>
      <c r="D39" s="8" t="s">
        <v>536</v>
      </c>
      <c r="E39" s="315">
        <v>205000</v>
      </c>
      <c r="F39" s="315">
        <v>180881</v>
      </c>
      <c r="G39" s="8"/>
      <c r="H39" s="8"/>
      <c r="I39" s="8"/>
      <c r="J39" s="147">
        <v>205000</v>
      </c>
      <c r="K39" s="147">
        <v>180881</v>
      </c>
      <c r="L39" s="8"/>
      <c r="M39" s="8"/>
      <c r="N39" s="8" t="s">
        <v>546</v>
      </c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</row>
    <row r="40" spans="2:31" ht="15">
      <c r="B40" s="9"/>
      <c r="C40" s="8"/>
      <c r="D40" s="8" t="s">
        <v>537</v>
      </c>
      <c r="E40" s="315">
        <v>651000</v>
      </c>
      <c r="F40" s="315">
        <v>641271</v>
      </c>
      <c r="G40" s="8"/>
      <c r="H40" s="8"/>
      <c r="I40" s="8"/>
      <c r="J40" s="147">
        <v>651000</v>
      </c>
      <c r="K40" s="147">
        <v>641271</v>
      </c>
      <c r="L40" s="8"/>
      <c r="M40" s="8"/>
      <c r="N40" s="8" t="s">
        <v>547</v>
      </c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</row>
    <row r="41" spans="2:31" ht="15">
      <c r="B41" s="9"/>
      <c r="C41" s="8"/>
      <c r="D41" s="8" t="s">
        <v>538</v>
      </c>
      <c r="E41" s="149">
        <v>1070000</v>
      </c>
      <c r="F41" s="149">
        <v>967678</v>
      </c>
      <c r="G41" s="62"/>
      <c r="H41" s="62"/>
      <c r="I41" s="62"/>
      <c r="J41" s="148">
        <v>1070000</v>
      </c>
      <c r="K41" s="148">
        <v>967678</v>
      </c>
      <c r="L41" s="62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</row>
    <row r="42" spans="2:31" ht="15">
      <c r="B42" s="9"/>
      <c r="C42" s="8"/>
      <c r="D42" s="8"/>
      <c r="E42" s="315">
        <f>SUM(E38:E41)</f>
        <v>5000000</v>
      </c>
      <c r="F42" s="315">
        <f>SUM(F38:F41)</f>
        <v>3013288</v>
      </c>
      <c r="G42" s="8"/>
      <c r="H42" s="8"/>
      <c r="I42" s="8"/>
      <c r="J42" s="147">
        <f>SUM(J38:J41)</f>
        <v>5000000</v>
      </c>
      <c r="K42" s="147">
        <f>SUM(K38:K41)</f>
        <v>3013288</v>
      </c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</row>
    <row r="43" spans="2:31" ht="15">
      <c r="B43" s="9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</row>
    <row r="44" spans="2:31" ht="15">
      <c r="B44" s="9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</row>
    <row r="45" spans="2:31" ht="15">
      <c r="B45" s="9"/>
      <c r="C45" s="8"/>
      <c r="D45" s="8"/>
      <c r="E45" s="8"/>
      <c r="F45" s="8"/>
      <c r="G45" s="8"/>
      <c r="H45" s="8"/>
      <c r="I45" s="8"/>
      <c r="J45" s="8"/>
      <c r="K45" s="8" t="s">
        <v>614</v>
      </c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</row>
    <row r="46" spans="2:31" ht="15">
      <c r="B46" s="9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</row>
    <row r="47" spans="2:31" ht="15.75" thickBot="1">
      <c r="B47" s="9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</row>
    <row r="48" spans="2:31" s="65" customFormat="1" ht="15.75" thickBot="1">
      <c r="B48" s="63"/>
      <c r="C48" s="64"/>
      <c r="D48" s="64" t="s">
        <v>517</v>
      </c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  <c r="AB48" s="64"/>
      <c r="AC48" s="64"/>
      <c r="AD48" s="64"/>
      <c r="AE48" s="64"/>
    </row>
    <row r="49" spans="2:31" ht="15">
      <c r="B49" s="9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</row>
    <row r="50" spans="2:31" ht="15">
      <c r="B50" s="9">
        <v>9</v>
      </c>
      <c r="C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</row>
    <row r="51" spans="2:31" ht="15">
      <c r="B51" s="9"/>
      <c r="C51" s="8"/>
      <c r="D51" s="8" t="s">
        <v>509</v>
      </c>
      <c r="E51" s="315"/>
      <c r="F51" s="8" t="s">
        <v>511</v>
      </c>
      <c r="G51" s="8"/>
      <c r="H51" s="8"/>
      <c r="I51" s="171" t="s">
        <v>665</v>
      </c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</row>
    <row r="52" spans="2:31" ht="15.75" thickBot="1">
      <c r="B52" s="9"/>
      <c r="C52" s="8"/>
      <c r="D52" s="8" t="s">
        <v>510</v>
      </c>
      <c r="E52" s="316"/>
      <c r="F52" s="8" t="s">
        <v>511</v>
      </c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</row>
    <row r="53" spans="2:31" ht="15">
      <c r="B53" s="9"/>
      <c r="C53" s="8"/>
      <c r="D53" s="8"/>
      <c r="E53" s="62">
        <f>SUM(E51:E52)</f>
        <v>0</v>
      </c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</row>
    <row r="54" spans="2:31" ht="15">
      <c r="B54" s="9"/>
      <c r="C54" s="8"/>
      <c r="D54" s="8"/>
      <c r="E54" s="14">
        <f>+'P&amp;L'!P8</f>
        <v>9466</v>
      </c>
      <c r="F54" s="8" t="s">
        <v>512</v>
      </c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</row>
    <row r="55" spans="2:31" ht="15">
      <c r="B55" s="9"/>
      <c r="C55" s="8"/>
      <c r="D55" s="8"/>
      <c r="E55" s="222">
        <f>+E53-E54</f>
        <v>-9466</v>
      </c>
      <c r="F55" s="8" t="s">
        <v>513</v>
      </c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</row>
    <row r="56" spans="2:31" ht="15">
      <c r="B56" s="9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</row>
    <row r="57" spans="2:31" ht="14.25"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</row>
    <row r="58" spans="2:31" ht="14.25"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</row>
    <row r="59" spans="2:31" ht="15">
      <c r="B59" s="9">
        <v>10</v>
      </c>
      <c r="C59" s="8"/>
      <c r="D59" s="8" t="s">
        <v>514</v>
      </c>
      <c r="E59" s="14">
        <f>-SUMIF('Full P&amp;L-USD'!$K$8:$K$808,F59,'Full P&amp;L-USD'!$J$8:$J$808)/1000</f>
        <v>1752.49702</v>
      </c>
      <c r="F59" s="8">
        <v>2.1</v>
      </c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</row>
    <row r="60" spans="2:31" ht="15.75" thickBot="1">
      <c r="B60" s="9"/>
      <c r="C60" s="8"/>
      <c r="D60" s="8" t="s">
        <v>515</v>
      </c>
      <c r="E60" s="59">
        <f>-SUMIF('Full P&amp;L-USD'!$A$8:$A$808,G60,'Full P&amp;L-USD'!$J$8:$J$808)/1000</f>
        <v>1324.2111299999999</v>
      </c>
      <c r="F60" s="8">
        <v>2.2000000000000002</v>
      </c>
      <c r="G60" s="383" t="s">
        <v>90</v>
      </c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</row>
    <row r="61" spans="2:31" ht="15">
      <c r="B61" s="9"/>
      <c r="C61" s="8"/>
      <c r="D61" s="8"/>
      <c r="E61" s="14">
        <f>+E60+E59</f>
        <v>3076.7081499999999</v>
      </c>
      <c r="F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</row>
    <row r="62" spans="2:31" ht="14.25">
      <c r="E62" s="223">
        <f>+E61+'P&amp;L'!P10</f>
        <v>-0.29185000000006767</v>
      </c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</row>
    <row r="63" spans="2:31" ht="14.25"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</row>
    <row r="64" spans="2:31" ht="14.25"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</row>
    <row r="65" spans="2:31" ht="14.25"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</row>
    <row r="66" spans="2:31" ht="14.25"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</row>
    <row r="67" spans="2:31" ht="15">
      <c r="B67" s="9">
        <v>11</v>
      </c>
      <c r="C67" s="8"/>
      <c r="D67" s="8" t="s">
        <v>506</v>
      </c>
      <c r="E67" s="14">
        <f>-SUMIF('Full P&amp;L-USD'!$K$8:$K$1000,F67,'Full P&amp;L-USD'!$J$8:$J$1000)/1000</f>
        <v>-28.488699999999998</v>
      </c>
      <c r="F67" s="8">
        <v>6.1</v>
      </c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</row>
    <row r="68" spans="2:31" ht="14.25">
      <c r="B68" s="8"/>
      <c r="C68" s="8"/>
      <c r="D68" s="8" t="s">
        <v>507</v>
      </c>
      <c r="E68" s="14">
        <f>-SUMIF('Full P&amp;L-USD'!$K$8:$K$1000,F68,'Full P&amp;L-USD'!$J$8:$J$1000)/1000</f>
        <v>92.548140000000004</v>
      </c>
      <c r="F68" s="8">
        <v>6.2</v>
      </c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</row>
    <row r="69" spans="2:31" ht="14.25">
      <c r="B69" s="8"/>
      <c r="C69" s="8"/>
      <c r="D69" s="8" t="s">
        <v>508</v>
      </c>
      <c r="E69" s="14">
        <f>-SUMIF('Full P&amp;L-USD'!$K$8:$K$1000,F69,'Full P&amp;L-USD'!$J$8:$J$1000)/1000</f>
        <v>0</v>
      </c>
      <c r="F69" s="8">
        <v>6.3</v>
      </c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</row>
    <row r="70" spans="2:31" ht="14.25">
      <c r="B70" s="8"/>
      <c r="C70" s="8"/>
      <c r="D70" s="8" t="s">
        <v>649</v>
      </c>
      <c r="E70" s="17">
        <f>SUMIF('Full P&amp;L-USD'!$K$8:$K$1000,F70,'Full P&amp;L-USD'!$J$8:$J$1000)/1000</f>
        <v>514.44096999999999</v>
      </c>
      <c r="F70" s="8">
        <v>6.4</v>
      </c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</row>
    <row r="71" spans="2:31" ht="14.25">
      <c r="B71" s="8"/>
      <c r="C71" s="8"/>
      <c r="D71" s="8"/>
      <c r="E71" s="58">
        <f>SUM(E67:E70)</f>
        <v>578.50040999999999</v>
      </c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</row>
    <row r="72" spans="2:31" ht="14.25">
      <c r="B72" s="8"/>
      <c r="C72" s="8"/>
      <c r="D72" s="8"/>
      <c r="E72" s="223">
        <f>+E71-'P&amp;L'!P25</f>
        <v>0.50040999999998803</v>
      </c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</row>
    <row r="73" spans="2:31" ht="14.25">
      <c r="B73" s="8"/>
      <c r="C73" s="8"/>
      <c r="D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</row>
    <row r="74" spans="2:31" ht="14.25"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</row>
    <row r="75" spans="2:31" ht="14.25"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</row>
    <row r="76" spans="2:31" ht="14.25"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</row>
    <row r="77" spans="2:31" ht="14.25"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</row>
    <row r="78" spans="2:31" ht="14.25"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</row>
    <row r="79" spans="2:31" ht="14.25"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</row>
    <row r="80" spans="2:31" ht="14.25"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</row>
    <row r="81" spans="2:31" ht="14.25"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</row>
    <row r="82" spans="2:31" ht="14.25"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</row>
    <row r="83" spans="2:31" ht="14.25"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</row>
    <row r="84" spans="2:31" ht="14.25"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</row>
    <row r="85" spans="2:31" ht="14.25"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</row>
    <row r="86" spans="2:31" ht="14.25"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</row>
    <row r="87" spans="2:31" ht="14.25"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</row>
    <row r="88" spans="2:31" ht="14.25"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</row>
    <row r="89" spans="2:31" ht="14.25"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</row>
    <row r="90" spans="2:31" ht="14.25"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</row>
    <row r="91" spans="2:31" ht="14.25"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</row>
    <row r="92" spans="2:31" ht="14.25"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</row>
    <row r="93" spans="2:31" ht="14.25"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</row>
    <row r="94" spans="2:31" ht="14.25"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</row>
    <row r="95" spans="2:31" ht="14.25"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</row>
    <row r="96" spans="2:31" ht="14.25"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</row>
    <row r="97" spans="2:31" ht="14.25"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</row>
    <row r="98" spans="2:31" ht="14.25"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</row>
    <row r="99" spans="2:31" ht="14.25"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</row>
    <row r="100" spans="2:31" ht="14.25"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</row>
    <row r="101" spans="2:31" ht="14.25"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</row>
    <row r="102" spans="2:31" ht="14.25"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</row>
    <row r="103" spans="2:31" ht="14.25"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</row>
    <row r="104" spans="2:31" ht="14.25"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</row>
    <row r="105" spans="2:31" ht="14.25"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</row>
    <row r="106" spans="2:31" ht="14.25"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</row>
    <row r="107" spans="2:31" ht="14.25"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</row>
    <row r="108" spans="2:31" ht="14.25"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</row>
    <row r="109" spans="2:31" ht="14.25"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</row>
    <row r="110" spans="2:31" ht="14.25"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</row>
    <row r="111" spans="2:31" ht="14.25"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</row>
    <row r="112" spans="2:31" ht="14.25"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</row>
    <row r="113" spans="2:31" ht="14.25"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</row>
    <row r="114" spans="2:31" ht="14.25"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</row>
    <row r="115" spans="2:31" ht="14.25"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</row>
    <row r="116" spans="2:31" ht="14.25"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</row>
    <row r="117" spans="2:31" ht="14.25"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</row>
    <row r="118" spans="2:31" ht="14.25"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</row>
    <row r="119" spans="2:31" ht="14.25"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</row>
    <row r="120" spans="2:31" ht="14.25"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</row>
    <row r="121" spans="2:31" ht="14.25"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</row>
    <row r="122" spans="2:31" ht="14.25"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</row>
    <row r="123" spans="2:31" ht="14.25"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</row>
    <row r="124" spans="2:31" ht="14.25"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</row>
    <row r="125" spans="2:31" ht="14.25"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</row>
    <row r="126" spans="2:31" ht="14.25"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</row>
    <row r="127" spans="2:31" ht="14.25"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</row>
    <row r="128" spans="2:31" ht="14.25"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</row>
    <row r="129" spans="2:31" ht="14.25"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</row>
    <row r="130" spans="2:31" ht="14.25"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</row>
    <row r="131" spans="2:31" ht="14.25"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</row>
    <row r="132" spans="2:31" ht="14.25"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</row>
    <row r="133" spans="2:31" ht="14.25"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</row>
    <row r="134" spans="2:31" ht="14.25"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</row>
    <row r="135" spans="2:31" ht="14.25"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</row>
    <row r="136" spans="2:31" ht="14.25"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</row>
    <row r="137" spans="2:31" ht="14.25"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</row>
    <row r="138" spans="2:31" ht="14.25"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</row>
    <row r="139" spans="2:31" ht="14.25"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</row>
    <row r="140" spans="2:31" ht="14.25"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</row>
    <row r="141" spans="2:31" ht="14.25"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</row>
    <row r="142" spans="2:31" ht="14.25"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</row>
    <row r="143" spans="2:31" ht="14.25"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</row>
    <row r="144" spans="2:31" ht="14.25"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</row>
    <row r="145" spans="2:31" ht="14.25"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</row>
    <row r="146" spans="2:31" ht="14.25"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</row>
    <row r="147" spans="2:31" ht="14.25"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</row>
    <row r="148" spans="2:31" ht="14.25"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</row>
    <row r="149" spans="2:31" ht="14.25"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</row>
    <row r="150" spans="2:31" ht="14.25"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</row>
    <row r="151" spans="2:31" ht="14.25"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</row>
    <row r="152" spans="2:31" ht="14.25"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</row>
    <row r="153" spans="2:31" ht="14.25"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</row>
    <row r="154" spans="2:31" ht="14.25"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</row>
    <row r="155" spans="2:31" ht="14.25"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</row>
    <row r="156" spans="2:31" ht="14.25"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</row>
    <row r="157" spans="2:31" ht="14.25"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</row>
    <row r="158" spans="2:31" ht="14.25"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</row>
    <row r="159" spans="2:31" ht="14.25"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</row>
    <row r="160" spans="2:31" ht="14.25"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</row>
    <row r="161" spans="2:31" ht="14.25"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</row>
    <row r="162" spans="2:31" ht="14.25"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</row>
    <row r="163" spans="2:31" ht="14.25"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</row>
    <row r="164" spans="2:31" ht="14.25"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</row>
    <row r="165" spans="2:31" ht="14.25"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</row>
    <row r="166" spans="2:31" ht="14.25"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</row>
    <row r="167" spans="2:31" ht="14.25"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</row>
    <row r="168" spans="2:31" ht="14.25"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</row>
  </sheetData>
  <mergeCells count="3">
    <mergeCell ref="O35:P35"/>
    <mergeCell ref="E37:F37"/>
    <mergeCell ref="J37:K37"/>
  </mergeCells>
  <hyperlinks>
    <hyperlink ref="I5" r:id="rId1" xr:uid="{DB030D93-4376-4399-9AA0-305E6F90FED0}"/>
    <hyperlink ref="I10" r:id="rId2" xr:uid="{11165619-4371-4460-B753-80BB6581B4AB}"/>
    <hyperlink ref="I26" r:id="rId3" display="See WP : Accrued wxpenses" xr:uid="{AFF29CF2-8637-4C96-A38C-32232E78BCD9}"/>
    <hyperlink ref="I51" r:id="rId4" xr:uid="{09253274-B478-4FFE-A250-AC36707E84D9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1ED06-5B39-4691-BEA6-8AE6DBC276B6}">
  <dimension ref="A5:U71"/>
  <sheetViews>
    <sheetView workbookViewId="0"/>
  </sheetViews>
  <sheetFormatPr defaultColWidth="9.1640625" defaultRowHeight="15"/>
  <cols>
    <col min="1" max="1" width="39.6640625" style="54" bestFit="1" customWidth="1"/>
    <col min="2" max="2" width="26.5" style="54" customWidth="1"/>
    <col min="3" max="3" width="20.5" style="54" bestFit="1" customWidth="1"/>
    <col min="4" max="6" width="20.6640625" style="54" customWidth="1"/>
    <col min="7" max="7" width="14" style="54" bestFit="1" customWidth="1"/>
    <col min="8" max="10" width="9.1640625" style="54"/>
    <col min="11" max="11" width="13" style="54" bestFit="1" customWidth="1"/>
    <col min="12" max="12" width="12.5" style="54" customWidth="1"/>
    <col min="13" max="14" width="9.1640625" style="54"/>
    <col min="15" max="15" width="9.5" style="54" bestFit="1" customWidth="1"/>
    <col min="16" max="17" width="15.5" style="54" bestFit="1" customWidth="1"/>
    <col min="18" max="18" width="9.1640625" style="54"/>
    <col min="19" max="19" width="11.1640625" style="54" bestFit="1" customWidth="1"/>
    <col min="20" max="20" width="15.1640625" style="54" bestFit="1" customWidth="1"/>
    <col min="21" max="16384" width="9.1640625" style="54"/>
  </cols>
  <sheetData>
    <row r="5" spans="1:6" ht="60">
      <c r="A5" s="228"/>
      <c r="B5" s="229" t="s">
        <v>488</v>
      </c>
      <c r="C5" s="229" t="s">
        <v>489</v>
      </c>
      <c r="D5" s="229" t="s">
        <v>490</v>
      </c>
      <c r="E5" s="229" t="s">
        <v>491</v>
      </c>
      <c r="F5" s="229" t="s">
        <v>492</v>
      </c>
    </row>
    <row r="6" spans="1:6">
      <c r="A6" s="230" t="s">
        <v>493</v>
      </c>
      <c r="B6" s="231">
        <v>146702</v>
      </c>
      <c r="C6" s="231">
        <v>8.4313219568521447</v>
      </c>
      <c r="D6" s="228"/>
      <c r="E6" s="228"/>
      <c r="F6" s="231">
        <v>3604274.2062858772</v>
      </c>
    </row>
    <row r="7" spans="1:6">
      <c r="A7" s="230" t="s">
        <v>494</v>
      </c>
      <c r="B7" s="231">
        <v>23750</v>
      </c>
      <c r="C7" s="231">
        <v>21.18</v>
      </c>
      <c r="D7" s="228"/>
      <c r="E7" s="228"/>
      <c r="F7" s="228"/>
    </row>
    <row r="8" spans="1:6">
      <c r="A8" s="230" t="s">
        <v>495</v>
      </c>
      <c r="B8" s="231">
        <v>-2600</v>
      </c>
      <c r="C8" s="231">
        <v>4.3474828950532274</v>
      </c>
      <c r="D8" s="231">
        <v>4.3474828950532274</v>
      </c>
      <c r="E8" s="228"/>
      <c r="F8" s="228"/>
    </row>
    <row r="9" spans="1:6">
      <c r="A9" s="230" t="s">
        <v>496</v>
      </c>
      <c r="B9" s="231">
        <v>-5752</v>
      </c>
      <c r="C9" s="231">
        <v>13.903859527121002</v>
      </c>
      <c r="D9" s="228"/>
      <c r="E9" s="228"/>
      <c r="F9" s="228"/>
    </row>
    <row r="10" spans="1:6">
      <c r="A10" s="230" t="s">
        <v>497</v>
      </c>
      <c r="B10" s="231">
        <v>-765</v>
      </c>
      <c r="C10" s="231">
        <v>12.5</v>
      </c>
      <c r="D10" s="228"/>
      <c r="E10" s="228"/>
      <c r="F10" s="228"/>
    </row>
    <row r="11" spans="1:6">
      <c r="A11" s="230" t="s">
        <v>498</v>
      </c>
      <c r="B11" s="231">
        <v>161335</v>
      </c>
      <c r="C11" s="231">
        <v>10.159456027439706</v>
      </c>
      <c r="D11" s="228"/>
      <c r="E11" s="231">
        <v>7.7855858340657642</v>
      </c>
      <c r="F11" s="231">
        <v>3684979.1618130151</v>
      </c>
    </row>
    <row r="12" spans="1:6">
      <c r="A12" s="230" t="s">
        <v>499</v>
      </c>
      <c r="B12" s="231">
        <v>89352</v>
      </c>
      <c r="C12" s="231">
        <v>4.993528502563028</v>
      </c>
      <c r="D12" s="228"/>
      <c r="E12" s="231">
        <v>6.9678835078341841</v>
      </c>
      <c r="F12" s="231">
        <v>2502434.2412389885</v>
      </c>
    </row>
    <row r="15" spans="1:6" s="186" customFormat="1"/>
    <row r="18" spans="1:21">
      <c r="B18" s="399">
        <v>2022</v>
      </c>
      <c r="C18" s="399"/>
      <c r="K18"/>
      <c r="L18"/>
      <c r="M18"/>
      <c r="N18"/>
      <c r="O18"/>
      <c r="P18"/>
      <c r="Q18"/>
      <c r="R18"/>
      <c r="S18"/>
    </row>
    <row r="19" spans="1:21" ht="30">
      <c r="B19" s="181" t="s">
        <v>621</v>
      </c>
      <c r="C19" s="181" t="s">
        <v>622</v>
      </c>
      <c r="E19" s="193" t="s">
        <v>630</v>
      </c>
      <c r="K19"/>
      <c r="L19" s="67"/>
      <c r="M19" s="67"/>
      <c r="N19" s="67"/>
      <c r="O19" s="67"/>
      <c r="P19" s="67"/>
      <c r="Q19" s="67"/>
      <c r="R19" s="67"/>
      <c r="S19" s="67"/>
      <c r="T19" s="333"/>
    </row>
    <row r="20" spans="1:21">
      <c r="A20" s="180" t="s">
        <v>545</v>
      </c>
      <c r="B20" s="184">
        <v>105702</v>
      </c>
      <c r="C20" s="54">
        <v>5.47</v>
      </c>
      <c r="E20" s="194">
        <f>+B20/B22</f>
        <v>0.8165343138769583</v>
      </c>
      <c r="F20" s="195">
        <f>+C20*E20</f>
        <v>4.4664426969069613</v>
      </c>
      <c r="K20"/>
      <c r="L20" t="s">
        <v>647</v>
      </c>
      <c r="M20"/>
      <c r="N20"/>
      <c r="O20"/>
      <c r="P20"/>
      <c r="Q20"/>
      <c r="R20"/>
      <c r="S20"/>
    </row>
    <row r="21" spans="1:21">
      <c r="A21" s="180" t="s">
        <v>494</v>
      </c>
      <c r="B21" s="187">
        <f>+B7</f>
        <v>23750</v>
      </c>
      <c r="C21" s="189">
        <f>+C7</f>
        <v>21.18</v>
      </c>
      <c r="E21" s="196">
        <f>+B21/B22</f>
        <v>0.18346568612304173</v>
      </c>
      <c r="F21" s="197">
        <f>+E21*C21</f>
        <v>3.8858032320860239</v>
      </c>
      <c r="K21"/>
      <c r="L21" s="204" t="s">
        <v>631</v>
      </c>
      <c r="M21" s="205"/>
      <c r="N21" s="205"/>
      <c r="O21" s="205"/>
      <c r="P21" s="205"/>
      <c r="Q21" s="205"/>
      <c r="R21" s="205"/>
      <c r="S21" s="205"/>
      <c r="T21" s="205"/>
      <c r="U21" s="206"/>
    </row>
    <row r="22" spans="1:21">
      <c r="A22" s="180" t="s">
        <v>546</v>
      </c>
      <c r="B22" s="184">
        <f>+B21+B20</f>
        <v>129452</v>
      </c>
      <c r="C22" s="54">
        <v>8.35</v>
      </c>
      <c r="D22" s="54" t="s">
        <v>630</v>
      </c>
      <c r="E22" s="198"/>
      <c r="F22" s="199">
        <f>+F21+F20</f>
        <v>8.3522459289929856</v>
      </c>
      <c r="K22"/>
      <c r="L22" s="205" t="s">
        <v>632</v>
      </c>
      <c r="M22" s="205"/>
      <c r="N22" s="205"/>
      <c r="O22" s="205"/>
      <c r="P22" s="205"/>
      <c r="Q22" s="205"/>
      <c r="R22" s="205"/>
      <c r="S22" s="205"/>
      <c r="T22" s="205"/>
      <c r="U22" s="206"/>
    </row>
    <row r="23" spans="1:21" ht="15.75" thickBot="1">
      <c r="A23" s="180" t="s">
        <v>620</v>
      </c>
      <c r="B23" s="188">
        <f>+B12</f>
        <v>89352</v>
      </c>
      <c r="C23" s="190">
        <f>+C12</f>
        <v>4.993528502563028</v>
      </c>
      <c r="K23"/>
      <c r="L23" s="205"/>
      <c r="M23" s="205"/>
      <c r="N23" s="205"/>
      <c r="O23" s="205"/>
      <c r="P23" s="205"/>
      <c r="Q23" s="205"/>
      <c r="R23" s="205"/>
      <c r="S23" s="205"/>
      <c r="T23" s="205"/>
      <c r="U23" s="206"/>
    </row>
    <row r="24" spans="1:21" ht="49.5" thickTop="1" thickBot="1">
      <c r="L24" s="207" t="s">
        <v>633</v>
      </c>
      <c r="M24" s="207" t="s">
        <v>634</v>
      </c>
      <c r="N24" s="207" t="s">
        <v>635</v>
      </c>
      <c r="O24" s="208" t="s">
        <v>636</v>
      </c>
      <c r="P24" s="209" t="s">
        <v>637</v>
      </c>
      <c r="Q24" s="210" t="s">
        <v>638</v>
      </c>
      <c r="R24" s="211" t="s">
        <v>639</v>
      </c>
      <c r="S24" s="212" t="s">
        <v>640</v>
      </c>
      <c r="T24" s="212" t="s">
        <v>641</v>
      </c>
      <c r="U24" s="206"/>
    </row>
    <row r="25" spans="1:21">
      <c r="L25" s="213" t="s">
        <v>642</v>
      </c>
      <c r="M25" s="213" t="s">
        <v>643</v>
      </c>
      <c r="N25" s="213"/>
      <c r="O25" s="214">
        <v>1216</v>
      </c>
      <c r="P25" s="215">
        <v>43586</v>
      </c>
      <c r="Q25" s="216">
        <v>44650</v>
      </c>
      <c r="R25" s="217"/>
      <c r="S25" s="218">
        <v>2.7829999999999999E-3</v>
      </c>
      <c r="T25" s="218">
        <f>O25*S25</f>
        <v>3.384128</v>
      </c>
      <c r="U25" s="206"/>
    </row>
    <row r="26" spans="1:21">
      <c r="L26" s="213" t="s">
        <v>644</v>
      </c>
      <c r="M26" s="213" t="s">
        <v>645</v>
      </c>
      <c r="N26" s="213"/>
      <c r="O26" s="214">
        <v>800</v>
      </c>
      <c r="P26" s="215">
        <v>43952</v>
      </c>
      <c r="Q26" s="216">
        <v>44921</v>
      </c>
      <c r="R26" s="217"/>
      <c r="S26" s="218">
        <v>5</v>
      </c>
      <c r="T26" s="218">
        <f>O26*S26</f>
        <v>4000</v>
      </c>
      <c r="U26" s="206"/>
    </row>
    <row r="27" spans="1:21">
      <c r="L27" s="213" t="s">
        <v>646</v>
      </c>
      <c r="M27" s="213" t="s">
        <v>643</v>
      </c>
      <c r="N27" s="213"/>
      <c r="O27" s="214">
        <v>584</v>
      </c>
      <c r="P27" s="215">
        <v>44317</v>
      </c>
      <c r="Q27" s="216">
        <v>44650</v>
      </c>
      <c r="R27" s="217"/>
      <c r="S27" s="218">
        <v>12.5</v>
      </c>
      <c r="T27" s="218">
        <f>O27*S27</f>
        <v>7300</v>
      </c>
      <c r="U27" s="206"/>
    </row>
    <row r="28" spans="1:21" ht="46.5" customHeight="1">
      <c r="A28" s="203" t="s">
        <v>623</v>
      </c>
      <c r="B28" s="201" t="s">
        <v>717</v>
      </c>
      <c r="C28" s="201" t="s">
        <v>716</v>
      </c>
      <c r="D28" s="202" t="s">
        <v>715</v>
      </c>
      <c r="E28" s="183" t="s">
        <v>624</v>
      </c>
      <c r="F28" s="202" t="s">
        <v>714</v>
      </c>
      <c r="G28" s="202" t="s">
        <v>625</v>
      </c>
    </row>
    <row r="29" spans="1:21">
      <c r="A29" s="182">
        <v>43647</v>
      </c>
      <c r="B29" s="184">
        <v>14900</v>
      </c>
      <c r="C29" s="184">
        <f>+O25</f>
        <v>1216</v>
      </c>
      <c r="D29" s="184">
        <f>+C29+B29</f>
        <v>16116</v>
      </c>
      <c r="E29" s="185">
        <v>1E-3</v>
      </c>
      <c r="F29" s="184">
        <v>7450</v>
      </c>
      <c r="G29" s="182">
        <f>+A29+365*10+3</f>
        <v>47300</v>
      </c>
    </row>
    <row r="30" spans="1:21">
      <c r="A30" s="182">
        <v>43952</v>
      </c>
      <c r="B30" s="184">
        <v>9500</v>
      </c>
      <c r="C30" s="184">
        <f>+O26</f>
        <v>800</v>
      </c>
      <c r="D30" s="184"/>
      <c r="E30" s="185">
        <v>5</v>
      </c>
      <c r="F30" s="184"/>
      <c r="G30" s="182">
        <f>+A30+365*10+2</f>
        <v>47604</v>
      </c>
    </row>
    <row r="31" spans="1:21">
      <c r="A31" s="182">
        <v>44317</v>
      </c>
      <c r="B31" s="184">
        <v>300</v>
      </c>
      <c r="C31" s="184">
        <f>+O27</f>
        <v>584</v>
      </c>
      <c r="D31" s="184">
        <f>+C31+B31</f>
        <v>884</v>
      </c>
      <c r="E31" s="185">
        <v>12.5</v>
      </c>
      <c r="F31" s="184">
        <v>100</v>
      </c>
      <c r="G31" s="182">
        <f>+A31+365*10+2</f>
        <v>47969</v>
      </c>
    </row>
    <row r="32" spans="1:21">
      <c r="A32" s="200" t="s">
        <v>627</v>
      </c>
      <c r="B32" s="184">
        <v>11800</v>
      </c>
      <c r="C32" s="54" t="s">
        <v>470</v>
      </c>
      <c r="E32" s="191">
        <f>+C7</f>
        <v>21.18</v>
      </c>
      <c r="F32" s="191">
        <f>+F33</f>
        <v>89352</v>
      </c>
      <c r="G32" s="182">
        <f>+A32+365*10+3</f>
        <v>48335</v>
      </c>
    </row>
    <row r="33" spans="1:12">
      <c r="A33" s="200" t="s">
        <v>628</v>
      </c>
      <c r="B33" s="184">
        <v>11950</v>
      </c>
      <c r="C33" s="54" t="s">
        <v>470</v>
      </c>
      <c r="D33" s="184">
        <f>+B11</f>
        <v>161335</v>
      </c>
      <c r="E33" s="191">
        <f>+E32</f>
        <v>21.18</v>
      </c>
      <c r="F33" s="191">
        <f>+B12</f>
        <v>89352</v>
      </c>
      <c r="G33" s="182">
        <f>+A33+365*10+3</f>
        <v>48479</v>
      </c>
    </row>
    <row r="34" spans="1:12">
      <c r="A34" s="200"/>
      <c r="B34" s="184"/>
      <c r="D34" s="184"/>
      <c r="E34" s="191"/>
      <c r="F34" s="191"/>
      <c r="G34" s="182"/>
    </row>
    <row r="35" spans="1:12">
      <c r="A35" s="200"/>
      <c r="B35" s="184"/>
      <c r="D35" s="184"/>
      <c r="E35" s="191"/>
      <c r="F35" s="191"/>
      <c r="G35" s="182"/>
    </row>
    <row r="36" spans="1:12">
      <c r="A36" s="200"/>
      <c r="B36" s="184"/>
      <c r="D36" s="184"/>
      <c r="E36" s="191"/>
      <c r="F36" s="191"/>
      <c r="G36" s="182"/>
    </row>
    <row r="37" spans="1:12">
      <c r="A37" s="200"/>
      <c r="B37" s="184"/>
      <c r="D37" s="184"/>
      <c r="E37" s="191"/>
      <c r="F37" s="191"/>
      <c r="G37" s="182"/>
    </row>
    <row r="39" spans="1:12">
      <c r="E39" s="400" t="s">
        <v>626</v>
      </c>
      <c r="F39" s="400"/>
    </row>
    <row r="40" spans="1:12">
      <c r="E40" s="183">
        <v>2023</v>
      </c>
      <c r="F40" s="183">
        <v>2022</v>
      </c>
      <c r="L40" s="184"/>
    </row>
    <row r="41" spans="1:12">
      <c r="D41" s="54" t="s">
        <v>629</v>
      </c>
      <c r="E41" s="333">
        <v>2</v>
      </c>
      <c r="F41" s="54">
        <v>2</v>
      </c>
      <c r="J41" s="54" t="s">
        <v>629</v>
      </c>
      <c r="L41" s="192">
        <v>1607</v>
      </c>
    </row>
    <row r="42" spans="1:12">
      <c r="D42" s="54" t="s">
        <v>96</v>
      </c>
      <c r="E42" s="333">
        <v>80</v>
      </c>
      <c r="F42" s="54">
        <v>80</v>
      </c>
      <c r="J42" s="401" t="s">
        <v>96</v>
      </c>
      <c r="K42" s="54" t="s">
        <v>97</v>
      </c>
      <c r="L42" s="192">
        <v>60098</v>
      </c>
    </row>
    <row r="43" spans="1:12">
      <c r="D43" s="54" t="s">
        <v>151</v>
      </c>
      <c r="E43" s="333">
        <v>44</v>
      </c>
      <c r="F43" s="54">
        <v>44</v>
      </c>
      <c r="J43" s="401"/>
      <c r="K43" s="54" t="s">
        <v>139</v>
      </c>
      <c r="L43" s="192">
        <v>19839</v>
      </c>
    </row>
    <row r="44" spans="1:12">
      <c r="D44" s="54" t="s">
        <v>175</v>
      </c>
      <c r="E44" s="334">
        <v>131</v>
      </c>
      <c r="F44" s="179">
        <v>131</v>
      </c>
      <c r="J44" s="401" t="s">
        <v>151</v>
      </c>
      <c r="K44" s="54" t="s">
        <v>152</v>
      </c>
      <c r="L44" s="192">
        <v>57149</v>
      </c>
    </row>
    <row r="45" spans="1:12">
      <c r="E45" s="54">
        <f>SUM(E41:E44)</f>
        <v>257</v>
      </c>
      <c r="F45" s="54">
        <v>257</v>
      </c>
      <c r="J45" s="401"/>
      <c r="K45" s="54" t="s">
        <v>167</v>
      </c>
      <c r="L45" s="192">
        <v>-13087</v>
      </c>
    </row>
    <row r="46" spans="1:12">
      <c r="J46" s="54" t="s">
        <v>175</v>
      </c>
      <c r="L46" s="187">
        <f>97986+19940+1135+12277</f>
        <v>131338</v>
      </c>
    </row>
    <row r="47" spans="1:12">
      <c r="E47" s="54">
        <v>257</v>
      </c>
      <c r="L47" s="184">
        <f>SUM(L41:L46)</f>
        <v>256944</v>
      </c>
    </row>
    <row r="48" spans="1:12">
      <c r="L48" s="184"/>
    </row>
    <row r="49" spans="2:12">
      <c r="L49" s="184"/>
    </row>
    <row r="50" spans="2:12">
      <c r="L50" s="184"/>
    </row>
    <row r="51" spans="2:12">
      <c r="L51" s="184"/>
    </row>
    <row r="52" spans="2:12">
      <c r="L52" s="184"/>
    </row>
    <row r="53" spans="2:12">
      <c r="B53" s="233" t="s">
        <v>660</v>
      </c>
      <c r="C53" s="14">
        <v>66288</v>
      </c>
    </row>
    <row r="54" spans="2:12" ht="15.75" thickBot="1">
      <c r="B54" s="234" t="s">
        <v>653</v>
      </c>
      <c r="C54" s="14">
        <v>-800</v>
      </c>
    </row>
    <row r="55" spans="2:12" ht="15.75" thickBot="1">
      <c r="B55" s="235" t="s">
        <v>654</v>
      </c>
      <c r="C55" s="14">
        <v>-2000</v>
      </c>
    </row>
    <row r="56" spans="2:12" ht="15.75" thickBot="1">
      <c r="B56" s="235" t="s">
        <v>655</v>
      </c>
      <c r="C56" s="14">
        <v>-1000</v>
      </c>
    </row>
    <row r="57" spans="2:12">
      <c r="B57" s="236" t="s">
        <v>656</v>
      </c>
      <c r="C57" s="14">
        <v>-750</v>
      </c>
    </row>
    <row r="58" spans="2:12">
      <c r="B58" s="236" t="s">
        <v>656</v>
      </c>
      <c r="C58" s="14">
        <v>-1500</v>
      </c>
    </row>
    <row r="59" spans="2:12" ht="15.75" thickBot="1">
      <c r="B59" s="236" t="s">
        <v>654</v>
      </c>
      <c r="C59" s="14">
        <v>-2000</v>
      </c>
    </row>
    <row r="60" spans="2:12" ht="15.75" thickBot="1">
      <c r="B60" s="235" t="s">
        <v>657</v>
      </c>
      <c r="C60" s="14">
        <v>-1100</v>
      </c>
    </row>
    <row r="61" spans="2:12">
      <c r="B61" s="8" t="s">
        <v>658</v>
      </c>
      <c r="C61" s="14">
        <v>5000</v>
      </c>
    </row>
    <row r="62" spans="2:12" ht="15.75" thickBot="1">
      <c r="B62" s="236" t="s">
        <v>657</v>
      </c>
      <c r="C62" s="14">
        <v>-11000</v>
      </c>
    </row>
    <row r="63" spans="2:12" ht="15.75" thickBot="1">
      <c r="B63" s="235" t="s">
        <v>643</v>
      </c>
      <c r="C63" s="14">
        <v>1216</v>
      </c>
    </row>
    <row r="64" spans="2:12">
      <c r="B64" s="236" t="s">
        <v>645</v>
      </c>
      <c r="C64" s="17">
        <v>800</v>
      </c>
    </row>
    <row r="65" spans="2:3">
      <c r="B65" s="8"/>
      <c r="C65" s="14">
        <f>SUM(C53:C64)</f>
        <v>53154</v>
      </c>
    </row>
    <row r="66" spans="2:3">
      <c r="B66" s="8"/>
      <c r="C66" s="14"/>
    </row>
    <row r="67" spans="2:3">
      <c r="B67" s="224"/>
      <c r="C67" s="226"/>
    </row>
    <row r="68" spans="2:3">
      <c r="B68" s="8"/>
      <c r="C68" s="14"/>
    </row>
    <row r="69" spans="2:3">
      <c r="B69" s="8"/>
      <c r="C69" s="14">
        <v>53144</v>
      </c>
    </row>
    <row r="70" spans="2:3">
      <c r="B70" s="8" t="s">
        <v>659</v>
      </c>
      <c r="C70" s="14">
        <f>+C65-C69</f>
        <v>10</v>
      </c>
    </row>
    <row r="71" spans="2:3">
      <c r="B71" s="8"/>
      <c r="C71" s="14"/>
    </row>
  </sheetData>
  <mergeCells count="4">
    <mergeCell ref="B18:C18"/>
    <mergeCell ref="E39:F39"/>
    <mergeCell ref="J42:J43"/>
    <mergeCell ref="J44:J45"/>
  </mergeCells>
  <pageMargins left="0.7" right="0.7" top="0.75" bottom="0.75" header="0.3" footer="0.3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78D47-5022-4924-9D56-680BD6970417}">
  <sheetPr>
    <tabColor rgb="FF7CF0B9"/>
  </sheetPr>
  <dimension ref="A1:N227"/>
  <sheetViews>
    <sheetView topLeftCell="A162" zoomScale="115" zoomScaleNormal="115" workbookViewId="0">
      <selection activeCell="L195" activeCellId="1" sqref="A195 L195"/>
    </sheetView>
  </sheetViews>
  <sheetFormatPr defaultColWidth="9.1640625" defaultRowHeight="11.25"/>
  <cols>
    <col min="1" max="1" width="61.6640625" bestFit="1" customWidth="1"/>
    <col min="2" max="3" width="14.1640625" customWidth="1"/>
    <col min="4" max="4" width="17.83203125" customWidth="1"/>
    <col min="5" max="5" width="24.5" customWidth="1"/>
    <col min="6" max="6" width="35.6640625" customWidth="1"/>
    <col min="7" max="7" width="17.1640625" customWidth="1"/>
    <col min="8" max="8" width="31.1640625" customWidth="1"/>
    <col min="9" max="9" width="23.83203125" customWidth="1"/>
    <col min="10" max="10" width="21.33203125" bestFit="1" customWidth="1"/>
    <col min="11" max="11" width="31.83203125" bestFit="1" customWidth="1"/>
    <col min="12" max="12" width="15.1640625" bestFit="1" customWidth="1"/>
    <col min="13" max="13" width="6.1640625" style="20" bestFit="1" customWidth="1"/>
    <col min="14" max="14" width="5.1640625" style="20" bestFit="1" customWidth="1"/>
    <col min="15" max="15" width="9.1640625" style="20"/>
    <col min="16" max="16" width="5.83203125" style="20" bestFit="1" customWidth="1"/>
    <col min="17" max="17" width="5.1640625" style="20" bestFit="1" customWidth="1"/>
    <col min="18" max="16384" width="9.1640625" style="20"/>
  </cols>
  <sheetData>
    <row r="1" spans="1:14" ht="15.75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4" ht="15.75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pans="1:14" ht="18">
      <c r="A3" s="11" t="s">
        <v>430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4" ht="18">
      <c r="A4" s="11" t="s">
        <v>816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</row>
    <row r="5" spans="1:14" ht="18">
      <c r="A5" s="11" t="s">
        <v>4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4" ht="18">
      <c r="A6" s="11" t="s">
        <v>4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</row>
    <row r="7" spans="1:14">
      <c r="A7" s="335" t="s">
        <v>5</v>
      </c>
      <c r="B7" s="1" t="s">
        <v>428</v>
      </c>
      <c r="C7" s="1" t="s">
        <v>817</v>
      </c>
      <c r="D7" s="1" t="s">
        <v>7</v>
      </c>
      <c r="E7" s="1" t="s">
        <v>8</v>
      </c>
      <c r="F7" s="1" t="s">
        <v>9</v>
      </c>
      <c r="G7" s="1" t="s">
        <v>736</v>
      </c>
      <c r="H7" s="1" t="s">
        <v>619</v>
      </c>
      <c r="I7" s="1" t="s">
        <v>706</v>
      </c>
      <c r="J7" s="1" t="s">
        <v>0</v>
      </c>
      <c r="K7" s="1" t="s">
        <v>11</v>
      </c>
      <c r="L7" s="1" t="s">
        <v>12</v>
      </c>
      <c r="M7" s="20" t="s">
        <v>226</v>
      </c>
    </row>
    <row r="8" spans="1:14">
      <c r="A8" s="335" t="s">
        <v>13</v>
      </c>
      <c r="B8" s="1" t="s">
        <v>14</v>
      </c>
      <c r="C8" s="1" t="s">
        <v>14</v>
      </c>
      <c r="D8" s="1" t="s">
        <v>14</v>
      </c>
      <c r="E8" s="1" t="s">
        <v>14</v>
      </c>
      <c r="F8" s="1" t="s">
        <v>14</v>
      </c>
      <c r="G8" s="1" t="s">
        <v>14</v>
      </c>
      <c r="H8" s="1" t="s">
        <v>14</v>
      </c>
      <c r="I8" s="1" t="s">
        <v>14</v>
      </c>
      <c r="J8" s="1" t="s">
        <v>14</v>
      </c>
      <c r="K8" s="1" t="s">
        <v>14</v>
      </c>
      <c r="L8" s="1" t="s">
        <v>14</v>
      </c>
    </row>
    <row r="9" spans="1:14">
      <c r="A9" s="337" t="s">
        <v>427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</row>
    <row r="10" spans="1:14">
      <c r="A10" s="338" t="s">
        <v>426</v>
      </c>
      <c r="B10" s="71"/>
      <c r="C10" s="71"/>
      <c r="D10" s="71"/>
      <c r="E10" s="71"/>
      <c r="F10" s="71"/>
      <c r="G10" s="71"/>
      <c r="H10" s="71"/>
      <c r="I10" s="71"/>
      <c r="J10" s="71"/>
      <c r="K10" s="71"/>
      <c r="L10" s="71"/>
    </row>
    <row r="11" spans="1:14">
      <c r="A11" s="5" t="s">
        <v>783</v>
      </c>
      <c r="B11" s="72">
        <v>0</v>
      </c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-2039.05</v>
      </c>
      <c r="K11" s="72">
        <v>0</v>
      </c>
      <c r="L11" s="72">
        <f>SUM(B11:K11)</f>
        <v>-2039.05</v>
      </c>
      <c r="M11" s="20">
        <v>10</v>
      </c>
    </row>
    <row r="12" spans="1:14">
      <c r="A12" s="77" t="s">
        <v>425</v>
      </c>
      <c r="B12" s="71"/>
      <c r="C12" s="71"/>
      <c r="D12" s="71"/>
      <c r="E12" s="71"/>
      <c r="F12" s="71"/>
      <c r="G12" s="71"/>
      <c r="H12" s="71"/>
      <c r="I12" s="71"/>
      <c r="J12" s="71"/>
      <c r="K12" s="71"/>
      <c r="L12" s="71"/>
    </row>
    <row r="13" spans="1:14">
      <c r="A13" s="340" t="s">
        <v>424</v>
      </c>
      <c r="B13" s="72">
        <v>0</v>
      </c>
      <c r="C13" s="72">
        <v>0</v>
      </c>
      <c r="D13" s="72">
        <v>0</v>
      </c>
      <c r="E13" s="72">
        <v>0</v>
      </c>
      <c r="F13" s="72">
        <v>0</v>
      </c>
      <c r="G13" s="72">
        <v>0</v>
      </c>
      <c r="H13" s="72">
        <v>0</v>
      </c>
      <c r="I13" s="72">
        <v>0</v>
      </c>
      <c r="J13" s="72">
        <v>95130.17</v>
      </c>
      <c r="K13" s="72">
        <v>0</v>
      </c>
      <c r="L13" s="72">
        <f t="shared" ref="L13:L19" si="0">SUM(B13:K13)</f>
        <v>95130.17</v>
      </c>
      <c r="N13" s="72"/>
    </row>
    <row r="14" spans="1:14">
      <c r="A14" s="340" t="s">
        <v>423</v>
      </c>
      <c r="B14" s="72">
        <v>0</v>
      </c>
      <c r="C14" s="72">
        <v>0</v>
      </c>
      <c r="D14" s="72">
        <v>0</v>
      </c>
      <c r="E14" s="72">
        <v>0</v>
      </c>
      <c r="F14" s="72">
        <v>0</v>
      </c>
      <c r="G14" s="72">
        <v>0</v>
      </c>
      <c r="H14" s="72">
        <v>0</v>
      </c>
      <c r="I14" s="72">
        <v>0</v>
      </c>
      <c r="J14" s="72">
        <v>281335.24</v>
      </c>
      <c r="K14" s="72">
        <v>0</v>
      </c>
      <c r="L14" s="72">
        <f t="shared" si="0"/>
        <v>281335.24</v>
      </c>
      <c r="N14" s="72"/>
    </row>
    <row r="15" spans="1:14">
      <c r="A15" s="340" t="s">
        <v>422</v>
      </c>
      <c r="B15" s="72">
        <v>0</v>
      </c>
      <c r="C15" s="72">
        <v>0</v>
      </c>
      <c r="D15" s="72">
        <v>0</v>
      </c>
      <c r="E15" s="72">
        <v>0</v>
      </c>
      <c r="F15" s="72">
        <v>0</v>
      </c>
      <c r="G15" s="72">
        <v>0</v>
      </c>
      <c r="H15" s="72">
        <v>0</v>
      </c>
      <c r="I15" s="72">
        <v>0</v>
      </c>
      <c r="J15" s="72">
        <v>2680320.89</v>
      </c>
      <c r="K15" s="72">
        <v>0</v>
      </c>
      <c r="L15" s="72">
        <f t="shared" si="0"/>
        <v>2680320.89</v>
      </c>
      <c r="N15" s="72"/>
    </row>
    <row r="16" spans="1:14">
      <c r="A16" s="340" t="s">
        <v>421</v>
      </c>
      <c r="B16" s="72">
        <v>0</v>
      </c>
      <c r="C16" s="72">
        <v>0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3012.11</v>
      </c>
      <c r="K16" s="72">
        <v>0</v>
      </c>
      <c r="L16" s="72">
        <f t="shared" si="0"/>
        <v>3012.11</v>
      </c>
      <c r="N16" s="72"/>
    </row>
    <row r="17" spans="1:14">
      <c r="A17" s="340" t="s">
        <v>420</v>
      </c>
      <c r="B17" s="72">
        <v>0</v>
      </c>
      <c r="C17" s="72">
        <v>0</v>
      </c>
      <c r="D17" s="72">
        <v>0</v>
      </c>
      <c r="E17" s="72">
        <v>0</v>
      </c>
      <c r="F17" s="72">
        <v>0</v>
      </c>
      <c r="G17" s="72">
        <v>0</v>
      </c>
      <c r="H17" s="72">
        <v>0</v>
      </c>
      <c r="I17" s="72">
        <v>0</v>
      </c>
      <c r="J17" s="72">
        <v>125756.42</v>
      </c>
      <c r="K17" s="72">
        <v>0</v>
      </c>
      <c r="L17" s="72">
        <f t="shared" si="0"/>
        <v>125756.42</v>
      </c>
      <c r="N17" s="72"/>
    </row>
    <row r="18" spans="1:14">
      <c r="A18" s="7" t="s">
        <v>784</v>
      </c>
      <c r="B18" s="72">
        <v>0</v>
      </c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9468.65</v>
      </c>
      <c r="K18" s="72">
        <v>0</v>
      </c>
      <c r="L18" s="72">
        <f t="shared" si="0"/>
        <v>9468.65</v>
      </c>
      <c r="N18" s="72"/>
    </row>
    <row r="19" spans="1:14">
      <c r="A19" s="7" t="s">
        <v>785</v>
      </c>
      <c r="B19" s="72">
        <v>0</v>
      </c>
      <c r="C19" s="72">
        <v>0</v>
      </c>
      <c r="D19" s="72">
        <v>0</v>
      </c>
      <c r="E19" s="72">
        <v>0</v>
      </c>
      <c r="F19" s="72">
        <v>0</v>
      </c>
      <c r="G19" s="72">
        <v>0</v>
      </c>
      <c r="H19" s="72">
        <v>0</v>
      </c>
      <c r="I19" s="72">
        <v>0</v>
      </c>
      <c r="J19" s="72">
        <v>208.81</v>
      </c>
      <c r="K19" s="72">
        <v>0</v>
      </c>
      <c r="L19" s="72">
        <f t="shared" si="0"/>
        <v>208.81</v>
      </c>
      <c r="N19" s="72"/>
    </row>
    <row r="20" spans="1:14">
      <c r="A20" s="341" t="s">
        <v>419</v>
      </c>
      <c r="B20" s="73">
        <f t="shared" ref="B20:L20" si="1">SUM(B13:B19)</f>
        <v>0</v>
      </c>
      <c r="C20" s="73">
        <f t="shared" si="1"/>
        <v>0</v>
      </c>
      <c r="D20" s="73">
        <f t="shared" si="1"/>
        <v>0</v>
      </c>
      <c r="E20" s="73">
        <f t="shared" si="1"/>
        <v>0</v>
      </c>
      <c r="F20" s="73">
        <f t="shared" si="1"/>
        <v>0</v>
      </c>
      <c r="G20" s="73">
        <f t="shared" si="1"/>
        <v>0</v>
      </c>
      <c r="H20" s="73">
        <f t="shared" si="1"/>
        <v>0</v>
      </c>
      <c r="I20" s="73">
        <f t="shared" si="1"/>
        <v>0</v>
      </c>
      <c r="J20" s="73">
        <f t="shared" si="1"/>
        <v>3195232.29</v>
      </c>
      <c r="K20" s="73">
        <f t="shared" si="1"/>
        <v>0</v>
      </c>
      <c r="L20" s="73">
        <f t="shared" si="1"/>
        <v>3195232.29</v>
      </c>
      <c r="M20" s="20">
        <v>10</v>
      </c>
      <c r="N20" s="73"/>
    </row>
    <row r="21" spans="1:14">
      <c r="A21" s="77" t="s">
        <v>417</v>
      </c>
      <c r="B21" s="71"/>
      <c r="C21" s="71"/>
      <c r="D21" s="71"/>
      <c r="E21" s="71"/>
      <c r="F21" s="71"/>
      <c r="G21" s="71"/>
      <c r="H21" s="71"/>
      <c r="I21" s="71"/>
      <c r="J21" s="71"/>
      <c r="K21" s="71"/>
      <c r="L21" s="71"/>
      <c r="N21" s="71"/>
    </row>
    <row r="22" spans="1:14">
      <c r="A22" s="340" t="s">
        <v>416</v>
      </c>
      <c r="B22" s="72">
        <v>0</v>
      </c>
      <c r="C22" s="72">
        <v>0</v>
      </c>
      <c r="D22" s="72">
        <v>0</v>
      </c>
      <c r="E22" s="72">
        <v>21.14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f>SUM(B22:K22)</f>
        <v>21.14</v>
      </c>
      <c r="N22" s="72"/>
    </row>
    <row r="23" spans="1:14">
      <c r="A23" s="341" t="s">
        <v>415</v>
      </c>
      <c r="B23" s="73">
        <f t="shared" ref="B23:L23" si="2">SUM(B22)</f>
        <v>0</v>
      </c>
      <c r="C23" s="73">
        <f t="shared" si="2"/>
        <v>0</v>
      </c>
      <c r="D23" s="73">
        <f t="shared" si="2"/>
        <v>0</v>
      </c>
      <c r="E23" s="73">
        <f t="shared" si="2"/>
        <v>21.14</v>
      </c>
      <c r="F23" s="73">
        <f t="shared" si="2"/>
        <v>0</v>
      </c>
      <c r="G23" s="73">
        <f t="shared" si="2"/>
        <v>0</v>
      </c>
      <c r="H23" s="73">
        <f t="shared" si="2"/>
        <v>0</v>
      </c>
      <c r="I23" s="73">
        <f t="shared" si="2"/>
        <v>0</v>
      </c>
      <c r="J23" s="73">
        <f t="shared" si="2"/>
        <v>0</v>
      </c>
      <c r="K23" s="73">
        <f t="shared" si="2"/>
        <v>0</v>
      </c>
      <c r="L23" s="73">
        <f t="shared" si="2"/>
        <v>21.14</v>
      </c>
      <c r="M23" s="20">
        <v>10</v>
      </c>
      <c r="N23" s="73"/>
    </row>
    <row r="24" spans="1:14">
      <c r="A24" s="5" t="s">
        <v>786</v>
      </c>
      <c r="B24" s="72">
        <v>0</v>
      </c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18.739999999999998</v>
      </c>
      <c r="L24" s="72">
        <f>SUM(B24:K24)</f>
        <v>18.739999999999998</v>
      </c>
      <c r="M24" s="20">
        <v>10</v>
      </c>
      <c r="N24" s="71"/>
    </row>
    <row r="25" spans="1:14">
      <c r="A25" s="339" t="s">
        <v>414</v>
      </c>
      <c r="B25" s="71"/>
      <c r="C25" s="71"/>
      <c r="D25" s="71"/>
      <c r="E25" s="71"/>
      <c r="F25" s="71"/>
      <c r="G25" s="71"/>
      <c r="H25" s="71"/>
      <c r="I25" s="71"/>
      <c r="J25" s="71"/>
      <c r="K25" s="71"/>
      <c r="L25" s="71"/>
      <c r="N25" s="71"/>
    </row>
    <row r="26" spans="1:14">
      <c r="A26" s="340" t="s">
        <v>413</v>
      </c>
      <c r="B26" s="72">
        <v>0</v>
      </c>
      <c r="C26" s="72">
        <v>0</v>
      </c>
      <c r="D26" s="72">
        <v>0</v>
      </c>
      <c r="E26" s="72">
        <v>0</v>
      </c>
      <c r="F26" s="72">
        <v>45.87</v>
      </c>
      <c r="G26" s="72">
        <v>0</v>
      </c>
      <c r="H26" s="72">
        <v>0</v>
      </c>
      <c r="I26" s="72">
        <v>0</v>
      </c>
      <c r="J26" s="72">
        <v>0</v>
      </c>
      <c r="K26" s="72">
        <v>0</v>
      </c>
      <c r="L26" s="72">
        <f>SUM(B26:K26)</f>
        <v>45.87</v>
      </c>
      <c r="N26" s="72"/>
    </row>
    <row r="27" spans="1:14">
      <c r="A27" s="340" t="s">
        <v>412</v>
      </c>
      <c r="B27" s="72">
        <v>0</v>
      </c>
      <c r="C27" s="72">
        <v>0</v>
      </c>
      <c r="D27" s="72">
        <v>0</v>
      </c>
      <c r="E27" s="72">
        <v>0</v>
      </c>
      <c r="F27" s="72">
        <v>24.67</v>
      </c>
      <c r="G27" s="72">
        <v>0</v>
      </c>
      <c r="H27" s="72">
        <v>0</v>
      </c>
      <c r="I27" s="72">
        <v>0</v>
      </c>
      <c r="J27" s="72">
        <v>0</v>
      </c>
      <c r="K27" s="72">
        <v>0</v>
      </c>
      <c r="L27" s="72">
        <f>SUM(B27:K27)</f>
        <v>24.67</v>
      </c>
      <c r="N27" s="72"/>
    </row>
    <row r="28" spans="1:14">
      <c r="A28" s="340" t="s">
        <v>411</v>
      </c>
      <c r="B28" s="72">
        <v>0</v>
      </c>
      <c r="C28" s="72">
        <v>0</v>
      </c>
      <c r="D28" s="72">
        <v>0</v>
      </c>
      <c r="E28" s="72">
        <v>0</v>
      </c>
      <c r="F28" s="72">
        <v>228.83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f>SUM(B28:K28)</f>
        <v>228.83</v>
      </c>
      <c r="N28" s="72"/>
    </row>
    <row r="29" spans="1:14">
      <c r="A29" s="341" t="s">
        <v>410</v>
      </c>
      <c r="B29" s="73">
        <f t="shared" ref="B29:L29" si="3">SUM(B26:B28)</f>
        <v>0</v>
      </c>
      <c r="C29" s="73">
        <f t="shared" si="3"/>
        <v>0</v>
      </c>
      <c r="D29" s="73">
        <f t="shared" si="3"/>
        <v>0</v>
      </c>
      <c r="E29" s="73">
        <f t="shared" si="3"/>
        <v>0</v>
      </c>
      <c r="F29" s="73">
        <f t="shared" si="3"/>
        <v>299.37</v>
      </c>
      <c r="G29" s="73">
        <f t="shared" si="3"/>
        <v>0</v>
      </c>
      <c r="H29" s="73">
        <f t="shared" si="3"/>
        <v>0</v>
      </c>
      <c r="I29" s="73">
        <f t="shared" si="3"/>
        <v>0</v>
      </c>
      <c r="J29" s="73">
        <f t="shared" si="3"/>
        <v>0</v>
      </c>
      <c r="K29" s="73">
        <f t="shared" si="3"/>
        <v>0</v>
      </c>
      <c r="L29" s="73">
        <f t="shared" si="3"/>
        <v>299.37</v>
      </c>
      <c r="M29" s="20">
        <v>10</v>
      </c>
      <c r="N29" s="73"/>
    </row>
    <row r="30" spans="1:14">
      <c r="A30" s="339" t="s">
        <v>409</v>
      </c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1"/>
      <c r="N30" s="71"/>
    </row>
    <row r="31" spans="1:14">
      <c r="A31" s="340" t="s">
        <v>408</v>
      </c>
      <c r="B31" s="72">
        <v>0</v>
      </c>
      <c r="C31" s="72">
        <v>0</v>
      </c>
      <c r="D31" s="72">
        <v>19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f>SUM(B31:K31)</f>
        <v>19</v>
      </c>
      <c r="N31" s="72"/>
    </row>
    <row r="32" spans="1:14">
      <c r="A32" s="340" t="s">
        <v>407</v>
      </c>
      <c r="B32" s="72">
        <v>0</v>
      </c>
      <c r="C32" s="72">
        <v>0</v>
      </c>
      <c r="D32" s="72">
        <v>6438.02</v>
      </c>
      <c r="E32" s="72">
        <v>0</v>
      </c>
      <c r="F32" s="72">
        <v>0</v>
      </c>
      <c r="G32" s="72">
        <v>0</v>
      </c>
      <c r="H32" s="72">
        <v>0</v>
      </c>
      <c r="I32" s="72">
        <v>0</v>
      </c>
      <c r="J32" s="72">
        <v>0</v>
      </c>
      <c r="K32" s="72">
        <v>0</v>
      </c>
      <c r="L32" s="72">
        <f>SUM(B32:K32)</f>
        <v>6438.02</v>
      </c>
      <c r="N32" s="72"/>
    </row>
    <row r="33" spans="1:14">
      <c r="A33" s="340" t="s">
        <v>617</v>
      </c>
      <c r="B33" s="72">
        <v>0</v>
      </c>
      <c r="C33" s="72">
        <v>0</v>
      </c>
      <c r="D33" s="72">
        <v>14237.25</v>
      </c>
      <c r="E33" s="72">
        <v>0</v>
      </c>
      <c r="F33" s="72">
        <v>0</v>
      </c>
      <c r="G33" s="72">
        <v>0</v>
      </c>
      <c r="H33" s="72">
        <v>0</v>
      </c>
      <c r="I33" s="72">
        <v>0</v>
      </c>
      <c r="J33" s="72">
        <v>0</v>
      </c>
      <c r="K33" s="72">
        <v>0</v>
      </c>
      <c r="L33" s="72">
        <f>SUM(B33:K33)</f>
        <v>14237.25</v>
      </c>
      <c r="N33" s="72"/>
    </row>
    <row r="34" spans="1:14">
      <c r="A34" s="341" t="s">
        <v>406</v>
      </c>
      <c r="B34" s="73">
        <f t="shared" ref="B34:L34" si="4">SUM(B31:B33)</f>
        <v>0</v>
      </c>
      <c r="C34" s="73">
        <f t="shared" si="4"/>
        <v>0</v>
      </c>
      <c r="D34" s="73">
        <f t="shared" si="4"/>
        <v>20694.27</v>
      </c>
      <c r="E34" s="73">
        <f t="shared" si="4"/>
        <v>0</v>
      </c>
      <c r="F34" s="73">
        <f t="shared" si="4"/>
        <v>0</v>
      </c>
      <c r="G34" s="73">
        <f t="shared" si="4"/>
        <v>0</v>
      </c>
      <c r="H34" s="73">
        <f t="shared" si="4"/>
        <v>0</v>
      </c>
      <c r="I34" s="73">
        <f t="shared" si="4"/>
        <v>0</v>
      </c>
      <c r="J34" s="73">
        <f t="shared" si="4"/>
        <v>0</v>
      </c>
      <c r="K34" s="73">
        <f t="shared" si="4"/>
        <v>0</v>
      </c>
      <c r="L34" s="73">
        <f t="shared" si="4"/>
        <v>20694.27</v>
      </c>
      <c r="M34" s="20">
        <v>10</v>
      </c>
      <c r="N34" s="73"/>
    </row>
    <row r="35" spans="1:14">
      <c r="A35" s="339" t="s">
        <v>405</v>
      </c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1"/>
      <c r="N35" s="71"/>
    </row>
    <row r="36" spans="1:14">
      <c r="A36" s="340" t="s">
        <v>718</v>
      </c>
      <c r="B36" s="72">
        <v>0</v>
      </c>
      <c r="C36" s="72">
        <v>0</v>
      </c>
      <c r="D36" s="72">
        <v>0</v>
      </c>
      <c r="E36" s="72">
        <v>0</v>
      </c>
      <c r="F36" s="72">
        <v>0</v>
      </c>
      <c r="G36" s="72">
        <v>0</v>
      </c>
      <c r="H36" s="72">
        <v>166161.23000000001</v>
      </c>
      <c r="I36" s="72">
        <v>0</v>
      </c>
      <c r="J36" s="72">
        <v>0</v>
      </c>
      <c r="K36" s="72">
        <v>0</v>
      </c>
      <c r="L36" s="72">
        <f>SUM(B36:K36)</f>
        <v>166161.23000000001</v>
      </c>
      <c r="N36" s="72"/>
    </row>
    <row r="37" spans="1:14">
      <c r="A37" s="7" t="s">
        <v>787</v>
      </c>
      <c r="B37" s="72">
        <v>0</v>
      </c>
      <c r="C37" s="72">
        <v>0</v>
      </c>
      <c r="D37" s="72">
        <v>0</v>
      </c>
      <c r="E37" s="72">
        <v>0</v>
      </c>
      <c r="F37" s="72">
        <v>0</v>
      </c>
      <c r="G37" s="72">
        <v>0</v>
      </c>
      <c r="H37" s="72">
        <v>29596.33</v>
      </c>
      <c r="I37" s="72">
        <v>0</v>
      </c>
      <c r="J37" s="72">
        <v>0</v>
      </c>
      <c r="K37" s="72">
        <v>0</v>
      </c>
      <c r="L37" s="72">
        <f>SUM(B37:K37)</f>
        <v>29596.33</v>
      </c>
      <c r="N37" s="72"/>
    </row>
    <row r="38" spans="1:14">
      <c r="A38" s="341" t="s">
        <v>403</v>
      </c>
      <c r="B38" s="73">
        <f t="shared" ref="B38:L38" si="5">SUM(B36:B37)</f>
        <v>0</v>
      </c>
      <c r="C38" s="73">
        <f t="shared" si="5"/>
        <v>0</v>
      </c>
      <c r="D38" s="73">
        <f t="shared" si="5"/>
        <v>0</v>
      </c>
      <c r="E38" s="73">
        <f t="shared" si="5"/>
        <v>0</v>
      </c>
      <c r="F38" s="73">
        <f t="shared" si="5"/>
        <v>0</v>
      </c>
      <c r="G38" s="73">
        <f t="shared" si="5"/>
        <v>0</v>
      </c>
      <c r="H38" s="73">
        <f t="shared" si="5"/>
        <v>195757.56</v>
      </c>
      <c r="I38" s="73">
        <f t="shared" si="5"/>
        <v>0</v>
      </c>
      <c r="J38" s="73">
        <f t="shared" si="5"/>
        <v>0</v>
      </c>
      <c r="K38" s="73">
        <f t="shared" si="5"/>
        <v>0</v>
      </c>
      <c r="L38" s="73">
        <f t="shared" si="5"/>
        <v>195757.56</v>
      </c>
      <c r="M38" s="20">
        <v>10</v>
      </c>
      <c r="N38" s="73"/>
    </row>
    <row r="39" spans="1:14">
      <c r="A39" s="339" t="s">
        <v>402</v>
      </c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71"/>
      <c r="N39" s="71"/>
    </row>
    <row r="40" spans="1:14">
      <c r="A40" s="340" t="s">
        <v>401</v>
      </c>
      <c r="B40" s="72">
        <v>0</v>
      </c>
      <c r="C40" s="72">
        <v>0</v>
      </c>
      <c r="D40" s="72">
        <v>0</v>
      </c>
      <c r="E40" s="72">
        <v>0</v>
      </c>
      <c r="F40" s="72">
        <v>0</v>
      </c>
      <c r="G40" s="72">
        <v>0</v>
      </c>
      <c r="H40" s="72">
        <v>0</v>
      </c>
      <c r="I40" s="72">
        <v>0</v>
      </c>
      <c r="J40" s="72">
        <v>0</v>
      </c>
      <c r="K40" s="72">
        <v>198122.7</v>
      </c>
      <c r="L40" s="72">
        <f>SUM(B40:K40)</f>
        <v>198122.7</v>
      </c>
      <c r="N40" s="72"/>
    </row>
    <row r="41" spans="1:14">
      <c r="A41" s="7" t="s">
        <v>788</v>
      </c>
      <c r="B41" s="72">
        <v>0</v>
      </c>
      <c r="C41" s="72">
        <v>0</v>
      </c>
      <c r="D41" s="72">
        <v>0</v>
      </c>
      <c r="E41" s="72">
        <v>0</v>
      </c>
      <c r="F41" s="72">
        <v>0</v>
      </c>
      <c r="G41" s="72">
        <v>0</v>
      </c>
      <c r="H41" s="72">
        <v>0</v>
      </c>
      <c r="I41" s="72">
        <v>0</v>
      </c>
      <c r="J41" s="72">
        <v>0</v>
      </c>
      <c r="K41" s="72">
        <v>10257.379999999999</v>
      </c>
      <c r="L41" s="72">
        <f>SUM(B41:K41)</f>
        <v>10257.379999999999</v>
      </c>
      <c r="N41" s="72"/>
    </row>
    <row r="42" spans="1:14">
      <c r="A42" s="341" t="s">
        <v>400</v>
      </c>
      <c r="B42" s="73">
        <f t="shared" ref="B42:L42" si="6">SUM(B40:B41)</f>
        <v>0</v>
      </c>
      <c r="C42" s="73">
        <f t="shared" si="6"/>
        <v>0</v>
      </c>
      <c r="D42" s="73">
        <f t="shared" si="6"/>
        <v>0</v>
      </c>
      <c r="E42" s="73">
        <f t="shared" si="6"/>
        <v>0</v>
      </c>
      <c r="F42" s="73">
        <f t="shared" si="6"/>
        <v>0</v>
      </c>
      <c r="G42" s="73">
        <f t="shared" si="6"/>
        <v>0</v>
      </c>
      <c r="H42" s="73">
        <f t="shared" si="6"/>
        <v>0</v>
      </c>
      <c r="I42" s="73">
        <f t="shared" si="6"/>
        <v>0</v>
      </c>
      <c r="J42" s="73">
        <f t="shared" si="6"/>
        <v>0</v>
      </c>
      <c r="K42" s="73">
        <f t="shared" si="6"/>
        <v>208380.08000000002</v>
      </c>
      <c r="L42" s="73">
        <f t="shared" si="6"/>
        <v>208380.08000000002</v>
      </c>
      <c r="M42" s="20">
        <v>10</v>
      </c>
      <c r="N42" s="73"/>
    </row>
    <row r="43" spans="1:14">
      <c r="A43" s="339" t="s">
        <v>399</v>
      </c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71"/>
      <c r="N43" s="71"/>
    </row>
    <row r="44" spans="1:14">
      <c r="A44" s="340" t="s">
        <v>398</v>
      </c>
      <c r="B44" s="72">
        <v>0</v>
      </c>
      <c r="C44" s="72">
        <v>0</v>
      </c>
      <c r="D44" s="72">
        <v>0</v>
      </c>
      <c r="E44" s="72">
        <v>0</v>
      </c>
      <c r="F44" s="72">
        <v>0</v>
      </c>
      <c r="G44" s="72">
        <v>0</v>
      </c>
      <c r="H44" s="72">
        <v>0</v>
      </c>
      <c r="I44" s="72">
        <v>451223.9</v>
      </c>
      <c r="J44" s="72">
        <v>0</v>
      </c>
      <c r="K44" s="72">
        <v>0</v>
      </c>
      <c r="L44" s="72">
        <f t="shared" ref="L44:L51" si="7">SUM(B44:K44)</f>
        <v>451223.9</v>
      </c>
      <c r="N44" s="72"/>
    </row>
    <row r="45" spans="1:14">
      <c r="A45" s="340" t="s">
        <v>397</v>
      </c>
      <c r="B45" s="72">
        <v>0</v>
      </c>
      <c r="C45" s="72">
        <v>0</v>
      </c>
      <c r="D45" s="72">
        <v>0</v>
      </c>
      <c r="E45" s="72">
        <v>0</v>
      </c>
      <c r="F45" s="72">
        <v>0</v>
      </c>
      <c r="G45" s="72">
        <v>0</v>
      </c>
      <c r="H45" s="72">
        <v>0</v>
      </c>
      <c r="I45" s="72">
        <v>33151.29</v>
      </c>
      <c r="J45" s="72">
        <v>0</v>
      </c>
      <c r="K45" s="72">
        <v>0</v>
      </c>
      <c r="L45" s="72">
        <f t="shared" si="7"/>
        <v>33151.29</v>
      </c>
      <c r="N45" s="72"/>
    </row>
    <row r="46" spans="1:14">
      <c r="A46" s="7" t="s">
        <v>789</v>
      </c>
      <c r="B46" s="72">
        <v>0</v>
      </c>
      <c r="C46" s="72">
        <v>0</v>
      </c>
      <c r="D46" s="72">
        <v>0</v>
      </c>
      <c r="E46" s="72">
        <v>0</v>
      </c>
      <c r="F46" s="72">
        <v>0</v>
      </c>
      <c r="G46" s="72">
        <v>19813.740000000002</v>
      </c>
      <c r="H46" s="72">
        <v>0</v>
      </c>
      <c r="I46" s="72">
        <v>0</v>
      </c>
      <c r="J46" s="72">
        <v>0</v>
      </c>
      <c r="K46" s="72">
        <v>0</v>
      </c>
      <c r="L46" s="72">
        <f t="shared" si="7"/>
        <v>19813.740000000002</v>
      </c>
      <c r="N46" s="72"/>
    </row>
    <row r="47" spans="1:14">
      <c r="A47" s="7" t="s">
        <v>790</v>
      </c>
      <c r="B47" s="72">
        <v>0</v>
      </c>
      <c r="C47" s="72">
        <v>0</v>
      </c>
      <c r="D47" s="72">
        <v>0</v>
      </c>
      <c r="E47" s="72">
        <v>0</v>
      </c>
      <c r="F47" s="72">
        <v>0</v>
      </c>
      <c r="G47" s="72">
        <v>1154849.1299999999</v>
      </c>
      <c r="H47" s="72">
        <v>0</v>
      </c>
      <c r="I47" s="72">
        <v>0</v>
      </c>
      <c r="J47" s="72">
        <v>0</v>
      </c>
      <c r="K47" s="72">
        <v>0</v>
      </c>
      <c r="L47" s="72">
        <f t="shared" si="7"/>
        <v>1154849.1299999999</v>
      </c>
      <c r="N47" s="72"/>
    </row>
    <row r="48" spans="1:14">
      <c r="A48" s="7" t="s">
        <v>791</v>
      </c>
      <c r="B48" s="72">
        <v>0</v>
      </c>
      <c r="C48" s="72">
        <v>0</v>
      </c>
      <c r="D48" s="72">
        <v>0</v>
      </c>
      <c r="E48" s="72">
        <v>0</v>
      </c>
      <c r="F48" s="72">
        <v>0</v>
      </c>
      <c r="G48" s="72">
        <v>7928.46</v>
      </c>
      <c r="H48" s="72">
        <v>0</v>
      </c>
      <c r="I48" s="72">
        <v>0</v>
      </c>
      <c r="J48" s="72">
        <v>0</v>
      </c>
      <c r="K48" s="72">
        <v>0</v>
      </c>
      <c r="L48" s="72">
        <f t="shared" si="7"/>
        <v>7928.46</v>
      </c>
      <c r="N48" s="72"/>
    </row>
    <row r="49" spans="1:14">
      <c r="A49" s="7" t="s">
        <v>792</v>
      </c>
      <c r="B49" s="72">
        <v>0</v>
      </c>
      <c r="C49" s="72">
        <v>0</v>
      </c>
      <c r="D49" s="72">
        <v>0</v>
      </c>
      <c r="E49" s="72">
        <v>0</v>
      </c>
      <c r="F49" s="72">
        <v>0</v>
      </c>
      <c r="G49" s="72">
        <v>0</v>
      </c>
      <c r="H49" s="72">
        <v>0</v>
      </c>
      <c r="I49" s="72">
        <v>421.68</v>
      </c>
      <c r="J49" s="72">
        <v>0</v>
      </c>
      <c r="K49" s="72">
        <v>0</v>
      </c>
      <c r="L49" s="72">
        <f t="shared" si="7"/>
        <v>421.68</v>
      </c>
      <c r="N49" s="72"/>
    </row>
    <row r="50" spans="1:14">
      <c r="A50" s="7" t="s">
        <v>793</v>
      </c>
      <c r="B50" s="72">
        <v>0</v>
      </c>
      <c r="C50" s="72">
        <v>0</v>
      </c>
      <c r="D50" s="72">
        <v>0</v>
      </c>
      <c r="E50" s="72">
        <v>0</v>
      </c>
      <c r="F50" s="72">
        <v>0</v>
      </c>
      <c r="G50" s="72">
        <v>501.84</v>
      </c>
      <c r="H50" s="72">
        <v>0</v>
      </c>
      <c r="I50" s="72">
        <v>0</v>
      </c>
      <c r="J50" s="72">
        <v>0</v>
      </c>
      <c r="K50" s="72">
        <v>0</v>
      </c>
      <c r="L50" s="72">
        <f t="shared" si="7"/>
        <v>501.84</v>
      </c>
      <c r="N50" s="72"/>
    </row>
    <row r="51" spans="1:14">
      <c r="A51" s="7" t="s">
        <v>794</v>
      </c>
      <c r="B51" s="72">
        <v>0</v>
      </c>
      <c r="C51" s="72">
        <v>0</v>
      </c>
      <c r="D51" s="72">
        <v>0</v>
      </c>
      <c r="E51" s="72">
        <v>0</v>
      </c>
      <c r="F51" s="72">
        <v>0</v>
      </c>
      <c r="G51" s="72">
        <v>0</v>
      </c>
      <c r="H51" s="72">
        <v>0</v>
      </c>
      <c r="I51" s="72">
        <v>5297.35</v>
      </c>
      <c r="J51" s="72">
        <v>0</v>
      </c>
      <c r="K51" s="72">
        <v>0</v>
      </c>
      <c r="L51" s="72">
        <f t="shared" si="7"/>
        <v>5297.35</v>
      </c>
      <c r="N51" s="72"/>
    </row>
    <row r="52" spans="1:14">
      <c r="A52" s="341" t="s">
        <v>396</v>
      </c>
      <c r="B52" s="73">
        <f t="shared" ref="B52:L52" si="8">SUM(B44:B51)</f>
        <v>0</v>
      </c>
      <c r="C52" s="73">
        <f t="shared" si="8"/>
        <v>0</v>
      </c>
      <c r="D52" s="73">
        <f t="shared" si="8"/>
        <v>0</v>
      </c>
      <c r="E52" s="73">
        <f t="shared" si="8"/>
        <v>0</v>
      </c>
      <c r="F52" s="73">
        <f t="shared" si="8"/>
        <v>0</v>
      </c>
      <c r="G52" s="73">
        <f t="shared" si="8"/>
        <v>1183093.17</v>
      </c>
      <c r="H52" s="73">
        <f t="shared" si="8"/>
        <v>0</v>
      </c>
      <c r="I52" s="73">
        <f t="shared" si="8"/>
        <v>490094.22</v>
      </c>
      <c r="J52" s="73">
        <f t="shared" si="8"/>
        <v>0</v>
      </c>
      <c r="K52" s="73">
        <f t="shared" si="8"/>
        <v>0</v>
      </c>
      <c r="L52" s="73">
        <f t="shared" si="8"/>
        <v>1673187.39</v>
      </c>
      <c r="M52" s="20">
        <v>10</v>
      </c>
      <c r="N52" s="73"/>
    </row>
    <row r="53" spans="1:14">
      <c r="A53" s="339" t="s">
        <v>395</v>
      </c>
      <c r="B53" s="71"/>
      <c r="C53" s="71"/>
      <c r="D53" s="71"/>
      <c r="E53" s="71"/>
      <c r="F53" s="71"/>
      <c r="G53" s="71"/>
      <c r="H53" s="71"/>
      <c r="I53" s="71"/>
      <c r="J53" s="71"/>
      <c r="K53" s="71"/>
      <c r="L53" s="71"/>
      <c r="N53" s="71"/>
    </row>
    <row r="54" spans="1:14">
      <c r="A54" s="340" t="s">
        <v>394</v>
      </c>
      <c r="B54" s="72">
        <v>0</v>
      </c>
      <c r="C54" s="72">
        <v>0</v>
      </c>
      <c r="D54" s="72">
        <v>0</v>
      </c>
      <c r="E54" s="72">
        <v>0</v>
      </c>
      <c r="F54" s="72">
        <v>0</v>
      </c>
      <c r="G54" s="72">
        <v>0</v>
      </c>
      <c r="H54" s="72">
        <v>0</v>
      </c>
      <c r="I54" s="72">
        <v>0</v>
      </c>
      <c r="J54" s="72">
        <v>16744.009999999998</v>
      </c>
      <c r="K54" s="72">
        <v>0</v>
      </c>
      <c r="L54" s="72">
        <f>SUM(B54:K54)</f>
        <v>16744.009999999998</v>
      </c>
      <c r="N54" s="72"/>
    </row>
    <row r="55" spans="1:14">
      <c r="A55" s="340" t="s">
        <v>393</v>
      </c>
      <c r="B55" s="72">
        <v>0</v>
      </c>
      <c r="C55" s="72">
        <v>0</v>
      </c>
      <c r="D55" s="72">
        <v>0</v>
      </c>
      <c r="E55" s="72">
        <v>0</v>
      </c>
      <c r="F55" s="72">
        <v>0</v>
      </c>
      <c r="G55" s="72">
        <v>0</v>
      </c>
      <c r="H55" s="72">
        <v>0</v>
      </c>
      <c r="I55" s="72">
        <v>0</v>
      </c>
      <c r="J55" s="72">
        <v>2767.89</v>
      </c>
      <c r="K55" s="72">
        <v>0</v>
      </c>
      <c r="L55" s="72">
        <f>SUM(B55:K55)</f>
        <v>2767.89</v>
      </c>
      <c r="N55" s="72"/>
    </row>
    <row r="56" spans="1:14">
      <c r="A56" s="340" t="s">
        <v>392</v>
      </c>
      <c r="B56" s="72">
        <v>0</v>
      </c>
      <c r="C56" s="72">
        <v>0</v>
      </c>
      <c r="D56" s="72">
        <v>0</v>
      </c>
      <c r="E56" s="72">
        <v>0</v>
      </c>
      <c r="F56" s="72">
        <v>0</v>
      </c>
      <c r="G56" s="72">
        <v>0</v>
      </c>
      <c r="H56" s="72">
        <v>0</v>
      </c>
      <c r="I56" s="72">
        <v>0</v>
      </c>
      <c r="J56" s="72">
        <v>8345.64</v>
      </c>
      <c r="K56" s="72">
        <v>0</v>
      </c>
      <c r="L56" s="72">
        <f>SUM(B56:K56)</f>
        <v>8345.64</v>
      </c>
      <c r="N56" s="72"/>
    </row>
    <row r="57" spans="1:14">
      <c r="A57" s="341" t="s">
        <v>391</v>
      </c>
      <c r="B57" s="73">
        <f t="shared" ref="B57:L57" si="9">SUM(B54:B56)</f>
        <v>0</v>
      </c>
      <c r="C57" s="73">
        <f t="shared" si="9"/>
        <v>0</v>
      </c>
      <c r="D57" s="73">
        <f t="shared" si="9"/>
        <v>0</v>
      </c>
      <c r="E57" s="73">
        <f t="shared" si="9"/>
        <v>0</v>
      </c>
      <c r="F57" s="73">
        <f t="shared" si="9"/>
        <v>0</v>
      </c>
      <c r="G57" s="73">
        <f t="shared" si="9"/>
        <v>0</v>
      </c>
      <c r="H57" s="73">
        <f t="shared" si="9"/>
        <v>0</v>
      </c>
      <c r="I57" s="73">
        <f t="shared" si="9"/>
        <v>0</v>
      </c>
      <c r="J57" s="73">
        <f t="shared" si="9"/>
        <v>27857.539999999997</v>
      </c>
      <c r="K57" s="73">
        <f t="shared" si="9"/>
        <v>0</v>
      </c>
      <c r="L57" s="73">
        <f t="shared" si="9"/>
        <v>27857.539999999997</v>
      </c>
      <c r="M57" s="20">
        <v>11</v>
      </c>
      <c r="N57" s="73"/>
    </row>
    <row r="58" spans="1:14">
      <c r="A58" s="339" t="s">
        <v>390</v>
      </c>
      <c r="B58" s="71"/>
      <c r="C58" s="71"/>
      <c r="D58" s="71"/>
      <c r="E58" s="71"/>
      <c r="F58" s="71"/>
      <c r="G58" s="71"/>
      <c r="H58" s="71"/>
      <c r="I58" s="71"/>
      <c r="J58" s="71"/>
      <c r="K58" s="71"/>
      <c r="L58" s="71"/>
      <c r="N58" s="71"/>
    </row>
    <row r="59" spans="1:14">
      <c r="A59" s="340" t="s">
        <v>389</v>
      </c>
      <c r="B59" s="72">
        <v>0</v>
      </c>
      <c r="C59" s="72">
        <v>0</v>
      </c>
      <c r="D59" s="72">
        <v>0</v>
      </c>
      <c r="E59" s="72">
        <v>0</v>
      </c>
      <c r="F59" s="72">
        <v>0</v>
      </c>
      <c r="G59" s="72">
        <v>0</v>
      </c>
      <c r="H59" s="72">
        <v>0</v>
      </c>
      <c r="I59" s="72">
        <v>0</v>
      </c>
      <c r="J59" s="72">
        <v>7249271.3600000003</v>
      </c>
      <c r="K59" s="72">
        <v>0</v>
      </c>
      <c r="L59" s="72">
        <f>SUM(B59:K59)</f>
        <v>7249271.3600000003</v>
      </c>
      <c r="N59" s="72"/>
    </row>
    <row r="60" spans="1:14">
      <c r="A60" s="7" t="s">
        <v>795</v>
      </c>
      <c r="B60" s="72">
        <v>0</v>
      </c>
      <c r="C60" s="72">
        <v>0</v>
      </c>
      <c r="D60" s="72">
        <v>0</v>
      </c>
      <c r="E60" s="72">
        <v>0</v>
      </c>
      <c r="F60" s="72">
        <v>0</v>
      </c>
      <c r="G60" s="72">
        <v>0</v>
      </c>
      <c r="H60" s="72">
        <v>0</v>
      </c>
      <c r="I60" s="72">
        <v>0</v>
      </c>
      <c r="J60" s="72">
        <v>441742.78</v>
      </c>
      <c r="K60" s="72">
        <v>0</v>
      </c>
      <c r="L60" s="72">
        <f>SUM(B60:K60)</f>
        <v>441742.78</v>
      </c>
      <c r="N60" s="72"/>
    </row>
    <row r="61" spans="1:14">
      <c r="A61" s="7" t="s">
        <v>796</v>
      </c>
      <c r="B61" s="72">
        <v>0</v>
      </c>
      <c r="C61" s="72">
        <v>0</v>
      </c>
      <c r="D61" s="72">
        <v>0</v>
      </c>
      <c r="E61" s="72">
        <v>0</v>
      </c>
      <c r="F61" s="72">
        <v>0</v>
      </c>
      <c r="G61" s="72">
        <v>0</v>
      </c>
      <c r="H61" s="72">
        <v>0</v>
      </c>
      <c r="I61" s="72">
        <v>0</v>
      </c>
      <c r="J61" s="72">
        <v>0</v>
      </c>
      <c r="K61" s="72">
        <v>441568</v>
      </c>
      <c r="L61" s="72">
        <f>SUM(B61:K61)</f>
        <v>441568</v>
      </c>
      <c r="N61" s="72"/>
    </row>
    <row r="62" spans="1:14">
      <c r="A62" s="7" t="s">
        <v>797</v>
      </c>
      <c r="B62" s="72">
        <v>0</v>
      </c>
      <c r="C62" s="72">
        <v>0</v>
      </c>
      <c r="D62" s="72">
        <v>0</v>
      </c>
      <c r="E62" s="72">
        <v>0</v>
      </c>
      <c r="F62" s="72">
        <v>0</v>
      </c>
      <c r="G62" s="72">
        <v>0</v>
      </c>
      <c r="H62" s="72">
        <v>0</v>
      </c>
      <c r="I62" s="72">
        <v>0</v>
      </c>
      <c r="J62" s="72">
        <v>0</v>
      </c>
      <c r="K62" s="72">
        <v>165588</v>
      </c>
      <c r="L62" s="72">
        <f>SUM(B62:K62)</f>
        <v>165588</v>
      </c>
      <c r="N62" s="72"/>
    </row>
    <row r="63" spans="1:14">
      <c r="A63" s="341" t="s">
        <v>388</v>
      </c>
      <c r="B63" s="73">
        <f t="shared" ref="B63:L63" si="10">SUM(B59:B62)</f>
        <v>0</v>
      </c>
      <c r="C63" s="73">
        <f t="shared" si="10"/>
        <v>0</v>
      </c>
      <c r="D63" s="73">
        <f t="shared" si="10"/>
        <v>0</v>
      </c>
      <c r="E63" s="73">
        <f t="shared" si="10"/>
        <v>0</v>
      </c>
      <c r="F63" s="73">
        <f t="shared" si="10"/>
        <v>0</v>
      </c>
      <c r="G63" s="73">
        <f t="shared" si="10"/>
        <v>0</v>
      </c>
      <c r="H63" s="73">
        <f t="shared" si="10"/>
        <v>0</v>
      </c>
      <c r="I63" s="73">
        <f t="shared" si="10"/>
        <v>0</v>
      </c>
      <c r="J63" s="73">
        <f>SUM(J59:J62)</f>
        <v>7691014.1400000006</v>
      </c>
      <c r="K63" s="73">
        <f t="shared" si="10"/>
        <v>607156</v>
      </c>
      <c r="L63" s="73">
        <f t="shared" si="10"/>
        <v>8298170.1400000006</v>
      </c>
      <c r="M63" s="20">
        <v>11</v>
      </c>
      <c r="N63" s="73"/>
    </row>
    <row r="64" spans="1:14">
      <c r="A64" s="343" t="s">
        <v>387</v>
      </c>
      <c r="B64" s="73">
        <f t="shared" ref="B64:L64" si="11">SUM(B11,B20,B23:B24,B29,B34,B38,B42,B52,B57,B63)</f>
        <v>0</v>
      </c>
      <c r="C64" s="73">
        <f t="shared" si="11"/>
        <v>0</v>
      </c>
      <c r="D64" s="73">
        <f t="shared" si="11"/>
        <v>20694.27</v>
      </c>
      <c r="E64" s="73">
        <f t="shared" si="11"/>
        <v>21.14</v>
      </c>
      <c r="F64" s="73">
        <f t="shared" si="11"/>
        <v>299.37</v>
      </c>
      <c r="G64" s="73">
        <f t="shared" si="11"/>
        <v>1183093.17</v>
      </c>
      <c r="H64" s="73">
        <f t="shared" si="11"/>
        <v>195757.56</v>
      </c>
      <c r="I64" s="73">
        <f t="shared" si="11"/>
        <v>490094.22</v>
      </c>
      <c r="J64" s="73">
        <f t="shared" si="11"/>
        <v>10912064.920000002</v>
      </c>
      <c r="K64" s="73">
        <f t="shared" si="11"/>
        <v>815554.82000000007</v>
      </c>
      <c r="L64" s="73">
        <f t="shared" si="11"/>
        <v>13617579.470000003</v>
      </c>
      <c r="N64" s="73"/>
    </row>
    <row r="65" spans="1:14">
      <c r="A65" s="338" t="s">
        <v>386</v>
      </c>
      <c r="B65" s="71"/>
      <c r="C65" s="71"/>
      <c r="D65" s="71"/>
      <c r="E65" s="71"/>
      <c r="F65" s="71"/>
      <c r="G65" s="71"/>
      <c r="H65" s="71"/>
      <c r="I65" s="71"/>
      <c r="J65" s="71"/>
      <c r="K65" s="71"/>
      <c r="L65" s="71"/>
      <c r="N65" s="71"/>
    </row>
    <row r="66" spans="1:14">
      <c r="A66" s="339" t="s">
        <v>385</v>
      </c>
      <c r="B66" s="71"/>
      <c r="C66" s="71"/>
      <c r="D66" s="71"/>
      <c r="E66" s="71"/>
      <c r="F66" s="71"/>
      <c r="G66" s="71"/>
      <c r="H66" s="71"/>
      <c r="I66" s="71"/>
      <c r="J66" s="71"/>
      <c r="K66" s="71"/>
      <c r="L66" s="71"/>
      <c r="N66" s="71"/>
    </row>
    <row r="67" spans="1:14">
      <c r="A67" s="340" t="s">
        <v>384</v>
      </c>
      <c r="B67" s="72">
        <v>0</v>
      </c>
      <c r="C67" s="72">
        <v>0</v>
      </c>
      <c r="D67" s="72">
        <v>0</v>
      </c>
      <c r="E67" s="72">
        <v>0</v>
      </c>
      <c r="F67" s="72">
        <v>0</v>
      </c>
      <c r="G67" s="72">
        <v>0</v>
      </c>
      <c r="H67" s="72">
        <v>0</v>
      </c>
      <c r="I67" s="72">
        <v>0</v>
      </c>
      <c r="J67" s="72">
        <v>424623.05</v>
      </c>
      <c r="K67" s="72">
        <v>0</v>
      </c>
      <c r="L67" s="72">
        <f>SUM(B67:K67)</f>
        <v>424623.05</v>
      </c>
      <c r="M67" s="20">
        <v>12</v>
      </c>
      <c r="N67" s="72"/>
    </row>
    <row r="68" spans="1:14">
      <c r="A68" s="341" t="s">
        <v>382</v>
      </c>
      <c r="B68" s="73">
        <f t="shared" ref="B68:L69" si="12">SUM(B67)</f>
        <v>0</v>
      </c>
      <c r="C68" s="73">
        <f t="shared" si="12"/>
        <v>0</v>
      </c>
      <c r="D68" s="73">
        <f t="shared" si="12"/>
        <v>0</v>
      </c>
      <c r="E68" s="73">
        <f t="shared" si="12"/>
        <v>0</v>
      </c>
      <c r="F68" s="73">
        <f t="shared" si="12"/>
        <v>0</v>
      </c>
      <c r="G68" s="73">
        <f t="shared" si="12"/>
        <v>0</v>
      </c>
      <c r="H68" s="73">
        <f t="shared" si="12"/>
        <v>0</v>
      </c>
      <c r="I68" s="73">
        <f t="shared" si="12"/>
        <v>0</v>
      </c>
      <c r="J68" s="73">
        <f t="shared" si="12"/>
        <v>424623.05</v>
      </c>
      <c r="K68" s="73">
        <f t="shared" si="12"/>
        <v>0</v>
      </c>
      <c r="L68" s="73">
        <f t="shared" si="12"/>
        <v>424623.05</v>
      </c>
      <c r="M68" s="20">
        <v>12.1</v>
      </c>
      <c r="N68" s="73"/>
    </row>
    <row r="69" spans="1:14">
      <c r="A69" s="343" t="s">
        <v>378</v>
      </c>
      <c r="B69" s="73">
        <f t="shared" si="12"/>
        <v>0</v>
      </c>
      <c r="C69" s="73">
        <f t="shared" si="12"/>
        <v>0</v>
      </c>
      <c r="D69" s="73">
        <f t="shared" si="12"/>
        <v>0</v>
      </c>
      <c r="E69" s="73">
        <f t="shared" si="12"/>
        <v>0</v>
      </c>
      <c r="F69" s="73">
        <f t="shared" si="12"/>
        <v>0</v>
      </c>
      <c r="G69" s="73">
        <f t="shared" si="12"/>
        <v>0</v>
      </c>
      <c r="H69" s="73">
        <f t="shared" si="12"/>
        <v>0</v>
      </c>
      <c r="I69" s="73">
        <f t="shared" si="12"/>
        <v>0</v>
      </c>
      <c r="J69" s="73">
        <f t="shared" si="12"/>
        <v>424623.05</v>
      </c>
      <c r="K69" s="73">
        <f t="shared" si="12"/>
        <v>0</v>
      </c>
      <c r="L69" s="73">
        <f t="shared" si="12"/>
        <v>424623.05</v>
      </c>
      <c r="N69" s="71"/>
    </row>
    <row r="70" spans="1:14">
      <c r="A70" s="338" t="s">
        <v>377</v>
      </c>
      <c r="B70" s="71"/>
      <c r="C70" s="71"/>
      <c r="D70" s="71"/>
      <c r="E70" s="71"/>
      <c r="F70" s="71"/>
      <c r="G70" s="71"/>
      <c r="H70" s="71"/>
      <c r="I70" s="71"/>
      <c r="J70" s="71"/>
      <c r="K70" s="71"/>
      <c r="L70" s="71"/>
      <c r="N70" s="71"/>
    </row>
    <row r="71" spans="1:14">
      <c r="A71" s="342" t="s">
        <v>719</v>
      </c>
      <c r="B71" s="72">
        <v>0</v>
      </c>
      <c r="C71" s="72">
        <v>0</v>
      </c>
      <c r="D71" s="72">
        <v>0</v>
      </c>
      <c r="E71" s="72">
        <v>0</v>
      </c>
      <c r="F71" s="72">
        <v>0</v>
      </c>
      <c r="G71" s="72">
        <v>0</v>
      </c>
      <c r="H71" s="72">
        <v>0</v>
      </c>
      <c r="I71" s="72">
        <v>0</v>
      </c>
      <c r="J71" s="72">
        <v>20816.79</v>
      </c>
      <c r="K71" s="72">
        <v>0</v>
      </c>
      <c r="L71" s="72">
        <f>SUM(B71:K71)</f>
        <v>20816.79</v>
      </c>
      <c r="N71" s="72"/>
    </row>
    <row r="72" spans="1:14">
      <c r="A72" s="343" t="s">
        <v>376</v>
      </c>
      <c r="B72" s="73">
        <f t="shared" ref="B72:L72" si="13">SUM(B71)</f>
        <v>0</v>
      </c>
      <c r="C72" s="73">
        <f t="shared" si="13"/>
        <v>0</v>
      </c>
      <c r="D72" s="73">
        <f t="shared" si="13"/>
        <v>0</v>
      </c>
      <c r="E72" s="73">
        <f t="shared" si="13"/>
        <v>0</v>
      </c>
      <c r="F72" s="73">
        <f t="shared" si="13"/>
        <v>0</v>
      </c>
      <c r="G72" s="73">
        <f t="shared" si="13"/>
        <v>0</v>
      </c>
      <c r="H72" s="73">
        <f t="shared" si="13"/>
        <v>0</v>
      </c>
      <c r="I72" s="73">
        <f t="shared" si="13"/>
        <v>0</v>
      </c>
      <c r="J72" s="73">
        <f t="shared" si="13"/>
        <v>20816.79</v>
      </c>
      <c r="K72" s="73">
        <f t="shared" si="13"/>
        <v>0</v>
      </c>
      <c r="L72" s="73">
        <f t="shared" si="13"/>
        <v>20816.79</v>
      </c>
      <c r="M72" s="20">
        <v>12</v>
      </c>
      <c r="N72" s="73"/>
    </row>
    <row r="73" spans="1:14">
      <c r="A73" s="338" t="s">
        <v>375</v>
      </c>
      <c r="B73" s="71"/>
      <c r="C73" s="71"/>
      <c r="D73" s="71"/>
      <c r="E73" s="71"/>
      <c r="F73" s="71"/>
      <c r="G73" s="71"/>
      <c r="H73" s="71"/>
      <c r="I73" s="71"/>
      <c r="J73" s="71"/>
      <c r="K73" s="71"/>
      <c r="L73" s="71"/>
      <c r="N73" s="71"/>
    </row>
    <row r="74" spans="1:14">
      <c r="A74" s="342" t="s">
        <v>374</v>
      </c>
      <c r="B74" s="72">
        <v>0</v>
      </c>
      <c r="C74" s="72">
        <v>0</v>
      </c>
      <c r="D74" s="72">
        <v>0</v>
      </c>
      <c r="E74" s="72">
        <v>0</v>
      </c>
      <c r="F74" s="72">
        <v>0</v>
      </c>
      <c r="G74" s="72">
        <v>0</v>
      </c>
      <c r="H74" s="72">
        <v>0</v>
      </c>
      <c r="I74" s="72">
        <v>0</v>
      </c>
      <c r="J74" s="72">
        <v>213442.28</v>
      </c>
      <c r="K74" s="72">
        <v>0</v>
      </c>
      <c r="L74" s="72">
        <f>SUM(B74:K74)</f>
        <v>213442.28</v>
      </c>
      <c r="M74" s="20">
        <v>12</v>
      </c>
      <c r="N74" s="72"/>
    </row>
    <row r="75" spans="1:14">
      <c r="A75" s="339" t="s">
        <v>373</v>
      </c>
      <c r="B75" s="71"/>
      <c r="C75" s="71"/>
      <c r="D75" s="71"/>
      <c r="E75" s="71"/>
      <c r="F75" s="71"/>
      <c r="G75" s="71"/>
      <c r="H75" s="71"/>
      <c r="I75" s="71"/>
      <c r="J75" s="71"/>
      <c r="K75" s="71"/>
      <c r="L75" s="71"/>
      <c r="N75" s="71"/>
    </row>
    <row r="76" spans="1:14">
      <c r="A76" s="340" t="s">
        <v>372</v>
      </c>
      <c r="B76" s="72">
        <v>-4197205.57</v>
      </c>
      <c r="C76" s="72">
        <v>0</v>
      </c>
      <c r="D76" s="72">
        <v>0</v>
      </c>
      <c r="E76" s="72">
        <v>0</v>
      </c>
      <c r="F76" s="72">
        <v>0</v>
      </c>
      <c r="G76" s="72">
        <v>0</v>
      </c>
      <c r="H76" s="72">
        <v>2290955.4900000002</v>
      </c>
      <c r="I76" s="72">
        <v>0</v>
      </c>
      <c r="J76" s="72">
        <v>1906250.08</v>
      </c>
      <c r="K76" s="72">
        <v>0</v>
      </c>
      <c r="L76" s="72">
        <f t="shared" ref="L76:L81" si="14">SUM(B76:K76)</f>
        <v>0</v>
      </c>
      <c r="N76" s="72"/>
    </row>
    <row r="77" spans="1:14">
      <c r="A77" s="340" t="s">
        <v>371</v>
      </c>
      <c r="B77" s="72">
        <v>-2131357.11</v>
      </c>
      <c r="C77" s="72">
        <v>0</v>
      </c>
      <c r="D77" s="72">
        <v>0</v>
      </c>
      <c r="E77" s="72">
        <v>0</v>
      </c>
      <c r="F77" s="72">
        <v>0</v>
      </c>
      <c r="G77" s="72">
        <v>0</v>
      </c>
      <c r="H77" s="72">
        <v>0</v>
      </c>
      <c r="I77" s="72">
        <v>0</v>
      </c>
      <c r="J77" s="72">
        <v>1302084.3500000001</v>
      </c>
      <c r="K77" s="72">
        <v>829272.76</v>
      </c>
      <c r="L77" s="72">
        <f t="shared" si="14"/>
        <v>0</v>
      </c>
      <c r="N77" s="72"/>
    </row>
    <row r="78" spans="1:14">
      <c r="A78" s="340" t="s">
        <v>370</v>
      </c>
      <c r="B78" s="72">
        <v>-48502.45</v>
      </c>
      <c r="C78" s="72">
        <v>0</v>
      </c>
      <c r="D78" s="72">
        <v>0</v>
      </c>
      <c r="E78" s="72">
        <v>0</v>
      </c>
      <c r="F78" s="72">
        <v>48177.9</v>
      </c>
      <c r="G78" s="72">
        <v>0</v>
      </c>
      <c r="H78" s="72">
        <v>0</v>
      </c>
      <c r="I78" s="72">
        <v>-636.59</v>
      </c>
      <c r="J78" s="72">
        <v>961.14</v>
      </c>
      <c r="K78" s="72">
        <v>0</v>
      </c>
      <c r="L78" s="72">
        <f t="shared" si="14"/>
        <v>4.3200998334214091E-12</v>
      </c>
      <c r="N78" s="72"/>
    </row>
    <row r="79" spans="1:14">
      <c r="A79" s="340" t="s">
        <v>369</v>
      </c>
      <c r="B79" s="72">
        <v>-4417.6400000000003</v>
      </c>
      <c r="C79" s="72">
        <v>0</v>
      </c>
      <c r="D79" s="72">
        <v>4417.6400000000003</v>
      </c>
      <c r="E79" s="72">
        <v>0</v>
      </c>
      <c r="F79" s="72">
        <v>0</v>
      </c>
      <c r="G79" s="72">
        <v>0</v>
      </c>
      <c r="H79" s="72">
        <v>0</v>
      </c>
      <c r="I79" s="72">
        <v>0</v>
      </c>
      <c r="J79" s="72">
        <v>0</v>
      </c>
      <c r="K79" s="72">
        <v>0</v>
      </c>
      <c r="L79" s="72">
        <f t="shared" si="14"/>
        <v>0</v>
      </c>
      <c r="N79" s="72"/>
    </row>
    <row r="80" spans="1:14">
      <c r="A80" s="340" t="s">
        <v>368</v>
      </c>
      <c r="B80" s="72">
        <v>-2406219.9500000002</v>
      </c>
      <c r="C80" s="72">
        <v>1000</v>
      </c>
      <c r="D80" s="72">
        <v>0</v>
      </c>
      <c r="E80" s="72">
        <v>0</v>
      </c>
      <c r="F80" s="72">
        <v>0</v>
      </c>
      <c r="G80" s="72">
        <v>-1000</v>
      </c>
      <c r="H80" s="72">
        <v>15878.25</v>
      </c>
      <c r="I80" s="72">
        <v>478909.01</v>
      </c>
      <c r="J80" s="72">
        <v>1911432.69</v>
      </c>
      <c r="K80" s="72">
        <v>0</v>
      </c>
      <c r="L80" s="72">
        <f t="shared" si="14"/>
        <v>-2.3283064365386963E-10</v>
      </c>
      <c r="N80" s="72"/>
    </row>
    <row r="81" spans="1:14">
      <c r="A81" s="7" t="s">
        <v>798</v>
      </c>
      <c r="B81" s="72">
        <v>-3734.99</v>
      </c>
      <c r="C81" s="72">
        <v>7338.78</v>
      </c>
      <c r="D81" s="72">
        <v>0</v>
      </c>
      <c r="E81" s="72">
        <v>0</v>
      </c>
      <c r="F81" s="72">
        <v>0</v>
      </c>
      <c r="G81" s="72">
        <v>-10370.790000000001</v>
      </c>
      <c r="H81" s="72">
        <v>3250</v>
      </c>
      <c r="I81" s="72">
        <v>0</v>
      </c>
      <c r="J81" s="72">
        <v>3517</v>
      </c>
      <c r="K81" s="72">
        <v>0</v>
      </c>
      <c r="L81" s="72">
        <f t="shared" si="14"/>
        <v>-9.0949470177292824E-13</v>
      </c>
      <c r="N81" s="72"/>
    </row>
    <row r="82" spans="1:14">
      <c r="A82" s="341" t="s">
        <v>367</v>
      </c>
      <c r="B82" s="73">
        <f t="shared" ref="B82:L82" si="15">SUM(B76:B81)</f>
        <v>-8791437.709999999</v>
      </c>
      <c r="C82" s="377">
        <f t="shared" si="15"/>
        <v>8338.7799999999988</v>
      </c>
      <c r="D82" s="73">
        <f t="shared" si="15"/>
        <v>4417.6400000000003</v>
      </c>
      <c r="E82" s="73">
        <f t="shared" si="15"/>
        <v>0</v>
      </c>
      <c r="F82" s="73">
        <f t="shared" si="15"/>
        <v>48177.9</v>
      </c>
      <c r="G82" s="73">
        <f t="shared" si="15"/>
        <v>-11370.79</v>
      </c>
      <c r="H82" s="73">
        <f t="shared" si="15"/>
        <v>2310083.7400000002</v>
      </c>
      <c r="I82" s="73">
        <f t="shared" si="15"/>
        <v>478272.42</v>
      </c>
      <c r="J82" s="73">
        <f t="shared" si="15"/>
        <v>5124245.26</v>
      </c>
      <c r="K82" s="73">
        <f t="shared" si="15"/>
        <v>829272.76</v>
      </c>
      <c r="L82" s="73">
        <f t="shared" si="15"/>
        <v>-2.2942003852222115E-10</v>
      </c>
      <c r="M82" s="20">
        <v>13</v>
      </c>
      <c r="N82" s="73"/>
    </row>
    <row r="83" spans="1:14">
      <c r="A83" s="339" t="s">
        <v>366</v>
      </c>
      <c r="B83" s="71"/>
      <c r="C83" s="71"/>
      <c r="D83" s="71"/>
      <c r="E83" s="71"/>
      <c r="F83" s="71"/>
      <c r="G83" s="71"/>
      <c r="H83" s="71"/>
      <c r="I83" s="71"/>
      <c r="J83" s="71"/>
      <c r="K83" s="71"/>
      <c r="L83" s="71"/>
      <c r="N83" s="71"/>
    </row>
    <row r="84" spans="1:14">
      <c r="A84" s="340" t="s">
        <v>365</v>
      </c>
      <c r="B84" s="72">
        <v>0</v>
      </c>
      <c r="C84" s="72">
        <v>0</v>
      </c>
      <c r="D84" s="72">
        <v>0</v>
      </c>
      <c r="E84" s="72">
        <v>0</v>
      </c>
      <c r="F84" s="72">
        <v>0</v>
      </c>
      <c r="G84" s="72">
        <v>12730.62</v>
      </c>
      <c r="H84" s="72">
        <v>12158.82</v>
      </c>
      <c r="I84" s="72">
        <v>24121.45</v>
      </c>
      <c r="J84" s="72">
        <v>181028.76</v>
      </c>
      <c r="K84" s="72">
        <v>8599.91</v>
      </c>
      <c r="L84" s="72">
        <f>SUM(B84:K84)</f>
        <v>238639.56000000003</v>
      </c>
      <c r="M84" s="20">
        <v>13.1</v>
      </c>
      <c r="N84" s="72"/>
    </row>
    <row r="85" spans="1:14">
      <c r="A85" s="340" t="s">
        <v>364</v>
      </c>
      <c r="B85" s="72">
        <v>0</v>
      </c>
      <c r="C85" s="72">
        <v>0</v>
      </c>
      <c r="D85" s="72">
        <v>0</v>
      </c>
      <c r="E85" s="72">
        <v>0</v>
      </c>
      <c r="F85" s="72">
        <v>0</v>
      </c>
      <c r="G85" s="72">
        <v>0</v>
      </c>
      <c r="H85" s="72">
        <v>26219.86</v>
      </c>
      <c r="I85" s="72">
        <v>5400</v>
      </c>
      <c r="J85" s="72">
        <v>2975.84</v>
      </c>
      <c r="K85" s="72">
        <v>0</v>
      </c>
      <c r="L85" s="72">
        <f>SUM(B85:K85)</f>
        <v>34595.699999999997</v>
      </c>
      <c r="M85" s="20">
        <v>13.1</v>
      </c>
      <c r="N85" s="72"/>
    </row>
    <row r="86" spans="1:14">
      <c r="A86" s="341" t="s">
        <v>362</v>
      </c>
      <c r="B86" s="73">
        <f t="shared" ref="B86:K86" si="16">SUM(B84:B85)</f>
        <v>0</v>
      </c>
      <c r="C86" s="73">
        <f t="shared" si="16"/>
        <v>0</v>
      </c>
      <c r="D86" s="73">
        <f t="shared" si="16"/>
        <v>0</v>
      </c>
      <c r="E86" s="73">
        <f t="shared" si="16"/>
        <v>0</v>
      </c>
      <c r="F86" s="73">
        <f t="shared" si="16"/>
        <v>0</v>
      </c>
      <c r="G86" s="73">
        <f t="shared" si="16"/>
        <v>12730.62</v>
      </c>
      <c r="H86" s="73">
        <f t="shared" si="16"/>
        <v>38378.68</v>
      </c>
      <c r="I86" s="73">
        <f t="shared" si="16"/>
        <v>29521.45</v>
      </c>
      <c r="J86" s="73">
        <f t="shared" si="16"/>
        <v>184004.6</v>
      </c>
      <c r="K86" s="73">
        <f t="shared" si="16"/>
        <v>8599.91</v>
      </c>
      <c r="L86" s="73">
        <f>SUM(L84:L85)</f>
        <v>273235.26</v>
      </c>
      <c r="M86" s="20">
        <v>13</v>
      </c>
      <c r="N86" s="73"/>
    </row>
    <row r="87" spans="1:14">
      <c r="A87" s="339" t="s">
        <v>361</v>
      </c>
      <c r="B87" s="71"/>
      <c r="C87" s="71"/>
      <c r="D87" s="71"/>
      <c r="E87" s="71"/>
      <c r="F87" s="71"/>
      <c r="G87" s="71"/>
      <c r="H87" s="71"/>
      <c r="I87" s="71"/>
      <c r="J87" s="71"/>
      <c r="K87" s="71"/>
      <c r="L87" s="71"/>
      <c r="N87" s="71"/>
    </row>
    <row r="88" spans="1:14">
      <c r="A88" s="344" t="s">
        <v>360</v>
      </c>
      <c r="B88" s="71"/>
      <c r="C88" s="71"/>
      <c r="D88" s="71"/>
      <c r="E88" s="71"/>
      <c r="F88" s="71"/>
      <c r="G88" s="71"/>
      <c r="H88" s="71"/>
      <c r="I88" s="71"/>
      <c r="J88" s="71"/>
      <c r="K88" s="71"/>
      <c r="L88" s="71"/>
      <c r="N88" s="71"/>
    </row>
    <row r="89" spans="1:14">
      <c r="A89" s="345" t="s">
        <v>359</v>
      </c>
      <c r="B89" s="72">
        <v>0</v>
      </c>
      <c r="C89" s="72">
        <v>0</v>
      </c>
      <c r="D89" s="72">
        <v>0</v>
      </c>
      <c r="E89" s="72">
        <v>0</v>
      </c>
      <c r="F89" s="72">
        <v>0</v>
      </c>
      <c r="G89" s="72">
        <v>0</v>
      </c>
      <c r="H89" s="72">
        <v>0</v>
      </c>
      <c r="I89" s="72">
        <v>0</v>
      </c>
      <c r="J89" s="72">
        <v>-627</v>
      </c>
      <c r="K89" s="72">
        <v>0</v>
      </c>
      <c r="L89" s="72">
        <f t="shared" ref="L89:L96" si="17">SUM(B89:K89)</f>
        <v>-627</v>
      </c>
      <c r="N89" s="72"/>
    </row>
    <row r="90" spans="1:14">
      <c r="A90" s="345" t="s">
        <v>358</v>
      </c>
      <c r="B90" s="72">
        <v>0</v>
      </c>
      <c r="C90" s="72">
        <v>0</v>
      </c>
      <c r="D90" s="72">
        <v>0</v>
      </c>
      <c r="E90" s="72">
        <v>0</v>
      </c>
      <c r="F90" s="72">
        <v>0</v>
      </c>
      <c r="G90" s="72">
        <v>0</v>
      </c>
      <c r="H90" s="72">
        <v>0</v>
      </c>
      <c r="I90" s="72">
        <v>0</v>
      </c>
      <c r="J90" s="72">
        <v>-5460.9</v>
      </c>
      <c r="K90" s="72">
        <v>0</v>
      </c>
      <c r="L90" s="72">
        <f t="shared" si="17"/>
        <v>-5460.9</v>
      </c>
      <c r="N90" s="72"/>
    </row>
    <row r="91" spans="1:14">
      <c r="A91" s="345" t="s">
        <v>357</v>
      </c>
      <c r="B91" s="72">
        <v>0</v>
      </c>
      <c r="C91" s="72">
        <v>0</v>
      </c>
      <c r="D91" s="72">
        <v>0</v>
      </c>
      <c r="E91" s="72">
        <v>0</v>
      </c>
      <c r="F91" s="72">
        <v>0</v>
      </c>
      <c r="G91" s="72">
        <v>0</v>
      </c>
      <c r="H91" s="72">
        <v>0</v>
      </c>
      <c r="I91" s="72">
        <v>0</v>
      </c>
      <c r="J91" s="72">
        <v>4733.0600000000004</v>
      </c>
      <c r="K91" s="72">
        <v>0</v>
      </c>
      <c r="L91" s="72">
        <f t="shared" si="17"/>
        <v>4733.0600000000004</v>
      </c>
      <c r="N91" s="72"/>
    </row>
    <row r="92" spans="1:14">
      <c r="A92" s="345" t="s">
        <v>356</v>
      </c>
      <c r="B92" s="72">
        <v>0</v>
      </c>
      <c r="C92" s="72">
        <v>0</v>
      </c>
      <c r="D92" s="72">
        <v>0</v>
      </c>
      <c r="E92" s="72">
        <v>0</v>
      </c>
      <c r="F92" s="72">
        <v>0</v>
      </c>
      <c r="G92" s="72">
        <v>0</v>
      </c>
      <c r="H92" s="72">
        <v>0</v>
      </c>
      <c r="I92" s="72">
        <v>0</v>
      </c>
      <c r="J92" s="72">
        <v>26305.05</v>
      </c>
      <c r="K92" s="72">
        <v>0</v>
      </c>
      <c r="L92" s="72">
        <f t="shared" si="17"/>
        <v>26305.05</v>
      </c>
      <c r="N92" s="72"/>
    </row>
    <row r="93" spans="1:14">
      <c r="A93" s="345" t="s">
        <v>355</v>
      </c>
      <c r="B93" s="72">
        <v>0</v>
      </c>
      <c r="C93" s="72">
        <v>0</v>
      </c>
      <c r="D93" s="72">
        <v>0</v>
      </c>
      <c r="E93" s="72">
        <v>0</v>
      </c>
      <c r="F93" s="72">
        <v>0</v>
      </c>
      <c r="G93" s="72">
        <v>0</v>
      </c>
      <c r="H93" s="72">
        <v>0</v>
      </c>
      <c r="I93" s="72">
        <v>0</v>
      </c>
      <c r="J93" s="72">
        <v>0</v>
      </c>
      <c r="K93" s="72">
        <v>5870.77</v>
      </c>
      <c r="L93" s="72">
        <f t="shared" si="17"/>
        <v>5870.77</v>
      </c>
      <c r="N93" s="72"/>
    </row>
    <row r="94" spans="1:14">
      <c r="A94" s="345" t="s">
        <v>354</v>
      </c>
      <c r="B94" s="72">
        <v>0</v>
      </c>
      <c r="C94" s="72">
        <v>0</v>
      </c>
      <c r="D94" s="72">
        <v>0</v>
      </c>
      <c r="E94" s="72">
        <v>0</v>
      </c>
      <c r="F94" s="72">
        <v>0</v>
      </c>
      <c r="G94" s="72">
        <v>0</v>
      </c>
      <c r="H94" s="72">
        <v>0</v>
      </c>
      <c r="I94" s="72">
        <v>0</v>
      </c>
      <c r="J94" s="72">
        <v>0</v>
      </c>
      <c r="K94" s="72">
        <v>16566.87</v>
      </c>
      <c r="L94" s="72">
        <f t="shared" si="17"/>
        <v>16566.87</v>
      </c>
      <c r="N94" s="72"/>
    </row>
    <row r="95" spans="1:14">
      <c r="A95" s="345" t="s">
        <v>353</v>
      </c>
      <c r="B95" s="72">
        <v>0</v>
      </c>
      <c r="C95" s="72">
        <v>0</v>
      </c>
      <c r="D95" s="72">
        <v>0</v>
      </c>
      <c r="E95" s="72">
        <v>0</v>
      </c>
      <c r="F95" s="72">
        <v>0</v>
      </c>
      <c r="G95" s="72">
        <v>0</v>
      </c>
      <c r="H95" s="72">
        <v>0</v>
      </c>
      <c r="I95" s="72">
        <v>0</v>
      </c>
      <c r="J95" s="72">
        <v>0</v>
      </c>
      <c r="K95" s="72">
        <v>875.41</v>
      </c>
      <c r="L95" s="72">
        <f t="shared" si="17"/>
        <v>875.41</v>
      </c>
      <c r="N95" s="72"/>
    </row>
    <row r="96" spans="1:14">
      <c r="A96" s="345" t="s">
        <v>352</v>
      </c>
      <c r="B96" s="72">
        <v>0</v>
      </c>
      <c r="C96" s="72">
        <v>0</v>
      </c>
      <c r="D96" s="72">
        <v>0</v>
      </c>
      <c r="E96" s="72">
        <v>0</v>
      </c>
      <c r="F96" s="72">
        <v>0</v>
      </c>
      <c r="G96" s="72">
        <v>0</v>
      </c>
      <c r="H96" s="72">
        <v>17208.32</v>
      </c>
      <c r="I96" s="72">
        <v>0</v>
      </c>
      <c r="J96" s="72">
        <v>0</v>
      </c>
      <c r="K96" s="72">
        <v>0</v>
      </c>
      <c r="L96" s="72">
        <f t="shared" si="17"/>
        <v>17208.32</v>
      </c>
      <c r="N96" s="72"/>
    </row>
    <row r="97" spans="1:14">
      <c r="A97" s="346" t="s">
        <v>351</v>
      </c>
      <c r="B97" s="73">
        <f t="shared" ref="B97:L97" si="18">SUM(B89:B96)</f>
        <v>0</v>
      </c>
      <c r="C97" s="73">
        <f t="shared" si="18"/>
        <v>0</v>
      </c>
      <c r="D97" s="73">
        <f t="shared" si="18"/>
        <v>0</v>
      </c>
      <c r="E97" s="73">
        <f t="shared" si="18"/>
        <v>0</v>
      </c>
      <c r="F97" s="73">
        <f t="shared" si="18"/>
        <v>0</v>
      </c>
      <c r="G97" s="73">
        <f t="shared" si="18"/>
        <v>0</v>
      </c>
      <c r="H97" s="73">
        <f t="shared" si="18"/>
        <v>17208.32</v>
      </c>
      <c r="I97" s="73">
        <f t="shared" si="18"/>
        <v>0</v>
      </c>
      <c r="J97" s="73">
        <f t="shared" si="18"/>
        <v>24950.21</v>
      </c>
      <c r="K97" s="73">
        <f t="shared" si="18"/>
        <v>23313.05</v>
      </c>
      <c r="L97" s="73">
        <f t="shared" si="18"/>
        <v>65471.58</v>
      </c>
      <c r="M97" s="20">
        <v>13.2</v>
      </c>
      <c r="N97" s="73"/>
    </row>
    <row r="98" spans="1:14">
      <c r="A98" s="344" t="s">
        <v>350</v>
      </c>
      <c r="B98" s="71"/>
      <c r="C98" s="71"/>
      <c r="D98" s="71"/>
      <c r="E98" s="71"/>
      <c r="F98" s="71"/>
      <c r="G98" s="71"/>
      <c r="H98" s="71"/>
      <c r="I98" s="71"/>
      <c r="J98" s="71"/>
      <c r="K98" s="71"/>
      <c r="L98" s="71"/>
      <c r="N98" s="71"/>
    </row>
    <row r="99" spans="1:14">
      <c r="A99" s="345" t="s">
        <v>349</v>
      </c>
      <c r="B99" s="72">
        <v>0</v>
      </c>
      <c r="C99" s="72">
        <v>0</v>
      </c>
      <c r="D99" s="72">
        <v>0</v>
      </c>
      <c r="E99" s="72">
        <v>0</v>
      </c>
      <c r="F99" s="72">
        <v>0</v>
      </c>
      <c r="G99" s="72">
        <v>0</v>
      </c>
      <c r="H99" s="72">
        <v>0</v>
      </c>
      <c r="I99" s="72">
        <v>0</v>
      </c>
      <c r="J99" s="72">
        <v>17204.02</v>
      </c>
      <c r="K99" s="72">
        <v>0</v>
      </c>
      <c r="L99" s="72">
        <f>SUM(B99:K99)</f>
        <v>17204.02</v>
      </c>
      <c r="N99" s="72"/>
    </row>
    <row r="100" spans="1:14">
      <c r="A100" s="345" t="s">
        <v>348</v>
      </c>
      <c r="B100" s="72">
        <v>0</v>
      </c>
      <c r="C100" s="72">
        <v>0</v>
      </c>
      <c r="D100" s="72">
        <v>0</v>
      </c>
      <c r="E100" s="72">
        <v>0</v>
      </c>
      <c r="F100" s="72">
        <v>0</v>
      </c>
      <c r="G100" s="72">
        <v>0</v>
      </c>
      <c r="H100" s="72">
        <v>0</v>
      </c>
      <c r="I100" s="72">
        <v>0</v>
      </c>
      <c r="J100" s="72">
        <v>-17204.02</v>
      </c>
      <c r="K100" s="72">
        <v>0</v>
      </c>
      <c r="L100" s="72">
        <f>SUM(B100:K100)</f>
        <v>-17204.02</v>
      </c>
      <c r="N100" s="72"/>
    </row>
    <row r="101" spans="1:14">
      <c r="A101" s="345" t="s">
        <v>347</v>
      </c>
      <c r="B101" s="72">
        <v>0</v>
      </c>
      <c r="C101" s="72">
        <v>0</v>
      </c>
      <c r="D101" s="72">
        <v>-433.98</v>
      </c>
      <c r="E101" s="72">
        <v>0</v>
      </c>
      <c r="F101" s="72">
        <v>0</v>
      </c>
      <c r="G101" s="72">
        <v>0</v>
      </c>
      <c r="H101" s="72">
        <v>0</v>
      </c>
      <c r="I101" s="72">
        <v>0</v>
      </c>
      <c r="J101" s="72">
        <v>0</v>
      </c>
      <c r="K101" s="72">
        <v>93942.34</v>
      </c>
      <c r="L101" s="72">
        <f>SUM(B101:K101)</f>
        <v>93508.36</v>
      </c>
      <c r="N101" s="72"/>
    </row>
    <row r="102" spans="1:14">
      <c r="A102" s="345" t="s">
        <v>346</v>
      </c>
      <c r="B102" s="72">
        <v>0</v>
      </c>
      <c r="C102" s="72">
        <v>0</v>
      </c>
      <c r="D102" s="72">
        <v>0</v>
      </c>
      <c r="E102" s="72">
        <v>0</v>
      </c>
      <c r="F102" s="72">
        <v>0</v>
      </c>
      <c r="G102" s="72">
        <v>0</v>
      </c>
      <c r="H102" s="72">
        <v>3267.88</v>
      </c>
      <c r="I102" s="72">
        <v>0</v>
      </c>
      <c r="J102" s="72">
        <v>0</v>
      </c>
      <c r="K102" s="72">
        <v>0</v>
      </c>
      <c r="L102" s="72">
        <f>SUM(B102:K102)</f>
        <v>3267.88</v>
      </c>
      <c r="N102" s="72"/>
    </row>
    <row r="103" spans="1:14">
      <c r="A103" s="346" t="s">
        <v>345</v>
      </c>
      <c r="B103" s="73">
        <f t="shared" ref="B103:L103" si="19">SUM(B99:B102)</f>
        <v>0</v>
      </c>
      <c r="C103" s="73">
        <f t="shared" si="19"/>
        <v>0</v>
      </c>
      <c r="D103" s="73">
        <f t="shared" si="19"/>
        <v>-433.98</v>
      </c>
      <c r="E103" s="73">
        <f t="shared" si="19"/>
        <v>0</v>
      </c>
      <c r="F103" s="73">
        <f t="shared" si="19"/>
        <v>0</v>
      </c>
      <c r="G103" s="73">
        <f t="shared" si="19"/>
        <v>0</v>
      </c>
      <c r="H103" s="73">
        <f t="shared" si="19"/>
        <v>3267.88</v>
      </c>
      <c r="I103" s="73">
        <f t="shared" si="19"/>
        <v>0</v>
      </c>
      <c r="J103" s="73">
        <f t="shared" si="19"/>
        <v>0</v>
      </c>
      <c r="K103" s="73">
        <f t="shared" si="19"/>
        <v>93942.34</v>
      </c>
      <c r="L103" s="73">
        <f t="shared" si="19"/>
        <v>96776.24</v>
      </c>
      <c r="M103" s="20">
        <v>13.2</v>
      </c>
      <c r="N103" s="73"/>
    </row>
    <row r="104" spans="1:14">
      <c r="A104" s="341" t="s">
        <v>344</v>
      </c>
      <c r="B104" s="73">
        <f t="shared" ref="B104:L104" si="20">SUM(B97,B103)</f>
        <v>0</v>
      </c>
      <c r="C104" s="73">
        <f t="shared" si="20"/>
        <v>0</v>
      </c>
      <c r="D104" s="73">
        <f t="shared" si="20"/>
        <v>-433.98</v>
      </c>
      <c r="E104" s="73">
        <f t="shared" si="20"/>
        <v>0</v>
      </c>
      <c r="F104" s="73">
        <f t="shared" si="20"/>
        <v>0</v>
      </c>
      <c r="G104" s="73">
        <f t="shared" si="20"/>
        <v>0</v>
      </c>
      <c r="H104" s="73">
        <f>SUM(H97,H103)</f>
        <v>20476.2</v>
      </c>
      <c r="I104" s="73">
        <f t="shared" si="20"/>
        <v>0</v>
      </c>
      <c r="J104" s="73">
        <f t="shared" si="20"/>
        <v>24950.21</v>
      </c>
      <c r="K104" s="73">
        <f t="shared" si="20"/>
        <v>117255.39</v>
      </c>
      <c r="L104" s="73">
        <f t="shared" si="20"/>
        <v>162247.82</v>
      </c>
      <c r="M104" s="20">
        <v>13</v>
      </c>
      <c r="N104" s="73"/>
    </row>
    <row r="105" spans="1:14">
      <c r="A105" s="339" t="s">
        <v>343</v>
      </c>
      <c r="B105" s="71"/>
      <c r="C105" s="71"/>
      <c r="D105" s="71"/>
      <c r="E105" s="71"/>
      <c r="F105" s="71"/>
      <c r="G105" s="71"/>
      <c r="H105" s="71"/>
      <c r="I105" s="71"/>
      <c r="J105" s="71"/>
      <c r="K105" s="71"/>
      <c r="L105" s="71"/>
      <c r="N105" s="71"/>
    </row>
    <row r="106" spans="1:14">
      <c r="A106" s="340" t="s">
        <v>342</v>
      </c>
      <c r="B106" s="72">
        <v>0</v>
      </c>
      <c r="C106" s="72">
        <v>0</v>
      </c>
      <c r="D106" s="72">
        <v>0</v>
      </c>
      <c r="E106" s="72">
        <v>0</v>
      </c>
      <c r="F106" s="72">
        <v>0</v>
      </c>
      <c r="G106" s="72">
        <v>0</v>
      </c>
      <c r="H106" s="72">
        <v>68064.100000000006</v>
      </c>
      <c r="I106" s="72">
        <v>36775</v>
      </c>
      <c r="J106" s="72">
        <v>30444.14</v>
      </c>
      <c r="K106" s="72">
        <v>20565.43</v>
      </c>
      <c r="L106" s="72">
        <f>SUM(B106:K106)</f>
        <v>155848.66999999998</v>
      </c>
      <c r="M106" s="20">
        <v>13.3</v>
      </c>
      <c r="N106" s="72"/>
    </row>
    <row r="107" spans="1:14">
      <c r="A107" s="340" t="s">
        <v>341</v>
      </c>
      <c r="B107" s="72">
        <v>0</v>
      </c>
      <c r="C107" s="72">
        <v>0</v>
      </c>
      <c r="D107" s="72">
        <v>0</v>
      </c>
      <c r="E107" s="72">
        <v>0</v>
      </c>
      <c r="F107" s="72">
        <v>0</v>
      </c>
      <c r="G107" s="72">
        <v>0</v>
      </c>
      <c r="H107" s="72">
        <v>0</v>
      </c>
      <c r="I107" s="72">
        <v>0</v>
      </c>
      <c r="J107" s="72">
        <v>62877.94</v>
      </c>
      <c r="K107" s="72">
        <v>0</v>
      </c>
      <c r="L107" s="72">
        <f>SUM(B107:K107)</f>
        <v>62877.94</v>
      </c>
      <c r="M107" s="20">
        <v>13.3</v>
      </c>
      <c r="N107" s="72"/>
    </row>
    <row r="108" spans="1:14">
      <c r="A108" s="341" t="s">
        <v>340</v>
      </c>
      <c r="B108" s="73">
        <f t="shared" ref="B108:L108" si="21">SUM(B106:B107)</f>
        <v>0</v>
      </c>
      <c r="C108" s="73">
        <f t="shared" si="21"/>
        <v>0</v>
      </c>
      <c r="D108" s="73">
        <f t="shared" si="21"/>
        <v>0</v>
      </c>
      <c r="E108" s="73">
        <f t="shared" si="21"/>
        <v>0</v>
      </c>
      <c r="F108" s="73">
        <f t="shared" si="21"/>
        <v>0</v>
      </c>
      <c r="G108" s="73">
        <f t="shared" si="21"/>
        <v>0</v>
      </c>
      <c r="H108" s="73">
        <f t="shared" si="21"/>
        <v>68064.100000000006</v>
      </c>
      <c r="I108" s="73">
        <f t="shared" si="21"/>
        <v>36775</v>
      </c>
      <c r="J108" s="73">
        <f t="shared" si="21"/>
        <v>93322.08</v>
      </c>
      <c r="K108" s="73">
        <f t="shared" si="21"/>
        <v>20565.43</v>
      </c>
      <c r="L108" s="73">
        <f t="shared" si="21"/>
        <v>218726.61</v>
      </c>
      <c r="M108" s="20">
        <v>13</v>
      </c>
      <c r="N108" s="73"/>
    </row>
    <row r="109" spans="1:14">
      <c r="A109" s="342" t="s">
        <v>339</v>
      </c>
      <c r="B109" s="72">
        <v>0</v>
      </c>
      <c r="C109" s="72">
        <v>0</v>
      </c>
      <c r="D109" s="72">
        <v>117.88</v>
      </c>
      <c r="E109" s="72">
        <v>491.94</v>
      </c>
      <c r="F109" s="72">
        <v>83.92</v>
      </c>
      <c r="G109" s="72">
        <v>0</v>
      </c>
      <c r="H109" s="72">
        <v>0</v>
      </c>
      <c r="I109" s="72">
        <v>0</v>
      </c>
      <c r="J109" s="72">
        <v>26.53</v>
      </c>
      <c r="K109" s="72">
        <v>0</v>
      </c>
      <c r="L109" s="72">
        <f>SUM(B109:K109)</f>
        <v>720.26999999999987</v>
      </c>
      <c r="M109" s="20">
        <v>13</v>
      </c>
      <c r="N109" s="20">
        <v>13.3</v>
      </c>
    </row>
    <row r="110" spans="1:14">
      <c r="A110" s="339" t="s">
        <v>338</v>
      </c>
      <c r="B110" s="71"/>
      <c r="C110" s="71"/>
      <c r="D110" s="71"/>
      <c r="E110" s="71"/>
      <c r="F110" s="71"/>
      <c r="G110" s="71"/>
      <c r="H110" s="71"/>
      <c r="I110" s="71"/>
      <c r="J110" s="71"/>
      <c r="K110" s="71"/>
      <c r="L110" s="71"/>
      <c r="N110" s="71"/>
    </row>
    <row r="111" spans="1:14">
      <c r="A111" s="340" t="s">
        <v>337</v>
      </c>
      <c r="B111" s="72">
        <v>-261263.83</v>
      </c>
      <c r="C111" s="72">
        <v>0</v>
      </c>
      <c r="D111" s="72">
        <v>0</v>
      </c>
      <c r="E111" s="72">
        <v>0</v>
      </c>
      <c r="F111" s="72">
        <v>0</v>
      </c>
      <c r="G111" s="72">
        <v>0</v>
      </c>
      <c r="H111" s="72">
        <v>0</v>
      </c>
      <c r="I111" s="72">
        <v>0</v>
      </c>
      <c r="J111" s="72">
        <v>261263.83</v>
      </c>
      <c r="K111" s="72">
        <v>0</v>
      </c>
      <c r="L111" s="72">
        <f>SUM(B111:K111)</f>
        <v>0</v>
      </c>
      <c r="N111" s="72"/>
    </row>
    <row r="112" spans="1:14">
      <c r="A112" s="340" t="s">
        <v>336</v>
      </c>
      <c r="B112" s="72">
        <v>0</v>
      </c>
      <c r="C112" s="72">
        <v>0</v>
      </c>
      <c r="D112" s="72">
        <v>38487.03</v>
      </c>
      <c r="E112" s="72">
        <v>0</v>
      </c>
      <c r="F112" s="72">
        <v>0</v>
      </c>
      <c r="G112" s="72">
        <v>0</v>
      </c>
      <c r="H112" s="72">
        <v>0</v>
      </c>
      <c r="I112" s="72">
        <v>0</v>
      </c>
      <c r="J112" s="72">
        <v>0</v>
      </c>
      <c r="K112" s="72">
        <v>0</v>
      </c>
      <c r="L112" s="72">
        <f>SUM(B112:K112)</f>
        <v>38487.03</v>
      </c>
      <c r="N112" s="72"/>
    </row>
    <row r="113" spans="1:14">
      <c r="A113" s="341" t="s">
        <v>335</v>
      </c>
      <c r="B113" s="73">
        <f t="shared" ref="B113:L113" si="22">SUM(B111:B112)</f>
        <v>-261263.83</v>
      </c>
      <c r="C113" s="73">
        <f t="shared" si="22"/>
        <v>0</v>
      </c>
      <c r="D113" s="73">
        <f t="shared" si="22"/>
        <v>38487.03</v>
      </c>
      <c r="E113" s="73">
        <f t="shared" si="22"/>
        <v>0</v>
      </c>
      <c r="F113" s="73">
        <f t="shared" si="22"/>
        <v>0</v>
      </c>
      <c r="G113" s="73">
        <f t="shared" si="22"/>
        <v>0</v>
      </c>
      <c r="H113" s="73">
        <f>SUM(H111:H112)</f>
        <v>0</v>
      </c>
      <c r="I113" s="73">
        <f t="shared" si="22"/>
        <v>0</v>
      </c>
      <c r="J113" s="73">
        <f t="shared" si="22"/>
        <v>261263.83</v>
      </c>
      <c r="K113" s="73">
        <f t="shared" si="22"/>
        <v>0</v>
      </c>
      <c r="L113" s="73">
        <f t="shared" si="22"/>
        <v>38487.03</v>
      </c>
      <c r="M113" s="20">
        <v>14</v>
      </c>
      <c r="N113" s="73"/>
    </row>
    <row r="114" spans="1:14">
      <c r="A114" s="342" t="s">
        <v>334</v>
      </c>
      <c r="B114" s="72">
        <v>0</v>
      </c>
      <c r="C114" s="72">
        <v>0</v>
      </c>
      <c r="D114" s="72">
        <v>0</v>
      </c>
      <c r="E114" s="72">
        <v>0</v>
      </c>
      <c r="F114" s="72">
        <v>0</v>
      </c>
      <c r="G114" s="72">
        <v>0</v>
      </c>
      <c r="H114" s="72">
        <v>-3887.69</v>
      </c>
      <c r="I114" s="72">
        <v>2117.8000000000002</v>
      </c>
      <c r="J114" s="72">
        <v>5834.79</v>
      </c>
      <c r="K114" s="72">
        <v>-234.63</v>
      </c>
      <c r="L114" s="72">
        <f>SUM(B114:K114)</f>
        <v>3830.27</v>
      </c>
      <c r="M114" s="20">
        <v>13</v>
      </c>
      <c r="N114" s="72"/>
    </row>
    <row r="115" spans="1:14">
      <c r="A115" s="343" t="s">
        <v>333</v>
      </c>
      <c r="B115" s="73">
        <f t="shared" ref="B115:L115" si="23">SUM(B74,B82,B86,B104,B108:B109,B113:B114)</f>
        <v>-9052701.5399999991</v>
      </c>
      <c r="C115" s="73">
        <f t="shared" si="23"/>
        <v>8338.7799999999988</v>
      </c>
      <c r="D115" s="73">
        <f t="shared" si="23"/>
        <v>42588.57</v>
      </c>
      <c r="E115" s="73">
        <f t="shared" si="23"/>
        <v>491.94</v>
      </c>
      <c r="F115" s="73">
        <f t="shared" si="23"/>
        <v>48261.82</v>
      </c>
      <c r="G115" s="73">
        <f t="shared" si="23"/>
        <v>1359.83</v>
      </c>
      <c r="H115" s="73">
        <f t="shared" si="23"/>
        <v>2433115.0300000007</v>
      </c>
      <c r="I115" s="73">
        <f t="shared" si="23"/>
        <v>546686.67000000004</v>
      </c>
      <c r="J115" s="73">
        <f t="shared" si="23"/>
        <v>5907089.5800000001</v>
      </c>
      <c r="K115" s="73">
        <f t="shared" si="23"/>
        <v>975458.8600000001</v>
      </c>
      <c r="L115" s="73">
        <f t="shared" si="23"/>
        <v>910689.53999999992</v>
      </c>
      <c r="N115" s="73"/>
    </row>
    <row r="116" spans="1:14">
      <c r="A116" s="347" t="s">
        <v>332</v>
      </c>
      <c r="B116" s="74">
        <f t="shared" ref="B116:L116" si="24">B64+B69+B72+B115</f>
        <v>-9052701.5399999991</v>
      </c>
      <c r="C116" s="74">
        <f t="shared" si="24"/>
        <v>8338.7799999999988</v>
      </c>
      <c r="D116" s="74">
        <f t="shared" si="24"/>
        <v>63282.84</v>
      </c>
      <c r="E116" s="74">
        <f t="shared" si="24"/>
        <v>513.08000000000004</v>
      </c>
      <c r="F116" s="74">
        <f t="shared" si="24"/>
        <v>48561.19</v>
      </c>
      <c r="G116" s="74">
        <f t="shared" si="24"/>
        <v>1184453</v>
      </c>
      <c r="H116" s="74">
        <f t="shared" si="24"/>
        <v>2628872.5900000008</v>
      </c>
      <c r="I116" s="74">
        <f t="shared" si="24"/>
        <v>1036780.89</v>
      </c>
      <c r="J116" s="74">
        <f t="shared" si="24"/>
        <v>17264594.340000004</v>
      </c>
      <c r="K116" s="74">
        <f t="shared" si="24"/>
        <v>1791013.6800000002</v>
      </c>
      <c r="L116" s="74">
        <f t="shared" si="24"/>
        <v>14973708.850000001</v>
      </c>
      <c r="N116" s="74"/>
    </row>
    <row r="117" spans="1:14">
      <c r="A117" s="337" t="s">
        <v>331</v>
      </c>
      <c r="B117" s="71"/>
      <c r="C117" s="71"/>
      <c r="D117" s="71"/>
      <c r="E117" s="71"/>
      <c r="F117" s="71"/>
      <c r="G117" s="71"/>
      <c r="H117" s="71"/>
      <c r="I117" s="71"/>
      <c r="J117" s="71"/>
      <c r="K117" s="71"/>
      <c r="L117" s="71"/>
      <c r="N117" s="71"/>
    </row>
    <row r="118" spans="1:14">
      <c r="A118" s="338" t="s">
        <v>330</v>
      </c>
      <c r="B118" s="71"/>
      <c r="C118" s="71"/>
      <c r="D118" s="71"/>
      <c r="E118" s="71"/>
      <c r="F118" s="71"/>
      <c r="G118" s="71"/>
      <c r="H118" s="71"/>
      <c r="I118" s="71"/>
      <c r="J118" s="71"/>
      <c r="K118" s="71"/>
      <c r="L118" s="71"/>
      <c r="N118" s="71"/>
    </row>
    <row r="119" spans="1:14">
      <c r="A119" s="342" t="s">
        <v>329</v>
      </c>
      <c r="B119" s="72">
        <v>0</v>
      </c>
      <c r="C119" s="72">
        <v>0</v>
      </c>
      <c r="D119" s="72">
        <v>0</v>
      </c>
      <c r="E119" s="72">
        <v>0</v>
      </c>
      <c r="F119" s="72">
        <v>0</v>
      </c>
      <c r="G119" s="72">
        <v>0</v>
      </c>
      <c r="H119" s="72">
        <v>61191.58</v>
      </c>
      <c r="I119" s="72">
        <v>2713.25</v>
      </c>
      <c r="J119" s="72">
        <v>124289.62</v>
      </c>
      <c r="K119" s="72">
        <v>23470.32</v>
      </c>
      <c r="L119" s="72">
        <f>SUM(B119:K119)</f>
        <v>211664.77000000002</v>
      </c>
      <c r="M119" s="20">
        <v>15.1</v>
      </c>
      <c r="N119" s="72"/>
    </row>
    <row r="120" spans="1:14">
      <c r="A120" s="342" t="s">
        <v>328</v>
      </c>
      <c r="B120" s="72">
        <v>0</v>
      </c>
      <c r="C120" s="72">
        <v>0</v>
      </c>
      <c r="D120" s="72">
        <v>0</v>
      </c>
      <c r="E120" s="72">
        <v>0</v>
      </c>
      <c r="F120" s="72">
        <v>0</v>
      </c>
      <c r="G120" s="72">
        <v>0</v>
      </c>
      <c r="H120" s="72">
        <v>0</v>
      </c>
      <c r="I120" s="72">
        <v>0</v>
      </c>
      <c r="J120" s="72">
        <v>2652.33</v>
      </c>
      <c r="K120" s="72">
        <v>0</v>
      </c>
      <c r="L120" s="72">
        <f>SUM(B120:K120)</f>
        <v>2652.33</v>
      </c>
      <c r="M120" s="20">
        <v>15.3</v>
      </c>
      <c r="N120" s="72"/>
    </row>
    <row r="121" spans="1:14">
      <c r="A121" s="342" t="s">
        <v>327</v>
      </c>
      <c r="B121" s="72">
        <v>0</v>
      </c>
      <c r="C121" s="72">
        <v>0</v>
      </c>
      <c r="D121" s="72">
        <v>0</v>
      </c>
      <c r="E121" s="72">
        <v>0</v>
      </c>
      <c r="F121" s="72">
        <v>0</v>
      </c>
      <c r="G121" s="72">
        <v>0</v>
      </c>
      <c r="H121" s="72">
        <v>16638.490000000002</v>
      </c>
      <c r="I121" s="72">
        <v>516.61</v>
      </c>
      <c r="J121" s="72">
        <v>10375.66</v>
      </c>
      <c r="K121" s="72">
        <v>474.56</v>
      </c>
      <c r="L121" s="72">
        <f>SUM(B121:K121)</f>
        <v>28005.320000000003</v>
      </c>
      <c r="M121" s="20">
        <v>15.2</v>
      </c>
      <c r="N121" s="72"/>
    </row>
    <row r="122" spans="1:14">
      <c r="A122" s="342" t="s">
        <v>326</v>
      </c>
      <c r="B122" s="72">
        <v>0</v>
      </c>
      <c r="C122" s="72">
        <v>0</v>
      </c>
      <c r="D122" s="72">
        <v>0</v>
      </c>
      <c r="E122" s="72">
        <v>0</v>
      </c>
      <c r="F122" s="72">
        <v>0</v>
      </c>
      <c r="G122" s="72">
        <v>299.99</v>
      </c>
      <c r="H122" s="72">
        <v>5179.72</v>
      </c>
      <c r="I122" s="72">
        <v>3013.98</v>
      </c>
      <c r="J122" s="72">
        <v>10606.07</v>
      </c>
      <c r="K122" s="72">
        <v>2889.7</v>
      </c>
      <c r="L122" s="72">
        <f>SUM(B122:K122)</f>
        <v>21989.460000000003</v>
      </c>
      <c r="M122" s="20">
        <v>15.1</v>
      </c>
      <c r="N122" s="72"/>
    </row>
    <row r="123" spans="1:14">
      <c r="A123" s="343" t="s">
        <v>325</v>
      </c>
      <c r="B123" s="73">
        <f t="shared" ref="B123:L123" si="25">SUM(B119:B122)</f>
        <v>0</v>
      </c>
      <c r="C123" s="73">
        <f t="shared" si="25"/>
        <v>0</v>
      </c>
      <c r="D123" s="73">
        <f t="shared" si="25"/>
        <v>0</v>
      </c>
      <c r="E123" s="73">
        <f t="shared" si="25"/>
        <v>0</v>
      </c>
      <c r="F123" s="73">
        <f t="shared" si="25"/>
        <v>0</v>
      </c>
      <c r="G123" s="73">
        <f t="shared" si="25"/>
        <v>299.99</v>
      </c>
      <c r="H123" s="73">
        <f t="shared" si="25"/>
        <v>83009.790000000008</v>
      </c>
      <c r="I123" s="73">
        <f t="shared" si="25"/>
        <v>6243.84</v>
      </c>
      <c r="J123" s="73">
        <f t="shared" si="25"/>
        <v>147923.68</v>
      </c>
      <c r="K123" s="73">
        <f t="shared" si="25"/>
        <v>26834.58</v>
      </c>
      <c r="L123" s="73">
        <f t="shared" si="25"/>
        <v>264311.88</v>
      </c>
      <c r="M123" s="20">
        <v>15</v>
      </c>
      <c r="N123" s="73"/>
    </row>
    <row r="124" spans="1:14">
      <c r="A124" s="338" t="s">
        <v>324</v>
      </c>
      <c r="B124" s="71"/>
      <c r="C124" s="71"/>
      <c r="D124" s="71"/>
      <c r="E124" s="71"/>
      <c r="F124" s="71"/>
      <c r="G124" s="71"/>
      <c r="H124" s="71"/>
      <c r="I124" s="71"/>
      <c r="J124" s="71"/>
      <c r="K124" s="71"/>
      <c r="L124" s="71"/>
      <c r="N124" s="71"/>
    </row>
    <row r="125" spans="1:14">
      <c r="A125" s="342" t="s">
        <v>323</v>
      </c>
      <c r="B125" s="72">
        <v>0</v>
      </c>
      <c r="C125" s="72">
        <v>0</v>
      </c>
      <c r="D125" s="72">
        <v>0</v>
      </c>
      <c r="E125" s="72">
        <v>0</v>
      </c>
      <c r="F125" s="72">
        <v>0</v>
      </c>
      <c r="G125" s="72">
        <v>0</v>
      </c>
      <c r="H125" s="72">
        <v>-15862.58</v>
      </c>
      <c r="I125" s="72">
        <v>-1394.59</v>
      </c>
      <c r="J125" s="72">
        <v>-82900.86</v>
      </c>
      <c r="K125" s="72">
        <v>-9662.76</v>
      </c>
      <c r="L125" s="72">
        <f>SUM(B125:K125)</f>
        <v>-109820.79</v>
      </c>
      <c r="M125" s="20">
        <v>15.4</v>
      </c>
      <c r="N125" s="72"/>
    </row>
    <row r="126" spans="1:14">
      <c r="A126" s="342" t="s">
        <v>322</v>
      </c>
      <c r="B126" s="72">
        <v>0</v>
      </c>
      <c r="C126" s="72">
        <v>0</v>
      </c>
      <c r="D126" s="72">
        <v>0</v>
      </c>
      <c r="E126" s="72">
        <v>0</v>
      </c>
      <c r="F126" s="72">
        <v>0</v>
      </c>
      <c r="G126" s="72">
        <v>0</v>
      </c>
      <c r="H126" s="72">
        <v>0</v>
      </c>
      <c r="I126" s="72">
        <v>0</v>
      </c>
      <c r="J126" s="72">
        <v>-2652</v>
      </c>
      <c r="K126" s="72">
        <v>0</v>
      </c>
      <c r="L126" s="72">
        <f>SUM(B126:K126)</f>
        <v>-2652</v>
      </c>
      <c r="M126" s="20">
        <v>15.4</v>
      </c>
      <c r="N126" s="72"/>
    </row>
    <row r="127" spans="1:14">
      <c r="A127" s="342" t="s">
        <v>321</v>
      </c>
      <c r="B127" s="72">
        <v>0</v>
      </c>
      <c r="C127" s="72">
        <v>0</v>
      </c>
      <c r="D127" s="72">
        <v>0</v>
      </c>
      <c r="E127" s="72">
        <v>0</v>
      </c>
      <c r="F127" s="72">
        <v>0</v>
      </c>
      <c r="G127" s="72">
        <v>0</v>
      </c>
      <c r="H127" s="72">
        <v>-18770.009999999998</v>
      </c>
      <c r="I127" s="72">
        <v>-48.32</v>
      </c>
      <c r="J127" s="72">
        <v>-1661.55</v>
      </c>
      <c r="K127" s="72">
        <v>-18.440000000000001</v>
      </c>
      <c r="L127" s="72">
        <f>SUM(B127:K127)</f>
        <v>-20498.319999999996</v>
      </c>
      <c r="M127" s="20">
        <v>15.4</v>
      </c>
      <c r="N127" s="72"/>
    </row>
    <row r="128" spans="1:14">
      <c r="A128" s="342" t="s">
        <v>320</v>
      </c>
      <c r="B128" s="72">
        <v>0</v>
      </c>
      <c r="C128" s="72">
        <v>0</v>
      </c>
      <c r="D128" s="72">
        <v>0</v>
      </c>
      <c r="E128" s="72">
        <v>0</v>
      </c>
      <c r="F128" s="72">
        <v>0</v>
      </c>
      <c r="G128" s="72">
        <v>-20.87</v>
      </c>
      <c r="H128" s="72">
        <v>-1441.7</v>
      </c>
      <c r="I128" s="72">
        <v>-297.26</v>
      </c>
      <c r="J128" s="72">
        <v>-7656.08</v>
      </c>
      <c r="K128" s="72">
        <v>-603.57000000000005</v>
      </c>
      <c r="L128" s="72">
        <f>SUM(B128:K128)</f>
        <v>-10019.48</v>
      </c>
      <c r="M128" s="20">
        <v>15.4</v>
      </c>
      <c r="N128" s="72"/>
    </row>
    <row r="129" spans="1:14">
      <c r="A129" s="343" t="s">
        <v>319</v>
      </c>
      <c r="B129" s="73">
        <f t="shared" ref="B129:L129" si="26">SUM(B125:B128)</f>
        <v>0</v>
      </c>
      <c r="C129" s="73">
        <f t="shared" si="26"/>
        <v>0</v>
      </c>
      <c r="D129" s="73">
        <f t="shared" si="26"/>
        <v>0</v>
      </c>
      <c r="E129" s="73">
        <f t="shared" si="26"/>
        <v>0</v>
      </c>
      <c r="F129" s="73">
        <f t="shared" si="26"/>
        <v>0</v>
      </c>
      <c r="G129" s="73">
        <f t="shared" si="26"/>
        <v>-20.87</v>
      </c>
      <c r="H129" s="73">
        <f t="shared" si="26"/>
        <v>-36074.289999999994</v>
      </c>
      <c r="I129" s="73">
        <f t="shared" si="26"/>
        <v>-1740.1699999999998</v>
      </c>
      <c r="J129" s="73">
        <f t="shared" si="26"/>
        <v>-94870.49</v>
      </c>
      <c r="K129" s="73">
        <f t="shared" si="26"/>
        <v>-10284.77</v>
      </c>
      <c r="L129" s="73">
        <f t="shared" si="26"/>
        <v>-142990.59</v>
      </c>
      <c r="M129" s="20">
        <v>15</v>
      </c>
      <c r="N129" s="73"/>
    </row>
    <row r="130" spans="1:14">
      <c r="A130" s="348" t="s">
        <v>318</v>
      </c>
      <c r="B130" s="73">
        <f t="shared" ref="B130:L130" si="27">SUM(B123,B129)</f>
        <v>0</v>
      </c>
      <c r="C130" s="73">
        <f t="shared" si="27"/>
        <v>0</v>
      </c>
      <c r="D130" s="73">
        <f t="shared" si="27"/>
        <v>0</v>
      </c>
      <c r="E130" s="73">
        <f t="shared" si="27"/>
        <v>0</v>
      </c>
      <c r="F130" s="73">
        <f t="shared" si="27"/>
        <v>0</v>
      </c>
      <c r="G130" s="73">
        <f t="shared" si="27"/>
        <v>279.12</v>
      </c>
      <c r="H130" s="73">
        <f t="shared" si="27"/>
        <v>46935.500000000015</v>
      </c>
      <c r="I130" s="73">
        <f t="shared" si="27"/>
        <v>4503.67</v>
      </c>
      <c r="J130" s="73">
        <f t="shared" si="27"/>
        <v>53053.189999999988</v>
      </c>
      <c r="K130" s="73">
        <f t="shared" si="27"/>
        <v>16549.810000000001</v>
      </c>
      <c r="L130" s="73">
        <f t="shared" si="27"/>
        <v>121321.29000000001</v>
      </c>
      <c r="N130" s="73"/>
    </row>
    <row r="131" spans="1:14">
      <c r="A131" s="337" t="s">
        <v>317</v>
      </c>
      <c r="B131" s="71"/>
      <c r="C131" s="71"/>
      <c r="D131" s="71"/>
      <c r="E131" s="71"/>
      <c r="F131" s="71"/>
      <c r="G131" s="71"/>
      <c r="H131" s="71"/>
      <c r="I131" s="71"/>
      <c r="J131" s="71"/>
      <c r="K131" s="71"/>
      <c r="L131" s="71"/>
      <c r="N131" s="71"/>
    </row>
    <row r="132" spans="1:14">
      <c r="A132" s="338" t="s">
        <v>316</v>
      </c>
      <c r="B132" s="71"/>
      <c r="C132" s="71"/>
      <c r="D132" s="71"/>
      <c r="E132" s="71"/>
      <c r="F132" s="71"/>
      <c r="G132" s="71"/>
      <c r="H132" s="71"/>
      <c r="I132" s="71"/>
      <c r="J132" s="71"/>
      <c r="K132" s="71"/>
      <c r="L132" s="71"/>
      <c r="N132" s="71"/>
    </row>
    <row r="133" spans="1:14">
      <c r="A133" s="339" t="s">
        <v>315</v>
      </c>
      <c r="B133" s="71"/>
      <c r="C133" s="71"/>
      <c r="D133" s="71"/>
      <c r="E133" s="71"/>
      <c r="F133" s="71"/>
      <c r="G133" s="71"/>
      <c r="H133" s="71"/>
      <c r="I133" s="71"/>
      <c r="J133" s="71"/>
      <c r="K133" s="71"/>
      <c r="L133" s="71"/>
      <c r="N133" s="71"/>
    </row>
    <row r="134" spans="1:14">
      <c r="A134" s="340" t="s">
        <v>314</v>
      </c>
      <c r="B134" s="72">
        <v>0</v>
      </c>
      <c r="C134" s="72">
        <v>0</v>
      </c>
      <c r="D134" s="72">
        <v>0</v>
      </c>
      <c r="E134" s="72">
        <v>0</v>
      </c>
      <c r="F134" s="72">
        <v>0</v>
      </c>
      <c r="G134" s="72">
        <v>7981.73</v>
      </c>
      <c r="H134" s="72">
        <v>32014.51</v>
      </c>
      <c r="I134" s="72">
        <v>6778.72</v>
      </c>
      <c r="J134" s="72">
        <v>70239.73</v>
      </c>
      <c r="K134" s="72">
        <v>28738.66</v>
      </c>
      <c r="L134" s="72">
        <f>SUM(B134:K134)</f>
        <v>145753.35</v>
      </c>
      <c r="N134" s="72"/>
    </row>
    <row r="135" spans="1:14">
      <c r="A135" s="7" t="s">
        <v>799</v>
      </c>
      <c r="B135" s="72">
        <v>0</v>
      </c>
      <c r="C135" s="72">
        <v>0</v>
      </c>
      <c r="D135" s="72">
        <v>0</v>
      </c>
      <c r="E135" s="72">
        <v>0</v>
      </c>
      <c r="F135" s="72">
        <v>0</v>
      </c>
      <c r="G135" s="72">
        <v>0</v>
      </c>
      <c r="H135" s="72">
        <v>0</v>
      </c>
      <c r="I135" s="72">
        <v>0</v>
      </c>
      <c r="J135" s="72">
        <v>0.01</v>
      </c>
      <c r="K135" s="72">
        <v>0</v>
      </c>
      <c r="L135" s="72">
        <f>SUM(B135:K135)</f>
        <v>0.01</v>
      </c>
      <c r="N135" s="72"/>
    </row>
    <row r="136" spans="1:14">
      <c r="A136" s="341" t="s">
        <v>313</v>
      </c>
      <c r="B136" s="73">
        <f t="shared" ref="B136:L136" si="28">SUM(B134:B135)</f>
        <v>0</v>
      </c>
      <c r="C136" s="73">
        <f t="shared" si="28"/>
        <v>0</v>
      </c>
      <c r="D136" s="73">
        <f t="shared" si="28"/>
        <v>0</v>
      </c>
      <c r="E136" s="73">
        <f t="shared" si="28"/>
        <v>0</v>
      </c>
      <c r="F136" s="73">
        <f t="shared" si="28"/>
        <v>0</v>
      </c>
      <c r="G136" s="73">
        <f t="shared" si="28"/>
        <v>7981.73</v>
      </c>
      <c r="H136" s="73">
        <f t="shared" si="28"/>
        <v>32014.51</v>
      </c>
      <c r="I136" s="73">
        <f t="shared" si="28"/>
        <v>6778.72</v>
      </c>
      <c r="J136" s="73">
        <f t="shared" si="28"/>
        <v>70239.739999999991</v>
      </c>
      <c r="K136" s="73">
        <f t="shared" si="28"/>
        <v>28738.66</v>
      </c>
      <c r="L136" s="73">
        <f t="shared" si="28"/>
        <v>145753.36000000002</v>
      </c>
      <c r="N136" s="73"/>
    </row>
    <row r="137" spans="1:14">
      <c r="A137" s="339" t="s">
        <v>312</v>
      </c>
      <c r="B137" s="71"/>
      <c r="C137" s="71"/>
      <c r="D137" s="71"/>
      <c r="E137" s="71"/>
      <c r="F137" s="71"/>
      <c r="G137" s="71"/>
      <c r="H137" s="71"/>
      <c r="I137" s="71"/>
      <c r="J137" s="71"/>
      <c r="K137" s="71"/>
      <c r="L137" s="71"/>
      <c r="N137" s="71"/>
    </row>
    <row r="138" spans="1:14">
      <c r="A138" s="340" t="s">
        <v>311</v>
      </c>
      <c r="B138" s="72">
        <v>0.01</v>
      </c>
      <c r="C138" s="72">
        <v>0</v>
      </c>
      <c r="D138" s="72">
        <v>0</v>
      </c>
      <c r="E138" s="72">
        <v>0</v>
      </c>
      <c r="F138" s="72">
        <v>0</v>
      </c>
      <c r="G138" s="72">
        <v>0</v>
      </c>
      <c r="H138" s="72">
        <v>0</v>
      </c>
      <c r="I138" s="72">
        <v>0</v>
      </c>
      <c r="J138" s="72">
        <v>-0.01</v>
      </c>
      <c r="K138" s="72">
        <v>0</v>
      </c>
      <c r="L138" s="72">
        <f>SUM(B138:K138)</f>
        <v>0</v>
      </c>
      <c r="N138" s="72"/>
    </row>
    <row r="139" spans="1:14">
      <c r="A139" s="341" t="s">
        <v>310</v>
      </c>
      <c r="B139" s="73">
        <f t="shared" ref="B139:L139" si="29">SUM(B138)</f>
        <v>0.01</v>
      </c>
      <c r="C139" s="73">
        <f t="shared" si="29"/>
        <v>0</v>
      </c>
      <c r="D139" s="73">
        <f t="shared" si="29"/>
        <v>0</v>
      </c>
      <c r="E139" s="73">
        <f t="shared" si="29"/>
        <v>0</v>
      </c>
      <c r="F139" s="73">
        <f t="shared" si="29"/>
        <v>0</v>
      </c>
      <c r="G139" s="73">
        <f t="shared" si="29"/>
        <v>0</v>
      </c>
      <c r="H139" s="73">
        <f t="shared" si="29"/>
        <v>0</v>
      </c>
      <c r="I139" s="73">
        <f t="shared" si="29"/>
        <v>0</v>
      </c>
      <c r="J139" s="73">
        <f t="shared" si="29"/>
        <v>-0.01</v>
      </c>
      <c r="K139" s="73">
        <f t="shared" si="29"/>
        <v>0</v>
      </c>
      <c r="L139" s="73">
        <f t="shared" si="29"/>
        <v>0</v>
      </c>
      <c r="N139" s="73"/>
    </row>
    <row r="140" spans="1:14">
      <c r="A140" s="343" t="s">
        <v>309</v>
      </c>
      <c r="B140" s="73">
        <f t="shared" ref="B140:L140" si="30">SUM(B136,B139)</f>
        <v>0.01</v>
      </c>
      <c r="C140" s="73">
        <f t="shared" si="30"/>
        <v>0</v>
      </c>
      <c r="D140" s="73">
        <f t="shared" si="30"/>
        <v>0</v>
      </c>
      <c r="E140" s="73">
        <f t="shared" si="30"/>
        <v>0</v>
      </c>
      <c r="F140" s="73">
        <f t="shared" si="30"/>
        <v>0</v>
      </c>
      <c r="G140" s="73">
        <f t="shared" si="30"/>
        <v>7981.73</v>
      </c>
      <c r="H140" s="73">
        <f t="shared" si="30"/>
        <v>32014.51</v>
      </c>
      <c r="I140" s="73">
        <f t="shared" si="30"/>
        <v>6778.72</v>
      </c>
      <c r="J140" s="73">
        <f t="shared" si="30"/>
        <v>70239.73</v>
      </c>
      <c r="K140" s="73">
        <f t="shared" si="30"/>
        <v>28738.66</v>
      </c>
      <c r="L140" s="73">
        <f t="shared" si="30"/>
        <v>145753.36000000002</v>
      </c>
      <c r="M140" s="20">
        <v>16</v>
      </c>
      <c r="N140" s="73"/>
    </row>
    <row r="141" spans="1:14">
      <c r="A141" s="338" t="s">
        <v>308</v>
      </c>
      <c r="B141" s="71"/>
      <c r="C141" s="71"/>
      <c r="D141" s="71"/>
      <c r="E141" s="71"/>
      <c r="F141" s="71"/>
      <c r="G141" s="71"/>
      <c r="H141" s="71"/>
      <c r="I141" s="71"/>
      <c r="J141" s="71"/>
      <c r="K141" s="71"/>
      <c r="L141" s="71"/>
      <c r="N141" s="71"/>
    </row>
    <row r="142" spans="1:14">
      <c r="A142" s="339" t="s">
        <v>307</v>
      </c>
      <c r="B142" s="71"/>
      <c r="C142" s="71"/>
      <c r="D142" s="71"/>
      <c r="E142" s="71"/>
      <c r="F142" s="71"/>
      <c r="G142" s="71"/>
      <c r="H142" s="71"/>
      <c r="I142" s="71"/>
      <c r="J142" s="71"/>
      <c r="K142" s="71"/>
      <c r="L142" s="71"/>
      <c r="N142" s="71"/>
    </row>
    <row r="143" spans="1:14">
      <c r="A143" s="340" t="s">
        <v>306</v>
      </c>
      <c r="B143" s="72">
        <v>0</v>
      </c>
      <c r="C143" s="72">
        <v>0</v>
      </c>
      <c r="D143" s="72">
        <v>0</v>
      </c>
      <c r="E143" s="72">
        <v>0</v>
      </c>
      <c r="F143" s="72">
        <v>0</v>
      </c>
      <c r="G143" s="72">
        <v>0</v>
      </c>
      <c r="H143" s="72">
        <v>0</v>
      </c>
      <c r="I143" s="72">
        <v>0</v>
      </c>
      <c r="J143" s="72">
        <v>698.83</v>
      </c>
      <c r="K143" s="72">
        <v>0</v>
      </c>
      <c r="L143" s="72">
        <f t="shared" ref="L143:L155" si="31">SUM(B143:K143)</f>
        <v>698.83</v>
      </c>
      <c r="N143" s="72"/>
    </row>
    <row r="144" spans="1:14">
      <c r="A144" s="340" t="s">
        <v>305</v>
      </c>
      <c r="B144" s="72">
        <v>0</v>
      </c>
      <c r="C144" s="72">
        <v>0</v>
      </c>
      <c r="D144" s="72">
        <v>0</v>
      </c>
      <c r="E144" s="72">
        <v>0</v>
      </c>
      <c r="F144" s="72">
        <v>0</v>
      </c>
      <c r="G144" s="72">
        <v>0</v>
      </c>
      <c r="H144" s="72">
        <v>0</v>
      </c>
      <c r="I144" s="72">
        <v>0</v>
      </c>
      <c r="J144" s="72">
        <v>-0.36</v>
      </c>
      <c r="K144" s="72">
        <v>0</v>
      </c>
      <c r="L144" s="72">
        <f t="shared" si="31"/>
        <v>-0.36</v>
      </c>
      <c r="N144" s="72"/>
    </row>
    <row r="145" spans="1:14">
      <c r="A145" s="7" t="s">
        <v>800</v>
      </c>
      <c r="B145" s="72">
        <v>0</v>
      </c>
      <c r="C145" s="72">
        <v>0</v>
      </c>
      <c r="D145" s="72">
        <v>0</v>
      </c>
      <c r="E145" s="72">
        <v>0</v>
      </c>
      <c r="F145" s="72">
        <v>0</v>
      </c>
      <c r="G145" s="72">
        <v>0</v>
      </c>
      <c r="H145" s="72">
        <v>0</v>
      </c>
      <c r="I145" s="72">
        <v>0</v>
      </c>
      <c r="J145" s="72">
        <v>5275.64</v>
      </c>
      <c r="K145" s="72">
        <v>0</v>
      </c>
      <c r="L145" s="72">
        <f t="shared" si="31"/>
        <v>5275.64</v>
      </c>
      <c r="N145" s="72"/>
    </row>
    <row r="146" spans="1:14">
      <c r="A146" s="340" t="s">
        <v>303</v>
      </c>
      <c r="B146" s="72">
        <v>0</v>
      </c>
      <c r="C146" s="72">
        <v>0</v>
      </c>
      <c r="D146" s="72">
        <v>0</v>
      </c>
      <c r="E146" s="72">
        <v>0</v>
      </c>
      <c r="F146" s="72">
        <v>0</v>
      </c>
      <c r="G146" s="72">
        <v>0</v>
      </c>
      <c r="H146" s="72">
        <v>0</v>
      </c>
      <c r="I146" s="72">
        <v>0</v>
      </c>
      <c r="J146" s="72">
        <v>525</v>
      </c>
      <c r="K146" s="72">
        <v>0</v>
      </c>
      <c r="L146" s="72">
        <f t="shared" si="31"/>
        <v>525</v>
      </c>
      <c r="N146" s="72"/>
    </row>
    <row r="147" spans="1:14">
      <c r="A147" s="340" t="s">
        <v>302</v>
      </c>
      <c r="B147" s="72">
        <v>0</v>
      </c>
      <c r="C147" s="72">
        <v>0</v>
      </c>
      <c r="D147" s="72">
        <v>0</v>
      </c>
      <c r="E147" s="72">
        <v>0</v>
      </c>
      <c r="F147" s="72">
        <v>0</v>
      </c>
      <c r="G147" s="72">
        <v>0</v>
      </c>
      <c r="H147" s="72">
        <v>0</v>
      </c>
      <c r="I147" s="72">
        <v>0</v>
      </c>
      <c r="J147" s="72">
        <v>2579.15</v>
      </c>
      <c r="K147" s="72">
        <v>0</v>
      </c>
      <c r="L147" s="72">
        <f t="shared" si="31"/>
        <v>2579.15</v>
      </c>
      <c r="N147" s="72"/>
    </row>
    <row r="148" spans="1:14">
      <c r="A148" s="340" t="s">
        <v>301</v>
      </c>
      <c r="B148" s="72">
        <v>0</v>
      </c>
      <c r="C148" s="72">
        <v>0</v>
      </c>
      <c r="D148" s="72">
        <v>0</v>
      </c>
      <c r="E148" s="72">
        <v>0</v>
      </c>
      <c r="F148" s="72">
        <v>0</v>
      </c>
      <c r="G148" s="72">
        <v>0</v>
      </c>
      <c r="H148" s="72">
        <v>-1062.1099999999999</v>
      </c>
      <c r="I148" s="72">
        <v>0</v>
      </c>
      <c r="J148" s="72">
        <v>0</v>
      </c>
      <c r="K148" s="72">
        <v>0</v>
      </c>
      <c r="L148" s="72">
        <f t="shared" si="31"/>
        <v>-1062.1099999999999</v>
      </c>
      <c r="N148" s="72"/>
    </row>
    <row r="149" spans="1:14">
      <c r="A149" s="340" t="s">
        <v>300</v>
      </c>
      <c r="B149" s="72">
        <v>0</v>
      </c>
      <c r="C149" s="72">
        <v>0</v>
      </c>
      <c r="D149" s="72">
        <v>0</v>
      </c>
      <c r="E149" s="72">
        <v>0</v>
      </c>
      <c r="F149" s="72">
        <v>0</v>
      </c>
      <c r="G149" s="72">
        <v>0</v>
      </c>
      <c r="H149" s="72">
        <v>0</v>
      </c>
      <c r="I149" s="72">
        <v>0</v>
      </c>
      <c r="J149" s="72">
        <v>5268.58</v>
      </c>
      <c r="K149" s="72">
        <v>0</v>
      </c>
      <c r="L149" s="72">
        <f t="shared" si="31"/>
        <v>5268.58</v>
      </c>
      <c r="N149" s="72"/>
    </row>
    <row r="150" spans="1:14">
      <c r="A150" s="340" t="s">
        <v>299</v>
      </c>
      <c r="B150" s="72">
        <v>0</v>
      </c>
      <c r="C150" s="72">
        <v>0</v>
      </c>
      <c r="D150" s="72">
        <v>0</v>
      </c>
      <c r="E150" s="72">
        <v>0</v>
      </c>
      <c r="F150" s="72">
        <v>0</v>
      </c>
      <c r="G150" s="72">
        <v>0</v>
      </c>
      <c r="H150" s="72">
        <v>0</v>
      </c>
      <c r="I150" s="72">
        <v>0</v>
      </c>
      <c r="J150" s="72">
        <v>3486.59</v>
      </c>
      <c r="K150" s="72">
        <v>0</v>
      </c>
      <c r="L150" s="72">
        <f t="shared" si="31"/>
        <v>3486.59</v>
      </c>
      <c r="N150" s="72"/>
    </row>
    <row r="151" spans="1:14">
      <c r="A151" s="340" t="s">
        <v>298</v>
      </c>
      <c r="B151" s="72">
        <v>0</v>
      </c>
      <c r="C151" s="72">
        <v>0</v>
      </c>
      <c r="D151" s="72">
        <v>0</v>
      </c>
      <c r="E151" s="72">
        <v>0</v>
      </c>
      <c r="F151" s="72">
        <v>0</v>
      </c>
      <c r="G151" s="72">
        <v>0</v>
      </c>
      <c r="H151" s="72">
        <v>0</v>
      </c>
      <c r="I151" s="72">
        <v>0</v>
      </c>
      <c r="J151" s="72">
        <v>1351.67</v>
      </c>
      <c r="K151" s="72">
        <v>0</v>
      </c>
      <c r="L151" s="72">
        <f t="shared" si="31"/>
        <v>1351.67</v>
      </c>
      <c r="N151" s="72"/>
    </row>
    <row r="152" spans="1:14">
      <c r="A152" s="340" t="s">
        <v>297</v>
      </c>
      <c r="B152" s="72">
        <v>0</v>
      </c>
      <c r="C152" s="72">
        <v>0</v>
      </c>
      <c r="D152" s="72">
        <v>0</v>
      </c>
      <c r="E152" s="72">
        <v>0</v>
      </c>
      <c r="F152" s="72">
        <v>0</v>
      </c>
      <c r="G152" s="72">
        <v>0</v>
      </c>
      <c r="H152" s="72">
        <v>0</v>
      </c>
      <c r="I152" s="72">
        <v>0</v>
      </c>
      <c r="J152" s="72">
        <v>-718.34</v>
      </c>
      <c r="K152" s="72">
        <v>0</v>
      </c>
      <c r="L152" s="72">
        <f t="shared" si="31"/>
        <v>-718.34</v>
      </c>
      <c r="N152" s="72"/>
    </row>
    <row r="153" spans="1:14">
      <c r="A153" s="7" t="s">
        <v>801</v>
      </c>
      <c r="B153" s="72">
        <v>0</v>
      </c>
      <c r="C153" s="72">
        <v>0</v>
      </c>
      <c r="D153" s="72">
        <v>0</v>
      </c>
      <c r="E153" s="72">
        <v>0</v>
      </c>
      <c r="F153" s="72">
        <v>0</v>
      </c>
      <c r="G153" s="72">
        <v>0</v>
      </c>
      <c r="H153" s="72">
        <v>0</v>
      </c>
      <c r="I153" s="72">
        <v>-1032.44</v>
      </c>
      <c r="J153" s="72">
        <v>0</v>
      </c>
      <c r="K153" s="72">
        <v>0</v>
      </c>
      <c r="L153" s="72">
        <f t="shared" si="31"/>
        <v>-1032.44</v>
      </c>
      <c r="N153" s="72"/>
    </row>
    <row r="154" spans="1:14">
      <c r="A154" s="7" t="s">
        <v>802</v>
      </c>
      <c r="B154" s="72">
        <v>0</v>
      </c>
      <c r="C154" s="72">
        <v>0</v>
      </c>
      <c r="D154" s="72">
        <v>0</v>
      </c>
      <c r="E154" s="72">
        <v>0</v>
      </c>
      <c r="F154" s="72">
        <v>0</v>
      </c>
      <c r="G154" s="72">
        <v>0</v>
      </c>
      <c r="H154" s="72">
        <v>0</v>
      </c>
      <c r="I154" s="72">
        <v>0</v>
      </c>
      <c r="J154" s="72">
        <v>5077.63</v>
      </c>
      <c r="K154" s="72">
        <v>0</v>
      </c>
      <c r="L154" s="72">
        <f t="shared" si="31"/>
        <v>5077.63</v>
      </c>
      <c r="N154" s="72"/>
    </row>
    <row r="155" spans="1:14">
      <c r="A155" s="7" t="s">
        <v>803</v>
      </c>
      <c r="B155" s="72">
        <v>0</v>
      </c>
      <c r="C155" s="72">
        <v>0</v>
      </c>
      <c r="D155" s="72">
        <v>0</v>
      </c>
      <c r="E155" s="72">
        <v>0</v>
      </c>
      <c r="F155" s="72">
        <v>0</v>
      </c>
      <c r="G155" s="72">
        <v>134.26</v>
      </c>
      <c r="H155" s="72">
        <v>0</v>
      </c>
      <c r="I155" s="72">
        <v>0</v>
      </c>
      <c r="J155" s="72">
        <v>0</v>
      </c>
      <c r="K155" s="72">
        <v>0</v>
      </c>
      <c r="L155" s="72">
        <f t="shared" si="31"/>
        <v>134.26</v>
      </c>
      <c r="N155" s="72"/>
    </row>
    <row r="156" spans="1:14">
      <c r="A156" s="341" t="s">
        <v>296</v>
      </c>
      <c r="B156" s="73">
        <f t="shared" ref="B156:L156" si="32">SUM(B143:B155)</f>
        <v>0</v>
      </c>
      <c r="C156" s="73">
        <f t="shared" si="32"/>
        <v>0</v>
      </c>
      <c r="D156" s="73">
        <f t="shared" si="32"/>
        <v>0</v>
      </c>
      <c r="E156" s="73">
        <f t="shared" si="32"/>
        <v>0</v>
      </c>
      <c r="F156" s="73">
        <f t="shared" si="32"/>
        <v>0</v>
      </c>
      <c r="G156" s="73">
        <f t="shared" si="32"/>
        <v>134.26</v>
      </c>
      <c r="H156" s="73">
        <f t="shared" si="32"/>
        <v>-1062.1099999999999</v>
      </c>
      <c r="I156" s="73">
        <f t="shared" si="32"/>
        <v>-1032.44</v>
      </c>
      <c r="J156" s="73">
        <f t="shared" si="32"/>
        <v>23544.39</v>
      </c>
      <c r="K156" s="73">
        <f t="shared" si="32"/>
        <v>0</v>
      </c>
      <c r="L156" s="73">
        <f t="shared" si="32"/>
        <v>21584.099999999995</v>
      </c>
      <c r="N156" s="73"/>
    </row>
    <row r="157" spans="1:14">
      <c r="A157" s="343" t="s">
        <v>295</v>
      </c>
      <c r="B157" s="73">
        <f t="shared" ref="B157:L157" si="33">SUM(B156)</f>
        <v>0</v>
      </c>
      <c r="C157" s="73">
        <f t="shared" si="33"/>
        <v>0</v>
      </c>
      <c r="D157" s="73">
        <f t="shared" si="33"/>
        <v>0</v>
      </c>
      <c r="E157" s="73">
        <f t="shared" si="33"/>
        <v>0</v>
      </c>
      <c r="F157" s="73">
        <f t="shared" si="33"/>
        <v>0</v>
      </c>
      <c r="G157" s="73">
        <f t="shared" si="33"/>
        <v>134.26</v>
      </c>
      <c r="H157" s="73">
        <f t="shared" si="33"/>
        <v>-1062.1099999999999</v>
      </c>
      <c r="I157" s="73">
        <f t="shared" si="33"/>
        <v>-1032.44</v>
      </c>
      <c r="J157" s="73">
        <f t="shared" si="33"/>
        <v>23544.39</v>
      </c>
      <c r="K157" s="73">
        <f t="shared" si="33"/>
        <v>0</v>
      </c>
      <c r="L157" s="73">
        <f t="shared" si="33"/>
        <v>21584.099999999995</v>
      </c>
      <c r="M157" s="94" t="s">
        <v>455</v>
      </c>
      <c r="N157" s="73"/>
    </row>
    <row r="158" spans="1:14">
      <c r="A158" s="338" t="s">
        <v>294</v>
      </c>
      <c r="B158" s="71"/>
      <c r="C158" s="71"/>
      <c r="D158" s="71"/>
      <c r="E158" s="71"/>
      <c r="F158" s="71"/>
      <c r="G158" s="71"/>
      <c r="H158" s="71"/>
      <c r="I158" s="71"/>
      <c r="J158" s="71"/>
      <c r="K158" s="71"/>
      <c r="L158" s="71"/>
      <c r="N158" s="71"/>
    </row>
    <row r="159" spans="1:14">
      <c r="A159" s="339" t="s">
        <v>293</v>
      </c>
      <c r="B159" s="71"/>
      <c r="C159" s="71"/>
      <c r="D159" s="71"/>
      <c r="E159" s="71"/>
      <c r="F159" s="71"/>
      <c r="G159" s="71"/>
      <c r="H159" s="71"/>
      <c r="I159" s="71"/>
      <c r="J159" s="71"/>
      <c r="K159" s="71"/>
      <c r="L159" s="71"/>
      <c r="N159" s="71"/>
    </row>
    <row r="160" spans="1:14">
      <c r="A160" s="340" t="s">
        <v>292</v>
      </c>
      <c r="B160" s="72">
        <v>-4216333.82</v>
      </c>
      <c r="C160" s="72">
        <v>0</v>
      </c>
      <c r="D160" s="72">
        <v>0</v>
      </c>
      <c r="E160" s="72">
        <v>0</v>
      </c>
      <c r="F160" s="72">
        <v>0</v>
      </c>
      <c r="G160" s="72">
        <v>3250</v>
      </c>
      <c r="H160" s="72">
        <v>1906250.08</v>
      </c>
      <c r="I160" s="72">
        <v>15878.25</v>
      </c>
      <c r="J160" s="72">
        <v>2290955.4900000002</v>
      </c>
      <c r="K160" s="72">
        <v>0</v>
      </c>
      <c r="L160" s="72">
        <f t="shared" ref="L160:L166" si="34">SUM(B160:K160)</f>
        <v>0</v>
      </c>
      <c r="N160" s="72"/>
    </row>
    <row r="161" spans="1:14">
      <c r="A161" s="340" t="s">
        <v>291</v>
      </c>
      <c r="B161" s="72">
        <v>-2124628.5299999998</v>
      </c>
      <c r="C161" s="72">
        <v>0</v>
      </c>
      <c r="D161" s="72">
        <v>0</v>
      </c>
      <c r="E161" s="72">
        <v>0</v>
      </c>
      <c r="F161" s="72">
        <v>0</v>
      </c>
      <c r="G161" s="72">
        <v>0</v>
      </c>
      <c r="H161" s="72">
        <v>0</v>
      </c>
      <c r="I161" s="72">
        <v>0</v>
      </c>
      <c r="J161" s="72">
        <v>827454.41</v>
      </c>
      <c r="K161" s="72">
        <v>1302084.3600000001</v>
      </c>
      <c r="L161" s="72">
        <f t="shared" si="34"/>
        <v>4910.2400000004563</v>
      </c>
      <c r="N161" s="72"/>
    </row>
    <row r="162" spans="1:14">
      <c r="A162" s="340" t="s">
        <v>290</v>
      </c>
      <c r="B162" s="72">
        <v>-52771.93</v>
      </c>
      <c r="C162" s="72">
        <v>0</v>
      </c>
      <c r="D162" s="72">
        <v>0</v>
      </c>
      <c r="E162" s="72">
        <v>0</v>
      </c>
      <c r="F162" s="72">
        <v>320.38</v>
      </c>
      <c r="G162" s="72">
        <v>0</v>
      </c>
      <c r="H162" s="72">
        <v>-636.59</v>
      </c>
      <c r="I162" s="72">
        <v>0</v>
      </c>
      <c r="J162" s="72">
        <v>48177.9</v>
      </c>
      <c r="K162" s="72">
        <v>0</v>
      </c>
      <c r="L162" s="72">
        <f t="shared" si="34"/>
        <v>-4910.239999999998</v>
      </c>
      <c r="N162" s="72"/>
    </row>
    <row r="163" spans="1:14">
      <c r="A163" s="340" t="s">
        <v>289</v>
      </c>
      <c r="B163" s="72">
        <v>-320.38</v>
      </c>
      <c r="C163" s="72">
        <v>0</v>
      </c>
      <c r="D163" s="72">
        <v>0</v>
      </c>
      <c r="E163" s="72">
        <v>320.38</v>
      </c>
      <c r="F163" s="72">
        <v>0</v>
      </c>
      <c r="G163" s="72">
        <v>0</v>
      </c>
      <c r="H163" s="72">
        <v>0</v>
      </c>
      <c r="I163" s="72">
        <v>0</v>
      </c>
      <c r="J163" s="72">
        <v>0</v>
      </c>
      <c r="K163" s="72">
        <v>0</v>
      </c>
      <c r="L163" s="72">
        <f t="shared" si="34"/>
        <v>0</v>
      </c>
      <c r="N163" s="72"/>
    </row>
    <row r="164" spans="1:14">
      <c r="A164" s="340" t="s">
        <v>288</v>
      </c>
      <c r="B164" s="72">
        <v>-4738.0200000000004</v>
      </c>
      <c r="C164" s="72">
        <v>0</v>
      </c>
      <c r="D164" s="72">
        <v>320.38</v>
      </c>
      <c r="E164" s="72">
        <v>0</v>
      </c>
      <c r="F164" s="72">
        <v>0</v>
      </c>
      <c r="G164" s="72">
        <v>0</v>
      </c>
      <c r="H164" s="72">
        <v>0</v>
      </c>
      <c r="I164" s="72">
        <v>0</v>
      </c>
      <c r="J164" s="72">
        <v>4417.6400000000003</v>
      </c>
      <c r="K164" s="72">
        <v>0</v>
      </c>
      <c r="L164" s="72">
        <f t="shared" si="34"/>
        <v>0</v>
      </c>
      <c r="N164" s="72"/>
    </row>
    <row r="165" spans="1:14">
      <c r="A165" s="340" t="s">
        <v>287</v>
      </c>
      <c r="B165" s="72">
        <v>-2390341.7000000002</v>
      </c>
      <c r="C165" s="72">
        <v>1597203.66</v>
      </c>
      <c r="D165" s="72">
        <v>0</v>
      </c>
      <c r="E165" s="72">
        <v>0</v>
      </c>
      <c r="F165" s="72">
        <v>0</v>
      </c>
      <c r="G165" s="72">
        <v>3796.34</v>
      </c>
      <c r="H165" s="72">
        <v>-4931.8999999999996</v>
      </c>
      <c r="I165" s="72">
        <v>310432.69</v>
      </c>
      <c r="J165" s="72">
        <v>483840.91</v>
      </c>
      <c r="K165" s="72">
        <v>0</v>
      </c>
      <c r="L165" s="72">
        <f t="shared" si="34"/>
        <v>-3.4924596548080444E-10</v>
      </c>
      <c r="N165" s="72"/>
    </row>
    <row r="166" spans="1:14">
      <c r="A166" s="7" t="s">
        <v>804</v>
      </c>
      <c r="B166" s="72">
        <v>-484.99</v>
      </c>
      <c r="C166" s="72">
        <v>11135.12</v>
      </c>
      <c r="D166" s="72">
        <v>0</v>
      </c>
      <c r="E166" s="72">
        <v>0</v>
      </c>
      <c r="F166" s="72">
        <v>0</v>
      </c>
      <c r="G166" s="72">
        <v>3517</v>
      </c>
      <c r="H166" s="72">
        <v>-2517.08</v>
      </c>
      <c r="I166" s="72">
        <v>-11135.12</v>
      </c>
      <c r="J166" s="72">
        <v>-514.92999999999995</v>
      </c>
      <c r="K166" s="72">
        <v>0</v>
      </c>
      <c r="L166" s="72">
        <f t="shared" si="34"/>
        <v>3.4106051316484809E-13</v>
      </c>
      <c r="N166" s="72"/>
    </row>
    <row r="167" spans="1:14">
      <c r="A167" s="341" t="s">
        <v>286</v>
      </c>
      <c r="B167" s="73">
        <f t="shared" ref="B167:L167" si="35">SUM(B160:B166)</f>
        <v>-8789619.3699999992</v>
      </c>
      <c r="C167" s="73">
        <f t="shared" si="35"/>
        <v>1608338.78</v>
      </c>
      <c r="D167" s="73">
        <f t="shared" si="35"/>
        <v>320.38</v>
      </c>
      <c r="E167" s="73">
        <f t="shared" si="35"/>
        <v>320.38</v>
      </c>
      <c r="F167" s="73">
        <f t="shared" si="35"/>
        <v>320.38</v>
      </c>
      <c r="G167" s="73">
        <f t="shared" si="35"/>
        <v>10563.34</v>
      </c>
      <c r="H167" s="73">
        <f t="shared" si="35"/>
        <v>1898164.51</v>
      </c>
      <c r="I167" s="73">
        <f t="shared" si="35"/>
        <v>315175.82</v>
      </c>
      <c r="J167" s="73">
        <f t="shared" si="35"/>
        <v>3654331.4200000004</v>
      </c>
      <c r="K167" s="73">
        <f t="shared" si="35"/>
        <v>1302084.3600000001</v>
      </c>
      <c r="L167" s="73">
        <f t="shared" si="35"/>
        <v>1.0948042472591624E-10</v>
      </c>
      <c r="M167" s="20">
        <v>17</v>
      </c>
      <c r="N167" s="73"/>
    </row>
    <row r="168" spans="1:14">
      <c r="A168" s="77" t="s">
        <v>805</v>
      </c>
      <c r="B168" s="71"/>
      <c r="C168" s="71"/>
      <c r="D168" s="71"/>
      <c r="E168" s="71"/>
      <c r="F168" s="71"/>
      <c r="G168" s="71"/>
      <c r="H168" s="71"/>
      <c r="I168" s="71"/>
      <c r="J168" s="71"/>
      <c r="K168" s="71"/>
      <c r="L168" s="71"/>
      <c r="N168" s="71"/>
    </row>
    <row r="169" spans="1:14">
      <c r="A169" s="7" t="s">
        <v>806</v>
      </c>
      <c r="B169" s="72">
        <v>0</v>
      </c>
      <c r="C169" s="72">
        <v>0</v>
      </c>
      <c r="D169" s="72">
        <v>0</v>
      </c>
      <c r="E169" s="72">
        <v>0</v>
      </c>
      <c r="F169" s="72">
        <v>0</v>
      </c>
      <c r="G169" s="72">
        <v>0</v>
      </c>
      <c r="H169" s="72">
        <v>0</v>
      </c>
      <c r="I169" s="72">
        <v>-5414.06</v>
      </c>
      <c r="J169" s="72">
        <v>7893.79</v>
      </c>
      <c r="K169" s="72">
        <v>0</v>
      </c>
      <c r="L169" s="72">
        <f>SUM(B169:K169)</f>
        <v>2479.7299999999996</v>
      </c>
      <c r="N169" s="71"/>
    </row>
    <row r="170" spans="1:14">
      <c r="A170" s="7" t="s">
        <v>807</v>
      </c>
      <c r="B170" s="72">
        <v>0</v>
      </c>
      <c r="C170" s="72">
        <v>0</v>
      </c>
      <c r="D170" s="72">
        <v>0</v>
      </c>
      <c r="E170" s="72">
        <v>0</v>
      </c>
      <c r="F170" s="72">
        <v>0</v>
      </c>
      <c r="G170" s="72">
        <v>0</v>
      </c>
      <c r="H170" s="72">
        <v>0</v>
      </c>
      <c r="I170" s="72">
        <v>-5568.75</v>
      </c>
      <c r="J170" s="72">
        <v>8169.96</v>
      </c>
      <c r="K170" s="72">
        <v>0</v>
      </c>
      <c r="L170" s="72">
        <f>SUM(B170:K170)</f>
        <v>2601.21</v>
      </c>
      <c r="N170" s="71"/>
    </row>
    <row r="171" spans="1:14">
      <c r="A171" s="78" t="s">
        <v>808</v>
      </c>
      <c r="B171" s="73">
        <f t="shared" ref="B171:L171" si="36">SUM(B169:B170)</f>
        <v>0</v>
      </c>
      <c r="C171" s="73">
        <f t="shared" si="36"/>
        <v>0</v>
      </c>
      <c r="D171" s="73">
        <f t="shared" si="36"/>
        <v>0</v>
      </c>
      <c r="E171" s="73">
        <f t="shared" si="36"/>
        <v>0</v>
      </c>
      <c r="F171" s="73">
        <f t="shared" si="36"/>
        <v>0</v>
      </c>
      <c r="G171" s="73">
        <f t="shared" si="36"/>
        <v>0</v>
      </c>
      <c r="H171" s="73">
        <f t="shared" si="36"/>
        <v>0</v>
      </c>
      <c r="I171" s="73">
        <f t="shared" si="36"/>
        <v>-10982.810000000001</v>
      </c>
      <c r="J171" s="73">
        <f t="shared" si="36"/>
        <v>16063.75</v>
      </c>
      <c r="K171" s="73">
        <f t="shared" si="36"/>
        <v>0</v>
      </c>
      <c r="L171" s="73">
        <f t="shared" si="36"/>
        <v>5080.9399999999996</v>
      </c>
      <c r="M171" s="20">
        <v>17</v>
      </c>
      <c r="N171" s="71"/>
    </row>
    <row r="172" spans="1:14">
      <c r="A172" s="342" t="s">
        <v>285</v>
      </c>
      <c r="B172" s="72">
        <v>0</v>
      </c>
      <c r="C172" s="72">
        <v>0</v>
      </c>
      <c r="D172" s="72">
        <v>0</v>
      </c>
      <c r="E172" s="72">
        <v>0</v>
      </c>
      <c r="F172" s="72">
        <v>0</v>
      </c>
      <c r="G172" s="72">
        <v>0</v>
      </c>
      <c r="H172" s="72">
        <v>38465.4</v>
      </c>
      <c r="I172" s="72">
        <v>44870.11</v>
      </c>
      <c r="J172" s="72">
        <v>0</v>
      </c>
      <c r="K172" s="72">
        <v>20560.68</v>
      </c>
      <c r="L172" s="72">
        <f>SUM(B172:K172)</f>
        <v>103896.19</v>
      </c>
      <c r="M172" s="20">
        <v>17</v>
      </c>
      <c r="N172" s="72"/>
    </row>
    <row r="173" spans="1:14">
      <c r="A173" s="339" t="s">
        <v>284</v>
      </c>
      <c r="B173" s="71"/>
      <c r="C173" s="71"/>
      <c r="D173" s="71"/>
      <c r="E173" s="71"/>
      <c r="F173" s="71"/>
      <c r="G173" s="71"/>
      <c r="H173" s="71"/>
      <c r="I173" s="71"/>
      <c r="J173" s="71"/>
      <c r="K173" s="71"/>
      <c r="L173" s="71"/>
      <c r="N173" s="71"/>
    </row>
    <row r="174" spans="1:14">
      <c r="A174" s="340" t="s">
        <v>283</v>
      </c>
      <c r="B174" s="72">
        <v>0</v>
      </c>
      <c r="C174" s="72">
        <v>0</v>
      </c>
      <c r="D174" s="72">
        <v>0</v>
      </c>
      <c r="E174" s="72">
        <v>0</v>
      </c>
      <c r="F174" s="72">
        <v>0</v>
      </c>
      <c r="G174" s="72">
        <v>-10.95</v>
      </c>
      <c r="H174" s="72">
        <v>-0.01</v>
      </c>
      <c r="I174" s="72">
        <v>0</v>
      </c>
      <c r="J174" s="391">
        <v>178713.16</v>
      </c>
      <c r="K174" s="72">
        <v>-24746.51</v>
      </c>
      <c r="L174" s="72">
        <f>SUM(B174:K174)</f>
        <v>153955.69</v>
      </c>
      <c r="M174" s="20">
        <v>17.100000000000001</v>
      </c>
      <c r="N174" s="72"/>
    </row>
    <row r="175" spans="1:14">
      <c r="A175" s="340" t="s">
        <v>282</v>
      </c>
      <c r="B175" s="72">
        <v>0</v>
      </c>
      <c r="C175" s="72">
        <v>0</v>
      </c>
      <c r="D175" s="72">
        <v>0</v>
      </c>
      <c r="E175" s="72">
        <v>0</v>
      </c>
      <c r="F175" s="72">
        <v>0</v>
      </c>
      <c r="G175" s="72">
        <v>0</v>
      </c>
      <c r="H175" s="72">
        <v>0</v>
      </c>
      <c r="I175" s="72">
        <v>0</v>
      </c>
      <c r="J175" s="72">
        <v>64914.71</v>
      </c>
      <c r="K175" s="72">
        <v>18763.330000000002</v>
      </c>
      <c r="L175" s="72">
        <f>SUM(B175:K175)</f>
        <v>83678.040000000008</v>
      </c>
      <c r="M175" s="20">
        <v>17.100000000000001</v>
      </c>
      <c r="N175" s="72"/>
    </row>
    <row r="176" spans="1:14">
      <c r="A176" s="340" t="s">
        <v>281</v>
      </c>
      <c r="B176" s="72">
        <v>0</v>
      </c>
      <c r="C176" s="72">
        <v>0</v>
      </c>
      <c r="D176" s="72">
        <v>0</v>
      </c>
      <c r="E176" s="72">
        <v>0</v>
      </c>
      <c r="F176" s="72">
        <v>0</v>
      </c>
      <c r="G176" s="72">
        <v>0</v>
      </c>
      <c r="H176" s="72">
        <v>0</v>
      </c>
      <c r="I176" s="72">
        <v>0</v>
      </c>
      <c r="J176" s="72">
        <v>0</v>
      </c>
      <c r="K176" s="72">
        <v>7727.44</v>
      </c>
      <c r="L176" s="72">
        <f>SUM(B176:K176)</f>
        <v>7727.44</v>
      </c>
      <c r="M176" s="20">
        <v>17.100000000000001</v>
      </c>
      <c r="N176" s="72"/>
    </row>
    <row r="177" spans="1:14">
      <c r="A177" s="340" t="s">
        <v>280</v>
      </c>
      <c r="B177" s="72">
        <v>0</v>
      </c>
      <c r="C177" s="72">
        <v>0</v>
      </c>
      <c r="D177" s="72">
        <v>0</v>
      </c>
      <c r="E177" s="72">
        <v>0</v>
      </c>
      <c r="F177" s="72">
        <v>0</v>
      </c>
      <c r="G177" s="72">
        <v>0</v>
      </c>
      <c r="H177" s="72">
        <v>438.09</v>
      </c>
      <c r="I177" s="72">
        <v>0</v>
      </c>
      <c r="J177" s="72">
        <v>0</v>
      </c>
      <c r="K177" s="72">
        <v>0</v>
      </c>
      <c r="L177" s="72">
        <f>SUM(B177:K177)</f>
        <v>438.09</v>
      </c>
      <c r="M177" s="20">
        <v>17.100000000000001</v>
      </c>
      <c r="N177" s="72"/>
    </row>
    <row r="178" spans="1:14">
      <c r="A178" s="341" t="s">
        <v>279</v>
      </c>
      <c r="B178" s="73">
        <f t="shared" ref="B178:L178" si="37">SUM(B174:B177)</f>
        <v>0</v>
      </c>
      <c r="C178" s="73">
        <f t="shared" si="37"/>
        <v>0</v>
      </c>
      <c r="D178" s="73">
        <f t="shared" si="37"/>
        <v>0</v>
      </c>
      <c r="E178" s="73">
        <f t="shared" si="37"/>
        <v>0</v>
      </c>
      <c r="F178" s="73">
        <f t="shared" si="37"/>
        <v>0</v>
      </c>
      <c r="G178" s="73">
        <f t="shared" si="37"/>
        <v>-10.95</v>
      </c>
      <c r="H178" s="73">
        <f t="shared" si="37"/>
        <v>438.08</v>
      </c>
      <c r="I178" s="73">
        <f t="shared" si="37"/>
        <v>0</v>
      </c>
      <c r="J178" s="73">
        <f t="shared" si="37"/>
        <v>243627.87</v>
      </c>
      <c r="K178" s="73">
        <f t="shared" si="37"/>
        <v>1744.2600000000029</v>
      </c>
      <c r="L178" s="73">
        <f t="shared" si="37"/>
        <v>245799.26</v>
      </c>
      <c r="M178" s="20">
        <v>17</v>
      </c>
      <c r="N178" s="73"/>
    </row>
    <row r="179" spans="1:14">
      <c r="A179" s="339" t="s">
        <v>278</v>
      </c>
      <c r="B179" s="71"/>
      <c r="C179" s="71"/>
      <c r="D179" s="71"/>
      <c r="E179" s="71"/>
      <c r="F179" s="71"/>
      <c r="G179" s="71"/>
      <c r="H179" s="71"/>
      <c r="I179" s="71"/>
      <c r="J179" s="71"/>
      <c r="K179" s="71"/>
      <c r="L179" s="71"/>
      <c r="N179" s="71"/>
    </row>
    <row r="180" spans="1:14">
      <c r="A180" s="340" t="s">
        <v>277</v>
      </c>
      <c r="B180" s="72">
        <v>0</v>
      </c>
      <c r="C180" s="72">
        <v>0</v>
      </c>
      <c r="D180" s="72">
        <v>0</v>
      </c>
      <c r="E180" s="72">
        <v>0</v>
      </c>
      <c r="F180" s="72">
        <v>0</v>
      </c>
      <c r="G180" s="72">
        <v>2873.06</v>
      </c>
      <c r="H180" s="72">
        <v>6921.18</v>
      </c>
      <c r="I180" s="72">
        <v>-7107.79</v>
      </c>
      <c r="J180" s="72">
        <v>38154.9</v>
      </c>
      <c r="K180" s="72">
        <v>17526.080000000002</v>
      </c>
      <c r="L180" s="72">
        <f>SUM(B180:K180)</f>
        <v>58367.43</v>
      </c>
      <c r="M180" s="20">
        <v>17.100000000000001</v>
      </c>
      <c r="N180" s="72"/>
    </row>
    <row r="181" spans="1:14">
      <c r="A181" s="340" t="s">
        <v>276</v>
      </c>
      <c r="B181" s="72">
        <v>0</v>
      </c>
      <c r="C181" s="72">
        <v>0</v>
      </c>
      <c r="D181" s="72">
        <v>0</v>
      </c>
      <c r="E181" s="72">
        <v>0</v>
      </c>
      <c r="F181" s="72">
        <v>0</v>
      </c>
      <c r="G181" s="72">
        <v>0</v>
      </c>
      <c r="H181" s="72">
        <v>0</v>
      </c>
      <c r="I181" s="72">
        <v>0</v>
      </c>
      <c r="J181" s="72">
        <v>8212.5</v>
      </c>
      <c r="K181" s="72">
        <v>3340.16</v>
      </c>
      <c r="L181" s="72">
        <f>SUM(B181:K181)</f>
        <v>11552.66</v>
      </c>
      <c r="M181" s="20">
        <v>17.100000000000001</v>
      </c>
      <c r="N181" s="72"/>
    </row>
    <row r="182" spans="1:14">
      <c r="A182" s="340" t="s">
        <v>275</v>
      </c>
      <c r="B182" s="72">
        <v>0</v>
      </c>
      <c r="C182" s="72">
        <v>0</v>
      </c>
      <c r="D182" s="72">
        <v>0</v>
      </c>
      <c r="E182" s="72">
        <v>0</v>
      </c>
      <c r="F182" s="72">
        <v>0</v>
      </c>
      <c r="G182" s="72">
        <v>0</v>
      </c>
      <c r="H182" s="72">
        <v>0</v>
      </c>
      <c r="I182" s="72">
        <v>0</v>
      </c>
      <c r="J182" s="72">
        <v>0</v>
      </c>
      <c r="K182" s="72">
        <v>3341.07</v>
      </c>
      <c r="L182" s="72">
        <f>SUM(B182:K182)</f>
        <v>3341.07</v>
      </c>
      <c r="M182" s="20">
        <v>17.100000000000001</v>
      </c>
      <c r="N182" s="72"/>
    </row>
    <row r="183" spans="1:14">
      <c r="A183" s="341" t="s">
        <v>274</v>
      </c>
      <c r="B183" s="73">
        <f t="shared" ref="B183:L183" si="38">SUM(B180:B182)</f>
        <v>0</v>
      </c>
      <c r="C183" s="73">
        <f t="shared" si="38"/>
        <v>0</v>
      </c>
      <c r="D183" s="73">
        <f t="shared" si="38"/>
        <v>0</v>
      </c>
      <c r="E183" s="73">
        <f t="shared" si="38"/>
        <v>0</v>
      </c>
      <c r="F183" s="73">
        <f t="shared" si="38"/>
        <v>0</v>
      </c>
      <c r="G183" s="73">
        <f t="shared" si="38"/>
        <v>2873.06</v>
      </c>
      <c r="H183" s="73">
        <f t="shared" si="38"/>
        <v>6921.18</v>
      </c>
      <c r="I183" s="73">
        <f t="shared" si="38"/>
        <v>-7107.79</v>
      </c>
      <c r="J183" s="73">
        <f t="shared" si="38"/>
        <v>46367.4</v>
      </c>
      <c r="K183" s="73">
        <f t="shared" si="38"/>
        <v>24207.31</v>
      </c>
      <c r="L183" s="73">
        <f t="shared" si="38"/>
        <v>73261.16</v>
      </c>
      <c r="M183" s="20">
        <v>17</v>
      </c>
      <c r="N183" s="73"/>
    </row>
    <row r="184" spans="1:14">
      <c r="A184" s="339" t="s">
        <v>273</v>
      </c>
      <c r="B184" s="71"/>
      <c r="C184" s="71"/>
      <c r="D184" s="71"/>
      <c r="E184" s="71"/>
      <c r="F184" s="71"/>
      <c r="G184" s="71"/>
      <c r="H184" s="71"/>
      <c r="I184" s="71"/>
      <c r="J184" s="71"/>
      <c r="K184" s="71"/>
      <c r="L184" s="71"/>
      <c r="N184" s="71"/>
    </row>
    <row r="185" spans="1:14">
      <c r="A185" s="340" t="s">
        <v>272</v>
      </c>
      <c r="B185" s="72">
        <v>0</v>
      </c>
      <c r="C185" s="72">
        <v>0</v>
      </c>
      <c r="D185" s="72">
        <v>0</v>
      </c>
      <c r="E185" s="72">
        <v>0</v>
      </c>
      <c r="F185" s="72">
        <v>0</v>
      </c>
      <c r="G185" s="72">
        <v>-1455.56</v>
      </c>
      <c r="H185" s="72">
        <v>38766.230000000003</v>
      </c>
      <c r="I185" s="72">
        <v>0</v>
      </c>
      <c r="J185" s="391">
        <v>33230.15</v>
      </c>
      <c r="K185" s="72">
        <v>-66136.289999999994</v>
      </c>
      <c r="L185" s="72">
        <f>SUM(B185:K185)</f>
        <v>4404.5300000000134</v>
      </c>
      <c r="M185" s="20">
        <v>17.100000000000001</v>
      </c>
      <c r="N185" s="72"/>
    </row>
    <row r="186" spans="1:14">
      <c r="A186" s="340" t="s">
        <v>271</v>
      </c>
      <c r="B186" s="72">
        <v>0</v>
      </c>
      <c r="C186" s="72">
        <v>0</v>
      </c>
      <c r="D186" s="72">
        <v>0</v>
      </c>
      <c r="E186" s="72">
        <v>0</v>
      </c>
      <c r="F186" s="72">
        <v>0</v>
      </c>
      <c r="G186" s="72">
        <v>-2737.22</v>
      </c>
      <c r="H186" s="72">
        <v>88003.839999999997</v>
      </c>
      <c r="I186" s="72">
        <v>0</v>
      </c>
      <c r="J186" s="391">
        <v>72452.66</v>
      </c>
      <c r="K186" s="72">
        <v>111188.79</v>
      </c>
      <c r="L186" s="72">
        <f>SUM(B186:K186)</f>
        <v>268908.07</v>
      </c>
      <c r="M186" s="20">
        <v>17.100000000000001</v>
      </c>
      <c r="N186" s="72"/>
    </row>
    <row r="187" spans="1:14">
      <c r="A187" s="7" t="s">
        <v>809</v>
      </c>
      <c r="B187" s="72">
        <v>0</v>
      </c>
      <c r="C187" s="72">
        <v>0</v>
      </c>
      <c r="D187" s="72">
        <v>0</v>
      </c>
      <c r="E187" s="72">
        <v>0</v>
      </c>
      <c r="F187" s="72">
        <v>0</v>
      </c>
      <c r="G187" s="72">
        <v>-167.36</v>
      </c>
      <c r="H187" s="72">
        <v>0</v>
      </c>
      <c r="I187" s="72">
        <v>0</v>
      </c>
      <c r="J187" s="72">
        <v>0</v>
      </c>
      <c r="K187" s="72">
        <v>0</v>
      </c>
      <c r="L187" s="72">
        <f>SUM(B187:K187)</f>
        <v>-167.36</v>
      </c>
      <c r="M187" s="20">
        <v>17.100000000000001</v>
      </c>
      <c r="N187" s="72"/>
    </row>
    <row r="188" spans="1:14">
      <c r="A188" s="7" t="s">
        <v>810</v>
      </c>
      <c r="B188" s="72">
        <v>0</v>
      </c>
      <c r="C188" s="72">
        <v>0</v>
      </c>
      <c r="D188" s="72">
        <v>0</v>
      </c>
      <c r="E188" s="72">
        <v>0</v>
      </c>
      <c r="F188" s="72">
        <v>0</v>
      </c>
      <c r="G188" s="72">
        <v>0</v>
      </c>
      <c r="H188" s="72">
        <v>0</v>
      </c>
      <c r="I188" s="72">
        <v>2.41</v>
      </c>
      <c r="J188" s="72">
        <v>0</v>
      </c>
      <c r="K188" s="72">
        <v>0</v>
      </c>
      <c r="L188" s="72">
        <f>SUM(B188:K188)</f>
        <v>2.41</v>
      </c>
      <c r="M188" s="20">
        <v>17.100000000000001</v>
      </c>
      <c r="N188" s="72"/>
    </row>
    <row r="189" spans="1:14">
      <c r="A189" s="341" t="s">
        <v>270</v>
      </c>
      <c r="B189" s="73">
        <f t="shared" ref="B189:L189" si="39">SUM(B185:B188)</f>
        <v>0</v>
      </c>
      <c r="C189" s="73">
        <f t="shared" si="39"/>
        <v>0</v>
      </c>
      <c r="D189" s="73">
        <f t="shared" si="39"/>
        <v>0</v>
      </c>
      <c r="E189" s="73">
        <f t="shared" si="39"/>
        <v>0</v>
      </c>
      <c r="F189" s="73">
        <f t="shared" si="39"/>
        <v>0</v>
      </c>
      <c r="G189" s="73">
        <f t="shared" si="39"/>
        <v>-4360.1399999999994</v>
      </c>
      <c r="H189" s="73">
        <f t="shared" si="39"/>
        <v>126770.07</v>
      </c>
      <c r="I189" s="73">
        <f t="shared" si="39"/>
        <v>2.41</v>
      </c>
      <c r="J189" s="73">
        <f t="shared" si="39"/>
        <v>105682.81</v>
      </c>
      <c r="K189" s="73">
        <f t="shared" si="39"/>
        <v>45052.5</v>
      </c>
      <c r="L189" s="73">
        <f t="shared" si="39"/>
        <v>273147.65000000002</v>
      </c>
      <c r="M189" s="20">
        <v>17</v>
      </c>
      <c r="N189" s="73"/>
    </row>
    <row r="190" spans="1:14">
      <c r="A190" s="339" t="s">
        <v>269</v>
      </c>
      <c r="B190" s="71"/>
      <c r="C190" s="71"/>
      <c r="D190" s="71"/>
      <c r="E190" s="71"/>
      <c r="F190" s="71"/>
      <c r="G190" s="71"/>
      <c r="H190" s="71"/>
      <c r="I190" s="71"/>
      <c r="J190" s="71"/>
      <c r="K190" s="71"/>
      <c r="L190" s="71"/>
      <c r="N190" s="71"/>
    </row>
    <row r="191" spans="1:14">
      <c r="A191" s="340" t="s">
        <v>268</v>
      </c>
      <c r="B191" s="72">
        <v>0</v>
      </c>
      <c r="C191" s="72">
        <v>0</v>
      </c>
      <c r="D191" s="72">
        <v>0</v>
      </c>
      <c r="E191" s="72">
        <v>0</v>
      </c>
      <c r="F191" s="72">
        <v>0</v>
      </c>
      <c r="G191" s="72">
        <v>13594.08</v>
      </c>
      <c r="H191" s="72">
        <v>55306.8</v>
      </c>
      <c r="I191" s="72">
        <v>5000</v>
      </c>
      <c r="J191" s="72">
        <v>98890.06</v>
      </c>
      <c r="K191" s="72">
        <v>38505.199999999997</v>
      </c>
      <c r="L191" s="72">
        <f>SUM(B191:K191)</f>
        <v>211296.14</v>
      </c>
      <c r="M191" s="20">
        <v>17.2</v>
      </c>
      <c r="N191" s="72"/>
    </row>
    <row r="192" spans="1:14">
      <c r="A192" s="341" t="s">
        <v>267</v>
      </c>
      <c r="B192" s="73">
        <f t="shared" ref="B192:L192" si="40">SUM(B191)</f>
        <v>0</v>
      </c>
      <c r="C192" s="73">
        <f t="shared" si="40"/>
        <v>0</v>
      </c>
      <c r="D192" s="73">
        <f t="shared" si="40"/>
        <v>0</v>
      </c>
      <c r="E192" s="73">
        <f t="shared" si="40"/>
        <v>0</v>
      </c>
      <c r="F192" s="73">
        <f t="shared" si="40"/>
        <v>0</v>
      </c>
      <c r="G192" s="73">
        <f t="shared" si="40"/>
        <v>13594.08</v>
      </c>
      <c r="H192" s="73">
        <f t="shared" si="40"/>
        <v>55306.8</v>
      </c>
      <c r="I192" s="73">
        <f t="shared" si="40"/>
        <v>5000</v>
      </c>
      <c r="J192" s="73">
        <f t="shared" si="40"/>
        <v>98890.06</v>
      </c>
      <c r="K192" s="73">
        <f t="shared" si="40"/>
        <v>38505.199999999997</v>
      </c>
      <c r="L192" s="73">
        <f t="shared" si="40"/>
        <v>211296.14</v>
      </c>
      <c r="M192" s="20">
        <v>17</v>
      </c>
      <c r="N192" s="73"/>
    </row>
    <row r="193" spans="1:14">
      <c r="A193" s="342" t="s">
        <v>266</v>
      </c>
      <c r="B193" s="72">
        <v>0</v>
      </c>
      <c r="C193" s="72">
        <v>0</v>
      </c>
      <c r="D193" s="72">
        <v>0</v>
      </c>
      <c r="E193" s="72">
        <v>0</v>
      </c>
      <c r="F193" s="72">
        <v>8537.74</v>
      </c>
      <c r="G193" s="72">
        <v>0</v>
      </c>
      <c r="H193" s="72">
        <v>2930.86</v>
      </c>
      <c r="I193" s="72">
        <v>0</v>
      </c>
      <c r="J193" s="72">
        <v>-5441.45</v>
      </c>
      <c r="K193" s="72">
        <v>0</v>
      </c>
      <c r="L193" s="72">
        <f>SUM(B193:K193)</f>
        <v>6027.1500000000005</v>
      </c>
      <c r="M193" s="20">
        <v>17</v>
      </c>
      <c r="N193" s="72"/>
    </row>
    <row r="194" spans="1:14">
      <c r="A194" s="339" t="s">
        <v>265</v>
      </c>
      <c r="B194" s="71"/>
      <c r="C194" s="71"/>
      <c r="D194" s="71"/>
      <c r="E194" s="71"/>
      <c r="F194" s="71"/>
      <c r="G194" s="71"/>
      <c r="H194" s="71"/>
      <c r="I194" s="71"/>
      <c r="J194" s="71"/>
      <c r="K194" s="71"/>
      <c r="L194" s="71"/>
      <c r="N194" s="71"/>
    </row>
    <row r="195" spans="1:14">
      <c r="A195" s="340" t="s">
        <v>264</v>
      </c>
      <c r="B195" s="72">
        <v>0</v>
      </c>
      <c r="C195" s="72">
        <v>0</v>
      </c>
      <c r="D195" s="72">
        <v>0</v>
      </c>
      <c r="E195" s="72">
        <v>0</v>
      </c>
      <c r="F195" s="72">
        <v>0</v>
      </c>
      <c r="G195" s="72">
        <v>0</v>
      </c>
      <c r="H195" s="72">
        <v>0</v>
      </c>
      <c r="I195" s="72">
        <v>0</v>
      </c>
      <c r="J195" s="72">
        <v>220408.13</v>
      </c>
      <c r="K195" s="72">
        <v>0</v>
      </c>
      <c r="L195" s="72">
        <f>SUM(B195:K195)</f>
        <v>220408.13</v>
      </c>
      <c r="M195" s="20">
        <v>17.399999999999999</v>
      </c>
      <c r="N195" s="72"/>
    </row>
    <row r="196" spans="1:14">
      <c r="A196" s="341" t="s">
        <v>262</v>
      </c>
      <c r="B196" s="73">
        <f t="shared" ref="B196:L196" si="41">SUM(B195)</f>
        <v>0</v>
      </c>
      <c r="C196" s="73">
        <f t="shared" si="41"/>
        <v>0</v>
      </c>
      <c r="D196" s="73">
        <f t="shared" si="41"/>
        <v>0</v>
      </c>
      <c r="E196" s="73">
        <f t="shared" si="41"/>
        <v>0</v>
      </c>
      <c r="F196" s="73">
        <f t="shared" si="41"/>
        <v>0</v>
      </c>
      <c r="G196" s="73">
        <f t="shared" si="41"/>
        <v>0</v>
      </c>
      <c r="H196" s="73">
        <f t="shared" si="41"/>
        <v>0</v>
      </c>
      <c r="I196" s="73">
        <f t="shared" si="41"/>
        <v>0</v>
      </c>
      <c r="J196" s="73">
        <f t="shared" si="41"/>
        <v>220408.13</v>
      </c>
      <c r="K196" s="73">
        <f t="shared" si="41"/>
        <v>0</v>
      </c>
      <c r="L196" s="73">
        <f t="shared" si="41"/>
        <v>220408.13</v>
      </c>
      <c r="M196" s="20">
        <v>17</v>
      </c>
      <c r="N196" s="73"/>
    </row>
    <row r="197" spans="1:14">
      <c r="A197" s="342" t="s">
        <v>261</v>
      </c>
      <c r="B197" s="72">
        <v>0</v>
      </c>
      <c r="C197" s="72">
        <v>0</v>
      </c>
      <c r="D197" s="72">
        <v>0</v>
      </c>
      <c r="E197" s="72">
        <v>0</v>
      </c>
      <c r="F197" s="72">
        <v>0</v>
      </c>
      <c r="G197" s="72">
        <v>0</v>
      </c>
      <c r="H197" s="72">
        <v>0</v>
      </c>
      <c r="I197" s="72">
        <v>0</v>
      </c>
      <c r="J197" s="72">
        <v>44955.43</v>
      </c>
      <c r="K197" s="72">
        <v>50.78</v>
      </c>
      <c r="L197" s="72">
        <f>SUM(B197:K197)</f>
        <v>45006.21</v>
      </c>
      <c r="M197" s="20">
        <v>18</v>
      </c>
      <c r="N197" s="72" t="s">
        <v>572</v>
      </c>
    </row>
    <row r="198" spans="1:14">
      <c r="A198" s="342" t="s">
        <v>260</v>
      </c>
      <c r="B198" s="72">
        <v>-261263.83</v>
      </c>
      <c r="C198" s="72">
        <v>0</v>
      </c>
      <c r="D198" s="72">
        <v>0</v>
      </c>
      <c r="E198" s="72">
        <v>261263.83</v>
      </c>
      <c r="F198" s="72">
        <v>0</v>
      </c>
      <c r="G198" s="72">
        <v>0</v>
      </c>
      <c r="H198" s="72">
        <v>0</v>
      </c>
      <c r="I198" s="72">
        <v>0</v>
      </c>
      <c r="J198" s="72">
        <v>0</v>
      </c>
      <c r="K198" s="72">
        <v>0</v>
      </c>
      <c r="L198" s="72">
        <f>SUM(B198:K198)</f>
        <v>0</v>
      </c>
      <c r="M198" s="20">
        <v>18</v>
      </c>
      <c r="N198" s="72"/>
    </row>
    <row r="199" spans="1:14">
      <c r="A199" s="5" t="s">
        <v>811</v>
      </c>
      <c r="B199" s="72">
        <v>0</v>
      </c>
      <c r="C199" s="72">
        <v>0</v>
      </c>
      <c r="D199" s="72">
        <v>0</v>
      </c>
      <c r="E199" s="72">
        <v>0</v>
      </c>
      <c r="F199" s="72">
        <v>0</v>
      </c>
      <c r="G199" s="72">
        <v>-871.45</v>
      </c>
      <c r="H199" s="72">
        <v>0</v>
      </c>
      <c r="I199" s="72">
        <v>0</v>
      </c>
      <c r="J199" s="72">
        <v>-19990.62</v>
      </c>
      <c r="K199" s="72">
        <v>0</v>
      </c>
      <c r="L199" s="72">
        <f>SUM(B199:K199)</f>
        <v>-20862.07</v>
      </c>
      <c r="M199" s="20">
        <v>17</v>
      </c>
      <c r="N199" s="72"/>
    </row>
    <row r="200" spans="1:14">
      <c r="A200" s="343" t="s">
        <v>259</v>
      </c>
      <c r="B200" s="73">
        <f t="shared" ref="B200:L200" si="42">SUM(B167,B171:B172,B178,B183,B189,B192:B193,B196:B199)</f>
        <v>-9050883.1999999993</v>
      </c>
      <c r="C200" s="73">
        <f t="shared" si="42"/>
        <v>1608338.78</v>
      </c>
      <c r="D200" s="73">
        <f t="shared" si="42"/>
        <v>320.38</v>
      </c>
      <c r="E200" s="73">
        <f t="shared" si="42"/>
        <v>261584.21</v>
      </c>
      <c r="F200" s="73">
        <f t="shared" si="42"/>
        <v>8858.119999999999</v>
      </c>
      <c r="G200" s="73">
        <f t="shared" si="42"/>
        <v>21787.94</v>
      </c>
      <c r="H200" s="73">
        <f t="shared" si="42"/>
        <v>2128996.9</v>
      </c>
      <c r="I200" s="73">
        <f t="shared" si="42"/>
        <v>346957.74</v>
      </c>
      <c r="J200" s="73">
        <f t="shared" si="42"/>
        <v>4404894.8</v>
      </c>
      <c r="K200" s="73">
        <f t="shared" si="42"/>
        <v>1432205.09</v>
      </c>
      <c r="L200" s="73">
        <f t="shared" si="42"/>
        <v>1163060.76</v>
      </c>
      <c r="M200"/>
      <c r="N200" s="73"/>
    </row>
    <row r="201" spans="1:14">
      <c r="A201" s="337" t="s">
        <v>258</v>
      </c>
      <c r="B201" s="71">
        <f t="shared" ref="B201:L201" si="43">B140+B157+B200</f>
        <v>-9050883.1899999995</v>
      </c>
      <c r="C201" s="71">
        <f t="shared" si="43"/>
        <v>1608338.78</v>
      </c>
      <c r="D201" s="71">
        <f t="shared" si="43"/>
        <v>320.38</v>
      </c>
      <c r="E201" s="71">
        <f t="shared" si="43"/>
        <v>261584.21</v>
      </c>
      <c r="F201" s="71">
        <f t="shared" si="43"/>
        <v>8858.119999999999</v>
      </c>
      <c r="G201" s="71">
        <f t="shared" si="43"/>
        <v>29903.93</v>
      </c>
      <c r="H201" s="71">
        <f t="shared" si="43"/>
        <v>2159949.2999999998</v>
      </c>
      <c r="I201" s="71">
        <f t="shared" si="43"/>
        <v>352704.02</v>
      </c>
      <c r="J201" s="71">
        <f t="shared" si="43"/>
        <v>4498678.92</v>
      </c>
      <c r="K201" s="71">
        <f t="shared" si="43"/>
        <v>1460943.75</v>
      </c>
      <c r="L201" s="71">
        <f t="shared" si="43"/>
        <v>1330398.22</v>
      </c>
      <c r="N201" s="71"/>
    </row>
    <row r="202" spans="1:14">
      <c r="A202" s="337" t="s">
        <v>257</v>
      </c>
      <c r="B202" s="71">
        <f t="shared" ref="B202:L202" si="44">B116-B201</f>
        <v>-1818.3499999996275</v>
      </c>
      <c r="C202" s="71">
        <f t="shared" si="44"/>
        <v>-1600000</v>
      </c>
      <c r="D202" s="71">
        <f t="shared" si="44"/>
        <v>62962.46</v>
      </c>
      <c r="E202" s="71">
        <f t="shared" si="44"/>
        <v>-261071.13</v>
      </c>
      <c r="F202" s="71">
        <f t="shared" si="44"/>
        <v>39703.070000000007</v>
      </c>
      <c r="G202" s="71">
        <f t="shared" si="44"/>
        <v>1154549.07</v>
      </c>
      <c r="H202" s="71">
        <f t="shared" si="44"/>
        <v>468923.29000000097</v>
      </c>
      <c r="I202" s="71">
        <f t="shared" si="44"/>
        <v>684076.87</v>
      </c>
      <c r="J202" s="71">
        <f t="shared" si="44"/>
        <v>12765915.420000004</v>
      </c>
      <c r="K202" s="71">
        <f t="shared" si="44"/>
        <v>330069.93000000017</v>
      </c>
      <c r="L202" s="71">
        <f t="shared" si="44"/>
        <v>13643310.630000001</v>
      </c>
      <c r="N202" s="71"/>
    </row>
    <row r="203" spans="1:14">
      <c r="A203" s="337" t="s">
        <v>256</v>
      </c>
      <c r="B203" s="71">
        <f t="shared" ref="B203:L203" si="45">B202+B130+0</f>
        <v>-1818.3499999996275</v>
      </c>
      <c r="C203" s="71">
        <f t="shared" si="45"/>
        <v>-1600000</v>
      </c>
      <c r="D203" s="71">
        <f t="shared" si="45"/>
        <v>62962.46</v>
      </c>
      <c r="E203" s="71">
        <f t="shared" si="45"/>
        <v>-261071.13</v>
      </c>
      <c r="F203" s="71">
        <f t="shared" si="45"/>
        <v>39703.070000000007</v>
      </c>
      <c r="G203" s="71">
        <f t="shared" si="45"/>
        <v>1154828.1900000002</v>
      </c>
      <c r="H203" s="71">
        <f t="shared" si="45"/>
        <v>515858.79000000097</v>
      </c>
      <c r="I203" s="71">
        <f t="shared" si="45"/>
        <v>688580.54</v>
      </c>
      <c r="J203" s="71">
        <f t="shared" si="45"/>
        <v>12818968.610000003</v>
      </c>
      <c r="K203" s="71">
        <f t="shared" si="45"/>
        <v>346619.74000000017</v>
      </c>
      <c r="L203" s="71">
        <f t="shared" si="45"/>
        <v>13764631.92</v>
      </c>
      <c r="N203" s="71"/>
    </row>
    <row r="204" spans="1:14">
      <c r="A204" s="337" t="s">
        <v>255</v>
      </c>
      <c r="B204" s="71">
        <f t="shared" ref="B204:L204" si="46">B203-0</f>
        <v>-1818.3499999996275</v>
      </c>
      <c r="C204" s="71">
        <f t="shared" si="46"/>
        <v>-1600000</v>
      </c>
      <c r="D204" s="71">
        <f t="shared" si="46"/>
        <v>62962.46</v>
      </c>
      <c r="E204" s="71">
        <f t="shared" si="46"/>
        <v>-261071.13</v>
      </c>
      <c r="F204" s="71">
        <f t="shared" si="46"/>
        <v>39703.070000000007</v>
      </c>
      <c r="G204" s="71">
        <f t="shared" si="46"/>
        <v>1154828.1900000002</v>
      </c>
      <c r="H204" s="71">
        <f t="shared" si="46"/>
        <v>515858.79000000097</v>
      </c>
      <c r="I204" s="71">
        <f t="shared" si="46"/>
        <v>688580.54</v>
      </c>
      <c r="J204" s="71">
        <f t="shared" si="46"/>
        <v>12818968.610000003</v>
      </c>
      <c r="K204" s="71">
        <f t="shared" si="46"/>
        <v>346619.74000000017</v>
      </c>
      <c r="L204" s="71">
        <f t="shared" si="46"/>
        <v>13764631.92</v>
      </c>
      <c r="N204" s="71"/>
    </row>
    <row r="205" spans="1:14">
      <c r="A205" s="337" t="s">
        <v>254</v>
      </c>
      <c r="B205" s="71"/>
      <c r="C205" s="71"/>
      <c r="D205" s="71"/>
      <c r="E205" s="71"/>
      <c r="F205" s="71"/>
      <c r="G205" s="71"/>
      <c r="H205" s="71"/>
      <c r="I205" s="71"/>
      <c r="J205" s="71"/>
      <c r="K205" s="71"/>
      <c r="L205" s="71"/>
      <c r="N205" s="71"/>
    </row>
    <row r="206" spans="1:14">
      <c r="A206" s="337" t="s">
        <v>254</v>
      </c>
      <c r="B206" s="71"/>
      <c r="C206" s="71"/>
      <c r="D206" s="71"/>
      <c r="E206" s="71"/>
      <c r="F206" s="71"/>
      <c r="G206" s="71"/>
      <c r="H206" s="71"/>
      <c r="I206" s="71"/>
      <c r="J206" s="71"/>
      <c r="K206" s="71"/>
      <c r="L206" s="71"/>
      <c r="N206" s="71"/>
    </row>
    <row r="207" spans="1:14">
      <c r="A207" s="338" t="s">
        <v>253</v>
      </c>
      <c r="B207" s="71"/>
      <c r="C207" s="71"/>
      <c r="D207" s="71"/>
      <c r="E207" s="71"/>
      <c r="F207" s="71"/>
      <c r="G207" s="71"/>
      <c r="H207" s="71"/>
      <c r="I207" s="71"/>
      <c r="J207" s="71"/>
      <c r="K207" s="71"/>
      <c r="L207" s="71"/>
      <c r="N207" s="71"/>
    </row>
    <row r="208" spans="1:14">
      <c r="A208" s="342" t="s">
        <v>252</v>
      </c>
      <c r="B208" s="72">
        <v>0</v>
      </c>
      <c r="C208" s="72">
        <v>0</v>
      </c>
      <c r="D208" s="72">
        <v>600244.31000000006</v>
      </c>
      <c r="E208" s="72">
        <v>27.32</v>
      </c>
      <c r="F208" s="72">
        <v>1000280.62</v>
      </c>
      <c r="G208" s="72">
        <v>0</v>
      </c>
      <c r="H208" s="72">
        <v>0</v>
      </c>
      <c r="I208" s="72">
        <v>0</v>
      </c>
      <c r="J208" s="72">
        <v>59818.91</v>
      </c>
      <c r="K208" s="72">
        <v>1227</v>
      </c>
      <c r="L208" s="72">
        <f>SUM(B208:K208)</f>
        <v>1661598.16</v>
      </c>
      <c r="M208" s="20">
        <v>19.100000000000001</v>
      </c>
      <c r="N208" s="72"/>
    </row>
    <row r="209" spans="1:14">
      <c r="A209" s="343" t="s">
        <v>251</v>
      </c>
      <c r="B209" s="73">
        <f t="shared" ref="B209:L209" si="47">SUM(B208)</f>
        <v>0</v>
      </c>
      <c r="C209" s="73">
        <f t="shared" si="47"/>
        <v>0</v>
      </c>
      <c r="D209" s="73">
        <f t="shared" si="47"/>
        <v>600244.31000000006</v>
      </c>
      <c r="E209" s="73">
        <f t="shared" si="47"/>
        <v>27.32</v>
      </c>
      <c r="F209" s="73">
        <f t="shared" si="47"/>
        <v>1000280.62</v>
      </c>
      <c r="G209" s="73">
        <f t="shared" si="47"/>
        <v>0</v>
      </c>
      <c r="H209" s="73">
        <f t="shared" si="47"/>
        <v>0</v>
      </c>
      <c r="I209" s="73">
        <f t="shared" si="47"/>
        <v>0</v>
      </c>
      <c r="J209" s="73">
        <f t="shared" si="47"/>
        <v>59818.91</v>
      </c>
      <c r="K209" s="73">
        <f t="shared" si="47"/>
        <v>1227</v>
      </c>
      <c r="L209" s="73">
        <f t="shared" si="47"/>
        <v>1661598.16</v>
      </c>
      <c r="M209" s="20">
        <v>19</v>
      </c>
      <c r="N209" s="73"/>
    </row>
    <row r="210" spans="1:14">
      <c r="A210" s="338" t="s">
        <v>250</v>
      </c>
      <c r="B210" s="71"/>
      <c r="C210" s="71"/>
      <c r="D210" s="71"/>
      <c r="E210" s="71"/>
      <c r="F210" s="71"/>
      <c r="G210" s="71"/>
      <c r="H210" s="71"/>
      <c r="I210" s="71"/>
      <c r="J210" s="71"/>
      <c r="K210" s="71"/>
      <c r="L210" s="71"/>
      <c r="N210" s="71"/>
    </row>
    <row r="211" spans="1:14">
      <c r="A211" s="342" t="s">
        <v>249</v>
      </c>
      <c r="B211" s="72">
        <v>0</v>
      </c>
      <c r="C211" s="72">
        <v>0</v>
      </c>
      <c r="D211" s="72">
        <v>0</v>
      </c>
      <c r="E211" s="72">
        <v>0</v>
      </c>
      <c r="F211" s="72">
        <v>0</v>
      </c>
      <c r="G211" s="72">
        <v>0</v>
      </c>
      <c r="H211" s="72">
        <v>0</v>
      </c>
      <c r="I211" s="72">
        <v>0</v>
      </c>
      <c r="J211" s="72">
        <v>1099977.5</v>
      </c>
      <c r="K211" s="72">
        <v>0</v>
      </c>
      <c r="L211" s="72">
        <f t="shared" ref="L211:L217" si="48">SUM(B211:K211)</f>
        <v>1099977.5</v>
      </c>
      <c r="M211" s="20">
        <v>19.3</v>
      </c>
      <c r="N211" s="72"/>
    </row>
    <row r="212" spans="1:14">
      <c r="A212" s="342" t="s">
        <v>248</v>
      </c>
      <c r="B212" s="72">
        <v>0</v>
      </c>
      <c r="C212" s="72">
        <v>0</v>
      </c>
      <c r="D212" s="72">
        <v>0</v>
      </c>
      <c r="E212" s="72">
        <v>0</v>
      </c>
      <c r="F212" s="72">
        <v>0</v>
      </c>
      <c r="G212" s="72">
        <v>0</v>
      </c>
      <c r="H212" s="72">
        <v>0</v>
      </c>
      <c r="I212" s="72">
        <v>0</v>
      </c>
      <c r="J212" s="72">
        <v>6911859.6200000001</v>
      </c>
      <c r="K212" s="72">
        <v>0</v>
      </c>
      <c r="L212" s="72">
        <f t="shared" si="48"/>
        <v>6911859.6200000001</v>
      </c>
      <c r="M212" s="20">
        <v>19.3</v>
      </c>
      <c r="N212" s="72"/>
    </row>
    <row r="213" spans="1:14">
      <c r="A213" s="342" t="s">
        <v>247</v>
      </c>
      <c r="B213" s="72">
        <v>0</v>
      </c>
      <c r="C213" s="72">
        <v>0</v>
      </c>
      <c r="D213" s="72">
        <v>0</v>
      </c>
      <c r="E213" s="72">
        <v>0</v>
      </c>
      <c r="F213" s="72">
        <v>0</v>
      </c>
      <c r="G213" s="72">
        <v>0</v>
      </c>
      <c r="H213" s="72">
        <v>0</v>
      </c>
      <c r="I213" s="72">
        <v>0</v>
      </c>
      <c r="J213" s="72">
        <v>29463107.91</v>
      </c>
      <c r="K213" s="72">
        <v>0</v>
      </c>
      <c r="L213" s="72">
        <f t="shared" si="48"/>
        <v>29463107.91</v>
      </c>
      <c r="M213" s="20">
        <v>19.100000000000001</v>
      </c>
      <c r="N213" s="72"/>
    </row>
    <row r="214" spans="1:14">
      <c r="A214" s="342" t="s">
        <v>246</v>
      </c>
      <c r="B214" s="72">
        <v>0</v>
      </c>
      <c r="C214" s="72">
        <v>0</v>
      </c>
      <c r="D214" s="72">
        <v>0</v>
      </c>
      <c r="E214" s="72">
        <v>0</v>
      </c>
      <c r="F214" s="72">
        <v>0</v>
      </c>
      <c r="G214" s="72">
        <v>0</v>
      </c>
      <c r="H214" s="72">
        <v>0</v>
      </c>
      <c r="I214" s="72">
        <v>0</v>
      </c>
      <c r="J214" s="72">
        <v>11295.69</v>
      </c>
      <c r="K214" s="72">
        <v>0</v>
      </c>
      <c r="L214" s="72">
        <f t="shared" si="48"/>
        <v>11295.69</v>
      </c>
      <c r="M214" s="20">
        <v>19.3</v>
      </c>
      <c r="N214" s="72"/>
    </row>
    <row r="215" spans="1:14">
      <c r="A215" s="342" t="s">
        <v>245</v>
      </c>
      <c r="B215" s="72">
        <v>0</v>
      </c>
      <c r="C215" s="72">
        <v>0</v>
      </c>
      <c r="D215" s="72">
        <v>0</v>
      </c>
      <c r="E215" s="72">
        <v>0</v>
      </c>
      <c r="F215" s="72">
        <v>0</v>
      </c>
      <c r="G215" s="72">
        <v>0</v>
      </c>
      <c r="H215" s="72">
        <v>0</v>
      </c>
      <c r="I215" s="72">
        <v>0</v>
      </c>
      <c r="J215" s="72">
        <v>1945501.24</v>
      </c>
      <c r="K215" s="72">
        <v>0</v>
      </c>
      <c r="L215" s="72">
        <f t="shared" si="48"/>
        <v>1945501.24</v>
      </c>
      <c r="M215" s="20">
        <v>19.2</v>
      </c>
      <c r="N215" s="72"/>
    </row>
    <row r="216" spans="1:14">
      <c r="A216" s="342" t="s">
        <v>244</v>
      </c>
      <c r="B216" s="72">
        <v>0</v>
      </c>
      <c r="C216" s="72">
        <v>0</v>
      </c>
      <c r="D216" s="72">
        <v>0</v>
      </c>
      <c r="E216" s="72">
        <v>0</v>
      </c>
      <c r="F216" s="72">
        <v>0</v>
      </c>
      <c r="G216" s="72">
        <v>0</v>
      </c>
      <c r="H216" s="72">
        <v>0</v>
      </c>
      <c r="I216" s="72">
        <v>0</v>
      </c>
      <c r="J216" s="72">
        <v>-595402</v>
      </c>
      <c r="K216" s="72">
        <v>0</v>
      </c>
      <c r="L216" s="72">
        <f t="shared" si="48"/>
        <v>-595402</v>
      </c>
      <c r="M216" s="20">
        <v>19.3</v>
      </c>
      <c r="N216" s="72"/>
    </row>
    <row r="217" spans="1:14">
      <c r="A217" s="342" t="s">
        <v>243</v>
      </c>
      <c r="B217" s="72">
        <v>0</v>
      </c>
      <c r="C217" s="72">
        <v>0</v>
      </c>
      <c r="D217" s="72">
        <v>0</v>
      </c>
      <c r="E217" s="72">
        <v>0</v>
      </c>
      <c r="F217" s="72">
        <v>0</v>
      </c>
      <c r="G217" s="72">
        <v>0</v>
      </c>
      <c r="H217" s="72">
        <v>0</v>
      </c>
      <c r="I217" s="72">
        <v>0</v>
      </c>
      <c r="J217" s="72">
        <v>1922733.5</v>
      </c>
      <c r="K217" s="72">
        <v>0</v>
      </c>
      <c r="L217" s="72">
        <f t="shared" si="48"/>
        <v>1922733.5</v>
      </c>
      <c r="M217" s="20">
        <v>19.3</v>
      </c>
      <c r="N217" s="72"/>
    </row>
    <row r="218" spans="1:14">
      <c r="A218" s="343" t="s">
        <v>242</v>
      </c>
      <c r="B218" s="73">
        <f t="shared" ref="B218:L218" si="49">SUM(B211:B217)</f>
        <v>0</v>
      </c>
      <c r="C218" s="73">
        <f t="shared" si="49"/>
        <v>0</v>
      </c>
      <c r="D218" s="73">
        <f t="shared" si="49"/>
        <v>0</v>
      </c>
      <c r="E218" s="73">
        <f t="shared" si="49"/>
        <v>0</v>
      </c>
      <c r="F218" s="73">
        <f t="shared" si="49"/>
        <v>0</v>
      </c>
      <c r="G218" s="73">
        <f t="shared" si="49"/>
        <v>0</v>
      </c>
      <c r="H218" s="73">
        <f t="shared" si="49"/>
        <v>0</v>
      </c>
      <c r="I218" s="73">
        <f t="shared" si="49"/>
        <v>0</v>
      </c>
      <c r="J218" s="73">
        <f t="shared" si="49"/>
        <v>40759073.460000001</v>
      </c>
      <c r="K218" s="73">
        <f t="shared" si="49"/>
        <v>0</v>
      </c>
      <c r="L218" s="73">
        <f t="shared" si="49"/>
        <v>40759073.460000001</v>
      </c>
      <c r="M218" s="20">
        <v>19</v>
      </c>
      <c r="N218" s="73"/>
    </row>
    <row r="219" spans="1:14">
      <c r="A219" s="4" t="s">
        <v>812</v>
      </c>
      <c r="B219" s="71"/>
      <c r="C219" s="71"/>
      <c r="D219" s="71"/>
      <c r="E219" s="71"/>
      <c r="F219" s="71"/>
      <c r="G219" s="71"/>
      <c r="H219" s="71"/>
      <c r="I219" s="71"/>
      <c r="J219" s="71"/>
      <c r="K219" s="71"/>
      <c r="L219" s="71"/>
      <c r="N219" s="73"/>
    </row>
    <row r="220" spans="1:14">
      <c r="A220" s="5" t="s">
        <v>813</v>
      </c>
      <c r="B220" s="72">
        <v>0</v>
      </c>
      <c r="C220" s="72">
        <v>0</v>
      </c>
      <c r="D220" s="72">
        <v>0</v>
      </c>
      <c r="E220" s="72">
        <v>0</v>
      </c>
      <c r="F220" s="72">
        <v>0</v>
      </c>
      <c r="G220" s="72">
        <v>1600000</v>
      </c>
      <c r="H220" s="72">
        <v>0</v>
      </c>
      <c r="I220" s="72">
        <v>0</v>
      </c>
      <c r="J220" s="72">
        <v>0</v>
      </c>
      <c r="K220" s="72">
        <v>0</v>
      </c>
      <c r="L220" s="72">
        <f>SUM(B220:K220)</f>
        <v>1600000</v>
      </c>
      <c r="M220" s="20">
        <v>22</v>
      </c>
      <c r="N220" s="71"/>
    </row>
    <row r="221" spans="1:14">
      <c r="A221" s="79" t="s">
        <v>814</v>
      </c>
      <c r="B221" s="73">
        <f t="shared" ref="B221:L221" si="50">SUM(B220)</f>
        <v>0</v>
      </c>
      <c r="C221" s="73">
        <f t="shared" si="50"/>
        <v>0</v>
      </c>
      <c r="D221" s="73">
        <f t="shared" si="50"/>
        <v>0</v>
      </c>
      <c r="E221" s="73">
        <f t="shared" si="50"/>
        <v>0</v>
      </c>
      <c r="F221" s="73">
        <f t="shared" si="50"/>
        <v>0</v>
      </c>
      <c r="G221" s="73">
        <f t="shared" si="50"/>
        <v>1600000</v>
      </c>
      <c r="H221" s="73">
        <f t="shared" si="50"/>
        <v>0</v>
      </c>
      <c r="I221" s="73">
        <f t="shared" si="50"/>
        <v>0</v>
      </c>
      <c r="J221" s="73">
        <f t="shared" si="50"/>
        <v>0</v>
      </c>
      <c r="K221" s="73">
        <f t="shared" si="50"/>
        <v>0</v>
      </c>
      <c r="L221" s="73">
        <f t="shared" si="50"/>
        <v>1600000</v>
      </c>
      <c r="N221" s="71"/>
    </row>
    <row r="222" spans="1:14">
      <c r="A222" s="3" t="s">
        <v>815</v>
      </c>
      <c r="B222" s="72">
        <v>-1818.35</v>
      </c>
      <c r="C222" s="72">
        <v>-1600000</v>
      </c>
      <c r="D222" s="72">
        <v>0</v>
      </c>
      <c r="E222" s="72">
        <v>0</v>
      </c>
      <c r="F222" s="72">
        <v>0</v>
      </c>
      <c r="G222" s="72">
        <v>0</v>
      </c>
      <c r="H222" s="72">
        <v>0</v>
      </c>
      <c r="I222" s="72">
        <v>0</v>
      </c>
      <c r="J222" s="72">
        <v>0</v>
      </c>
      <c r="K222" s="72">
        <v>0</v>
      </c>
      <c r="L222" s="72">
        <f>SUM(B222:K222)</f>
        <v>-1601818.35</v>
      </c>
      <c r="M222" s="20">
        <v>22</v>
      </c>
      <c r="N222" s="71"/>
    </row>
    <row r="223" spans="1:14">
      <c r="A223" s="83" t="s">
        <v>241</v>
      </c>
      <c r="B223" s="73">
        <f t="shared" ref="B223:L223" si="51">SUM(B209,B218,B221:B222)</f>
        <v>-1818.35</v>
      </c>
      <c r="C223" s="73">
        <f t="shared" si="51"/>
        <v>-1600000</v>
      </c>
      <c r="D223" s="73">
        <f t="shared" si="51"/>
        <v>600244.31000000006</v>
      </c>
      <c r="E223" s="73">
        <f t="shared" si="51"/>
        <v>27.32</v>
      </c>
      <c r="F223" s="73">
        <f t="shared" si="51"/>
        <v>1000280.62</v>
      </c>
      <c r="G223" s="73">
        <f t="shared" si="51"/>
        <v>1600000</v>
      </c>
      <c r="H223" s="73">
        <f t="shared" si="51"/>
        <v>0</v>
      </c>
      <c r="I223" s="73">
        <f t="shared" si="51"/>
        <v>0</v>
      </c>
      <c r="J223" s="73">
        <f t="shared" si="51"/>
        <v>40818892.369999997</v>
      </c>
      <c r="K223" s="73">
        <f t="shared" si="51"/>
        <v>1227</v>
      </c>
      <c r="L223" s="73">
        <f t="shared" si="51"/>
        <v>42418853.269999996</v>
      </c>
      <c r="N223" s="71"/>
    </row>
    <row r="224" spans="1:14">
      <c r="A224" s="349" t="s">
        <v>240</v>
      </c>
      <c r="B224" s="72">
        <v>1.1641532182693481E-10</v>
      </c>
      <c r="C224" s="72">
        <v>0</v>
      </c>
      <c r="D224" s="72">
        <v>-537287</v>
      </c>
      <c r="E224" s="72">
        <v>-261108.01</v>
      </c>
      <c r="F224" s="72">
        <v>-960149.58</v>
      </c>
      <c r="G224" s="72">
        <v>0</v>
      </c>
      <c r="H224" s="72">
        <v>342925.47000000015</v>
      </c>
      <c r="I224" s="72">
        <v>59481.330000000075</v>
      </c>
      <c r="J224" s="72">
        <v>-20649263.84</v>
      </c>
      <c r="K224" s="72">
        <v>264709.91999999993</v>
      </c>
      <c r="L224" s="72">
        <f>SUM(B224:K224)</f>
        <v>-21740691.710000001</v>
      </c>
      <c r="M224" s="20">
        <v>21</v>
      </c>
      <c r="N224" s="72"/>
    </row>
    <row r="225" spans="1:14">
      <c r="A225" s="349" t="s">
        <v>28</v>
      </c>
      <c r="B225" s="72">
        <v>0</v>
      </c>
      <c r="C225" s="72">
        <v>0</v>
      </c>
      <c r="D225" s="72">
        <v>5.1499999999999986</v>
      </c>
      <c r="E225" s="72">
        <v>9.56</v>
      </c>
      <c r="F225" s="72">
        <v>-427.96999999999997</v>
      </c>
      <c r="G225" s="72">
        <v>-445171.81000000006</v>
      </c>
      <c r="H225" s="72">
        <v>172933.31999999969</v>
      </c>
      <c r="I225" s="72">
        <v>629099.20999999973</v>
      </c>
      <c r="J225" s="72">
        <v>-7350659.9200000027</v>
      </c>
      <c r="K225" s="72">
        <v>80682.819999999832</v>
      </c>
      <c r="L225" s="72">
        <f>SUM(B225:K225)</f>
        <v>-6913529.6400000043</v>
      </c>
      <c r="M225" s="20">
        <v>21</v>
      </c>
      <c r="N225" s="72"/>
    </row>
    <row r="226" spans="1:14">
      <c r="A226" s="347" t="s">
        <v>239</v>
      </c>
      <c r="B226" s="74">
        <f t="shared" ref="B226:L226" si="52">B223+B224+B225+0</f>
        <v>-1818.3499999998835</v>
      </c>
      <c r="C226" s="74">
        <f t="shared" si="52"/>
        <v>-1600000</v>
      </c>
      <c r="D226" s="74">
        <f t="shared" si="52"/>
        <v>62962.460000000057</v>
      </c>
      <c r="E226" s="74">
        <f t="shared" si="52"/>
        <v>-261071.13</v>
      </c>
      <c r="F226" s="74">
        <f t="shared" si="52"/>
        <v>39703.070000000036</v>
      </c>
      <c r="G226" s="74">
        <f t="shared" si="52"/>
        <v>1154828.19</v>
      </c>
      <c r="H226" s="74">
        <f t="shared" si="52"/>
        <v>515858.7899999998</v>
      </c>
      <c r="I226" s="74">
        <f t="shared" si="52"/>
        <v>688580.5399999998</v>
      </c>
      <c r="J226" s="74">
        <f t="shared" si="52"/>
        <v>12818968.609999996</v>
      </c>
      <c r="K226" s="74">
        <f t="shared" si="52"/>
        <v>346619.73999999976</v>
      </c>
      <c r="L226" s="74">
        <f t="shared" si="52"/>
        <v>13764631.919999991</v>
      </c>
      <c r="N226" s="74"/>
    </row>
    <row r="227" spans="1:14">
      <c r="N227" s="48"/>
    </row>
  </sheetData>
  <autoFilter ref="A8:N226" xr:uid="{C4E78D47-5022-4924-9D56-680BD6970417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CF0B9"/>
  </sheetPr>
  <dimension ref="A1:L1047815"/>
  <sheetViews>
    <sheetView workbookViewId="0">
      <selection activeCell="J14" activeCellId="1" sqref="J11:J12 J14:J15"/>
    </sheetView>
  </sheetViews>
  <sheetFormatPr defaultColWidth="8.6640625" defaultRowHeight="11.25"/>
  <cols>
    <col min="1" max="1" width="70.5" bestFit="1" customWidth="1"/>
    <col min="2" max="2" width="17.83203125" bestFit="1" customWidth="1"/>
    <col min="3" max="3" width="24.5" bestFit="1" customWidth="1"/>
    <col min="4" max="4" width="35.6640625" bestFit="1" customWidth="1"/>
    <col min="5" max="5" width="17.1640625" bestFit="1" customWidth="1"/>
    <col min="6" max="6" width="31.1640625" bestFit="1" customWidth="1"/>
    <col min="7" max="7" width="23.83203125" bestFit="1" customWidth="1"/>
    <col min="8" max="8" width="21.33203125" bestFit="1" customWidth="1"/>
    <col min="9" max="9" width="31.83203125" bestFit="1" customWidth="1"/>
    <col min="10" max="10" width="13.5" bestFit="1" customWidth="1"/>
    <col min="11" max="11" width="7" bestFit="1" customWidth="1"/>
  </cols>
  <sheetData>
    <row r="1" spans="1:12" ht="15.75">
      <c r="A1" s="379" t="s">
        <v>0</v>
      </c>
      <c r="B1" s="380"/>
      <c r="C1" s="380"/>
      <c r="D1" s="380"/>
      <c r="E1" s="380"/>
      <c r="F1" s="380"/>
      <c r="G1" s="380"/>
      <c r="H1" s="380"/>
      <c r="I1" s="380"/>
      <c r="J1" s="380"/>
    </row>
    <row r="2" spans="1:12" ht="15.75">
      <c r="A2" s="379" t="s">
        <v>1</v>
      </c>
      <c r="B2" s="380"/>
      <c r="C2" s="380"/>
      <c r="D2" s="380"/>
      <c r="E2" s="380"/>
      <c r="F2" s="380"/>
      <c r="G2" s="380"/>
      <c r="H2" s="380"/>
      <c r="I2" s="380"/>
      <c r="J2" s="380"/>
    </row>
    <row r="3" spans="1:12" ht="18">
      <c r="A3" s="378" t="s">
        <v>737</v>
      </c>
      <c r="B3" s="381"/>
      <c r="C3" s="381"/>
      <c r="D3" s="381"/>
      <c r="E3" s="381"/>
      <c r="F3" s="381"/>
      <c r="G3" s="381"/>
      <c r="H3" s="381"/>
      <c r="I3" s="381"/>
      <c r="J3" s="381"/>
    </row>
    <row r="4" spans="1:12" ht="18">
      <c r="A4" s="378" t="s">
        <v>738</v>
      </c>
      <c r="B4" s="381"/>
      <c r="C4" s="381"/>
      <c r="D4" s="381"/>
      <c r="E4" s="381"/>
      <c r="F4" s="381"/>
      <c r="G4" s="381"/>
      <c r="H4" s="381"/>
      <c r="I4" s="381"/>
      <c r="J4" s="381"/>
    </row>
    <row r="5" spans="1:12" ht="18">
      <c r="A5" s="378" t="s">
        <v>4</v>
      </c>
      <c r="B5" s="381"/>
      <c r="C5" s="381"/>
      <c r="D5" s="381"/>
      <c r="E5" s="381"/>
      <c r="F5" s="381"/>
      <c r="G5" s="381"/>
      <c r="H5" s="381"/>
      <c r="I5" s="381"/>
      <c r="J5" s="381"/>
    </row>
    <row r="6" spans="1:12" ht="18">
      <c r="A6" s="378" t="s">
        <v>4</v>
      </c>
      <c r="B6" s="381"/>
      <c r="C6" s="381"/>
      <c r="D6" s="381"/>
      <c r="E6" s="381"/>
      <c r="F6" s="381"/>
      <c r="G6" s="381"/>
      <c r="H6" s="381"/>
      <c r="I6" s="381"/>
      <c r="J6" s="381"/>
    </row>
    <row r="7" spans="1:12">
      <c r="A7" s="335" t="s">
        <v>5</v>
      </c>
      <c r="B7" s="336" t="s">
        <v>7</v>
      </c>
      <c r="C7" s="336" t="s">
        <v>8</v>
      </c>
      <c r="D7" s="336" t="s">
        <v>9</v>
      </c>
      <c r="E7" s="336" t="s">
        <v>736</v>
      </c>
      <c r="F7" s="336" t="s">
        <v>619</v>
      </c>
      <c r="G7" s="336" t="s">
        <v>706</v>
      </c>
      <c r="H7" s="336" t="s">
        <v>0</v>
      </c>
      <c r="I7" s="336" t="s">
        <v>11</v>
      </c>
      <c r="J7" s="336" t="s">
        <v>12</v>
      </c>
      <c r="K7" s="1" t="s">
        <v>226</v>
      </c>
      <c r="L7" s="1" t="s">
        <v>516</v>
      </c>
    </row>
    <row r="8" spans="1:12">
      <c r="A8" s="335" t="s">
        <v>13</v>
      </c>
      <c r="B8" s="336" t="s">
        <v>14</v>
      </c>
      <c r="C8" s="336" t="s">
        <v>14</v>
      </c>
      <c r="D8" s="336" t="s">
        <v>14</v>
      </c>
      <c r="E8" s="336" t="s">
        <v>14</v>
      </c>
      <c r="F8" s="336" t="s">
        <v>14</v>
      </c>
      <c r="G8" s="336" t="s">
        <v>14</v>
      </c>
      <c r="H8" s="336" t="s">
        <v>14</v>
      </c>
      <c r="I8" s="336" t="s">
        <v>14</v>
      </c>
      <c r="J8" s="336" t="s">
        <v>14</v>
      </c>
    </row>
    <row r="9" spans="1:12">
      <c r="A9" s="337" t="s">
        <v>720</v>
      </c>
      <c r="B9" s="357"/>
      <c r="C9" s="357"/>
      <c r="D9" s="357"/>
      <c r="E9" s="357"/>
      <c r="F9" s="357"/>
      <c r="G9" s="357"/>
      <c r="H9" s="357"/>
      <c r="I9" s="357"/>
      <c r="J9" s="357"/>
    </row>
    <row r="10" spans="1:12">
      <c r="A10" s="338" t="s">
        <v>669</v>
      </c>
      <c r="B10" s="357"/>
      <c r="C10" s="357"/>
      <c r="D10" s="357"/>
      <c r="E10" s="357"/>
      <c r="F10" s="357"/>
      <c r="G10" s="357"/>
      <c r="H10" s="357"/>
      <c r="I10" s="357"/>
      <c r="J10" s="357"/>
    </row>
    <row r="11" spans="1:12">
      <c r="A11" s="342" t="s">
        <v>16</v>
      </c>
      <c r="B11" s="358">
        <v>0</v>
      </c>
      <c r="C11" s="358">
        <v>0</v>
      </c>
      <c r="D11" s="358">
        <v>0</v>
      </c>
      <c r="E11" s="358">
        <v>0</v>
      </c>
      <c r="F11" s="358">
        <v>0</v>
      </c>
      <c r="G11" s="358">
        <v>0</v>
      </c>
      <c r="H11" s="358">
        <v>8244447.0599999996</v>
      </c>
      <c r="I11" s="358">
        <v>0</v>
      </c>
      <c r="J11" s="358">
        <f>SUM(B11:I11)</f>
        <v>8244447.0599999996</v>
      </c>
    </row>
    <row r="12" spans="1:12">
      <c r="A12" s="342" t="s">
        <v>17</v>
      </c>
      <c r="B12" s="358">
        <v>0</v>
      </c>
      <c r="C12" s="358">
        <v>0</v>
      </c>
      <c r="D12" s="358">
        <v>0</v>
      </c>
      <c r="E12" s="358">
        <v>0</v>
      </c>
      <c r="F12" s="358">
        <v>0</v>
      </c>
      <c r="G12" s="358">
        <v>0</v>
      </c>
      <c r="H12" s="358">
        <v>528827.37</v>
      </c>
      <c r="I12" s="358">
        <v>0</v>
      </c>
      <c r="J12" s="358">
        <f>SUM(B12:I12)</f>
        <v>528827.37</v>
      </c>
    </row>
    <row r="13" spans="1:12">
      <c r="A13" s="343" t="s">
        <v>721</v>
      </c>
      <c r="B13" s="359">
        <f t="shared" ref="B13:J13" si="0">SUM(B11:B12)</f>
        <v>0</v>
      </c>
      <c r="C13" s="359">
        <f t="shared" si="0"/>
        <v>0</v>
      </c>
      <c r="D13" s="359">
        <f t="shared" si="0"/>
        <v>0</v>
      </c>
      <c r="E13" s="359">
        <f t="shared" si="0"/>
        <v>0</v>
      </c>
      <c r="F13" s="359">
        <f t="shared" si="0"/>
        <v>0</v>
      </c>
      <c r="G13" s="359">
        <f t="shared" si="0"/>
        <v>0</v>
      </c>
      <c r="H13" s="359">
        <f t="shared" si="0"/>
        <v>8773274.4299999997</v>
      </c>
      <c r="I13" s="359">
        <f t="shared" si="0"/>
        <v>0</v>
      </c>
      <c r="J13" s="359">
        <f t="shared" si="0"/>
        <v>8773274.4299999997</v>
      </c>
    </row>
    <row r="14" spans="1:12">
      <c r="A14" s="349" t="s">
        <v>19</v>
      </c>
      <c r="B14" s="358">
        <v>0</v>
      </c>
      <c r="C14" s="358">
        <v>0</v>
      </c>
      <c r="D14" s="358">
        <v>0</v>
      </c>
      <c r="E14" s="358">
        <v>0</v>
      </c>
      <c r="F14" s="358">
        <v>0</v>
      </c>
      <c r="G14" s="358">
        <v>0</v>
      </c>
      <c r="H14" s="358">
        <v>272800.02</v>
      </c>
      <c r="I14" s="358">
        <v>0</v>
      </c>
      <c r="J14" s="358">
        <f>SUM(B14:I14)</f>
        <v>272800.02</v>
      </c>
    </row>
    <row r="15" spans="1:12">
      <c r="A15" s="349" t="s">
        <v>18</v>
      </c>
      <c r="B15" s="358">
        <v>0</v>
      </c>
      <c r="C15" s="358">
        <v>0</v>
      </c>
      <c r="D15" s="358">
        <v>0</v>
      </c>
      <c r="E15" s="358">
        <v>0</v>
      </c>
      <c r="F15" s="358">
        <v>0</v>
      </c>
      <c r="G15" s="358">
        <v>0</v>
      </c>
      <c r="H15" s="358">
        <v>419954.86</v>
      </c>
      <c r="I15" s="358">
        <v>0</v>
      </c>
      <c r="J15" s="358">
        <f>SUM(B15:I15)</f>
        <v>419954.86</v>
      </c>
    </row>
    <row r="16" spans="1:12">
      <c r="A16" s="348" t="s">
        <v>722</v>
      </c>
      <c r="B16" s="359">
        <f t="shared" ref="B16:J16" si="1">SUM(B13:B15)</f>
        <v>0</v>
      </c>
      <c r="C16" s="359">
        <f t="shared" si="1"/>
        <v>0</v>
      </c>
      <c r="D16" s="359">
        <f t="shared" si="1"/>
        <v>0</v>
      </c>
      <c r="E16" s="359">
        <f t="shared" si="1"/>
        <v>0</v>
      </c>
      <c r="F16" s="359">
        <f t="shared" si="1"/>
        <v>0</v>
      </c>
      <c r="G16" s="359">
        <f t="shared" si="1"/>
        <v>0</v>
      </c>
      <c r="H16" s="359">
        <f t="shared" si="1"/>
        <v>9466029.3099999987</v>
      </c>
      <c r="I16" s="359">
        <f t="shared" si="1"/>
        <v>0</v>
      </c>
      <c r="J16" s="359">
        <f t="shared" si="1"/>
        <v>9466029.3099999987</v>
      </c>
      <c r="K16">
        <v>1</v>
      </c>
      <c r="L16">
        <v>9</v>
      </c>
    </row>
    <row r="17" spans="1:11">
      <c r="A17" s="337" t="s">
        <v>21</v>
      </c>
      <c r="B17" s="357"/>
      <c r="C17" s="357"/>
      <c r="D17" s="357"/>
      <c r="E17" s="357"/>
      <c r="F17" s="357"/>
      <c r="G17" s="357"/>
      <c r="H17" s="357"/>
      <c r="I17" s="357"/>
      <c r="J17" s="357"/>
    </row>
    <row r="18" spans="1:11">
      <c r="A18" s="338" t="s">
        <v>22</v>
      </c>
      <c r="B18" s="357"/>
      <c r="C18" s="357"/>
      <c r="D18" s="357"/>
      <c r="E18" s="357"/>
      <c r="F18" s="357"/>
      <c r="G18" s="357"/>
      <c r="H18" s="357"/>
      <c r="I18" s="357"/>
      <c r="J18" s="357"/>
    </row>
    <row r="19" spans="1:11">
      <c r="A19" s="342" t="s">
        <v>23</v>
      </c>
      <c r="B19" s="358">
        <v>0</v>
      </c>
      <c r="C19" s="358">
        <v>0</v>
      </c>
      <c r="D19" s="358">
        <v>0</v>
      </c>
      <c r="E19" s="358">
        <v>0</v>
      </c>
      <c r="F19" s="358">
        <v>0</v>
      </c>
      <c r="G19" s="358">
        <v>0</v>
      </c>
      <c r="H19" s="358">
        <v>-1311204.74</v>
      </c>
      <c r="I19" s="358">
        <v>0</v>
      </c>
      <c r="J19" s="358">
        <f>SUM(B19:I19)</f>
        <v>-1311204.74</v>
      </c>
      <c r="K19">
        <v>2.1</v>
      </c>
    </row>
    <row r="20" spans="1:11">
      <c r="A20" s="342" t="s">
        <v>723</v>
      </c>
      <c r="B20" s="358">
        <v>0</v>
      </c>
      <c r="C20" s="358">
        <v>0</v>
      </c>
      <c r="D20" s="358">
        <v>0</v>
      </c>
      <c r="E20" s="358">
        <v>0</v>
      </c>
      <c r="F20" s="358">
        <v>0</v>
      </c>
      <c r="G20" s="358">
        <v>0</v>
      </c>
      <c r="H20" s="358">
        <v>-36045.01</v>
      </c>
      <c r="I20" s="358">
        <v>0</v>
      </c>
      <c r="J20" s="358">
        <f>SUM(B20:I20)</f>
        <v>-36045.01</v>
      </c>
      <c r="K20">
        <v>2.1</v>
      </c>
    </row>
    <row r="21" spans="1:11">
      <c r="A21" s="342" t="s">
        <v>25</v>
      </c>
      <c r="B21" s="358">
        <v>0</v>
      </c>
      <c r="C21" s="358">
        <v>0</v>
      </c>
      <c r="D21" s="358">
        <v>0</v>
      </c>
      <c r="E21" s="358">
        <v>0</v>
      </c>
      <c r="F21" s="358">
        <v>0</v>
      </c>
      <c r="G21" s="358">
        <v>0</v>
      </c>
      <c r="H21" s="358">
        <v>-405247.27</v>
      </c>
      <c r="I21" s="358">
        <v>0</v>
      </c>
      <c r="J21" s="358">
        <f>SUM(B21:I21)</f>
        <v>-405247.27</v>
      </c>
      <c r="K21">
        <v>2.1</v>
      </c>
    </row>
    <row r="22" spans="1:11">
      <c r="A22" s="366" t="s">
        <v>26</v>
      </c>
      <c r="B22" s="360">
        <f t="shared" ref="B22:J22" si="2">SUM(B19:B21)</f>
        <v>0</v>
      </c>
      <c r="C22" s="360">
        <f t="shared" si="2"/>
        <v>0</v>
      </c>
      <c r="D22" s="360">
        <f t="shared" si="2"/>
        <v>0</v>
      </c>
      <c r="E22" s="360">
        <f t="shared" si="2"/>
        <v>0</v>
      </c>
      <c r="F22" s="360">
        <f t="shared" si="2"/>
        <v>0</v>
      </c>
      <c r="G22" s="360">
        <f t="shared" si="2"/>
        <v>0</v>
      </c>
      <c r="H22" s="360">
        <f t="shared" si="2"/>
        <v>-1752497.02</v>
      </c>
      <c r="I22" s="360">
        <f t="shared" si="2"/>
        <v>0</v>
      </c>
      <c r="J22" s="360">
        <f t="shared" si="2"/>
        <v>-1752497.02</v>
      </c>
      <c r="K22">
        <v>2</v>
      </c>
    </row>
    <row r="23" spans="1:11">
      <c r="A23" s="347" t="s">
        <v>27</v>
      </c>
      <c r="B23" s="360">
        <f t="shared" ref="B23:J23" si="3">SUM(B22)</f>
        <v>0</v>
      </c>
      <c r="C23" s="360">
        <f t="shared" si="3"/>
        <v>0</v>
      </c>
      <c r="D23" s="360">
        <f t="shared" si="3"/>
        <v>0</v>
      </c>
      <c r="E23" s="360">
        <f t="shared" si="3"/>
        <v>0</v>
      </c>
      <c r="F23" s="360">
        <f t="shared" si="3"/>
        <v>0</v>
      </c>
      <c r="G23" s="360">
        <f t="shared" si="3"/>
        <v>0</v>
      </c>
      <c r="H23" s="360">
        <f t="shared" si="3"/>
        <v>-1752497.02</v>
      </c>
      <c r="I23" s="360">
        <f t="shared" si="3"/>
        <v>0</v>
      </c>
      <c r="J23" s="360">
        <f t="shared" si="3"/>
        <v>-1752497.02</v>
      </c>
    </row>
    <row r="24" spans="1:11">
      <c r="A24" s="351" t="s">
        <v>724</v>
      </c>
      <c r="B24" s="361">
        <f t="shared" ref="B24:J24" si="4">+B16+B23</f>
        <v>0</v>
      </c>
      <c r="C24" s="361">
        <f t="shared" si="4"/>
        <v>0</v>
      </c>
      <c r="D24" s="361">
        <f t="shared" si="4"/>
        <v>0</v>
      </c>
      <c r="E24" s="361">
        <f t="shared" si="4"/>
        <v>0</v>
      </c>
      <c r="F24" s="361">
        <f t="shared" si="4"/>
        <v>0</v>
      </c>
      <c r="G24" s="361">
        <f t="shared" si="4"/>
        <v>0</v>
      </c>
      <c r="H24" s="361">
        <f t="shared" si="4"/>
        <v>7713532.2899999991</v>
      </c>
      <c r="I24" s="361">
        <f t="shared" si="4"/>
        <v>0</v>
      </c>
      <c r="J24" s="361">
        <f t="shared" si="4"/>
        <v>7713532.2899999991</v>
      </c>
    </row>
    <row r="25" spans="1:11">
      <c r="A25" s="367" t="s">
        <v>29</v>
      </c>
      <c r="B25" s="362"/>
      <c r="C25" s="362"/>
      <c r="D25" s="362"/>
      <c r="E25" s="362"/>
      <c r="F25" s="362"/>
      <c r="G25" s="362"/>
      <c r="H25" s="362"/>
      <c r="I25" s="362"/>
      <c r="J25" s="362"/>
    </row>
    <row r="26" spans="1:11">
      <c r="A26" s="352" t="s">
        <v>725</v>
      </c>
      <c r="B26" s="362"/>
      <c r="C26" s="362"/>
      <c r="D26" s="362"/>
      <c r="E26" s="362"/>
      <c r="F26" s="362"/>
      <c r="G26" s="362"/>
      <c r="H26" s="362"/>
      <c r="I26" s="362"/>
      <c r="J26" s="362"/>
    </row>
    <row r="27" spans="1:11">
      <c r="A27" s="353" t="s">
        <v>726</v>
      </c>
      <c r="B27" s="362"/>
      <c r="C27" s="362"/>
      <c r="D27" s="362"/>
      <c r="E27" s="362"/>
      <c r="F27" s="362"/>
      <c r="G27" s="362"/>
      <c r="H27" s="362"/>
      <c r="I27" s="362"/>
      <c r="J27" s="362"/>
      <c r="K27" s="85"/>
    </row>
    <row r="28" spans="1:11">
      <c r="A28" s="368" t="s">
        <v>30</v>
      </c>
      <c r="B28" s="362"/>
      <c r="C28" s="362"/>
      <c r="D28" s="362"/>
      <c r="E28" s="362"/>
      <c r="F28" s="362"/>
      <c r="G28" s="362"/>
      <c r="H28" s="362"/>
      <c r="I28" s="362"/>
      <c r="J28" s="362"/>
    </row>
    <row r="29" spans="1:11">
      <c r="A29" s="355" t="s">
        <v>31</v>
      </c>
      <c r="B29" s="362"/>
      <c r="C29" s="362"/>
      <c r="D29" s="362"/>
      <c r="E29" s="362"/>
      <c r="F29" s="362"/>
      <c r="G29" s="362"/>
      <c r="H29" s="362"/>
      <c r="I29" s="362"/>
      <c r="J29" s="362"/>
    </row>
    <row r="30" spans="1:11">
      <c r="A30" s="354" t="s">
        <v>32</v>
      </c>
      <c r="B30" s="358">
        <v>0</v>
      </c>
      <c r="C30" s="358">
        <v>0</v>
      </c>
      <c r="D30" s="358">
        <v>0</v>
      </c>
      <c r="E30" s="358">
        <v>-57460.160000000003</v>
      </c>
      <c r="F30" s="358">
        <v>-10363.15</v>
      </c>
      <c r="G30" s="358">
        <v>-18764.36</v>
      </c>
      <c r="H30" s="358">
        <v>-512355.68</v>
      </c>
      <c r="I30" s="358">
        <v>0</v>
      </c>
      <c r="J30" s="358">
        <f t="shared" ref="J30:J37" si="5">SUM(B30:I30)</f>
        <v>-598943.35</v>
      </c>
    </row>
    <row r="31" spans="1:11">
      <c r="A31" s="354" t="s">
        <v>727</v>
      </c>
      <c r="B31" s="358">
        <v>0</v>
      </c>
      <c r="C31" s="358">
        <v>0</v>
      </c>
      <c r="D31" s="358">
        <v>0</v>
      </c>
      <c r="E31" s="358">
        <v>-273.16000000000003</v>
      </c>
      <c r="F31" s="358">
        <v>0</v>
      </c>
      <c r="G31" s="358">
        <v>0</v>
      </c>
      <c r="H31" s="358">
        <v>0</v>
      </c>
      <c r="I31" s="358">
        <v>0</v>
      </c>
      <c r="J31" s="358">
        <f t="shared" si="5"/>
        <v>-273.16000000000003</v>
      </c>
    </row>
    <row r="32" spans="1:11">
      <c r="A32" s="354" t="s">
        <v>34</v>
      </c>
      <c r="B32" s="358">
        <v>0</v>
      </c>
      <c r="C32" s="358">
        <v>0</v>
      </c>
      <c r="D32" s="358">
        <v>0</v>
      </c>
      <c r="E32" s="358">
        <v>0</v>
      </c>
      <c r="F32" s="358">
        <v>47.61</v>
      </c>
      <c r="G32" s="358">
        <v>0</v>
      </c>
      <c r="H32" s="358">
        <v>0</v>
      </c>
      <c r="I32" s="358">
        <v>0</v>
      </c>
      <c r="J32" s="358">
        <f t="shared" si="5"/>
        <v>47.61</v>
      </c>
    </row>
    <row r="33" spans="1:11">
      <c r="A33" s="354" t="s">
        <v>35</v>
      </c>
      <c r="B33" s="358">
        <v>0</v>
      </c>
      <c r="C33" s="358">
        <v>0</v>
      </c>
      <c r="D33" s="358">
        <v>0</v>
      </c>
      <c r="E33" s="358">
        <v>-288</v>
      </c>
      <c r="F33" s="358">
        <v>-3697.56</v>
      </c>
      <c r="G33" s="358">
        <v>-459</v>
      </c>
      <c r="H33" s="358">
        <v>0</v>
      </c>
      <c r="I33" s="358">
        <v>-811</v>
      </c>
      <c r="J33" s="358">
        <f t="shared" si="5"/>
        <v>-5255.5599999999995</v>
      </c>
    </row>
    <row r="34" spans="1:11">
      <c r="A34" s="354" t="s">
        <v>728</v>
      </c>
      <c r="B34" s="358">
        <v>0</v>
      </c>
      <c r="C34" s="358">
        <v>0</v>
      </c>
      <c r="D34" s="358">
        <v>0</v>
      </c>
      <c r="E34" s="358">
        <v>0</v>
      </c>
      <c r="F34" s="358">
        <v>0</v>
      </c>
      <c r="G34" s="358">
        <v>0</v>
      </c>
      <c r="H34" s="358">
        <v>-2073.9699999999998</v>
      </c>
      <c r="I34" s="358">
        <v>0</v>
      </c>
      <c r="J34" s="358">
        <f t="shared" si="5"/>
        <v>-2073.9699999999998</v>
      </c>
    </row>
    <row r="35" spans="1:11">
      <c r="A35" s="354" t="s">
        <v>729</v>
      </c>
      <c r="B35" s="358">
        <v>0</v>
      </c>
      <c r="C35" s="358">
        <v>0</v>
      </c>
      <c r="D35" s="358">
        <v>0</v>
      </c>
      <c r="E35" s="358">
        <v>0</v>
      </c>
      <c r="F35" s="358">
        <v>-41.94</v>
      </c>
      <c r="G35" s="358">
        <v>0</v>
      </c>
      <c r="H35" s="358">
        <v>0</v>
      </c>
      <c r="I35" s="358">
        <v>0</v>
      </c>
      <c r="J35" s="358">
        <f t="shared" si="5"/>
        <v>-41.94</v>
      </c>
    </row>
    <row r="36" spans="1:11">
      <c r="A36" s="354" t="s">
        <v>730</v>
      </c>
      <c r="B36" s="358">
        <v>0</v>
      </c>
      <c r="C36" s="358">
        <v>0</v>
      </c>
      <c r="D36" s="358">
        <v>0</v>
      </c>
      <c r="E36" s="358">
        <v>0</v>
      </c>
      <c r="F36" s="358">
        <v>-828.44</v>
      </c>
      <c r="G36" s="358">
        <v>0</v>
      </c>
      <c r="H36" s="358">
        <v>0</v>
      </c>
      <c r="I36" s="358">
        <v>0</v>
      </c>
      <c r="J36" s="358">
        <f t="shared" si="5"/>
        <v>-828.44</v>
      </c>
    </row>
    <row r="37" spans="1:11">
      <c r="A37" s="354" t="s">
        <v>731</v>
      </c>
      <c r="B37" s="358">
        <v>0</v>
      </c>
      <c r="C37" s="358">
        <v>0</v>
      </c>
      <c r="D37" s="358">
        <v>0</v>
      </c>
      <c r="E37" s="358">
        <v>-646.9</v>
      </c>
      <c r="F37" s="358">
        <v>-1379.36</v>
      </c>
      <c r="G37" s="358">
        <v>577.49</v>
      </c>
      <c r="H37" s="358">
        <v>-693.86</v>
      </c>
      <c r="I37" s="358">
        <v>0</v>
      </c>
      <c r="J37" s="358">
        <f t="shared" si="5"/>
        <v>-2142.6299999999997</v>
      </c>
      <c r="K37" s="61"/>
    </row>
    <row r="38" spans="1:11">
      <c r="A38" s="356" t="s">
        <v>36</v>
      </c>
      <c r="B38" s="363">
        <f t="shared" ref="B38:J38" si="6">SUM(B30:B37)</f>
        <v>0</v>
      </c>
      <c r="C38" s="363">
        <f t="shared" si="6"/>
        <v>0</v>
      </c>
      <c r="D38" s="363">
        <f t="shared" si="6"/>
        <v>0</v>
      </c>
      <c r="E38" s="363">
        <f t="shared" si="6"/>
        <v>-58668.220000000008</v>
      </c>
      <c r="F38" s="363">
        <f t="shared" si="6"/>
        <v>-16262.84</v>
      </c>
      <c r="G38" s="363">
        <f t="shared" si="6"/>
        <v>-18645.87</v>
      </c>
      <c r="H38" s="363">
        <f t="shared" si="6"/>
        <v>-515123.50999999995</v>
      </c>
      <c r="I38" s="363">
        <f t="shared" si="6"/>
        <v>-811</v>
      </c>
      <c r="J38" s="363">
        <f t="shared" si="6"/>
        <v>-609511.43999999994</v>
      </c>
      <c r="K38" s="61"/>
    </row>
    <row r="39" spans="1:11">
      <c r="A39" s="355" t="s">
        <v>732</v>
      </c>
      <c r="B39" s="362"/>
      <c r="C39" s="362"/>
      <c r="D39" s="362"/>
      <c r="E39" s="362"/>
      <c r="F39" s="362"/>
      <c r="G39" s="362"/>
      <c r="H39" s="362"/>
      <c r="I39" s="362"/>
      <c r="J39" s="362"/>
      <c r="K39" s="61"/>
    </row>
    <row r="40" spans="1:11">
      <c r="A40" s="354" t="s">
        <v>733</v>
      </c>
      <c r="B40" s="358">
        <v>0</v>
      </c>
      <c r="C40" s="358">
        <v>0</v>
      </c>
      <c r="D40" s="358">
        <v>0</v>
      </c>
      <c r="E40" s="358">
        <v>0</v>
      </c>
      <c r="F40" s="358">
        <v>0</v>
      </c>
      <c r="G40" s="358">
        <v>0</v>
      </c>
      <c r="H40" s="358">
        <v>-992.96</v>
      </c>
      <c r="I40" s="358">
        <v>0</v>
      </c>
      <c r="J40" s="358">
        <f>SUM(B40:I40)</f>
        <v>-992.96</v>
      </c>
      <c r="K40" s="60"/>
    </row>
    <row r="41" spans="1:11">
      <c r="A41" s="354" t="s">
        <v>734</v>
      </c>
      <c r="B41" s="358">
        <v>0</v>
      </c>
      <c r="C41" s="358">
        <v>0</v>
      </c>
      <c r="D41" s="358">
        <v>0</v>
      </c>
      <c r="E41" s="358">
        <v>0</v>
      </c>
      <c r="F41" s="358">
        <v>0</v>
      </c>
      <c r="G41" s="358">
        <v>0</v>
      </c>
      <c r="H41" s="358">
        <v>-992.96</v>
      </c>
      <c r="I41" s="358">
        <v>0</v>
      </c>
      <c r="J41" s="358">
        <f>SUM(B41:I41)</f>
        <v>-992.96</v>
      </c>
    </row>
    <row r="42" spans="1:11">
      <c r="A42" s="356" t="s">
        <v>735</v>
      </c>
      <c r="B42" s="363">
        <f t="shared" ref="B42:J42" si="7">SUM(B40:B41)</f>
        <v>0</v>
      </c>
      <c r="C42" s="363">
        <f t="shared" si="7"/>
        <v>0</v>
      </c>
      <c r="D42" s="363">
        <f t="shared" si="7"/>
        <v>0</v>
      </c>
      <c r="E42" s="363">
        <f t="shared" si="7"/>
        <v>0</v>
      </c>
      <c r="F42" s="363">
        <f t="shared" si="7"/>
        <v>0</v>
      </c>
      <c r="G42" s="363">
        <f t="shared" si="7"/>
        <v>0</v>
      </c>
      <c r="H42" s="363">
        <f t="shared" si="7"/>
        <v>-1985.92</v>
      </c>
      <c r="I42" s="363">
        <f t="shared" si="7"/>
        <v>0</v>
      </c>
      <c r="J42" s="363">
        <f t="shared" si="7"/>
        <v>-1985.92</v>
      </c>
    </row>
    <row r="43" spans="1:11">
      <c r="A43" s="355" t="s">
        <v>46</v>
      </c>
      <c r="B43" s="362"/>
      <c r="C43" s="362"/>
      <c r="D43" s="362"/>
      <c r="E43" s="362"/>
      <c r="F43" s="362"/>
      <c r="G43" s="362"/>
      <c r="H43" s="362"/>
      <c r="I43" s="362"/>
      <c r="J43" s="362"/>
    </row>
    <row r="44" spans="1:11">
      <c r="A44" s="354" t="s">
        <v>47</v>
      </c>
      <c r="B44" s="358">
        <v>0</v>
      </c>
      <c r="C44" s="358">
        <v>0</v>
      </c>
      <c r="D44" s="358">
        <v>0</v>
      </c>
      <c r="E44" s="358">
        <v>-6779.01</v>
      </c>
      <c r="F44" s="358">
        <v>-179.85</v>
      </c>
      <c r="G44" s="358">
        <v>-621.22</v>
      </c>
      <c r="H44" s="358">
        <v>-187942.97</v>
      </c>
      <c r="I44" s="358">
        <v>0</v>
      </c>
      <c r="J44" s="358">
        <f>SUM(B44:I44)</f>
        <v>-195523.05</v>
      </c>
    </row>
    <row r="45" spans="1:11">
      <c r="A45" s="356" t="s">
        <v>48</v>
      </c>
      <c r="B45" s="363">
        <f t="shared" ref="B45:J45" si="8">SUM(B44)</f>
        <v>0</v>
      </c>
      <c r="C45" s="363">
        <f t="shared" si="8"/>
        <v>0</v>
      </c>
      <c r="D45" s="363">
        <f t="shared" si="8"/>
        <v>0</v>
      </c>
      <c r="E45" s="363">
        <f t="shared" si="8"/>
        <v>-6779.01</v>
      </c>
      <c r="F45" s="363">
        <f t="shared" si="8"/>
        <v>-179.85</v>
      </c>
      <c r="G45" s="363">
        <f t="shared" si="8"/>
        <v>-621.22</v>
      </c>
      <c r="H45" s="363">
        <f t="shared" si="8"/>
        <v>-187942.97</v>
      </c>
      <c r="I45" s="363">
        <f t="shared" si="8"/>
        <v>0</v>
      </c>
      <c r="J45" s="363">
        <f t="shared" si="8"/>
        <v>-195523.05</v>
      </c>
    </row>
    <row r="46" spans="1:11">
      <c r="A46" s="355" t="s">
        <v>739</v>
      </c>
      <c r="B46" s="362"/>
      <c r="C46" s="362"/>
      <c r="D46" s="362"/>
      <c r="E46" s="362"/>
      <c r="F46" s="362"/>
      <c r="G46" s="362"/>
      <c r="H46" s="362"/>
      <c r="I46" s="362"/>
      <c r="J46" s="362"/>
    </row>
    <row r="47" spans="1:11">
      <c r="A47" s="354" t="s">
        <v>37</v>
      </c>
      <c r="B47" s="358">
        <v>0</v>
      </c>
      <c r="C47" s="358">
        <v>0</v>
      </c>
      <c r="D47" s="358">
        <v>0</v>
      </c>
      <c r="E47" s="358">
        <v>-4039.42</v>
      </c>
      <c r="F47" s="358">
        <v>-2101.14</v>
      </c>
      <c r="G47" s="358">
        <v>-1427.02</v>
      </c>
      <c r="H47" s="358">
        <v>-544.48</v>
      </c>
      <c r="I47" s="358">
        <v>0</v>
      </c>
      <c r="J47" s="358">
        <f>SUM(B47:I47)</f>
        <v>-8112.0599999999995</v>
      </c>
    </row>
    <row r="48" spans="1:11">
      <c r="A48" s="354" t="s">
        <v>740</v>
      </c>
      <c r="B48" s="358">
        <v>0</v>
      </c>
      <c r="C48" s="358">
        <v>0</v>
      </c>
      <c r="D48" s="358">
        <v>0</v>
      </c>
      <c r="E48" s="358">
        <v>0</v>
      </c>
      <c r="F48" s="358">
        <v>0</v>
      </c>
      <c r="G48" s="358">
        <v>192.49</v>
      </c>
      <c r="H48" s="358">
        <v>0</v>
      </c>
      <c r="I48" s="358">
        <v>0</v>
      </c>
      <c r="J48" s="358">
        <f>SUM(B48:I48)</f>
        <v>192.49</v>
      </c>
    </row>
    <row r="49" spans="1:11">
      <c r="A49" s="356" t="s">
        <v>741</v>
      </c>
      <c r="B49" s="363">
        <f t="shared" ref="B49:J49" si="9">SUM(B47:B48)</f>
        <v>0</v>
      </c>
      <c r="C49" s="363">
        <f t="shared" si="9"/>
        <v>0</v>
      </c>
      <c r="D49" s="363">
        <f t="shared" si="9"/>
        <v>0</v>
      </c>
      <c r="E49" s="363">
        <f t="shared" si="9"/>
        <v>-4039.42</v>
      </c>
      <c r="F49" s="363">
        <f t="shared" si="9"/>
        <v>-2101.14</v>
      </c>
      <c r="G49" s="363">
        <f t="shared" si="9"/>
        <v>-1234.53</v>
      </c>
      <c r="H49" s="363">
        <f t="shared" si="9"/>
        <v>-544.48</v>
      </c>
      <c r="I49" s="363">
        <f t="shared" si="9"/>
        <v>0</v>
      </c>
      <c r="J49" s="363">
        <f t="shared" si="9"/>
        <v>-7919.57</v>
      </c>
    </row>
    <row r="50" spans="1:11">
      <c r="A50" s="355" t="s">
        <v>39</v>
      </c>
      <c r="B50" s="362"/>
      <c r="C50" s="362"/>
      <c r="D50" s="362"/>
      <c r="E50" s="362"/>
      <c r="F50" s="362"/>
      <c r="G50" s="362"/>
      <c r="H50" s="362"/>
      <c r="I50" s="362"/>
      <c r="J50" s="362"/>
    </row>
    <row r="51" spans="1:11">
      <c r="A51" s="354" t="s">
        <v>40</v>
      </c>
      <c r="B51" s="358">
        <v>0</v>
      </c>
      <c r="C51" s="358">
        <v>0</v>
      </c>
      <c r="D51" s="358">
        <v>0</v>
      </c>
      <c r="E51" s="358">
        <v>-1729.79</v>
      </c>
      <c r="F51" s="358">
        <v>-386.28</v>
      </c>
      <c r="G51" s="358">
        <v>-746.13</v>
      </c>
      <c r="H51" s="358">
        <v>-2936.43</v>
      </c>
      <c r="I51" s="358">
        <v>0</v>
      </c>
      <c r="J51" s="358">
        <f>SUM(B51:I51)</f>
        <v>-5798.6299999999992</v>
      </c>
    </row>
    <row r="52" spans="1:11">
      <c r="A52" s="356" t="s">
        <v>41</v>
      </c>
      <c r="B52" s="363">
        <f t="shared" ref="B52:J52" si="10">SUM(B51)</f>
        <v>0</v>
      </c>
      <c r="C52" s="363">
        <f t="shared" si="10"/>
        <v>0</v>
      </c>
      <c r="D52" s="363">
        <f t="shared" si="10"/>
        <v>0</v>
      </c>
      <c r="E52" s="363">
        <f t="shared" si="10"/>
        <v>-1729.79</v>
      </c>
      <c r="F52" s="363">
        <f t="shared" si="10"/>
        <v>-386.28</v>
      </c>
      <c r="G52" s="363">
        <f t="shared" si="10"/>
        <v>-746.13</v>
      </c>
      <c r="H52" s="363">
        <f t="shared" si="10"/>
        <v>-2936.43</v>
      </c>
      <c r="I52" s="363">
        <f t="shared" si="10"/>
        <v>0</v>
      </c>
      <c r="J52" s="363">
        <f t="shared" si="10"/>
        <v>-5798.6299999999992</v>
      </c>
    </row>
    <row r="53" spans="1:11">
      <c r="A53" s="345" t="s">
        <v>49</v>
      </c>
      <c r="B53" s="358">
        <v>0</v>
      </c>
      <c r="C53" s="358">
        <v>0</v>
      </c>
      <c r="D53" s="358">
        <v>0</v>
      </c>
      <c r="E53" s="358">
        <v>0</v>
      </c>
      <c r="F53" s="358">
        <v>0</v>
      </c>
      <c r="G53" s="358">
        <v>0</v>
      </c>
      <c r="H53" s="358">
        <v>-11748.07</v>
      </c>
      <c r="I53" s="358">
        <v>0</v>
      </c>
      <c r="J53" s="358">
        <f>SUM(B53:I53)</f>
        <v>-11748.07</v>
      </c>
    </row>
    <row r="54" spans="1:11">
      <c r="A54" s="369" t="s">
        <v>50</v>
      </c>
      <c r="B54" s="363">
        <f t="shared" ref="B54:J54" si="11">SUM(B38,B42,B45,B49,B52:B53)</f>
        <v>0</v>
      </c>
      <c r="C54" s="363">
        <f t="shared" si="11"/>
        <v>0</v>
      </c>
      <c r="D54" s="363">
        <f t="shared" si="11"/>
        <v>0</v>
      </c>
      <c r="E54" s="363">
        <f t="shared" si="11"/>
        <v>-71216.44</v>
      </c>
      <c r="F54" s="363">
        <f t="shared" si="11"/>
        <v>-18930.109999999997</v>
      </c>
      <c r="G54" s="363">
        <f t="shared" si="11"/>
        <v>-21247.75</v>
      </c>
      <c r="H54" s="363">
        <f t="shared" si="11"/>
        <v>-720281.37999999989</v>
      </c>
      <c r="I54" s="363">
        <f t="shared" si="11"/>
        <v>-811</v>
      </c>
      <c r="J54" s="363">
        <f t="shared" si="11"/>
        <v>-832486.67999999982</v>
      </c>
      <c r="K54">
        <v>2.2000000000000002</v>
      </c>
    </row>
    <row r="55" spans="1:11">
      <c r="A55" s="368" t="s">
        <v>83</v>
      </c>
      <c r="B55" s="362"/>
      <c r="C55" s="362"/>
      <c r="D55" s="362"/>
      <c r="E55" s="362"/>
      <c r="F55" s="362"/>
      <c r="G55" s="362"/>
      <c r="H55" s="362"/>
      <c r="I55" s="362"/>
      <c r="J55" s="362"/>
    </row>
    <row r="56" spans="1:11">
      <c r="A56" s="355" t="s">
        <v>84</v>
      </c>
      <c r="B56" s="362"/>
      <c r="C56" s="362"/>
      <c r="D56" s="362"/>
      <c r="E56" s="362"/>
      <c r="F56" s="362"/>
      <c r="G56" s="362"/>
      <c r="H56" s="362"/>
      <c r="I56" s="362"/>
      <c r="J56" s="362"/>
    </row>
    <row r="57" spans="1:11">
      <c r="A57" s="354" t="s">
        <v>86</v>
      </c>
      <c r="B57" s="358">
        <v>0</v>
      </c>
      <c r="C57" s="358">
        <v>0</v>
      </c>
      <c r="D57" s="358">
        <v>0</v>
      </c>
      <c r="E57" s="358">
        <v>0</v>
      </c>
      <c r="F57" s="358">
        <v>0</v>
      </c>
      <c r="G57" s="358">
        <v>0</v>
      </c>
      <c r="H57" s="358">
        <v>0</v>
      </c>
      <c r="I57" s="358">
        <v>-178.79</v>
      </c>
      <c r="J57" s="358">
        <f>SUM(B57:I57)</f>
        <v>-178.79</v>
      </c>
    </row>
    <row r="58" spans="1:11">
      <c r="A58" s="356" t="s">
        <v>88</v>
      </c>
      <c r="B58" s="363">
        <f t="shared" ref="B58:J59" si="12">SUM(B57)</f>
        <v>0</v>
      </c>
      <c r="C58" s="363">
        <f t="shared" si="12"/>
        <v>0</v>
      </c>
      <c r="D58" s="363">
        <f t="shared" si="12"/>
        <v>0</v>
      </c>
      <c r="E58" s="363">
        <f t="shared" si="12"/>
        <v>0</v>
      </c>
      <c r="F58" s="363">
        <f t="shared" si="12"/>
        <v>0</v>
      </c>
      <c r="G58" s="363">
        <f t="shared" si="12"/>
        <v>0</v>
      </c>
      <c r="H58" s="363">
        <f t="shared" si="12"/>
        <v>0</v>
      </c>
      <c r="I58" s="363">
        <f t="shared" si="12"/>
        <v>-178.79</v>
      </c>
      <c r="J58" s="363">
        <f t="shared" si="12"/>
        <v>-178.79</v>
      </c>
    </row>
    <row r="59" spans="1:11">
      <c r="A59" s="369" t="s">
        <v>89</v>
      </c>
      <c r="B59" s="363">
        <f t="shared" si="12"/>
        <v>0</v>
      </c>
      <c r="C59" s="363">
        <f t="shared" si="12"/>
        <v>0</v>
      </c>
      <c r="D59" s="363">
        <f t="shared" si="12"/>
        <v>0</v>
      </c>
      <c r="E59" s="363">
        <f t="shared" si="12"/>
        <v>0</v>
      </c>
      <c r="F59" s="363">
        <f t="shared" si="12"/>
        <v>0</v>
      </c>
      <c r="G59" s="363">
        <f t="shared" si="12"/>
        <v>0</v>
      </c>
      <c r="H59" s="363">
        <f t="shared" si="12"/>
        <v>0</v>
      </c>
      <c r="I59" s="363">
        <f t="shared" si="12"/>
        <v>-178.79</v>
      </c>
      <c r="J59" s="363">
        <f t="shared" si="12"/>
        <v>-178.79</v>
      </c>
    </row>
    <row r="60" spans="1:11">
      <c r="A60" s="368" t="s">
        <v>123</v>
      </c>
      <c r="B60" s="362"/>
      <c r="C60" s="362"/>
      <c r="D60" s="362"/>
      <c r="E60" s="362"/>
      <c r="F60" s="362"/>
      <c r="G60" s="362"/>
      <c r="H60" s="362"/>
      <c r="I60" s="362"/>
      <c r="J60" s="362"/>
    </row>
    <row r="61" spans="1:11">
      <c r="A61" s="355" t="s">
        <v>124</v>
      </c>
      <c r="B61" s="362"/>
      <c r="C61" s="362"/>
      <c r="D61" s="362"/>
      <c r="E61" s="362"/>
      <c r="F61" s="362"/>
      <c r="G61" s="362"/>
      <c r="H61" s="362"/>
      <c r="I61" s="362"/>
      <c r="J61" s="362"/>
    </row>
    <row r="62" spans="1:11">
      <c r="A62" s="354" t="s">
        <v>127</v>
      </c>
      <c r="B62" s="358">
        <v>0</v>
      </c>
      <c r="C62" s="358">
        <v>0</v>
      </c>
      <c r="D62" s="358">
        <v>0</v>
      </c>
      <c r="E62" s="358">
        <v>-60</v>
      </c>
      <c r="F62" s="358">
        <v>0</v>
      </c>
      <c r="G62" s="358">
        <v>0</v>
      </c>
      <c r="H62" s="358">
        <v>0</v>
      </c>
      <c r="I62" s="358">
        <v>0</v>
      </c>
      <c r="J62" s="358">
        <f>SUM(B62:I62)</f>
        <v>-60</v>
      </c>
    </row>
    <row r="63" spans="1:11">
      <c r="A63" s="356" t="s">
        <v>130</v>
      </c>
      <c r="B63" s="363">
        <f t="shared" ref="B63:J64" si="13">SUM(B62)</f>
        <v>0</v>
      </c>
      <c r="C63" s="363">
        <f t="shared" si="13"/>
        <v>0</v>
      </c>
      <c r="D63" s="363">
        <f t="shared" si="13"/>
        <v>0</v>
      </c>
      <c r="E63" s="363">
        <f t="shared" si="13"/>
        <v>-60</v>
      </c>
      <c r="F63" s="363">
        <f t="shared" si="13"/>
        <v>0</v>
      </c>
      <c r="G63" s="363">
        <f t="shared" si="13"/>
        <v>0</v>
      </c>
      <c r="H63" s="363">
        <f t="shared" si="13"/>
        <v>0</v>
      </c>
      <c r="I63" s="363">
        <f t="shared" si="13"/>
        <v>0</v>
      </c>
      <c r="J63" s="363">
        <f t="shared" si="13"/>
        <v>-60</v>
      </c>
    </row>
    <row r="64" spans="1:11">
      <c r="A64" s="369" t="s">
        <v>131</v>
      </c>
      <c r="B64" s="363">
        <f t="shared" si="13"/>
        <v>0</v>
      </c>
      <c r="C64" s="363">
        <f t="shared" si="13"/>
        <v>0</v>
      </c>
      <c r="D64" s="363">
        <f t="shared" si="13"/>
        <v>0</v>
      </c>
      <c r="E64" s="363">
        <f t="shared" si="13"/>
        <v>-60</v>
      </c>
      <c r="F64" s="363">
        <f t="shared" si="13"/>
        <v>0</v>
      </c>
      <c r="G64" s="363">
        <f t="shared" si="13"/>
        <v>0</v>
      </c>
      <c r="H64" s="363">
        <f t="shared" si="13"/>
        <v>0</v>
      </c>
      <c r="I64" s="363">
        <f t="shared" si="13"/>
        <v>0</v>
      </c>
      <c r="J64" s="363">
        <f t="shared" si="13"/>
        <v>-60</v>
      </c>
    </row>
    <row r="65" spans="1:10">
      <c r="A65" s="368" t="s">
        <v>60</v>
      </c>
      <c r="B65" s="362"/>
      <c r="C65" s="362"/>
      <c r="D65" s="362"/>
      <c r="E65" s="362"/>
      <c r="F65" s="362"/>
      <c r="G65" s="362"/>
      <c r="H65" s="362"/>
      <c r="I65" s="362"/>
      <c r="J65" s="362"/>
    </row>
    <row r="66" spans="1:10">
      <c r="A66" s="355" t="s">
        <v>68</v>
      </c>
      <c r="B66" s="362"/>
      <c r="C66" s="362"/>
      <c r="D66" s="362"/>
      <c r="E66" s="362"/>
      <c r="F66" s="362"/>
      <c r="G66" s="362"/>
      <c r="H66" s="362"/>
      <c r="I66" s="362"/>
      <c r="J66" s="362"/>
    </row>
    <row r="67" spans="1:10">
      <c r="A67" s="354" t="s">
        <v>69</v>
      </c>
      <c r="B67" s="358">
        <v>0</v>
      </c>
      <c r="C67" s="358">
        <v>0</v>
      </c>
      <c r="D67" s="358">
        <v>0</v>
      </c>
      <c r="E67" s="358">
        <v>0</v>
      </c>
      <c r="F67" s="358">
        <v>-1266.01</v>
      </c>
      <c r="G67" s="358">
        <v>0</v>
      </c>
      <c r="H67" s="358">
        <v>0</v>
      </c>
      <c r="I67" s="358">
        <v>-3506.36</v>
      </c>
      <c r="J67" s="358">
        <f>SUM(B67:I67)</f>
        <v>-4772.37</v>
      </c>
    </row>
    <row r="68" spans="1:10">
      <c r="A68" s="356" t="s">
        <v>70</v>
      </c>
      <c r="B68" s="363">
        <f t="shared" ref="B68:J68" si="14">SUM(B67)</f>
        <v>0</v>
      </c>
      <c r="C68" s="363">
        <f t="shared" si="14"/>
        <v>0</v>
      </c>
      <c r="D68" s="363">
        <f t="shared" si="14"/>
        <v>0</v>
      </c>
      <c r="E68" s="363">
        <f t="shared" si="14"/>
        <v>0</v>
      </c>
      <c r="F68" s="363">
        <f t="shared" si="14"/>
        <v>-1266.01</v>
      </c>
      <c r="G68" s="363">
        <f t="shared" si="14"/>
        <v>0</v>
      </c>
      <c r="H68" s="363">
        <f t="shared" si="14"/>
        <v>0</v>
      </c>
      <c r="I68" s="363">
        <f t="shared" si="14"/>
        <v>-3506.36</v>
      </c>
      <c r="J68" s="363">
        <f t="shared" si="14"/>
        <v>-4772.37</v>
      </c>
    </row>
    <row r="69" spans="1:10">
      <c r="A69" s="355" t="s">
        <v>71</v>
      </c>
      <c r="B69" s="362"/>
      <c r="C69" s="362"/>
      <c r="D69" s="362"/>
      <c r="E69" s="362"/>
      <c r="F69" s="362"/>
      <c r="G69" s="362"/>
      <c r="H69" s="362"/>
      <c r="I69" s="362"/>
      <c r="J69" s="362"/>
    </row>
    <row r="70" spans="1:10">
      <c r="A70" s="354" t="s">
        <v>72</v>
      </c>
      <c r="B70" s="358">
        <v>0</v>
      </c>
      <c r="C70" s="358">
        <v>0</v>
      </c>
      <c r="D70" s="358">
        <v>0</v>
      </c>
      <c r="E70" s="358">
        <v>0</v>
      </c>
      <c r="F70" s="358">
        <v>-4.04</v>
      </c>
      <c r="G70" s="358">
        <v>0</v>
      </c>
      <c r="H70" s="358">
        <v>0</v>
      </c>
      <c r="I70" s="358">
        <v>0</v>
      </c>
      <c r="J70" s="358">
        <f>SUM(B70:I70)</f>
        <v>-4.04</v>
      </c>
    </row>
    <row r="71" spans="1:10">
      <c r="A71" s="354" t="s">
        <v>73</v>
      </c>
      <c r="B71" s="358">
        <v>0</v>
      </c>
      <c r="C71" s="358">
        <v>0</v>
      </c>
      <c r="D71" s="358">
        <v>0</v>
      </c>
      <c r="E71" s="358">
        <v>0</v>
      </c>
      <c r="F71" s="358">
        <v>-28.89</v>
      </c>
      <c r="G71" s="358">
        <v>-97.2</v>
      </c>
      <c r="H71" s="358">
        <v>0</v>
      </c>
      <c r="I71" s="358">
        <v>-27.2</v>
      </c>
      <c r="J71" s="358">
        <f>SUM(B71:I71)</f>
        <v>-153.29</v>
      </c>
    </row>
    <row r="72" spans="1:10">
      <c r="A72" s="354" t="s">
        <v>74</v>
      </c>
      <c r="B72" s="358">
        <v>0</v>
      </c>
      <c r="C72" s="358">
        <v>0</v>
      </c>
      <c r="D72" s="358">
        <v>0</v>
      </c>
      <c r="E72" s="358">
        <v>0</v>
      </c>
      <c r="F72" s="358">
        <v>-7.22</v>
      </c>
      <c r="G72" s="358">
        <v>0</v>
      </c>
      <c r="H72" s="358">
        <v>0</v>
      </c>
      <c r="I72" s="358">
        <v>-18.77</v>
      </c>
      <c r="J72" s="358">
        <f>SUM(B72:I72)</f>
        <v>-25.99</v>
      </c>
    </row>
    <row r="73" spans="1:10">
      <c r="A73" s="356" t="s">
        <v>75</v>
      </c>
      <c r="B73" s="363">
        <f t="shared" ref="B73:J73" si="15">SUM(B70:B72)</f>
        <v>0</v>
      </c>
      <c r="C73" s="363">
        <f t="shared" si="15"/>
        <v>0</v>
      </c>
      <c r="D73" s="363">
        <f t="shared" si="15"/>
        <v>0</v>
      </c>
      <c r="E73" s="363">
        <f t="shared" si="15"/>
        <v>0</v>
      </c>
      <c r="F73" s="363">
        <f t="shared" si="15"/>
        <v>-40.15</v>
      </c>
      <c r="G73" s="363">
        <f t="shared" si="15"/>
        <v>-97.2</v>
      </c>
      <c r="H73" s="363">
        <f t="shared" si="15"/>
        <v>0</v>
      </c>
      <c r="I73" s="363">
        <f t="shared" si="15"/>
        <v>-45.97</v>
      </c>
      <c r="J73" s="363">
        <f t="shared" si="15"/>
        <v>-183.32</v>
      </c>
    </row>
    <row r="74" spans="1:10">
      <c r="A74" s="355" t="s">
        <v>64</v>
      </c>
      <c r="B74" s="362"/>
      <c r="C74" s="362"/>
      <c r="D74" s="362"/>
      <c r="E74" s="362"/>
      <c r="F74" s="362"/>
      <c r="G74" s="362"/>
      <c r="H74" s="362"/>
      <c r="I74" s="362"/>
      <c r="J74" s="362"/>
    </row>
    <row r="75" spans="1:10">
      <c r="A75" s="354" t="s">
        <v>66</v>
      </c>
      <c r="B75" s="358">
        <v>0</v>
      </c>
      <c r="C75" s="358">
        <v>0</v>
      </c>
      <c r="D75" s="358">
        <v>0</v>
      </c>
      <c r="E75" s="358">
        <v>0</v>
      </c>
      <c r="F75" s="358">
        <v>-6.1</v>
      </c>
      <c r="G75" s="358">
        <v>0</v>
      </c>
      <c r="H75" s="358">
        <v>0</v>
      </c>
      <c r="I75" s="358">
        <v>-34.24</v>
      </c>
      <c r="J75" s="358">
        <f>SUM(B75:I75)</f>
        <v>-40.340000000000003</v>
      </c>
    </row>
    <row r="76" spans="1:10">
      <c r="A76" s="354" t="s">
        <v>65</v>
      </c>
      <c r="B76" s="358">
        <v>0</v>
      </c>
      <c r="C76" s="358">
        <v>0</v>
      </c>
      <c r="D76" s="358">
        <v>0</v>
      </c>
      <c r="E76" s="358">
        <v>0</v>
      </c>
      <c r="F76" s="358">
        <v>-73.86</v>
      </c>
      <c r="G76" s="358">
        <v>0</v>
      </c>
      <c r="H76" s="358">
        <v>0</v>
      </c>
      <c r="I76" s="358">
        <v>-137.24</v>
      </c>
      <c r="J76" s="358">
        <f>SUM(B76:I76)</f>
        <v>-211.10000000000002</v>
      </c>
    </row>
    <row r="77" spans="1:10">
      <c r="A77" s="356" t="s">
        <v>67</v>
      </c>
      <c r="B77" s="363">
        <f t="shared" ref="B77:J77" si="16">SUM(B75:B76)</f>
        <v>0</v>
      </c>
      <c r="C77" s="363">
        <f t="shared" si="16"/>
        <v>0</v>
      </c>
      <c r="D77" s="363">
        <f t="shared" si="16"/>
        <v>0</v>
      </c>
      <c r="E77" s="363">
        <f t="shared" si="16"/>
        <v>0</v>
      </c>
      <c r="F77" s="363">
        <f t="shared" si="16"/>
        <v>-79.959999999999994</v>
      </c>
      <c r="G77" s="363">
        <f t="shared" si="16"/>
        <v>0</v>
      </c>
      <c r="H77" s="363">
        <f t="shared" si="16"/>
        <v>0</v>
      </c>
      <c r="I77" s="363">
        <f t="shared" si="16"/>
        <v>-171.48000000000002</v>
      </c>
      <c r="J77" s="363">
        <f t="shared" si="16"/>
        <v>-251.44000000000003</v>
      </c>
    </row>
    <row r="78" spans="1:10">
      <c r="A78" s="355" t="s">
        <v>61</v>
      </c>
      <c r="B78" s="362"/>
      <c r="C78" s="362"/>
      <c r="D78" s="362"/>
      <c r="E78" s="362"/>
      <c r="F78" s="362"/>
      <c r="G78" s="362"/>
      <c r="H78" s="362"/>
      <c r="I78" s="362"/>
      <c r="J78" s="362"/>
    </row>
    <row r="79" spans="1:10">
      <c r="A79" s="354" t="s">
        <v>62</v>
      </c>
      <c r="B79" s="358">
        <v>0</v>
      </c>
      <c r="C79" s="358">
        <v>0</v>
      </c>
      <c r="D79" s="358">
        <v>0</v>
      </c>
      <c r="E79" s="358">
        <v>0</v>
      </c>
      <c r="F79" s="358">
        <v>-7.88</v>
      </c>
      <c r="G79" s="358">
        <v>0</v>
      </c>
      <c r="H79" s="358">
        <v>0</v>
      </c>
      <c r="I79" s="358">
        <v>0</v>
      </c>
      <c r="J79" s="358">
        <f>SUM(B79:I79)</f>
        <v>-7.88</v>
      </c>
    </row>
    <row r="80" spans="1:10">
      <c r="A80" s="356" t="s">
        <v>63</v>
      </c>
      <c r="B80" s="363">
        <f t="shared" ref="B80:J80" si="17">SUM(B79)</f>
        <v>0</v>
      </c>
      <c r="C80" s="363">
        <f t="shared" si="17"/>
        <v>0</v>
      </c>
      <c r="D80" s="363">
        <f t="shared" si="17"/>
        <v>0</v>
      </c>
      <c r="E80" s="363">
        <f t="shared" si="17"/>
        <v>0</v>
      </c>
      <c r="F80" s="363">
        <f t="shared" si="17"/>
        <v>-7.88</v>
      </c>
      <c r="G80" s="363">
        <f t="shared" si="17"/>
        <v>0</v>
      </c>
      <c r="H80" s="363">
        <f t="shared" si="17"/>
        <v>0</v>
      </c>
      <c r="I80" s="363">
        <f t="shared" si="17"/>
        <v>0</v>
      </c>
      <c r="J80" s="363">
        <f t="shared" si="17"/>
        <v>-7.88</v>
      </c>
    </row>
    <row r="81" spans="1:10">
      <c r="A81" s="369" t="s">
        <v>76</v>
      </c>
      <c r="B81" s="363">
        <f t="shared" ref="B81:J81" si="18">SUM(B68,B73,B77,B80)</f>
        <v>0</v>
      </c>
      <c r="C81" s="363">
        <f t="shared" si="18"/>
        <v>0</v>
      </c>
      <c r="D81" s="363">
        <f t="shared" si="18"/>
        <v>0</v>
      </c>
      <c r="E81" s="363">
        <f t="shared" si="18"/>
        <v>0</v>
      </c>
      <c r="F81" s="363">
        <f t="shared" si="18"/>
        <v>-1394.0000000000002</v>
      </c>
      <c r="G81" s="363">
        <f t="shared" si="18"/>
        <v>-97.2</v>
      </c>
      <c r="H81" s="363">
        <f t="shared" si="18"/>
        <v>0</v>
      </c>
      <c r="I81" s="363">
        <f t="shared" si="18"/>
        <v>-3723.81</v>
      </c>
      <c r="J81" s="363">
        <f t="shared" si="18"/>
        <v>-5215.0099999999993</v>
      </c>
    </row>
    <row r="82" spans="1:10">
      <c r="A82" s="368" t="s">
        <v>55</v>
      </c>
      <c r="B82" s="362"/>
      <c r="C82" s="362"/>
      <c r="D82" s="362"/>
      <c r="E82" s="362"/>
      <c r="F82" s="362"/>
      <c r="G82" s="362"/>
      <c r="H82" s="362"/>
      <c r="I82" s="362"/>
      <c r="J82" s="362"/>
    </row>
    <row r="83" spans="1:10">
      <c r="A83" s="345" t="s">
        <v>56</v>
      </c>
      <c r="B83" s="358">
        <v>0</v>
      </c>
      <c r="C83" s="358">
        <v>0</v>
      </c>
      <c r="D83" s="358">
        <v>0</v>
      </c>
      <c r="E83" s="358">
        <v>0</v>
      </c>
      <c r="F83" s="358">
        <v>-32.28</v>
      </c>
      <c r="G83" s="358">
        <v>-599.65</v>
      </c>
      <c r="H83" s="358">
        <v>0</v>
      </c>
      <c r="I83" s="358">
        <v>-75.23</v>
      </c>
      <c r="J83" s="358">
        <f>SUM(B83:I83)</f>
        <v>-707.16</v>
      </c>
    </row>
    <row r="84" spans="1:10">
      <c r="A84" s="345" t="s">
        <v>58</v>
      </c>
      <c r="B84" s="358">
        <v>0</v>
      </c>
      <c r="C84" s="358">
        <v>0</v>
      </c>
      <c r="D84" s="358">
        <v>0</v>
      </c>
      <c r="E84" s="358">
        <v>0</v>
      </c>
      <c r="F84" s="358">
        <v>-4.43</v>
      </c>
      <c r="G84" s="358">
        <v>0</v>
      </c>
      <c r="H84" s="358">
        <v>0</v>
      </c>
      <c r="I84" s="358">
        <v>0</v>
      </c>
      <c r="J84" s="358">
        <f>SUM(B84:I84)</f>
        <v>-4.43</v>
      </c>
    </row>
    <row r="85" spans="1:10">
      <c r="A85" s="345" t="s">
        <v>57</v>
      </c>
      <c r="B85" s="358">
        <v>0</v>
      </c>
      <c r="C85" s="358">
        <v>0</v>
      </c>
      <c r="D85" s="358">
        <v>0</v>
      </c>
      <c r="E85" s="358">
        <v>0</v>
      </c>
      <c r="F85" s="358">
        <v>-3.21</v>
      </c>
      <c r="G85" s="358">
        <v>-27.79</v>
      </c>
      <c r="H85" s="358">
        <v>0</v>
      </c>
      <c r="I85" s="358">
        <v>-15.27</v>
      </c>
      <c r="J85" s="358">
        <f>SUM(B85:I85)</f>
        <v>-46.269999999999996</v>
      </c>
    </row>
    <row r="86" spans="1:10">
      <c r="A86" s="369" t="s">
        <v>59</v>
      </c>
      <c r="B86" s="363">
        <f t="shared" ref="B86:J86" si="19">SUM(B83:B85)</f>
        <v>0</v>
      </c>
      <c r="C86" s="363">
        <f t="shared" si="19"/>
        <v>0</v>
      </c>
      <c r="D86" s="363">
        <f t="shared" si="19"/>
        <v>0</v>
      </c>
      <c r="E86" s="363">
        <f t="shared" si="19"/>
        <v>0</v>
      </c>
      <c r="F86" s="363">
        <f t="shared" si="19"/>
        <v>-39.92</v>
      </c>
      <c r="G86" s="363">
        <f t="shared" si="19"/>
        <v>-627.43999999999994</v>
      </c>
      <c r="H86" s="363">
        <f t="shared" si="19"/>
        <v>0</v>
      </c>
      <c r="I86" s="363">
        <f t="shared" si="19"/>
        <v>-90.5</v>
      </c>
      <c r="J86" s="363">
        <f t="shared" si="19"/>
        <v>-757.8599999999999</v>
      </c>
    </row>
    <row r="87" spans="1:10">
      <c r="A87" s="370" t="s">
        <v>742</v>
      </c>
      <c r="B87" s="363">
        <f t="shared" ref="B87:J87" si="20">SUM(B54,B59,B64,B81,B86)</f>
        <v>0</v>
      </c>
      <c r="C87" s="363">
        <f t="shared" si="20"/>
        <v>0</v>
      </c>
      <c r="D87" s="363">
        <f t="shared" si="20"/>
        <v>0</v>
      </c>
      <c r="E87" s="363">
        <f t="shared" si="20"/>
        <v>-71276.44</v>
      </c>
      <c r="F87" s="363">
        <f t="shared" si="20"/>
        <v>-20364.029999999995</v>
      </c>
      <c r="G87" s="363">
        <f t="shared" si="20"/>
        <v>-21972.39</v>
      </c>
      <c r="H87" s="363">
        <f t="shared" si="20"/>
        <v>-720281.37999999989</v>
      </c>
      <c r="I87" s="363">
        <f t="shared" si="20"/>
        <v>-4804.1000000000004</v>
      </c>
      <c r="J87" s="363">
        <f t="shared" si="20"/>
        <v>-838698.33999999985</v>
      </c>
    </row>
    <row r="88" spans="1:10">
      <c r="A88" s="353" t="s">
        <v>743</v>
      </c>
      <c r="B88" s="362"/>
      <c r="C88" s="362"/>
      <c r="D88" s="362"/>
      <c r="E88" s="362"/>
      <c r="F88" s="362"/>
      <c r="G88" s="362"/>
      <c r="H88" s="362"/>
      <c r="I88" s="362"/>
      <c r="J88" s="362"/>
    </row>
    <row r="89" spans="1:10">
      <c r="A89" s="368" t="s">
        <v>30</v>
      </c>
      <c r="B89" s="362"/>
      <c r="C89" s="362"/>
      <c r="D89" s="362"/>
      <c r="E89" s="362"/>
      <c r="F89" s="362"/>
      <c r="G89" s="362"/>
      <c r="H89" s="362"/>
      <c r="I89" s="362"/>
      <c r="J89" s="362"/>
    </row>
    <row r="90" spans="1:10">
      <c r="A90" s="355" t="s">
        <v>31</v>
      </c>
      <c r="B90" s="362"/>
      <c r="C90" s="362"/>
      <c r="D90" s="362"/>
      <c r="E90" s="362"/>
      <c r="F90" s="362"/>
      <c r="G90" s="362"/>
      <c r="H90" s="362"/>
      <c r="I90" s="362"/>
      <c r="J90" s="362"/>
    </row>
    <row r="91" spans="1:10">
      <c r="A91" s="354" t="s">
        <v>32</v>
      </c>
      <c r="B91" s="358">
        <v>0</v>
      </c>
      <c r="C91" s="358">
        <v>0</v>
      </c>
      <c r="D91" s="358">
        <v>0</v>
      </c>
      <c r="E91" s="358">
        <v>0</v>
      </c>
      <c r="F91" s="358">
        <v>0</v>
      </c>
      <c r="G91" s="358">
        <v>-3171.4</v>
      </c>
      <c r="H91" s="358">
        <v>-26563.61</v>
      </c>
      <c r="I91" s="358">
        <v>-79853.649999999994</v>
      </c>
      <c r="J91" s="358">
        <f t="shared" ref="J91:J101" si="21">SUM(B91:I91)</f>
        <v>-109588.66</v>
      </c>
    </row>
    <row r="92" spans="1:10">
      <c r="A92" s="354" t="s">
        <v>33</v>
      </c>
      <c r="B92" s="358">
        <v>0</v>
      </c>
      <c r="C92" s="358">
        <v>0</v>
      </c>
      <c r="D92" s="358">
        <v>0</v>
      </c>
      <c r="E92" s="358">
        <v>0</v>
      </c>
      <c r="F92" s="358">
        <v>0</v>
      </c>
      <c r="G92" s="358">
        <v>0</v>
      </c>
      <c r="H92" s="358">
        <v>0</v>
      </c>
      <c r="I92" s="358">
        <v>-788.86</v>
      </c>
      <c r="J92" s="358">
        <f t="shared" si="21"/>
        <v>-788.86</v>
      </c>
    </row>
    <row r="93" spans="1:10">
      <c r="A93" s="354" t="s">
        <v>727</v>
      </c>
      <c r="B93" s="358">
        <v>0</v>
      </c>
      <c r="C93" s="358">
        <v>0</v>
      </c>
      <c r="D93" s="358">
        <v>0</v>
      </c>
      <c r="E93" s="358">
        <v>0</v>
      </c>
      <c r="F93" s="358">
        <v>0</v>
      </c>
      <c r="G93" s="358">
        <v>-18.55</v>
      </c>
      <c r="H93" s="358">
        <v>0</v>
      </c>
      <c r="I93" s="358">
        <v>0</v>
      </c>
      <c r="J93" s="358">
        <f t="shared" si="21"/>
        <v>-18.55</v>
      </c>
    </row>
    <row r="94" spans="1:10">
      <c r="A94" s="354" t="s">
        <v>34</v>
      </c>
      <c r="B94" s="358">
        <v>0</v>
      </c>
      <c r="C94" s="358">
        <v>0</v>
      </c>
      <c r="D94" s="358">
        <v>0</v>
      </c>
      <c r="E94" s="358">
        <v>0</v>
      </c>
      <c r="F94" s="358">
        <v>0</v>
      </c>
      <c r="G94" s="358">
        <v>0</v>
      </c>
      <c r="H94" s="358">
        <v>0</v>
      </c>
      <c r="I94" s="358">
        <v>-835.13</v>
      </c>
      <c r="J94" s="358">
        <f t="shared" si="21"/>
        <v>-835.13</v>
      </c>
    </row>
    <row r="95" spans="1:10">
      <c r="A95" s="354" t="s">
        <v>35</v>
      </c>
      <c r="B95" s="358">
        <v>0</v>
      </c>
      <c r="C95" s="358">
        <v>0</v>
      </c>
      <c r="D95" s="358">
        <v>0</v>
      </c>
      <c r="E95" s="358">
        <v>0</v>
      </c>
      <c r="F95" s="358">
        <v>-102</v>
      </c>
      <c r="G95" s="358">
        <v>0</v>
      </c>
      <c r="H95" s="358">
        <v>-1895</v>
      </c>
      <c r="I95" s="358">
        <v>-3820</v>
      </c>
      <c r="J95" s="358">
        <f t="shared" si="21"/>
        <v>-5817</v>
      </c>
    </row>
    <row r="96" spans="1:10">
      <c r="A96" s="354" t="s">
        <v>744</v>
      </c>
      <c r="B96" s="358">
        <v>0</v>
      </c>
      <c r="C96" s="358">
        <v>0</v>
      </c>
      <c r="D96" s="358">
        <v>0</v>
      </c>
      <c r="E96" s="358">
        <v>0</v>
      </c>
      <c r="F96" s="358">
        <v>0</v>
      </c>
      <c r="G96" s="358">
        <v>-162</v>
      </c>
      <c r="H96" s="358">
        <v>0</v>
      </c>
      <c r="I96" s="358">
        <v>0</v>
      </c>
      <c r="J96" s="358">
        <f t="shared" si="21"/>
        <v>-162</v>
      </c>
    </row>
    <row r="97" spans="1:10">
      <c r="A97" s="354" t="s">
        <v>745</v>
      </c>
      <c r="B97" s="358">
        <v>0</v>
      </c>
      <c r="C97" s="358">
        <v>0</v>
      </c>
      <c r="D97" s="358">
        <v>0</v>
      </c>
      <c r="E97" s="358">
        <v>0</v>
      </c>
      <c r="F97" s="358">
        <v>0</v>
      </c>
      <c r="G97" s="358">
        <v>0</v>
      </c>
      <c r="H97" s="358">
        <v>-1713.33</v>
      </c>
      <c r="I97" s="358">
        <v>0</v>
      </c>
      <c r="J97" s="358">
        <f t="shared" si="21"/>
        <v>-1713.33</v>
      </c>
    </row>
    <row r="98" spans="1:10">
      <c r="A98" s="354" t="s">
        <v>729</v>
      </c>
      <c r="B98" s="358">
        <v>0</v>
      </c>
      <c r="C98" s="358">
        <v>0</v>
      </c>
      <c r="D98" s="358">
        <v>0</v>
      </c>
      <c r="E98" s="358">
        <v>0</v>
      </c>
      <c r="F98" s="358">
        <v>0</v>
      </c>
      <c r="G98" s="358">
        <v>0</v>
      </c>
      <c r="H98" s="358">
        <v>0</v>
      </c>
      <c r="I98" s="358">
        <v>-28.89</v>
      </c>
      <c r="J98" s="358">
        <f t="shared" si="21"/>
        <v>-28.89</v>
      </c>
    </row>
    <row r="99" spans="1:10">
      <c r="A99" s="354" t="s">
        <v>746</v>
      </c>
      <c r="B99" s="358">
        <v>0</v>
      </c>
      <c r="C99" s="358">
        <v>0</v>
      </c>
      <c r="D99" s="358">
        <v>0</v>
      </c>
      <c r="E99" s="358">
        <v>0</v>
      </c>
      <c r="F99" s="358">
        <v>0</v>
      </c>
      <c r="G99" s="358">
        <v>0</v>
      </c>
      <c r="H99" s="358">
        <v>-764.23</v>
      </c>
      <c r="I99" s="358">
        <v>-62.87</v>
      </c>
      <c r="J99" s="358">
        <f t="shared" si="21"/>
        <v>-827.1</v>
      </c>
    </row>
    <row r="100" spans="1:10">
      <c r="A100" s="354" t="s">
        <v>747</v>
      </c>
      <c r="B100" s="358">
        <v>0</v>
      </c>
      <c r="C100" s="358">
        <v>0</v>
      </c>
      <c r="D100" s="358">
        <v>0</v>
      </c>
      <c r="E100" s="358">
        <v>0</v>
      </c>
      <c r="F100" s="358">
        <v>0</v>
      </c>
      <c r="G100" s="358">
        <v>0</v>
      </c>
      <c r="H100" s="358">
        <v>1314.06</v>
      </c>
      <c r="I100" s="358">
        <v>0</v>
      </c>
      <c r="J100" s="358">
        <f t="shared" si="21"/>
        <v>1314.06</v>
      </c>
    </row>
    <row r="101" spans="1:10">
      <c r="A101" s="354" t="s">
        <v>731</v>
      </c>
      <c r="B101" s="358">
        <v>0</v>
      </c>
      <c r="C101" s="358">
        <v>0</v>
      </c>
      <c r="D101" s="358">
        <v>0</v>
      </c>
      <c r="E101" s="358">
        <v>0</v>
      </c>
      <c r="F101" s="358">
        <v>0</v>
      </c>
      <c r="G101" s="358">
        <v>0</v>
      </c>
      <c r="H101" s="358">
        <v>0</v>
      </c>
      <c r="I101" s="358">
        <v>83.54</v>
      </c>
      <c r="J101" s="358">
        <f t="shared" si="21"/>
        <v>83.54</v>
      </c>
    </row>
    <row r="102" spans="1:10">
      <c r="A102" s="356" t="s">
        <v>36</v>
      </c>
      <c r="B102" s="363">
        <f t="shared" ref="B102:J102" si="22">SUM(B91:B101)</f>
        <v>0</v>
      </c>
      <c r="C102" s="363">
        <f t="shared" si="22"/>
        <v>0</v>
      </c>
      <c r="D102" s="363">
        <f t="shared" si="22"/>
        <v>0</v>
      </c>
      <c r="E102" s="363">
        <f t="shared" si="22"/>
        <v>0</v>
      </c>
      <c r="F102" s="363">
        <f t="shared" si="22"/>
        <v>-102</v>
      </c>
      <c r="G102" s="363">
        <f t="shared" si="22"/>
        <v>-3351.9500000000003</v>
      </c>
      <c r="H102" s="363">
        <f t="shared" si="22"/>
        <v>-29622.11</v>
      </c>
      <c r="I102" s="363">
        <f t="shared" si="22"/>
        <v>-85305.86</v>
      </c>
      <c r="J102" s="363">
        <f t="shared" si="22"/>
        <v>-118381.92000000003</v>
      </c>
    </row>
    <row r="103" spans="1:10">
      <c r="A103" s="355" t="s">
        <v>732</v>
      </c>
      <c r="B103" s="362"/>
      <c r="C103" s="362"/>
      <c r="D103" s="362"/>
      <c r="E103" s="362"/>
      <c r="F103" s="362"/>
      <c r="G103" s="362"/>
      <c r="H103" s="362"/>
      <c r="I103" s="362"/>
      <c r="J103" s="362"/>
    </row>
    <row r="104" spans="1:10">
      <c r="A104" s="354" t="s">
        <v>733</v>
      </c>
      <c r="B104" s="358">
        <v>0</v>
      </c>
      <c r="C104" s="358">
        <v>0</v>
      </c>
      <c r="D104" s="358">
        <v>0</v>
      </c>
      <c r="E104" s="358">
        <v>0</v>
      </c>
      <c r="F104" s="358">
        <v>0</v>
      </c>
      <c r="G104" s="358">
        <v>-1.75</v>
      </c>
      <c r="H104" s="358">
        <v>0</v>
      </c>
      <c r="I104" s="358">
        <v>0</v>
      </c>
      <c r="J104" s="358">
        <f>SUM(B104:I104)</f>
        <v>-1.75</v>
      </c>
    </row>
    <row r="105" spans="1:10">
      <c r="A105" s="354" t="s">
        <v>748</v>
      </c>
      <c r="B105" s="358">
        <v>0</v>
      </c>
      <c r="C105" s="358">
        <v>0</v>
      </c>
      <c r="D105" s="358">
        <v>0</v>
      </c>
      <c r="E105" s="358">
        <v>0</v>
      </c>
      <c r="F105" s="358">
        <v>0</v>
      </c>
      <c r="G105" s="358">
        <v>0</v>
      </c>
      <c r="H105" s="358">
        <v>0</v>
      </c>
      <c r="I105" s="358">
        <v>-18.829999999999998</v>
      </c>
      <c r="J105" s="358">
        <f>SUM(B105:I105)</f>
        <v>-18.829999999999998</v>
      </c>
    </row>
    <row r="106" spans="1:10">
      <c r="A106" s="356" t="s">
        <v>735</v>
      </c>
      <c r="B106" s="363">
        <f t="shared" ref="B106:J106" si="23">SUM(B104:B105)</f>
        <v>0</v>
      </c>
      <c r="C106" s="363">
        <f t="shared" si="23"/>
        <v>0</v>
      </c>
      <c r="D106" s="363">
        <f t="shared" si="23"/>
        <v>0</v>
      </c>
      <c r="E106" s="363">
        <f t="shared" si="23"/>
        <v>0</v>
      </c>
      <c r="F106" s="363">
        <f t="shared" si="23"/>
        <v>0</v>
      </c>
      <c r="G106" s="363">
        <f t="shared" si="23"/>
        <v>-1.75</v>
      </c>
      <c r="H106" s="363">
        <f t="shared" si="23"/>
        <v>0</v>
      </c>
      <c r="I106" s="363">
        <f t="shared" si="23"/>
        <v>-18.829999999999998</v>
      </c>
      <c r="J106" s="363">
        <f t="shared" si="23"/>
        <v>-20.58</v>
      </c>
    </row>
    <row r="107" spans="1:10">
      <c r="A107" s="355" t="s">
        <v>42</v>
      </c>
      <c r="B107" s="362"/>
      <c r="C107" s="362"/>
      <c r="D107" s="362"/>
      <c r="E107" s="362"/>
      <c r="F107" s="362"/>
      <c r="G107" s="362"/>
      <c r="H107" s="362"/>
      <c r="I107" s="362"/>
      <c r="J107" s="362"/>
    </row>
    <row r="108" spans="1:10">
      <c r="A108" s="354" t="s">
        <v>44</v>
      </c>
      <c r="B108" s="358">
        <v>0</v>
      </c>
      <c r="C108" s="358">
        <v>0</v>
      </c>
      <c r="D108" s="358">
        <v>0</v>
      </c>
      <c r="E108" s="358">
        <v>0</v>
      </c>
      <c r="F108" s="358">
        <v>0</v>
      </c>
      <c r="G108" s="358">
        <v>0</v>
      </c>
      <c r="H108" s="358">
        <v>-71336.460000000006</v>
      </c>
      <c r="I108" s="358">
        <v>0</v>
      </c>
      <c r="J108" s="358">
        <f>SUM(B108:I108)</f>
        <v>-71336.460000000006</v>
      </c>
    </row>
    <row r="109" spans="1:10">
      <c r="A109" s="354" t="s">
        <v>43</v>
      </c>
      <c r="B109" s="358">
        <v>0</v>
      </c>
      <c r="C109" s="358">
        <v>0</v>
      </c>
      <c r="D109" s="358">
        <v>0</v>
      </c>
      <c r="E109" s="358">
        <v>0</v>
      </c>
      <c r="F109" s="358">
        <v>0</v>
      </c>
      <c r="G109" s="358">
        <v>0</v>
      </c>
      <c r="H109" s="358">
        <v>-199056.12</v>
      </c>
      <c r="I109" s="358">
        <v>0</v>
      </c>
      <c r="J109" s="358">
        <f>SUM(B109:I109)</f>
        <v>-199056.12</v>
      </c>
    </row>
    <row r="110" spans="1:10">
      <c r="A110" s="356" t="s">
        <v>45</v>
      </c>
      <c r="B110" s="363">
        <f t="shared" ref="B110:J110" si="24">SUM(B108:B109)</f>
        <v>0</v>
      </c>
      <c r="C110" s="363">
        <f t="shared" si="24"/>
        <v>0</v>
      </c>
      <c r="D110" s="363">
        <f t="shared" si="24"/>
        <v>0</v>
      </c>
      <c r="E110" s="363">
        <f t="shared" si="24"/>
        <v>0</v>
      </c>
      <c r="F110" s="363">
        <f t="shared" si="24"/>
        <v>0</v>
      </c>
      <c r="G110" s="363">
        <f t="shared" si="24"/>
        <v>0</v>
      </c>
      <c r="H110" s="363">
        <f t="shared" si="24"/>
        <v>-270392.58</v>
      </c>
      <c r="I110" s="363">
        <f t="shared" si="24"/>
        <v>0</v>
      </c>
      <c r="J110" s="363">
        <f t="shared" si="24"/>
        <v>-270392.58</v>
      </c>
    </row>
    <row r="111" spans="1:10">
      <c r="A111" s="355" t="s">
        <v>739</v>
      </c>
      <c r="B111" s="362"/>
      <c r="C111" s="362"/>
      <c r="D111" s="362"/>
      <c r="E111" s="362"/>
      <c r="F111" s="362"/>
      <c r="G111" s="362"/>
      <c r="H111" s="362"/>
      <c r="I111" s="362"/>
      <c r="J111" s="362"/>
    </row>
    <row r="112" spans="1:10">
      <c r="A112" s="354" t="s">
        <v>37</v>
      </c>
      <c r="B112" s="358">
        <v>0</v>
      </c>
      <c r="C112" s="358">
        <v>0</v>
      </c>
      <c r="D112" s="358">
        <v>0</v>
      </c>
      <c r="E112" s="358">
        <v>0</v>
      </c>
      <c r="F112" s="358">
        <v>0</v>
      </c>
      <c r="G112" s="358">
        <v>-210.66</v>
      </c>
      <c r="H112" s="358">
        <v>-1862.78</v>
      </c>
      <c r="I112" s="358">
        <v>-21630.19</v>
      </c>
      <c r="J112" s="358">
        <f>SUM(B112:I112)</f>
        <v>-23703.629999999997</v>
      </c>
    </row>
    <row r="113" spans="1:10">
      <c r="A113" s="354" t="s">
        <v>38</v>
      </c>
      <c r="B113" s="358">
        <v>0</v>
      </c>
      <c r="C113" s="358">
        <v>0</v>
      </c>
      <c r="D113" s="358">
        <v>0</v>
      </c>
      <c r="E113" s="358">
        <v>0</v>
      </c>
      <c r="F113" s="358">
        <v>0</v>
      </c>
      <c r="G113" s="358">
        <v>0</v>
      </c>
      <c r="H113" s="358">
        <v>0</v>
      </c>
      <c r="I113" s="358">
        <v>-426.88</v>
      </c>
      <c r="J113" s="358">
        <f>SUM(B113:I113)</f>
        <v>-426.88</v>
      </c>
    </row>
    <row r="114" spans="1:10">
      <c r="A114" s="356" t="s">
        <v>741</v>
      </c>
      <c r="B114" s="363">
        <f t="shared" ref="B114:J114" si="25">SUM(B112:B113)</f>
        <v>0</v>
      </c>
      <c r="C114" s="363">
        <f t="shared" si="25"/>
        <v>0</v>
      </c>
      <c r="D114" s="363">
        <f t="shared" si="25"/>
        <v>0</v>
      </c>
      <c r="E114" s="363">
        <f t="shared" si="25"/>
        <v>0</v>
      </c>
      <c r="F114" s="363">
        <f t="shared" si="25"/>
        <v>0</v>
      </c>
      <c r="G114" s="363">
        <f t="shared" si="25"/>
        <v>-210.66</v>
      </c>
      <c r="H114" s="363">
        <f t="shared" si="25"/>
        <v>-1862.78</v>
      </c>
      <c r="I114" s="363">
        <f t="shared" si="25"/>
        <v>-22057.07</v>
      </c>
      <c r="J114" s="363">
        <f t="shared" si="25"/>
        <v>-24130.51</v>
      </c>
    </row>
    <row r="115" spans="1:10">
      <c r="A115" s="355" t="s">
        <v>39</v>
      </c>
      <c r="B115" s="362"/>
      <c r="C115" s="362"/>
      <c r="D115" s="362"/>
      <c r="E115" s="362"/>
      <c r="F115" s="362"/>
      <c r="G115" s="362"/>
      <c r="H115" s="362"/>
      <c r="I115" s="362"/>
      <c r="J115" s="362"/>
    </row>
    <row r="116" spans="1:10">
      <c r="A116" s="354" t="s">
        <v>40</v>
      </c>
      <c r="B116" s="358">
        <v>0</v>
      </c>
      <c r="C116" s="358">
        <v>0</v>
      </c>
      <c r="D116" s="358">
        <v>0</v>
      </c>
      <c r="E116" s="358">
        <v>0</v>
      </c>
      <c r="F116" s="358">
        <v>0</v>
      </c>
      <c r="G116" s="358">
        <v>0</v>
      </c>
      <c r="H116" s="358">
        <v>-3937.72</v>
      </c>
      <c r="I116" s="358">
        <v>-10150.43</v>
      </c>
      <c r="J116" s="358">
        <f>SUM(B116:I116)</f>
        <v>-14088.15</v>
      </c>
    </row>
    <row r="117" spans="1:10">
      <c r="A117" s="356" t="s">
        <v>41</v>
      </c>
      <c r="B117" s="363">
        <f t="shared" ref="B117:J117" si="26">SUM(B116)</f>
        <v>0</v>
      </c>
      <c r="C117" s="363">
        <f t="shared" si="26"/>
        <v>0</v>
      </c>
      <c r="D117" s="363">
        <f t="shared" si="26"/>
        <v>0</v>
      </c>
      <c r="E117" s="363">
        <f t="shared" si="26"/>
        <v>0</v>
      </c>
      <c r="F117" s="363">
        <f t="shared" si="26"/>
        <v>0</v>
      </c>
      <c r="G117" s="363">
        <f t="shared" si="26"/>
        <v>0</v>
      </c>
      <c r="H117" s="363">
        <f t="shared" si="26"/>
        <v>-3937.72</v>
      </c>
      <c r="I117" s="363">
        <f t="shared" si="26"/>
        <v>-10150.43</v>
      </c>
      <c r="J117" s="363">
        <f t="shared" si="26"/>
        <v>-14088.15</v>
      </c>
    </row>
    <row r="118" spans="1:10">
      <c r="A118" s="369" t="s">
        <v>50</v>
      </c>
      <c r="B118" s="363">
        <f t="shared" ref="B118:J118" si="27">SUM(B102,B106,B110,B114,B117)</f>
        <v>0</v>
      </c>
      <c r="C118" s="363">
        <f t="shared" si="27"/>
        <v>0</v>
      </c>
      <c r="D118" s="363">
        <f t="shared" si="27"/>
        <v>0</v>
      </c>
      <c r="E118" s="363">
        <f t="shared" si="27"/>
        <v>0</v>
      </c>
      <c r="F118" s="363">
        <f t="shared" si="27"/>
        <v>-102</v>
      </c>
      <c r="G118" s="363">
        <f t="shared" si="27"/>
        <v>-3564.36</v>
      </c>
      <c r="H118" s="363">
        <f t="shared" si="27"/>
        <v>-305815.19</v>
      </c>
      <c r="I118" s="363">
        <f t="shared" si="27"/>
        <v>-117532.19</v>
      </c>
      <c r="J118" s="363">
        <f t="shared" si="27"/>
        <v>-427013.74000000011</v>
      </c>
    </row>
    <row r="119" spans="1:10">
      <c r="A119" s="368" t="s">
        <v>83</v>
      </c>
      <c r="B119" s="362"/>
      <c r="C119" s="362"/>
      <c r="D119" s="362"/>
      <c r="E119" s="362"/>
      <c r="F119" s="362"/>
      <c r="G119" s="362"/>
      <c r="H119" s="362"/>
      <c r="I119" s="362"/>
      <c r="J119" s="362"/>
    </row>
    <row r="120" spans="1:10">
      <c r="A120" s="345" t="s">
        <v>98</v>
      </c>
      <c r="B120" s="358">
        <v>0</v>
      </c>
      <c r="C120" s="358">
        <v>0</v>
      </c>
      <c r="D120" s="358">
        <v>0</v>
      </c>
      <c r="E120" s="358">
        <v>0</v>
      </c>
      <c r="F120" s="358">
        <v>0</v>
      </c>
      <c r="G120" s="358">
        <v>-1121.52</v>
      </c>
      <c r="H120" s="358">
        <v>-22583.7</v>
      </c>
      <c r="I120" s="358">
        <v>0</v>
      </c>
      <c r="J120" s="358">
        <f>SUM(B120:I120)</f>
        <v>-23705.22</v>
      </c>
    </row>
    <row r="121" spans="1:10">
      <c r="A121" s="345" t="s">
        <v>99</v>
      </c>
      <c r="B121" s="358">
        <v>0</v>
      </c>
      <c r="C121" s="358">
        <v>0</v>
      </c>
      <c r="D121" s="358">
        <v>0</v>
      </c>
      <c r="E121" s="358">
        <v>0</v>
      </c>
      <c r="F121" s="358">
        <v>0</v>
      </c>
      <c r="G121" s="358">
        <v>0</v>
      </c>
      <c r="H121" s="358">
        <v>-3439.81</v>
      </c>
      <c r="I121" s="358">
        <v>0</v>
      </c>
      <c r="J121" s="358">
        <f>SUM(B121:I121)</f>
        <v>-3439.81</v>
      </c>
    </row>
    <row r="122" spans="1:10">
      <c r="A122" s="355" t="s">
        <v>84</v>
      </c>
      <c r="B122" s="362"/>
      <c r="C122" s="362"/>
      <c r="D122" s="362"/>
      <c r="E122" s="362"/>
      <c r="F122" s="362"/>
      <c r="G122" s="362"/>
      <c r="H122" s="362"/>
      <c r="I122" s="362"/>
      <c r="J122" s="362"/>
    </row>
    <row r="123" spans="1:10">
      <c r="A123" s="354" t="s">
        <v>85</v>
      </c>
      <c r="B123" s="358">
        <v>0</v>
      </c>
      <c r="C123" s="358">
        <v>0</v>
      </c>
      <c r="D123" s="358">
        <v>0</v>
      </c>
      <c r="E123" s="358">
        <v>0</v>
      </c>
      <c r="F123" s="358">
        <v>0</v>
      </c>
      <c r="G123" s="358">
        <v>0</v>
      </c>
      <c r="H123" s="358">
        <v>-215.61</v>
      </c>
      <c r="I123" s="358">
        <v>0</v>
      </c>
      <c r="J123" s="358">
        <f>SUM(B123:I123)</f>
        <v>-215.61</v>
      </c>
    </row>
    <row r="124" spans="1:10">
      <c r="A124" s="354" t="s">
        <v>86</v>
      </c>
      <c r="B124" s="358">
        <v>0</v>
      </c>
      <c r="C124" s="358">
        <v>0</v>
      </c>
      <c r="D124" s="358">
        <v>0</v>
      </c>
      <c r="E124" s="358">
        <v>0</v>
      </c>
      <c r="F124" s="358">
        <v>0</v>
      </c>
      <c r="G124" s="358">
        <v>0</v>
      </c>
      <c r="H124" s="358">
        <v>-1749.95</v>
      </c>
      <c r="I124" s="358">
        <v>553.13</v>
      </c>
      <c r="J124" s="358">
        <f>SUM(B124:I124)</f>
        <v>-1196.8200000000002</v>
      </c>
    </row>
    <row r="125" spans="1:10">
      <c r="A125" s="354" t="s">
        <v>87</v>
      </c>
      <c r="B125" s="358">
        <v>0</v>
      </c>
      <c r="C125" s="358">
        <v>0</v>
      </c>
      <c r="D125" s="358">
        <v>0</v>
      </c>
      <c r="E125" s="358">
        <v>0</v>
      </c>
      <c r="F125" s="358">
        <v>0</v>
      </c>
      <c r="G125" s="358">
        <v>0</v>
      </c>
      <c r="H125" s="358">
        <v>-92.15</v>
      </c>
      <c r="I125" s="358">
        <v>0</v>
      </c>
      <c r="J125" s="358">
        <f>SUM(B125:I125)</f>
        <v>-92.15</v>
      </c>
    </row>
    <row r="126" spans="1:10">
      <c r="A126" s="356" t="s">
        <v>88</v>
      </c>
      <c r="B126" s="363">
        <f t="shared" ref="B126:J126" si="28">SUM(B123:B125)</f>
        <v>0</v>
      </c>
      <c r="C126" s="363">
        <f t="shared" si="28"/>
        <v>0</v>
      </c>
      <c r="D126" s="363">
        <f t="shared" si="28"/>
        <v>0</v>
      </c>
      <c r="E126" s="363">
        <f t="shared" si="28"/>
        <v>0</v>
      </c>
      <c r="F126" s="363">
        <f t="shared" si="28"/>
        <v>0</v>
      </c>
      <c r="G126" s="363">
        <f t="shared" si="28"/>
        <v>0</v>
      </c>
      <c r="H126" s="363">
        <f t="shared" si="28"/>
        <v>-2057.71</v>
      </c>
      <c r="I126" s="363">
        <f t="shared" si="28"/>
        <v>553.13</v>
      </c>
      <c r="J126" s="363">
        <f t="shared" si="28"/>
        <v>-1504.5800000000004</v>
      </c>
    </row>
    <row r="127" spans="1:10">
      <c r="A127" s="369" t="s">
        <v>89</v>
      </c>
      <c r="B127" s="363">
        <f t="shared" ref="B127:J127" si="29">SUM(B120:B121,B126)</f>
        <v>0</v>
      </c>
      <c r="C127" s="363">
        <f t="shared" si="29"/>
        <v>0</v>
      </c>
      <c r="D127" s="363">
        <f t="shared" si="29"/>
        <v>0</v>
      </c>
      <c r="E127" s="363">
        <f t="shared" si="29"/>
        <v>0</v>
      </c>
      <c r="F127" s="363">
        <f t="shared" si="29"/>
        <v>0</v>
      </c>
      <c r="G127" s="363">
        <f t="shared" si="29"/>
        <v>-1121.52</v>
      </c>
      <c r="H127" s="363">
        <f t="shared" si="29"/>
        <v>-28081.22</v>
      </c>
      <c r="I127" s="363">
        <f t="shared" si="29"/>
        <v>553.13</v>
      </c>
      <c r="J127" s="363">
        <f t="shared" si="29"/>
        <v>-28649.610000000004</v>
      </c>
    </row>
    <row r="128" spans="1:10">
      <c r="A128" s="368" t="s">
        <v>80</v>
      </c>
      <c r="B128" s="362"/>
      <c r="C128" s="362"/>
      <c r="D128" s="362"/>
      <c r="E128" s="362"/>
      <c r="F128" s="362"/>
      <c r="G128" s="362"/>
      <c r="H128" s="362"/>
      <c r="I128" s="362"/>
      <c r="J128" s="362"/>
    </row>
    <row r="129" spans="1:11">
      <c r="A129" s="345" t="s">
        <v>102</v>
      </c>
      <c r="B129" s="358">
        <v>0</v>
      </c>
      <c r="C129" s="358">
        <v>0</v>
      </c>
      <c r="D129" s="358">
        <v>0</v>
      </c>
      <c r="E129" s="358">
        <v>0</v>
      </c>
      <c r="F129" s="358">
        <v>0</v>
      </c>
      <c r="G129" s="358">
        <v>0</v>
      </c>
      <c r="H129" s="358">
        <v>-123.97</v>
      </c>
      <c r="I129" s="358">
        <v>0</v>
      </c>
      <c r="J129" s="358">
        <f t="shared" ref="J129:J137" si="30">SUM(B129:I129)</f>
        <v>-123.97</v>
      </c>
    </row>
    <row r="130" spans="1:11">
      <c r="A130" s="345" t="s">
        <v>103</v>
      </c>
      <c r="B130" s="358">
        <v>0</v>
      </c>
      <c r="C130" s="358">
        <v>0</v>
      </c>
      <c r="D130" s="358">
        <v>0</v>
      </c>
      <c r="E130" s="358">
        <v>0</v>
      </c>
      <c r="F130" s="358">
        <v>0</v>
      </c>
      <c r="G130" s="358">
        <v>0</v>
      </c>
      <c r="H130" s="358">
        <v>123.97</v>
      </c>
      <c r="I130" s="358">
        <v>0</v>
      </c>
      <c r="J130" s="358">
        <f t="shared" si="30"/>
        <v>123.97</v>
      </c>
    </row>
    <row r="131" spans="1:11">
      <c r="A131" s="345" t="s">
        <v>104</v>
      </c>
      <c r="B131" s="358">
        <v>0</v>
      </c>
      <c r="C131" s="358">
        <v>0</v>
      </c>
      <c r="D131" s="358">
        <v>0</v>
      </c>
      <c r="E131" s="358">
        <v>0</v>
      </c>
      <c r="F131" s="358">
        <v>0</v>
      </c>
      <c r="G131" s="358">
        <v>0</v>
      </c>
      <c r="H131" s="358">
        <v>44.91</v>
      </c>
      <c r="I131" s="358">
        <v>0</v>
      </c>
      <c r="J131" s="358">
        <f t="shared" si="30"/>
        <v>44.91</v>
      </c>
    </row>
    <row r="132" spans="1:11">
      <c r="A132" s="345" t="s">
        <v>105</v>
      </c>
      <c r="B132" s="358">
        <v>0</v>
      </c>
      <c r="C132" s="358">
        <v>0</v>
      </c>
      <c r="D132" s="358">
        <v>0</v>
      </c>
      <c r="E132" s="358">
        <v>0</v>
      </c>
      <c r="F132" s="358">
        <v>0</v>
      </c>
      <c r="G132" s="358">
        <v>0</v>
      </c>
      <c r="H132" s="358">
        <v>-44.91</v>
      </c>
      <c r="I132" s="358">
        <v>0</v>
      </c>
      <c r="J132" s="358">
        <f t="shared" si="30"/>
        <v>-44.91</v>
      </c>
    </row>
    <row r="133" spans="1:11">
      <c r="A133" s="345" t="s">
        <v>106</v>
      </c>
      <c r="B133" s="358">
        <v>0</v>
      </c>
      <c r="C133" s="358">
        <v>0</v>
      </c>
      <c r="D133" s="358">
        <v>0</v>
      </c>
      <c r="E133" s="358">
        <v>0</v>
      </c>
      <c r="F133" s="358">
        <v>0</v>
      </c>
      <c r="G133" s="358">
        <v>0</v>
      </c>
      <c r="H133" s="358">
        <v>-1156.2</v>
      </c>
      <c r="I133" s="358">
        <v>0</v>
      </c>
      <c r="J133" s="358">
        <f t="shared" si="30"/>
        <v>-1156.2</v>
      </c>
    </row>
    <row r="134" spans="1:11">
      <c r="A134" s="345" t="s">
        <v>107</v>
      </c>
      <c r="B134" s="358">
        <v>0</v>
      </c>
      <c r="C134" s="358">
        <v>0</v>
      </c>
      <c r="D134" s="358">
        <v>0</v>
      </c>
      <c r="E134" s="358">
        <v>0</v>
      </c>
      <c r="F134" s="358">
        <v>0</v>
      </c>
      <c r="G134" s="358">
        <v>0</v>
      </c>
      <c r="H134" s="358">
        <v>1156.2</v>
      </c>
      <c r="I134" s="358">
        <v>0</v>
      </c>
      <c r="J134" s="358">
        <f t="shared" si="30"/>
        <v>1156.2</v>
      </c>
    </row>
    <row r="135" spans="1:11">
      <c r="A135" s="345" t="s">
        <v>108</v>
      </c>
      <c r="B135" s="358">
        <v>0</v>
      </c>
      <c r="C135" s="358">
        <v>0</v>
      </c>
      <c r="D135" s="358">
        <v>0</v>
      </c>
      <c r="E135" s="358">
        <v>0</v>
      </c>
      <c r="F135" s="358">
        <v>0</v>
      </c>
      <c r="G135" s="358">
        <v>0</v>
      </c>
      <c r="H135" s="358">
        <v>-1579.83</v>
      </c>
      <c r="I135" s="358">
        <v>0</v>
      </c>
      <c r="J135" s="358">
        <f t="shared" si="30"/>
        <v>-1579.83</v>
      </c>
    </row>
    <row r="136" spans="1:11">
      <c r="A136" s="345" t="s">
        <v>109</v>
      </c>
      <c r="B136" s="358">
        <v>0</v>
      </c>
      <c r="C136" s="358">
        <v>0</v>
      </c>
      <c r="D136" s="358">
        <v>0</v>
      </c>
      <c r="E136" s="358">
        <v>0</v>
      </c>
      <c r="F136" s="358">
        <v>0</v>
      </c>
      <c r="G136" s="358">
        <v>0</v>
      </c>
      <c r="H136" s="358">
        <v>1579.83</v>
      </c>
      <c r="I136" s="358">
        <v>0</v>
      </c>
      <c r="J136" s="358">
        <f t="shared" si="30"/>
        <v>1579.83</v>
      </c>
    </row>
    <row r="137" spans="1:11">
      <c r="A137" s="345" t="s">
        <v>566</v>
      </c>
      <c r="B137" s="358">
        <v>0</v>
      </c>
      <c r="C137" s="358">
        <v>0</v>
      </c>
      <c r="D137" s="358">
        <v>0</v>
      </c>
      <c r="E137" s="358">
        <v>0</v>
      </c>
      <c r="F137" s="358">
        <v>0</v>
      </c>
      <c r="G137" s="358">
        <v>-114.4</v>
      </c>
      <c r="H137" s="358">
        <v>-1507.46</v>
      </c>
      <c r="I137" s="358">
        <v>0</v>
      </c>
      <c r="J137" s="358">
        <f t="shared" si="30"/>
        <v>-1621.8600000000001</v>
      </c>
    </row>
    <row r="138" spans="1:11">
      <c r="A138" s="369" t="s">
        <v>82</v>
      </c>
      <c r="B138" s="363">
        <f t="shared" ref="B138:J138" si="31">SUM(B129:B137)</f>
        <v>0</v>
      </c>
      <c r="C138" s="363">
        <f t="shared" si="31"/>
        <v>0</v>
      </c>
      <c r="D138" s="363">
        <f t="shared" si="31"/>
        <v>0</v>
      </c>
      <c r="E138" s="363">
        <f t="shared" si="31"/>
        <v>0</v>
      </c>
      <c r="F138" s="363">
        <f t="shared" si="31"/>
        <v>0</v>
      </c>
      <c r="G138" s="363">
        <f t="shared" si="31"/>
        <v>-114.4</v>
      </c>
      <c r="H138" s="363">
        <f t="shared" si="31"/>
        <v>-1507.46</v>
      </c>
      <c r="I138" s="363">
        <f t="shared" si="31"/>
        <v>0</v>
      </c>
      <c r="J138" s="363">
        <f t="shared" si="31"/>
        <v>-1621.8600000000001</v>
      </c>
    </row>
    <row r="139" spans="1:11">
      <c r="A139" s="368" t="s">
        <v>51</v>
      </c>
      <c r="B139" s="362"/>
      <c r="C139" s="362"/>
      <c r="D139" s="362"/>
      <c r="E139" s="362"/>
      <c r="F139" s="362"/>
      <c r="G139" s="362"/>
      <c r="H139" s="362"/>
      <c r="I139" s="362"/>
      <c r="J139" s="362"/>
    </row>
    <row r="140" spans="1:11">
      <c r="A140" s="345" t="s">
        <v>110</v>
      </c>
      <c r="B140" s="358">
        <v>0</v>
      </c>
      <c r="C140" s="358">
        <v>0</v>
      </c>
      <c r="D140" s="358">
        <v>0</v>
      </c>
      <c r="E140" s="358">
        <v>0</v>
      </c>
      <c r="F140" s="358">
        <v>0</v>
      </c>
      <c r="G140" s="358">
        <v>0</v>
      </c>
      <c r="H140" s="358">
        <v>-1397.19</v>
      </c>
      <c r="I140" s="358">
        <v>0</v>
      </c>
      <c r="J140" s="358">
        <f>SUM(B140:I140)</f>
        <v>-1397.19</v>
      </c>
    </row>
    <row r="141" spans="1:11">
      <c r="A141" s="345" t="s">
        <v>52</v>
      </c>
      <c r="B141" s="358">
        <v>0</v>
      </c>
      <c r="C141" s="358">
        <v>0</v>
      </c>
      <c r="D141" s="358">
        <v>0</v>
      </c>
      <c r="E141" s="358">
        <v>0</v>
      </c>
      <c r="F141" s="358">
        <v>0</v>
      </c>
      <c r="G141" s="358">
        <v>-3.02</v>
      </c>
      <c r="H141" s="358">
        <v>0</v>
      </c>
      <c r="I141" s="358">
        <v>0</v>
      </c>
      <c r="J141" s="358">
        <f>SUM(B141:I141)</f>
        <v>-3.02</v>
      </c>
    </row>
    <row r="142" spans="1:11">
      <c r="A142" s="345" t="s">
        <v>111</v>
      </c>
      <c r="B142" s="358">
        <v>0</v>
      </c>
      <c r="C142" s="358">
        <v>0</v>
      </c>
      <c r="D142" s="358">
        <v>0</v>
      </c>
      <c r="E142" s="358">
        <v>0</v>
      </c>
      <c r="F142" s="358">
        <v>0</v>
      </c>
      <c r="G142" s="358">
        <v>0</v>
      </c>
      <c r="H142" s="358">
        <v>-3149.43</v>
      </c>
      <c r="I142" s="358">
        <v>0</v>
      </c>
      <c r="J142" s="358">
        <f>SUM(B142:I142)</f>
        <v>-3149.43</v>
      </c>
    </row>
    <row r="143" spans="1:11">
      <c r="A143" s="369" t="s">
        <v>54</v>
      </c>
      <c r="B143" s="363">
        <f t="shared" ref="B143:J143" si="32">SUM(B140:B142)</f>
        <v>0</v>
      </c>
      <c r="C143" s="363">
        <f t="shared" si="32"/>
        <v>0</v>
      </c>
      <c r="D143" s="363">
        <f t="shared" si="32"/>
        <v>0</v>
      </c>
      <c r="E143" s="363">
        <f t="shared" si="32"/>
        <v>0</v>
      </c>
      <c r="F143" s="363">
        <f t="shared" si="32"/>
        <v>0</v>
      </c>
      <c r="G143" s="363">
        <f t="shared" si="32"/>
        <v>-3.02</v>
      </c>
      <c r="H143" s="363">
        <f t="shared" si="32"/>
        <v>-4546.62</v>
      </c>
      <c r="I143" s="363">
        <f t="shared" si="32"/>
        <v>0</v>
      </c>
      <c r="J143" s="363">
        <f t="shared" si="32"/>
        <v>-4549.6399999999994</v>
      </c>
      <c r="K143">
        <v>2.2000000000000002</v>
      </c>
    </row>
    <row r="144" spans="1:11">
      <c r="A144" s="368" t="s">
        <v>77</v>
      </c>
      <c r="B144" s="362"/>
      <c r="C144" s="362"/>
      <c r="D144" s="362"/>
      <c r="E144" s="362"/>
      <c r="F144" s="362"/>
      <c r="G144" s="362"/>
      <c r="H144" s="362"/>
      <c r="I144" s="362"/>
      <c r="J144" s="362"/>
    </row>
    <row r="145" spans="1:10">
      <c r="A145" s="345" t="s">
        <v>78</v>
      </c>
      <c r="B145" s="358">
        <v>0</v>
      </c>
      <c r="C145" s="358">
        <v>0</v>
      </c>
      <c r="D145" s="358">
        <v>0</v>
      </c>
      <c r="E145" s="358">
        <v>0</v>
      </c>
      <c r="F145" s="358">
        <v>0</v>
      </c>
      <c r="G145" s="358">
        <v>0</v>
      </c>
      <c r="H145" s="358">
        <v>-11.53</v>
      </c>
      <c r="I145" s="358">
        <v>0</v>
      </c>
      <c r="J145" s="358">
        <f>SUM(B145:I145)</f>
        <v>-11.53</v>
      </c>
    </row>
    <row r="146" spans="1:10">
      <c r="A146" s="369" t="s">
        <v>79</v>
      </c>
      <c r="B146" s="363">
        <f t="shared" ref="B146:J146" si="33">SUM(B145)</f>
        <v>0</v>
      </c>
      <c r="C146" s="363">
        <f t="shared" si="33"/>
        <v>0</v>
      </c>
      <c r="D146" s="363">
        <f t="shared" si="33"/>
        <v>0</v>
      </c>
      <c r="E146" s="363">
        <f t="shared" si="33"/>
        <v>0</v>
      </c>
      <c r="F146" s="363">
        <f t="shared" si="33"/>
        <v>0</v>
      </c>
      <c r="G146" s="363">
        <f t="shared" si="33"/>
        <v>0</v>
      </c>
      <c r="H146" s="363">
        <f t="shared" si="33"/>
        <v>-11.53</v>
      </c>
      <c r="I146" s="363">
        <f t="shared" si="33"/>
        <v>0</v>
      </c>
      <c r="J146" s="363">
        <f t="shared" si="33"/>
        <v>-11.53</v>
      </c>
    </row>
    <row r="147" spans="1:10">
      <c r="A147" s="368" t="s">
        <v>123</v>
      </c>
      <c r="B147" s="362"/>
      <c r="C147" s="362"/>
      <c r="D147" s="362"/>
      <c r="E147" s="362"/>
      <c r="F147" s="362"/>
      <c r="G147" s="362"/>
      <c r="H147" s="362"/>
      <c r="I147" s="362"/>
      <c r="J147" s="362"/>
    </row>
    <row r="148" spans="1:10">
      <c r="A148" s="355" t="s">
        <v>124</v>
      </c>
      <c r="B148" s="362"/>
      <c r="C148" s="362"/>
      <c r="D148" s="362"/>
      <c r="E148" s="362"/>
      <c r="F148" s="362"/>
      <c r="G148" s="362"/>
      <c r="H148" s="362"/>
      <c r="I148" s="362"/>
      <c r="J148" s="362"/>
    </row>
    <row r="149" spans="1:10">
      <c r="A149" s="354" t="s">
        <v>125</v>
      </c>
      <c r="B149" s="358">
        <v>0</v>
      </c>
      <c r="C149" s="358">
        <v>0</v>
      </c>
      <c r="D149" s="358">
        <v>0</v>
      </c>
      <c r="E149" s="358">
        <v>0</v>
      </c>
      <c r="F149" s="358">
        <v>0</v>
      </c>
      <c r="G149" s="358">
        <v>0</v>
      </c>
      <c r="H149" s="358">
        <v>0</v>
      </c>
      <c r="I149" s="358">
        <v>-602.89</v>
      </c>
      <c r="J149" s="358">
        <f>SUM(B149:I149)</f>
        <v>-602.89</v>
      </c>
    </row>
    <row r="150" spans="1:10">
      <c r="A150" s="354" t="s">
        <v>126</v>
      </c>
      <c r="B150" s="358">
        <v>0</v>
      </c>
      <c r="C150" s="358">
        <v>0</v>
      </c>
      <c r="D150" s="358">
        <v>0</v>
      </c>
      <c r="E150" s="358">
        <v>0</v>
      </c>
      <c r="F150" s="358">
        <v>0</v>
      </c>
      <c r="G150" s="358">
        <v>0</v>
      </c>
      <c r="H150" s="358">
        <v>0</v>
      </c>
      <c r="I150" s="358">
        <v>-1106.56</v>
      </c>
      <c r="J150" s="358">
        <f>SUM(B150:I150)</f>
        <v>-1106.56</v>
      </c>
    </row>
    <row r="151" spans="1:10">
      <c r="A151" s="354" t="s">
        <v>128</v>
      </c>
      <c r="B151" s="358">
        <v>0</v>
      </c>
      <c r="C151" s="358">
        <v>0</v>
      </c>
      <c r="D151" s="358">
        <v>0</v>
      </c>
      <c r="E151" s="358">
        <v>0</v>
      </c>
      <c r="F151" s="358">
        <v>0</v>
      </c>
      <c r="G151" s="358">
        <v>0</v>
      </c>
      <c r="H151" s="358">
        <v>0</v>
      </c>
      <c r="I151" s="358">
        <v>-287.58</v>
      </c>
      <c r="J151" s="358">
        <f>SUM(B151:I151)</f>
        <v>-287.58</v>
      </c>
    </row>
    <row r="152" spans="1:10">
      <c r="A152" s="356" t="s">
        <v>130</v>
      </c>
      <c r="B152" s="363">
        <f t="shared" ref="B152:J152" si="34">SUM(B149:B151)</f>
        <v>0</v>
      </c>
      <c r="C152" s="363">
        <f t="shared" si="34"/>
        <v>0</v>
      </c>
      <c r="D152" s="363">
        <f t="shared" si="34"/>
        <v>0</v>
      </c>
      <c r="E152" s="363">
        <f t="shared" si="34"/>
        <v>0</v>
      </c>
      <c r="F152" s="363">
        <f t="shared" si="34"/>
        <v>0</v>
      </c>
      <c r="G152" s="363">
        <f t="shared" si="34"/>
        <v>0</v>
      </c>
      <c r="H152" s="363">
        <f t="shared" si="34"/>
        <v>0</v>
      </c>
      <c r="I152" s="363">
        <f t="shared" si="34"/>
        <v>-1997.0299999999997</v>
      </c>
      <c r="J152" s="363">
        <f t="shared" si="34"/>
        <v>-1997.0299999999997</v>
      </c>
    </row>
    <row r="153" spans="1:10">
      <c r="A153" s="369" t="s">
        <v>131</v>
      </c>
      <c r="B153" s="363">
        <f t="shared" ref="B153:J153" si="35">SUM(B152)</f>
        <v>0</v>
      </c>
      <c r="C153" s="363">
        <f t="shared" si="35"/>
        <v>0</v>
      </c>
      <c r="D153" s="363">
        <f t="shared" si="35"/>
        <v>0</v>
      </c>
      <c r="E153" s="363">
        <f t="shared" si="35"/>
        <v>0</v>
      </c>
      <c r="F153" s="363">
        <f t="shared" si="35"/>
        <v>0</v>
      </c>
      <c r="G153" s="363">
        <f t="shared" si="35"/>
        <v>0</v>
      </c>
      <c r="H153" s="363">
        <f t="shared" si="35"/>
        <v>0</v>
      </c>
      <c r="I153" s="363">
        <f t="shared" si="35"/>
        <v>-1997.0299999999997</v>
      </c>
      <c r="J153" s="363">
        <f t="shared" si="35"/>
        <v>-1997.0299999999997</v>
      </c>
    </row>
    <row r="154" spans="1:10">
      <c r="A154" s="368" t="s">
        <v>60</v>
      </c>
      <c r="B154" s="362"/>
      <c r="C154" s="362"/>
      <c r="D154" s="362"/>
      <c r="E154" s="362"/>
      <c r="F154" s="362"/>
      <c r="G154" s="362"/>
      <c r="H154" s="362"/>
      <c r="I154" s="362"/>
      <c r="J154" s="362"/>
    </row>
    <row r="155" spans="1:10">
      <c r="A155" s="355" t="s">
        <v>68</v>
      </c>
      <c r="B155" s="362"/>
      <c r="C155" s="362"/>
      <c r="D155" s="362"/>
      <c r="E155" s="362"/>
      <c r="F155" s="362"/>
      <c r="G155" s="362"/>
      <c r="H155" s="362"/>
      <c r="I155" s="362"/>
      <c r="J155" s="362"/>
    </row>
    <row r="156" spans="1:10">
      <c r="A156" s="354" t="s">
        <v>69</v>
      </c>
      <c r="B156" s="358">
        <v>0</v>
      </c>
      <c r="C156" s="358">
        <v>0</v>
      </c>
      <c r="D156" s="358">
        <v>0</v>
      </c>
      <c r="E156" s="358">
        <v>0</v>
      </c>
      <c r="F156" s="358">
        <v>0</v>
      </c>
      <c r="G156" s="358">
        <v>-540.6</v>
      </c>
      <c r="H156" s="358">
        <v>-4860.18</v>
      </c>
      <c r="I156" s="358">
        <v>-7976.23</v>
      </c>
      <c r="J156" s="358">
        <f>SUM(B156:I156)</f>
        <v>-13377.01</v>
      </c>
    </row>
    <row r="157" spans="1:10">
      <c r="A157" s="356" t="s">
        <v>70</v>
      </c>
      <c r="B157" s="363">
        <f t="shared" ref="B157:J157" si="36">SUM(B156)</f>
        <v>0</v>
      </c>
      <c r="C157" s="363">
        <f t="shared" si="36"/>
        <v>0</v>
      </c>
      <c r="D157" s="363">
        <f t="shared" si="36"/>
        <v>0</v>
      </c>
      <c r="E157" s="363">
        <f t="shared" si="36"/>
        <v>0</v>
      </c>
      <c r="F157" s="363">
        <f t="shared" si="36"/>
        <v>0</v>
      </c>
      <c r="G157" s="363">
        <f t="shared" si="36"/>
        <v>-540.6</v>
      </c>
      <c r="H157" s="363">
        <f t="shared" si="36"/>
        <v>-4860.18</v>
      </c>
      <c r="I157" s="363">
        <f t="shared" si="36"/>
        <v>-7976.23</v>
      </c>
      <c r="J157" s="363">
        <f t="shared" si="36"/>
        <v>-13377.01</v>
      </c>
    </row>
    <row r="158" spans="1:10">
      <c r="A158" s="355" t="s">
        <v>71</v>
      </c>
      <c r="B158" s="362"/>
      <c r="C158" s="362"/>
      <c r="D158" s="362"/>
      <c r="E158" s="362"/>
      <c r="F158" s="362"/>
      <c r="G158" s="362"/>
      <c r="H158" s="362"/>
      <c r="I158" s="362"/>
      <c r="J158" s="362"/>
    </row>
    <row r="159" spans="1:10">
      <c r="A159" s="354" t="s">
        <v>72</v>
      </c>
      <c r="B159" s="358">
        <v>0</v>
      </c>
      <c r="C159" s="358">
        <v>0</v>
      </c>
      <c r="D159" s="358">
        <v>0</v>
      </c>
      <c r="E159" s="358">
        <v>0</v>
      </c>
      <c r="F159" s="358">
        <v>0</v>
      </c>
      <c r="G159" s="358">
        <v>0</v>
      </c>
      <c r="H159" s="358">
        <v>-5039.67</v>
      </c>
      <c r="I159" s="358">
        <v>0</v>
      </c>
      <c r="J159" s="358">
        <f>SUM(B159:I159)</f>
        <v>-5039.67</v>
      </c>
    </row>
    <row r="160" spans="1:10">
      <c r="A160" s="354" t="s">
        <v>73</v>
      </c>
      <c r="B160" s="358">
        <v>0</v>
      </c>
      <c r="C160" s="358">
        <v>0</v>
      </c>
      <c r="D160" s="358">
        <v>0</v>
      </c>
      <c r="E160" s="358">
        <v>0</v>
      </c>
      <c r="F160" s="358">
        <v>0</v>
      </c>
      <c r="G160" s="358">
        <v>-1.1000000000000001</v>
      </c>
      <c r="H160" s="358">
        <v>0</v>
      </c>
      <c r="I160" s="358">
        <v>-134.33000000000001</v>
      </c>
      <c r="J160" s="358">
        <f>SUM(B160:I160)</f>
        <v>-135.43</v>
      </c>
    </row>
    <row r="161" spans="1:11">
      <c r="A161" s="354" t="s">
        <v>137</v>
      </c>
      <c r="B161" s="358">
        <v>0</v>
      </c>
      <c r="C161" s="358">
        <v>0</v>
      </c>
      <c r="D161" s="358">
        <v>0</v>
      </c>
      <c r="E161" s="358">
        <v>0</v>
      </c>
      <c r="F161" s="358">
        <v>0</v>
      </c>
      <c r="G161" s="358">
        <v>0</v>
      </c>
      <c r="H161" s="358">
        <v>-11.24</v>
      </c>
      <c r="I161" s="358">
        <v>0</v>
      </c>
      <c r="J161" s="358">
        <f>SUM(B161:I161)</f>
        <v>-11.24</v>
      </c>
    </row>
    <row r="162" spans="1:11">
      <c r="A162" s="354" t="s">
        <v>74</v>
      </c>
      <c r="B162" s="358">
        <v>0</v>
      </c>
      <c r="C162" s="358">
        <v>0</v>
      </c>
      <c r="D162" s="358">
        <v>0</v>
      </c>
      <c r="E162" s="358">
        <v>0</v>
      </c>
      <c r="F162" s="358">
        <v>0</v>
      </c>
      <c r="G162" s="358">
        <v>0</v>
      </c>
      <c r="H162" s="358">
        <v>-797.03</v>
      </c>
      <c r="I162" s="358">
        <v>-132.18</v>
      </c>
      <c r="J162" s="358">
        <f>SUM(B162:I162)</f>
        <v>-929.21</v>
      </c>
    </row>
    <row r="163" spans="1:11">
      <c r="A163" s="356" t="s">
        <v>75</v>
      </c>
      <c r="B163" s="363">
        <f t="shared" ref="B163:J163" si="37">SUM(B159:B162)</f>
        <v>0</v>
      </c>
      <c r="C163" s="363">
        <f t="shared" si="37"/>
        <v>0</v>
      </c>
      <c r="D163" s="363">
        <f t="shared" si="37"/>
        <v>0</v>
      </c>
      <c r="E163" s="363">
        <f t="shared" si="37"/>
        <v>0</v>
      </c>
      <c r="F163" s="363">
        <f t="shared" si="37"/>
        <v>0</v>
      </c>
      <c r="G163" s="363">
        <f t="shared" si="37"/>
        <v>-1.1000000000000001</v>
      </c>
      <c r="H163" s="363">
        <f t="shared" si="37"/>
        <v>-5847.94</v>
      </c>
      <c r="I163" s="363">
        <f t="shared" si="37"/>
        <v>-266.51</v>
      </c>
      <c r="J163" s="363">
        <f t="shared" si="37"/>
        <v>-6115.55</v>
      </c>
    </row>
    <row r="164" spans="1:11">
      <c r="A164" s="355" t="s">
        <v>64</v>
      </c>
      <c r="B164" s="362"/>
      <c r="C164" s="362"/>
      <c r="D164" s="362"/>
      <c r="E164" s="362"/>
      <c r="F164" s="362"/>
      <c r="G164" s="362"/>
      <c r="H164" s="362"/>
      <c r="I164" s="362"/>
      <c r="J164" s="362"/>
    </row>
    <row r="165" spans="1:11">
      <c r="A165" s="354" t="s">
        <v>66</v>
      </c>
      <c r="B165" s="358">
        <v>0</v>
      </c>
      <c r="C165" s="358">
        <v>0</v>
      </c>
      <c r="D165" s="358">
        <v>0</v>
      </c>
      <c r="E165" s="358">
        <v>0</v>
      </c>
      <c r="F165" s="358">
        <v>0</v>
      </c>
      <c r="G165" s="358">
        <v>-3.89</v>
      </c>
      <c r="H165" s="358">
        <v>-75.510000000000005</v>
      </c>
      <c r="I165" s="358">
        <v>-180.37</v>
      </c>
      <c r="J165" s="358">
        <f>SUM(B165:I165)</f>
        <v>-259.77</v>
      </c>
    </row>
    <row r="166" spans="1:11">
      <c r="A166" s="354" t="s">
        <v>65</v>
      </c>
      <c r="B166" s="358">
        <v>0</v>
      </c>
      <c r="C166" s="358">
        <v>0</v>
      </c>
      <c r="D166" s="358">
        <v>0</v>
      </c>
      <c r="E166" s="358">
        <v>0</v>
      </c>
      <c r="F166" s="358">
        <v>0</v>
      </c>
      <c r="G166" s="358">
        <v>0</v>
      </c>
      <c r="H166" s="358">
        <v>-74.5</v>
      </c>
      <c r="I166" s="358">
        <v>-649.98</v>
      </c>
      <c r="J166" s="358">
        <f>SUM(B166:I166)</f>
        <v>-724.48</v>
      </c>
    </row>
    <row r="167" spans="1:11">
      <c r="A167" s="356" t="s">
        <v>67</v>
      </c>
      <c r="B167" s="363">
        <f t="shared" ref="B167:J167" si="38">SUM(B165:B166)</f>
        <v>0</v>
      </c>
      <c r="C167" s="363">
        <f t="shared" si="38"/>
        <v>0</v>
      </c>
      <c r="D167" s="363">
        <f t="shared" si="38"/>
        <v>0</v>
      </c>
      <c r="E167" s="363">
        <f t="shared" si="38"/>
        <v>0</v>
      </c>
      <c r="F167" s="363">
        <f t="shared" si="38"/>
        <v>0</v>
      </c>
      <c r="G167" s="363">
        <f t="shared" si="38"/>
        <v>-3.89</v>
      </c>
      <c r="H167" s="363">
        <f t="shared" si="38"/>
        <v>-150.01</v>
      </c>
      <c r="I167" s="363">
        <f t="shared" si="38"/>
        <v>-830.35</v>
      </c>
      <c r="J167" s="363">
        <f t="shared" si="38"/>
        <v>-984.25</v>
      </c>
    </row>
    <row r="168" spans="1:11">
      <c r="A168" s="369" t="s">
        <v>76</v>
      </c>
      <c r="B168" s="363">
        <f t="shared" ref="B168:J168" si="39">SUM(B157,B163,B167)</f>
        <v>0</v>
      </c>
      <c r="C168" s="363">
        <f t="shared" si="39"/>
        <v>0</v>
      </c>
      <c r="D168" s="363">
        <f t="shared" si="39"/>
        <v>0</v>
      </c>
      <c r="E168" s="363">
        <f t="shared" si="39"/>
        <v>0</v>
      </c>
      <c r="F168" s="363">
        <f t="shared" si="39"/>
        <v>0</v>
      </c>
      <c r="G168" s="363">
        <f t="shared" si="39"/>
        <v>-545.59</v>
      </c>
      <c r="H168" s="363">
        <f t="shared" si="39"/>
        <v>-10858.13</v>
      </c>
      <c r="I168" s="363">
        <f t="shared" si="39"/>
        <v>-9073.09</v>
      </c>
      <c r="J168" s="363">
        <f t="shared" si="39"/>
        <v>-20476.810000000001</v>
      </c>
    </row>
    <row r="169" spans="1:11">
      <c r="A169" s="368" t="s">
        <v>55</v>
      </c>
      <c r="B169" s="362"/>
      <c r="C169" s="362"/>
      <c r="D169" s="362"/>
      <c r="E169" s="362"/>
      <c r="F169" s="362"/>
      <c r="G169" s="362"/>
      <c r="H169" s="362"/>
      <c r="I169" s="362"/>
      <c r="J169" s="362"/>
    </row>
    <row r="170" spans="1:11">
      <c r="A170" s="345" t="s">
        <v>56</v>
      </c>
      <c r="B170" s="358">
        <v>0</v>
      </c>
      <c r="C170" s="358">
        <v>0</v>
      </c>
      <c r="D170" s="358">
        <v>0</v>
      </c>
      <c r="E170" s="358">
        <v>0</v>
      </c>
      <c r="F170" s="358">
        <v>0</v>
      </c>
      <c r="G170" s="358">
        <v>0</v>
      </c>
      <c r="H170" s="358">
        <v>-955.46</v>
      </c>
      <c r="I170" s="358">
        <v>-155.01</v>
      </c>
      <c r="J170" s="358">
        <f>SUM(B170:I170)</f>
        <v>-1110.47</v>
      </c>
    </row>
    <row r="171" spans="1:11">
      <c r="A171" s="345" t="s">
        <v>58</v>
      </c>
      <c r="B171" s="358">
        <v>0</v>
      </c>
      <c r="C171" s="358">
        <v>0</v>
      </c>
      <c r="D171" s="358">
        <v>0</v>
      </c>
      <c r="E171" s="358">
        <v>0</v>
      </c>
      <c r="F171" s="358">
        <v>0</v>
      </c>
      <c r="G171" s="358">
        <v>-0.12</v>
      </c>
      <c r="H171" s="358">
        <v>-2.85</v>
      </c>
      <c r="I171" s="358">
        <v>0</v>
      </c>
      <c r="J171" s="358">
        <f>SUM(B171:I171)</f>
        <v>-2.97</v>
      </c>
    </row>
    <row r="172" spans="1:11">
      <c r="A172" s="345" t="s">
        <v>57</v>
      </c>
      <c r="B172" s="358">
        <v>0</v>
      </c>
      <c r="C172" s="358">
        <v>0</v>
      </c>
      <c r="D172" s="358">
        <v>0</v>
      </c>
      <c r="E172" s="358">
        <v>0</v>
      </c>
      <c r="F172" s="358">
        <v>0</v>
      </c>
      <c r="G172" s="358">
        <v>-0.7</v>
      </c>
      <c r="H172" s="358">
        <v>-44.54</v>
      </c>
      <c r="I172" s="358">
        <v>-33.89</v>
      </c>
      <c r="J172" s="358">
        <f>SUM(B172:I172)</f>
        <v>-79.13</v>
      </c>
    </row>
    <row r="173" spans="1:11">
      <c r="A173" s="369" t="s">
        <v>59</v>
      </c>
      <c r="B173" s="363">
        <f t="shared" ref="B173:J173" si="40">SUM(B170:B172)</f>
        <v>0</v>
      </c>
      <c r="C173" s="363">
        <f t="shared" si="40"/>
        <v>0</v>
      </c>
      <c r="D173" s="363">
        <f t="shared" si="40"/>
        <v>0</v>
      </c>
      <c r="E173" s="363">
        <f t="shared" si="40"/>
        <v>0</v>
      </c>
      <c r="F173" s="363">
        <f t="shared" si="40"/>
        <v>0</v>
      </c>
      <c r="G173" s="363">
        <f t="shared" si="40"/>
        <v>-0.82</v>
      </c>
      <c r="H173" s="363">
        <f t="shared" si="40"/>
        <v>-1002.85</v>
      </c>
      <c r="I173" s="363">
        <f t="shared" si="40"/>
        <v>-188.89999999999998</v>
      </c>
      <c r="J173" s="363">
        <f t="shared" si="40"/>
        <v>-1192.5700000000002</v>
      </c>
      <c r="K173">
        <v>2.2000000000000002</v>
      </c>
    </row>
    <row r="174" spans="1:11">
      <c r="A174" s="370" t="s">
        <v>749</v>
      </c>
      <c r="B174" s="363">
        <f t="shared" ref="B174:J174" si="41">SUM(B118,B127,B138,B143,B146,B153,B168,B173)</f>
        <v>0</v>
      </c>
      <c r="C174" s="363">
        <f t="shared" si="41"/>
        <v>0</v>
      </c>
      <c r="D174" s="363">
        <f t="shared" si="41"/>
        <v>0</v>
      </c>
      <c r="E174" s="363">
        <f t="shared" si="41"/>
        <v>0</v>
      </c>
      <c r="F174" s="363">
        <f t="shared" si="41"/>
        <v>-102</v>
      </c>
      <c r="G174" s="363">
        <f t="shared" si="41"/>
        <v>-5349.71</v>
      </c>
      <c r="H174" s="363">
        <f t="shared" si="41"/>
        <v>-351823.00000000006</v>
      </c>
      <c r="I174" s="363">
        <f t="shared" si="41"/>
        <v>-128238.07999999999</v>
      </c>
      <c r="J174" s="363">
        <f t="shared" si="41"/>
        <v>-485512.79000000015</v>
      </c>
    </row>
    <row r="175" spans="1:11">
      <c r="A175" s="371" t="s">
        <v>750</v>
      </c>
      <c r="B175" s="363">
        <f t="shared" ref="B175:J175" si="42">SUM(B87,B174)</f>
        <v>0</v>
      </c>
      <c r="C175" s="363">
        <f t="shared" si="42"/>
        <v>0</v>
      </c>
      <c r="D175" s="363">
        <f t="shared" si="42"/>
        <v>0</v>
      </c>
      <c r="E175" s="363">
        <f t="shared" si="42"/>
        <v>-71276.44</v>
      </c>
      <c r="F175" s="363">
        <f t="shared" si="42"/>
        <v>-20466.029999999995</v>
      </c>
      <c r="G175" s="363">
        <f t="shared" si="42"/>
        <v>-27322.1</v>
      </c>
      <c r="H175" s="363">
        <f t="shared" si="42"/>
        <v>-1072104.3799999999</v>
      </c>
      <c r="I175" s="363">
        <f t="shared" si="42"/>
        <v>-133042.18</v>
      </c>
      <c r="J175" s="363">
        <f t="shared" si="42"/>
        <v>-1324211.1299999999</v>
      </c>
    </row>
    <row r="176" spans="1:11">
      <c r="A176" s="372" t="s">
        <v>90</v>
      </c>
      <c r="B176" s="363">
        <f t="shared" ref="B176:J176" si="43">SUM(B175)</f>
        <v>0</v>
      </c>
      <c r="C176" s="363">
        <f t="shared" si="43"/>
        <v>0</v>
      </c>
      <c r="D176" s="363">
        <f t="shared" si="43"/>
        <v>0</v>
      </c>
      <c r="E176" s="363">
        <f t="shared" si="43"/>
        <v>-71276.44</v>
      </c>
      <c r="F176" s="363">
        <f t="shared" si="43"/>
        <v>-20466.029999999995</v>
      </c>
      <c r="G176" s="363">
        <f t="shared" si="43"/>
        <v>-27322.1</v>
      </c>
      <c r="H176" s="363">
        <f t="shared" si="43"/>
        <v>-1072104.3799999999</v>
      </c>
      <c r="I176" s="363">
        <f t="shared" si="43"/>
        <v>-133042.18</v>
      </c>
      <c r="J176" s="363">
        <f t="shared" si="43"/>
        <v>-1324211.1299999999</v>
      </c>
      <c r="K176">
        <v>2</v>
      </c>
    </row>
    <row r="177" spans="1:11">
      <c r="A177" s="351" t="s">
        <v>91</v>
      </c>
      <c r="B177" s="361">
        <f t="shared" ref="B177:J177" si="44">B24+B176</f>
        <v>0</v>
      </c>
      <c r="C177" s="361">
        <f t="shared" si="44"/>
        <v>0</v>
      </c>
      <c r="D177" s="361">
        <f t="shared" si="44"/>
        <v>0</v>
      </c>
      <c r="E177" s="361">
        <f t="shared" si="44"/>
        <v>-71276.44</v>
      </c>
      <c r="F177" s="361">
        <f t="shared" si="44"/>
        <v>-20466.029999999995</v>
      </c>
      <c r="G177" s="361">
        <f t="shared" si="44"/>
        <v>-27322.1</v>
      </c>
      <c r="H177" s="361">
        <f t="shared" si="44"/>
        <v>6641427.9099999992</v>
      </c>
      <c r="I177" s="361">
        <f t="shared" si="44"/>
        <v>-133042.18</v>
      </c>
      <c r="J177" s="361">
        <f t="shared" si="44"/>
        <v>6389321.1599999992</v>
      </c>
      <c r="K177">
        <v>3</v>
      </c>
    </row>
    <row r="178" spans="1:11">
      <c r="A178" s="373" t="s">
        <v>92</v>
      </c>
      <c r="B178" s="364" t="e">
        <f t="shared" ref="B178:J178" si="45">B177/B16*100</f>
        <v>#DIV/0!</v>
      </c>
      <c r="C178" s="364" t="e">
        <f t="shared" si="45"/>
        <v>#DIV/0!</v>
      </c>
      <c r="D178" s="364" t="e">
        <f t="shared" si="45"/>
        <v>#DIV/0!</v>
      </c>
      <c r="E178" s="364" t="e">
        <f t="shared" si="45"/>
        <v>#DIV/0!</v>
      </c>
      <c r="F178" s="364" t="e">
        <f t="shared" si="45"/>
        <v>#DIV/0!</v>
      </c>
      <c r="G178" s="364" t="e">
        <f t="shared" si="45"/>
        <v>#DIV/0!</v>
      </c>
      <c r="H178" s="364">
        <f t="shared" si="45"/>
        <v>70.160652291493903</v>
      </c>
      <c r="I178" s="364" t="e">
        <f t="shared" si="45"/>
        <v>#DIV/0!</v>
      </c>
      <c r="J178" s="364">
        <f t="shared" si="45"/>
        <v>67.497373510667913</v>
      </c>
    </row>
    <row r="179" spans="1:11">
      <c r="A179" s="367" t="s">
        <v>93</v>
      </c>
      <c r="B179" s="362"/>
      <c r="C179" s="362"/>
      <c r="D179" s="362"/>
      <c r="E179" s="362"/>
      <c r="F179" s="362"/>
      <c r="G179" s="362"/>
      <c r="H179" s="362"/>
      <c r="I179" s="362"/>
      <c r="J179" s="362"/>
    </row>
    <row r="180" spans="1:11">
      <c r="A180" s="352" t="s">
        <v>94</v>
      </c>
      <c r="B180" s="362"/>
      <c r="C180" s="362"/>
      <c r="D180" s="362"/>
      <c r="E180" s="362"/>
      <c r="F180" s="362"/>
      <c r="G180" s="362"/>
      <c r="H180" s="362"/>
      <c r="I180" s="362"/>
      <c r="J180" s="362"/>
      <c r="K180">
        <v>4.0999999999999996</v>
      </c>
    </row>
    <row r="181" spans="1:11">
      <c r="A181" s="353" t="s">
        <v>83</v>
      </c>
      <c r="B181" s="362"/>
      <c r="C181" s="362"/>
      <c r="D181" s="362"/>
      <c r="E181" s="362"/>
      <c r="F181" s="362"/>
      <c r="G181" s="362"/>
      <c r="H181" s="362"/>
      <c r="I181" s="362"/>
      <c r="J181" s="362"/>
    </row>
    <row r="182" spans="1:11">
      <c r="A182" s="368" t="s">
        <v>84</v>
      </c>
      <c r="B182" s="362"/>
      <c r="C182" s="362"/>
      <c r="D182" s="362"/>
      <c r="E182" s="362"/>
      <c r="F182" s="362"/>
      <c r="G182" s="362"/>
      <c r="H182" s="362"/>
      <c r="I182" s="362"/>
      <c r="J182" s="362"/>
    </row>
    <row r="183" spans="1:11">
      <c r="A183" s="345" t="s">
        <v>86</v>
      </c>
      <c r="B183" s="358">
        <v>0</v>
      </c>
      <c r="C183" s="358">
        <v>0</v>
      </c>
      <c r="D183" s="358">
        <v>0</v>
      </c>
      <c r="E183" s="358">
        <v>0</v>
      </c>
      <c r="F183" s="358">
        <v>0</v>
      </c>
      <c r="G183" s="358">
        <v>0</v>
      </c>
      <c r="H183" s="358">
        <v>0</v>
      </c>
      <c r="I183" s="358">
        <v>0.04</v>
      </c>
      <c r="J183" s="358">
        <f>SUM(B183:I183)</f>
        <v>0.04</v>
      </c>
    </row>
    <row r="184" spans="1:11">
      <c r="A184" s="369" t="s">
        <v>88</v>
      </c>
      <c r="B184" s="363">
        <f t="shared" ref="B184:J185" si="46">SUM(B183)</f>
        <v>0</v>
      </c>
      <c r="C184" s="363">
        <f t="shared" si="46"/>
        <v>0</v>
      </c>
      <c r="D184" s="363">
        <f t="shared" si="46"/>
        <v>0</v>
      </c>
      <c r="E184" s="363">
        <f t="shared" si="46"/>
        <v>0</v>
      </c>
      <c r="F184" s="363">
        <f t="shared" si="46"/>
        <v>0</v>
      </c>
      <c r="G184" s="363">
        <f t="shared" si="46"/>
        <v>0</v>
      </c>
      <c r="H184" s="363">
        <f t="shared" si="46"/>
        <v>0</v>
      </c>
      <c r="I184" s="363">
        <f t="shared" si="46"/>
        <v>0.04</v>
      </c>
      <c r="J184" s="363">
        <f t="shared" si="46"/>
        <v>0.04</v>
      </c>
    </row>
    <row r="185" spans="1:11">
      <c r="A185" s="370" t="s">
        <v>89</v>
      </c>
      <c r="B185" s="363">
        <f t="shared" si="46"/>
        <v>0</v>
      </c>
      <c r="C185" s="363">
        <f t="shared" si="46"/>
        <v>0</v>
      </c>
      <c r="D185" s="363">
        <f t="shared" si="46"/>
        <v>0</v>
      </c>
      <c r="E185" s="363">
        <f t="shared" si="46"/>
        <v>0</v>
      </c>
      <c r="F185" s="363">
        <f t="shared" si="46"/>
        <v>0</v>
      </c>
      <c r="G185" s="363">
        <f t="shared" si="46"/>
        <v>0</v>
      </c>
      <c r="H185" s="363">
        <f t="shared" si="46"/>
        <v>0</v>
      </c>
      <c r="I185" s="363">
        <f t="shared" si="46"/>
        <v>0.04</v>
      </c>
      <c r="J185" s="363">
        <f t="shared" si="46"/>
        <v>0.04</v>
      </c>
    </row>
    <row r="186" spans="1:11">
      <c r="A186" s="353" t="s">
        <v>80</v>
      </c>
      <c r="B186" s="362"/>
      <c r="C186" s="362"/>
      <c r="D186" s="362"/>
      <c r="E186" s="362"/>
      <c r="F186" s="362"/>
      <c r="G186" s="362"/>
      <c r="H186" s="362"/>
      <c r="I186" s="362"/>
      <c r="J186" s="362"/>
    </row>
    <row r="187" spans="1:11">
      <c r="A187" s="340" t="s">
        <v>81</v>
      </c>
      <c r="B187" s="358">
        <v>0</v>
      </c>
      <c r="C187" s="358">
        <v>0</v>
      </c>
      <c r="D187" s="358">
        <v>0</v>
      </c>
      <c r="E187" s="358">
        <v>0</v>
      </c>
      <c r="F187" s="358">
        <v>0</v>
      </c>
      <c r="G187" s="358">
        <v>0</v>
      </c>
      <c r="H187" s="358">
        <v>788.36</v>
      </c>
      <c r="I187" s="358">
        <v>0</v>
      </c>
      <c r="J187" s="358">
        <f>SUM(B187:I187)</f>
        <v>788.36</v>
      </c>
    </row>
    <row r="188" spans="1:11">
      <c r="A188" s="370" t="s">
        <v>82</v>
      </c>
      <c r="B188" s="363">
        <f t="shared" ref="B188:J188" si="47">SUM(B187)</f>
        <v>0</v>
      </c>
      <c r="C188" s="363">
        <f t="shared" si="47"/>
        <v>0</v>
      </c>
      <c r="D188" s="363">
        <f t="shared" si="47"/>
        <v>0</v>
      </c>
      <c r="E188" s="363">
        <f t="shared" si="47"/>
        <v>0</v>
      </c>
      <c r="F188" s="363">
        <f t="shared" si="47"/>
        <v>0</v>
      </c>
      <c r="G188" s="363">
        <f t="shared" si="47"/>
        <v>0</v>
      </c>
      <c r="H188" s="363">
        <f t="shared" si="47"/>
        <v>788.36</v>
      </c>
      <c r="I188" s="363">
        <f t="shared" si="47"/>
        <v>0</v>
      </c>
      <c r="J188" s="363">
        <f t="shared" si="47"/>
        <v>788.36</v>
      </c>
    </row>
    <row r="189" spans="1:11">
      <c r="A189" s="353" t="s">
        <v>51</v>
      </c>
      <c r="B189" s="362"/>
      <c r="C189" s="362"/>
      <c r="D189" s="362"/>
      <c r="E189" s="362"/>
      <c r="F189" s="362"/>
      <c r="G189" s="362"/>
      <c r="H189" s="362"/>
      <c r="I189" s="362"/>
      <c r="J189" s="362"/>
    </row>
    <row r="190" spans="1:11">
      <c r="A190" s="340" t="s">
        <v>52</v>
      </c>
      <c r="B190" s="358">
        <v>0</v>
      </c>
      <c r="C190" s="358">
        <v>0</v>
      </c>
      <c r="D190" s="358">
        <v>0</v>
      </c>
      <c r="E190" s="358">
        <v>0</v>
      </c>
      <c r="F190" s="358">
        <v>1256.3499999999999</v>
      </c>
      <c r="G190" s="358">
        <v>0</v>
      </c>
      <c r="H190" s="358">
        <v>0</v>
      </c>
      <c r="I190" s="358">
        <v>0</v>
      </c>
      <c r="J190" s="358">
        <f>SUM(B190:I190)</f>
        <v>1256.3499999999999</v>
      </c>
    </row>
    <row r="191" spans="1:11">
      <c r="A191" s="340" t="s">
        <v>751</v>
      </c>
      <c r="B191" s="358">
        <v>0</v>
      </c>
      <c r="C191" s="358">
        <v>0</v>
      </c>
      <c r="D191" s="358">
        <v>0</v>
      </c>
      <c r="E191" s="358">
        <v>0</v>
      </c>
      <c r="F191" s="358">
        <v>0.01</v>
      </c>
      <c r="G191" s="358">
        <v>0</v>
      </c>
      <c r="H191" s="358">
        <v>0</v>
      </c>
      <c r="I191" s="358">
        <v>0</v>
      </c>
      <c r="J191" s="358">
        <f>SUM(B191:I191)</f>
        <v>0.01</v>
      </c>
    </row>
    <row r="192" spans="1:11">
      <c r="A192" s="340" t="s">
        <v>752</v>
      </c>
      <c r="B192" s="358">
        <v>0</v>
      </c>
      <c r="C192" s="358">
        <v>0</v>
      </c>
      <c r="D192" s="358">
        <v>0</v>
      </c>
      <c r="E192" s="358">
        <v>0</v>
      </c>
      <c r="F192" s="358">
        <v>-1256.4100000000001</v>
      </c>
      <c r="G192" s="358">
        <v>0</v>
      </c>
      <c r="H192" s="358">
        <v>0</v>
      </c>
      <c r="I192" s="358">
        <v>0</v>
      </c>
      <c r="J192" s="358">
        <f>SUM(B192:I192)</f>
        <v>-1256.4100000000001</v>
      </c>
    </row>
    <row r="193" spans="1:10">
      <c r="A193" s="370" t="s">
        <v>54</v>
      </c>
      <c r="B193" s="363">
        <f t="shared" ref="B193:J193" si="48">SUM(B190:B192)</f>
        <v>0</v>
      </c>
      <c r="C193" s="363">
        <f t="shared" si="48"/>
        <v>0</v>
      </c>
      <c r="D193" s="363">
        <f t="shared" si="48"/>
        <v>0</v>
      </c>
      <c r="E193" s="363">
        <f t="shared" si="48"/>
        <v>0</v>
      </c>
      <c r="F193" s="363">
        <f t="shared" si="48"/>
        <v>-5.0000000000181899E-2</v>
      </c>
      <c r="G193" s="363">
        <f t="shared" si="48"/>
        <v>0</v>
      </c>
      <c r="H193" s="363">
        <f t="shared" si="48"/>
        <v>0</v>
      </c>
      <c r="I193" s="363">
        <f t="shared" si="48"/>
        <v>0</v>
      </c>
      <c r="J193" s="363">
        <f t="shared" si="48"/>
        <v>-5.0000000000181899E-2</v>
      </c>
    </row>
    <row r="194" spans="1:10">
      <c r="A194" s="353" t="s">
        <v>77</v>
      </c>
      <c r="B194" s="362"/>
      <c r="C194" s="362"/>
      <c r="D194" s="362"/>
      <c r="E194" s="362"/>
      <c r="F194" s="362"/>
      <c r="G194" s="362"/>
      <c r="H194" s="362"/>
      <c r="I194" s="362"/>
      <c r="J194" s="362"/>
    </row>
    <row r="195" spans="1:10">
      <c r="A195" s="340" t="s">
        <v>78</v>
      </c>
      <c r="B195" s="358">
        <v>0</v>
      </c>
      <c r="C195" s="358">
        <v>0</v>
      </c>
      <c r="D195" s="358">
        <v>0</v>
      </c>
      <c r="E195" s="358">
        <v>8.9499999999999993</v>
      </c>
      <c r="F195" s="358">
        <v>0</v>
      </c>
      <c r="G195" s="358">
        <v>0</v>
      </c>
      <c r="H195" s="358">
        <v>-579.26</v>
      </c>
      <c r="I195" s="358">
        <v>0</v>
      </c>
      <c r="J195" s="358">
        <f>SUM(B195:I195)</f>
        <v>-570.30999999999995</v>
      </c>
    </row>
    <row r="196" spans="1:10">
      <c r="A196" s="370" t="s">
        <v>79</v>
      </c>
      <c r="B196" s="363">
        <f t="shared" ref="B196:J196" si="49">SUM(B195)</f>
        <v>0</v>
      </c>
      <c r="C196" s="363">
        <f t="shared" si="49"/>
        <v>0</v>
      </c>
      <c r="D196" s="363">
        <f t="shared" si="49"/>
        <v>0</v>
      </c>
      <c r="E196" s="363">
        <f t="shared" si="49"/>
        <v>8.9499999999999993</v>
      </c>
      <c r="F196" s="363">
        <f t="shared" si="49"/>
        <v>0</v>
      </c>
      <c r="G196" s="363">
        <f t="shared" si="49"/>
        <v>0</v>
      </c>
      <c r="H196" s="363">
        <f t="shared" si="49"/>
        <v>-579.26</v>
      </c>
      <c r="I196" s="363">
        <f t="shared" si="49"/>
        <v>0</v>
      </c>
      <c r="J196" s="363">
        <f t="shared" si="49"/>
        <v>-570.30999999999995</v>
      </c>
    </row>
    <row r="197" spans="1:10">
      <c r="A197" s="353" t="s">
        <v>123</v>
      </c>
      <c r="B197" s="362"/>
      <c r="C197" s="362"/>
      <c r="D197" s="362"/>
      <c r="E197" s="362"/>
      <c r="F197" s="362"/>
      <c r="G197" s="362"/>
      <c r="H197" s="362"/>
      <c r="I197" s="362"/>
      <c r="J197" s="362"/>
    </row>
    <row r="198" spans="1:10">
      <c r="A198" s="368" t="s">
        <v>124</v>
      </c>
      <c r="B198" s="362"/>
      <c r="C198" s="362"/>
      <c r="D198" s="362"/>
      <c r="E198" s="362"/>
      <c r="F198" s="362"/>
      <c r="G198" s="362"/>
      <c r="H198" s="362"/>
      <c r="I198" s="362"/>
      <c r="J198" s="362"/>
    </row>
    <row r="199" spans="1:10">
      <c r="A199" s="345" t="s">
        <v>127</v>
      </c>
      <c r="B199" s="358">
        <v>0</v>
      </c>
      <c r="C199" s="358">
        <v>0</v>
      </c>
      <c r="D199" s="358">
        <v>0</v>
      </c>
      <c r="E199" s="358">
        <v>0</v>
      </c>
      <c r="F199" s="358">
        <v>0</v>
      </c>
      <c r="G199" s="358">
        <v>0</v>
      </c>
      <c r="H199" s="358">
        <v>154.27000000000001</v>
      </c>
      <c r="I199" s="358">
        <v>0</v>
      </c>
      <c r="J199" s="358">
        <f>SUM(B199:I199)</f>
        <v>154.27000000000001</v>
      </c>
    </row>
    <row r="200" spans="1:10">
      <c r="A200" s="345" t="s">
        <v>128</v>
      </c>
      <c r="B200" s="358">
        <v>0</v>
      </c>
      <c r="C200" s="358">
        <v>0</v>
      </c>
      <c r="D200" s="358">
        <v>0</v>
      </c>
      <c r="E200" s="358">
        <v>0</v>
      </c>
      <c r="F200" s="358">
        <v>0</v>
      </c>
      <c r="G200" s="358">
        <v>0</v>
      </c>
      <c r="H200" s="358">
        <v>119.13</v>
      </c>
      <c r="I200" s="358">
        <v>0</v>
      </c>
      <c r="J200" s="358">
        <f>SUM(B200:I200)</f>
        <v>119.13</v>
      </c>
    </row>
    <row r="201" spans="1:10">
      <c r="A201" s="369" t="s">
        <v>130</v>
      </c>
      <c r="B201" s="363">
        <f t="shared" ref="B201:J201" si="50">SUM(B199:B200)</f>
        <v>0</v>
      </c>
      <c r="C201" s="363">
        <f t="shared" si="50"/>
        <v>0</v>
      </c>
      <c r="D201" s="363">
        <f t="shared" si="50"/>
        <v>0</v>
      </c>
      <c r="E201" s="363">
        <f t="shared" si="50"/>
        <v>0</v>
      </c>
      <c r="F201" s="363">
        <f t="shared" si="50"/>
        <v>0</v>
      </c>
      <c r="G201" s="363">
        <f t="shared" si="50"/>
        <v>0</v>
      </c>
      <c r="H201" s="363">
        <f t="shared" si="50"/>
        <v>273.39999999999998</v>
      </c>
      <c r="I201" s="363">
        <f t="shared" si="50"/>
        <v>0</v>
      </c>
      <c r="J201" s="363">
        <f t="shared" si="50"/>
        <v>273.39999999999998</v>
      </c>
    </row>
    <row r="202" spans="1:10">
      <c r="A202" s="370" t="s">
        <v>131</v>
      </c>
      <c r="B202" s="363">
        <f t="shared" ref="B202:J202" si="51">SUM(B201)</f>
        <v>0</v>
      </c>
      <c r="C202" s="363">
        <f t="shared" si="51"/>
        <v>0</v>
      </c>
      <c r="D202" s="363">
        <f t="shared" si="51"/>
        <v>0</v>
      </c>
      <c r="E202" s="363">
        <f t="shared" si="51"/>
        <v>0</v>
      </c>
      <c r="F202" s="363">
        <f t="shared" si="51"/>
        <v>0</v>
      </c>
      <c r="G202" s="363">
        <f t="shared" si="51"/>
        <v>0</v>
      </c>
      <c r="H202" s="363">
        <f t="shared" si="51"/>
        <v>273.39999999999998</v>
      </c>
      <c r="I202" s="363">
        <f t="shared" si="51"/>
        <v>0</v>
      </c>
      <c r="J202" s="363">
        <f t="shared" si="51"/>
        <v>273.39999999999998</v>
      </c>
    </row>
    <row r="203" spans="1:10">
      <c r="A203" s="353" t="s">
        <v>60</v>
      </c>
      <c r="B203" s="362"/>
      <c r="C203" s="362"/>
      <c r="D203" s="362"/>
      <c r="E203" s="362"/>
      <c r="F203" s="362"/>
      <c r="G203" s="362"/>
      <c r="H203" s="362"/>
      <c r="I203" s="362"/>
      <c r="J203" s="362"/>
    </row>
    <row r="204" spans="1:10">
      <c r="A204" s="368" t="s">
        <v>68</v>
      </c>
      <c r="B204" s="362"/>
      <c r="C204" s="362"/>
      <c r="D204" s="362"/>
      <c r="E204" s="362"/>
      <c r="F204" s="362"/>
      <c r="G204" s="362"/>
      <c r="H204" s="362"/>
      <c r="I204" s="362"/>
      <c r="J204" s="362"/>
    </row>
    <row r="205" spans="1:10">
      <c r="A205" s="345" t="s">
        <v>69</v>
      </c>
      <c r="B205" s="358">
        <v>0</v>
      </c>
      <c r="C205" s="358">
        <v>0</v>
      </c>
      <c r="D205" s="358">
        <v>0</v>
      </c>
      <c r="E205" s="358">
        <v>7338.78</v>
      </c>
      <c r="F205" s="358">
        <v>0</v>
      </c>
      <c r="G205" s="358">
        <v>-7338.78</v>
      </c>
      <c r="H205" s="358">
        <v>0</v>
      </c>
      <c r="I205" s="358">
        <v>0</v>
      </c>
      <c r="J205" s="358">
        <f>SUM(B205:I205)</f>
        <v>0</v>
      </c>
    </row>
    <row r="206" spans="1:10">
      <c r="A206" s="345" t="s">
        <v>148</v>
      </c>
      <c r="B206" s="358">
        <v>0</v>
      </c>
      <c r="C206" s="358">
        <v>0</v>
      </c>
      <c r="D206" s="358">
        <v>0</v>
      </c>
      <c r="E206" s="358">
        <v>0</v>
      </c>
      <c r="F206" s="358">
        <v>0</v>
      </c>
      <c r="G206" s="358">
        <v>0</v>
      </c>
      <c r="H206" s="358">
        <v>102.65</v>
      </c>
      <c r="I206" s="358">
        <v>0</v>
      </c>
      <c r="J206" s="358">
        <f>SUM(B206:I206)</f>
        <v>102.65</v>
      </c>
    </row>
    <row r="207" spans="1:10">
      <c r="A207" s="369" t="s">
        <v>70</v>
      </c>
      <c r="B207" s="363">
        <f t="shared" ref="B207:J207" si="52">SUM(B205:B206)</f>
        <v>0</v>
      </c>
      <c r="C207" s="363">
        <f t="shared" si="52"/>
        <v>0</v>
      </c>
      <c r="D207" s="363">
        <f t="shared" si="52"/>
        <v>0</v>
      </c>
      <c r="E207" s="363">
        <f t="shared" si="52"/>
        <v>7338.78</v>
      </c>
      <c r="F207" s="363">
        <f t="shared" si="52"/>
        <v>0</v>
      </c>
      <c r="G207" s="363">
        <f t="shared" si="52"/>
        <v>-7338.78</v>
      </c>
      <c r="H207" s="363">
        <f t="shared" si="52"/>
        <v>102.65</v>
      </c>
      <c r="I207" s="363">
        <f t="shared" si="52"/>
        <v>0</v>
      </c>
      <c r="J207" s="363">
        <f t="shared" si="52"/>
        <v>102.65</v>
      </c>
    </row>
    <row r="208" spans="1:10">
      <c r="A208" s="368" t="s">
        <v>71</v>
      </c>
      <c r="B208" s="362"/>
      <c r="C208" s="362"/>
      <c r="D208" s="362"/>
      <c r="E208" s="362"/>
      <c r="F208" s="362"/>
      <c r="G208" s="362"/>
      <c r="H208" s="362"/>
      <c r="I208" s="362"/>
      <c r="J208" s="362"/>
    </row>
    <row r="209" spans="1:10">
      <c r="A209" s="345" t="s">
        <v>72</v>
      </c>
      <c r="B209" s="358">
        <v>0</v>
      </c>
      <c r="C209" s="358">
        <v>0</v>
      </c>
      <c r="D209" s="358">
        <v>0</v>
      </c>
      <c r="E209" s="358">
        <v>217.43</v>
      </c>
      <c r="F209" s="358">
        <v>-58.64</v>
      </c>
      <c r="G209" s="358">
        <v>0</v>
      </c>
      <c r="H209" s="358">
        <v>-635.79</v>
      </c>
      <c r="I209" s="358">
        <v>0</v>
      </c>
      <c r="J209" s="358">
        <f>SUM(B209:I209)</f>
        <v>-476.99999999999994</v>
      </c>
    </row>
    <row r="210" spans="1:10">
      <c r="A210" s="345" t="s">
        <v>73</v>
      </c>
      <c r="B210" s="358">
        <v>0</v>
      </c>
      <c r="C210" s="358">
        <v>0</v>
      </c>
      <c r="D210" s="358">
        <v>0</v>
      </c>
      <c r="E210" s="358">
        <v>0</v>
      </c>
      <c r="F210" s="358">
        <v>-56.37</v>
      </c>
      <c r="G210" s="358">
        <v>0</v>
      </c>
      <c r="H210" s="358">
        <v>0</v>
      </c>
      <c r="I210" s="358">
        <v>-82.51</v>
      </c>
      <c r="J210" s="358">
        <f>SUM(B210:I210)</f>
        <v>-138.88</v>
      </c>
    </row>
    <row r="211" spans="1:10">
      <c r="A211" s="369" t="s">
        <v>75</v>
      </c>
      <c r="B211" s="363">
        <f t="shared" ref="B211:J211" si="53">SUM(B209:B210)</f>
        <v>0</v>
      </c>
      <c r="C211" s="363">
        <f t="shared" si="53"/>
        <v>0</v>
      </c>
      <c r="D211" s="363">
        <f t="shared" si="53"/>
        <v>0</v>
      </c>
      <c r="E211" s="363">
        <f t="shared" si="53"/>
        <v>217.43</v>
      </c>
      <c r="F211" s="363">
        <f t="shared" si="53"/>
        <v>-115.00999999999999</v>
      </c>
      <c r="G211" s="363">
        <f t="shared" si="53"/>
        <v>0</v>
      </c>
      <c r="H211" s="363">
        <f t="shared" si="53"/>
        <v>-635.79</v>
      </c>
      <c r="I211" s="363">
        <f t="shared" si="53"/>
        <v>-82.51</v>
      </c>
      <c r="J211" s="363">
        <f t="shared" si="53"/>
        <v>-615.87999999999988</v>
      </c>
    </row>
    <row r="212" spans="1:10">
      <c r="A212" s="368" t="s">
        <v>64</v>
      </c>
      <c r="B212" s="362"/>
      <c r="C212" s="362"/>
      <c r="D212" s="362"/>
      <c r="E212" s="362"/>
      <c r="F212" s="362"/>
      <c r="G212" s="362"/>
      <c r="H212" s="362"/>
      <c r="I212" s="362"/>
      <c r="J212" s="362"/>
    </row>
    <row r="213" spans="1:10">
      <c r="A213" s="345" t="s">
        <v>66</v>
      </c>
      <c r="B213" s="358">
        <v>0</v>
      </c>
      <c r="C213" s="358">
        <v>0</v>
      </c>
      <c r="D213" s="358">
        <v>0</v>
      </c>
      <c r="E213" s="358">
        <v>0</v>
      </c>
      <c r="F213" s="358">
        <v>-22.15</v>
      </c>
      <c r="G213" s="358">
        <v>0</v>
      </c>
      <c r="H213" s="358">
        <v>22.15</v>
      </c>
      <c r="I213" s="358">
        <v>0</v>
      </c>
      <c r="J213" s="358">
        <f>SUM(B213:I213)</f>
        <v>0</v>
      </c>
    </row>
    <row r="214" spans="1:10">
      <c r="A214" s="345" t="s">
        <v>65</v>
      </c>
      <c r="B214" s="358">
        <v>0</v>
      </c>
      <c r="C214" s="358">
        <v>0</v>
      </c>
      <c r="D214" s="358">
        <v>0</v>
      </c>
      <c r="E214" s="358">
        <v>0</v>
      </c>
      <c r="F214" s="358">
        <v>-303.38</v>
      </c>
      <c r="G214" s="358">
        <v>112.99</v>
      </c>
      <c r="H214" s="358">
        <v>0</v>
      </c>
      <c r="I214" s="358">
        <v>-600.91999999999996</v>
      </c>
      <c r="J214" s="358">
        <f>SUM(B214:I214)</f>
        <v>-791.31</v>
      </c>
    </row>
    <row r="215" spans="1:10">
      <c r="A215" s="369" t="s">
        <v>67</v>
      </c>
      <c r="B215" s="363">
        <f t="shared" ref="B215:J215" si="54">SUM(B213:B214)</f>
        <v>0</v>
      </c>
      <c r="C215" s="363">
        <f t="shared" si="54"/>
        <v>0</v>
      </c>
      <c r="D215" s="363">
        <f t="shared" si="54"/>
        <v>0</v>
      </c>
      <c r="E215" s="363">
        <f t="shared" si="54"/>
        <v>0</v>
      </c>
      <c r="F215" s="363">
        <f t="shared" si="54"/>
        <v>-325.52999999999997</v>
      </c>
      <c r="G215" s="363">
        <f t="shared" si="54"/>
        <v>112.99</v>
      </c>
      <c r="H215" s="363">
        <f t="shared" si="54"/>
        <v>22.15</v>
      </c>
      <c r="I215" s="363">
        <f t="shared" si="54"/>
        <v>-600.91999999999996</v>
      </c>
      <c r="J215" s="363">
        <f t="shared" si="54"/>
        <v>-791.31</v>
      </c>
    </row>
    <row r="216" spans="1:10">
      <c r="A216" s="370" t="s">
        <v>76</v>
      </c>
      <c r="B216" s="363">
        <f t="shared" ref="B216:J216" si="55">SUM(B207,B211,B215)</f>
        <v>0</v>
      </c>
      <c r="C216" s="363">
        <f t="shared" si="55"/>
        <v>0</v>
      </c>
      <c r="D216" s="363">
        <f t="shared" si="55"/>
        <v>0</v>
      </c>
      <c r="E216" s="363">
        <f t="shared" si="55"/>
        <v>7556.21</v>
      </c>
      <c r="F216" s="363">
        <f t="shared" si="55"/>
        <v>-440.53999999999996</v>
      </c>
      <c r="G216" s="363">
        <f t="shared" si="55"/>
        <v>-7225.79</v>
      </c>
      <c r="H216" s="363">
        <f t="shared" si="55"/>
        <v>-510.99</v>
      </c>
      <c r="I216" s="363">
        <f t="shared" si="55"/>
        <v>-683.43</v>
      </c>
      <c r="J216" s="363">
        <f t="shared" si="55"/>
        <v>-1304.54</v>
      </c>
    </row>
    <row r="217" spans="1:10">
      <c r="A217" s="353" t="s">
        <v>55</v>
      </c>
      <c r="B217" s="362"/>
      <c r="C217" s="362"/>
      <c r="D217" s="362"/>
      <c r="E217" s="362"/>
      <c r="F217" s="362"/>
      <c r="G217" s="362"/>
      <c r="H217" s="362"/>
      <c r="I217" s="362"/>
      <c r="J217" s="362"/>
    </row>
    <row r="218" spans="1:10">
      <c r="A218" s="340" t="s">
        <v>56</v>
      </c>
      <c r="B218" s="358">
        <v>0</v>
      </c>
      <c r="C218" s="358">
        <v>0</v>
      </c>
      <c r="D218" s="358">
        <v>0</v>
      </c>
      <c r="E218" s="358">
        <v>0</v>
      </c>
      <c r="F218" s="358">
        <v>-0.01</v>
      </c>
      <c r="G218" s="358">
        <v>0</v>
      </c>
      <c r="H218" s="358">
        <v>0</v>
      </c>
      <c r="I218" s="358">
        <v>0</v>
      </c>
      <c r="J218" s="358">
        <f>SUM(B218:I218)</f>
        <v>-0.01</v>
      </c>
    </row>
    <row r="219" spans="1:10">
      <c r="A219" s="340" t="s">
        <v>58</v>
      </c>
      <c r="B219" s="358">
        <v>0</v>
      </c>
      <c r="C219" s="358">
        <v>0</v>
      </c>
      <c r="D219" s="358">
        <v>0</v>
      </c>
      <c r="E219" s="358">
        <v>0</v>
      </c>
      <c r="F219" s="358">
        <v>101.81</v>
      </c>
      <c r="G219" s="358">
        <v>6.04</v>
      </c>
      <c r="H219" s="358">
        <v>11.11</v>
      </c>
      <c r="I219" s="358">
        <v>0</v>
      </c>
      <c r="J219" s="358">
        <f>SUM(B219:I219)</f>
        <v>118.96000000000001</v>
      </c>
    </row>
    <row r="220" spans="1:10">
      <c r="A220" s="340" t="s">
        <v>57</v>
      </c>
      <c r="B220" s="358">
        <v>0</v>
      </c>
      <c r="C220" s="358">
        <v>0</v>
      </c>
      <c r="D220" s="358">
        <v>0</v>
      </c>
      <c r="E220" s="358">
        <v>0</v>
      </c>
      <c r="F220" s="358">
        <v>-52.4</v>
      </c>
      <c r="G220" s="358">
        <v>14.09</v>
      </c>
      <c r="H220" s="358">
        <v>0</v>
      </c>
      <c r="I220" s="358">
        <v>56.37</v>
      </c>
      <c r="J220" s="358">
        <f>SUM(B220:I220)</f>
        <v>18.059999999999995</v>
      </c>
    </row>
    <row r="221" spans="1:10">
      <c r="A221" s="370" t="s">
        <v>59</v>
      </c>
      <c r="B221" s="363">
        <f t="shared" ref="B221:J221" si="56">SUM(B218:B220)</f>
        <v>0</v>
      </c>
      <c r="C221" s="363">
        <f t="shared" si="56"/>
        <v>0</v>
      </c>
      <c r="D221" s="363">
        <f t="shared" si="56"/>
        <v>0</v>
      </c>
      <c r="E221" s="363">
        <f t="shared" si="56"/>
        <v>0</v>
      </c>
      <c r="F221" s="363">
        <f t="shared" si="56"/>
        <v>49.4</v>
      </c>
      <c r="G221" s="363">
        <f t="shared" si="56"/>
        <v>20.13</v>
      </c>
      <c r="H221" s="363">
        <f t="shared" si="56"/>
        <v>11.11</v>
      </c>
      <c r="I221" s="363">
        <f t="shared" si="56"/>
        <v>56.37</v>
      </c>
      <c r="J221" s="363">
        <f t="shared" si="56"/>
        <v>137.01</v>
      </c>
    </row>
    <row r="222" spans="1:10">
      <c r="A222" s="371" t="s">
        <v>95</v>
      </c>
      <c r="B222" s="363">
        <f t="shared" ref="B222:J222" si="57">SUM(B185,B188,B193,B196,B202,B216,B221)</f>
        <v>0</v>
      </c>
      <c r="C222" s="363">
        <f t="shared" si="57"/>
        <v>0</v>
      </c>
      <c r="D222" s="363">
        <f t="shared" si="57"/>
        <v>0</v>
      </c>
      <c r="E222" s="363">
        <f t="shared" si="57"/>
        <v>7565.16</v>
      </c>
      <c r="F222" s="363">
        <f t="shared" si="57"/>
        <v>-391.19000000000017</v>
      </c>
      <c r="G222" s="363">
        <f t="shared" si="57"/>
        <v>-7205.66</v>
      </c>
      <c r="H222" s="363">
        <f t="shared" si="57"/>
        <v>-17.38000000000001</v>
      </c>
      <c r="I222" s="363">
        <f t="shared" si="57"/>
        <v>-627.02</v>
      </c>
      <c r="J222" s="363">
        <f t="shared" si="57"/>
        <v>-676.09000000000015</v>
      </c>
    </row>
    <row r="223" spans="1:10">
      <c r="A223" s="352" t="s">
        <v>96</v>
      </c>
      <c r="B223" s="362"/>
      <c r="C223" s="362"/>
      <c r="D223" s="362"/>
      <c r="E223" s="362"/>
      <c r="F223" s="362"/>
      <c r="G223" s="362"/>
      <c r="H223" s="362"/>
      <c r="I223" s="362"/>
      <c r="J223" s="362"/>
    </row>
    <row r="224" spans="1:10">
      <c r="A224" s="353" t="s">
        <v>97</v>
      </c>
      <c r="B224" s="362"/>
      <c r="C224" s="362"/>
      <c r="D224" s="362"/>
      <c r="E224" s="362"/>
      <c r="F224" s="362"/>
      <c r="G224" s="362"/>
      <c r="H224" s="362"/>
      <c r="I224" s="362"/>
      <c r="J224" s="362"/>
    </row>
    <row r="225" spans="1:10">
      <c r="A225" s="368" t="s">
        <v>83</v>
      </c>
      <c r="B225" s="362"/>
      <c r="C225" s="362"/>
      <c r="D225" s="362"/>
      <c r="E225" s="362"/>
      <c r="F225" s="362"/>
      <c r="G225" s="362"/>
      <c r="H225" s="362"/>
      <c r="I225" s="362"/>
      <c r="J225" s="362"/>
    </row>
    <row r="226" spans="1:10">
      <c r="A226" s="345" t="s">
        <v>98</v>
      </c>
      <c r="B226" s="358">
        <v>0</v>
      </c>
      <c r="C226" s="358">
        <v>0</v>
      </c>
      <c r="D226" s="358">
        <v>0</v>
      </c>
      <c r="E226" s="358">
        <v>0</v>
      </c>
      <c r="F226" s="358">
        <v>1181513.76</v>
      </c>
      <c r="G226" s="358">
        <v>249230.83</v>
      </c>
      <c r="H226" s="358">
        <v>308769.55</v>
      </c>
      <c r="I226" s="358">
        <v>0</v>
      </c>
      <c r="J226" s="358">
        <f>SUM(B226:I226)</f>
        <v>1739514.1400000001</v>
      </c>
    </row>
    <row r="227" spans="1:10">
      <c r="A227" s="345" t="s">
        <v>99</v>
      </c>
      <c r="B227" s="358">
        <v>0</v>
      </c>
      <c r="C227" s="358">
        <v>0</v>
      </c>
      <c r="D227" s="358">
        <v>0</v>
      </c>
      <c r="E227" s="358">
        <v>0</v>
      </c>
      <c r="F227" s="358">
        <v>0</v>
      </c>
      <c r="G227" s="358">
        <v>0</v>
      </c>
      <c r="H227" s="358">
        <v>881.23</v>
      </c>
      <c r="I227" s="358">
        <v>0</v>
      </c>
      <c r="J227" s="358">
        <f>SUM(B227:I227)</f>
        <v>881.23</v>
      </c>
    </row>
    <row r="228" spans="1:10">
      <c r="A228" s="355" t="s">
        <v>84</v>
      </c>
      <c r="B228" s="362"/>
      <c r="C228" s="362"/>
      <c r="D228" s="362"/>
      <c r="E228" s="362"/>
      <c r="F228" s="362"/>
      <c r="G228" s="362"/>
      <c r="H228" s="362"/>
      <c r="I228" s="362"/>
      <c r="J228" s="362"/>
    </row>
    <row r="229" spans="1:10">
      <c r="A229" s="354" t="s">
        <v>85</v>
      </c>
      <c r="B229" s="358">
        <v>0</v>
      </c>
      <c r="C229" s="358">
        <v>0</v>
      </c>
      <c r="D229" s="358">
        <v>0</v>
      </c>
      <c r="E229" s="358">
        <v>0</v>
      </c>
      <c r="F229" s="358">
        <v>225.05</v>
      </c>
      <c r="G229" s="358">
        <v>0</v>
      </c>
      <c r="H229" s="358">
        <v>595.49</v>
      </c>
      <c r="I229" s="358">
        <v>0</v>
      </c>
      <c r="J229" s="358">
        <f>SUM(B229:I229)</f>
        <v>820.54</v>
      </c>
    </row>
    <row r="230" spans="1:10">
      <c r="A230" s="354" t="s">
        <v>100</v>
      </c>
      <c r="B230" s="358">
        <v>0</v>
      </c>
      <c r="C230" s="358">
        <v>0</v>
      </c>
      <c r="D230" s="358">
        <v>0</v>
      </c>
      <c r="E230" s="358">
        <v>0</v>
      </c>
      <c r="F230" s="358">
        <v>37.71</v>
      </c>
      <c r="G230" s="358">
        <v>0</v>
      </c>
      <c r="H230" s="358">
        <v>0</v>
      </c>
      <c r="I230" s="358">
        <v>0</v>
      </c>
      <c r="J230" s="358">
        <f>SUM(B230:I230)</f>
        <v>37.71</v>
      </c>
    </row>
    <row r="231" spans="1:10">
      <c r="A231" s="354" t="s">
        <v>86</v>
      </c>
      <c r="B231" s="358">
        <v>0</v>
      </c>
      <c r="C231" s="358">
        <v>0</v>
      </c>
      <c r="D231" s="358">
        <v>0</v>
      </c>
      <c r="E231" s="358">
        <v>0</v>
      </c>
      <c r="F231" s="358">
        <v>79.099999999999994</v>
      </c>
      <c r="G231" s="358">
        <v>0</v>
      </c>
      <c r="H231" s="358">
        <v>4895.62</v>
      </c>
      <c r="I231" s="358">
        <v>185.3</v>
      </c>
      <c r="J231" s="358">
        <f>SUM(B231:I231)</f>
        <v>5160.0200000000004</v>
      </c>
    </row>
    <row r="232" spans="1:10">
      <c r="A232" s="354" t="s">
        <v>101</v>
      </c>
      <c r="B232" s="358">
        <v>0</v>
      </c>
      <c r="C232" s="358">
        <v>0</v>
      </c>
      <c r="D232" s="358">
        <v>0</v>
      </c>
      <c r="E232" s="358">
        <v>0</v>
      </c>
      <c r="F232" s="358">
        <v>42</v>
      </c>
      <c r="G232" s="358">
        <v>0</v>
      </c>
      <c r="H232" s="358">
        <v>0</v>
      </c>
      <c r="I232" s="358">
        <v>0</v>
      </c>
      <c r="J232" s="358">
        <f>SUM(B232:I232)</f>
        <v>42</v>
      </c>
    </row>
    <row r="233" spans="1:10">
      <c r="A233" s="354" t="s">
        <v>87</v>
      </c>
      <c r="B233" s="358">
        <v>0</v>
      </c>
      <c r="C233" s="358">
        <v>0</v>
      </c>
      <c r="D233" s="358">
        <v>0</v>
      </c>
      <c r="E233" s="358">
        <v>0</v>
      </c>
      <c r="F233" s="358">
        <v>554.98</v>
      </c>
      <c r="G233" s="358">
        <v>400</v>
      </c>
      <c r="H233" s="358">
        <v>324.94</v>
      </c>
      <c r="I233" s="358">
        <v>0</v>
      </c>
      <c r="J233" s="358">
        <f>SUM(B233:I233)</f>
        <v>1279.92</v>
      </c>
    </row>
    <row r="234" spans="1:10">
      <c r="A234" s="356" t="s">
        <v>88</v>
      </c>
      <c r="B234" s="363">
        <f t="shared" ref="B234:J234" si="58">SUM(B229:B233)</f>
        <v>0</v>
      </c>
      <c r="C234" s="363">
        <f t="shared" si="58"/>
        <v>0</v>
      </c>
      <c r="D234" s="363">
        <f t="shared" si="58"/>
        <v>0</v>
      </c>
      <c r="E234" s="363">
        <f t="shared" si="58"/>
        <v>0</v>
      </c>
      <c r="F234" s="363">
        <f t="shared" si="58"/>
        <v>938.84</v>
      </c>
      <c r="G234" s="363">
        <f t="shared" si="58"/>
        <v>400</v>
      </c>
      <c r="H234" s="363">
        <f t="shared" si="58"/>
        <v>5816.0499999999993</v>
      </c>
      <c r="I234" s="363">
        <f t="shared" si="58"/>
        <v>185.3</v>
      </c>
      <c r="J234" s="363">
        <f t="shared" si="58"/>
        <v>7340.1900000000005</v>
      </c>
    </row>
    <row r="235" spans="1:10">
      <c r="A235" s="369" t="s">
        <v>89</v>
      </c>
      <c r="B235" s="363">
        <f t="shared" ref="B235:J235" si="59">SUM(B226:B227,B234)</f>
        <v>0</v>
      </c>
      <c r="C235" s="363">
        <f t="shared" si="59"/>
        <v>0</v>
      </c>
      <c r="D235" s="363">
        <f t="shared" si="59"/>
        <v>0</v>
      </c>
      <c r="E235" s="363">
        <f t="shared" si="59"/>
        <v>0</v>
      </c>
      <c r="F235" s="363">
        <f t="shared" si="59"/>
        <v>1182452.6000000001</v>
      </c>
      <c r="G235" s="363">
        <f t="shared" si="59"/>
        <v>249630.83</v>
      </c>
      <c r="H235" s="363">
        <f t="shared" si="59"/>
        <v>315466.82999999996</v>
      </c>
      <c r="I235" s="363">
        <f t="shared" si="59"/>
        <v>185.3</v>
      </c>
      <c r="J235" s="363">
        <f t="shared" si="59"/>
        <v>1747735.56</v>
      </c>
    </row>
    <row r="236" spans="1:10">
      <c r="A236" s="368" t="s">
        <v>80</v>
      </c>
      <c r="B236" s="362"/>
      <c r="C236" s="362"/>
      <c r="D236" s="362"/>
      <c r="E236" s="362"/>
      <c r="F236" s="362"/>
      <c r="G236" s="362"/>
      <c r="H236" s="362"/>
      <c r="I236" s="362"/>
      <c r="J236" s="362"/>
    </row>
    <row r="237" spans="1:10">
      <c r="A237" s="345" t="s">
        <v>102</v>
      </c>
      <c r="B237" s="358">
        <v>0</v>
      </c>
      <c r="C237" s="358">
        <v>0</v>
      </c>
      <c r="D237" s="358">
        <v>0</v>
      </c>
      <c r="E237" s="358">
        <v>0</v>
      </c>
      <c r="F237" s="358">
        <v>0</v>
      </c>
      <c r="G237" s="358">
        <v>0</v>
      </c>
      <c r="H237" s="358">
        <v>572.6</v>
      </c>
      <c r="I237" s="358">
        <v>0</v>
      </c>
      <c r="J237" s="358">
        <f t="shared" ref="J237:J245" si="60">SUM(B237:I237)</f>
        <v>572.6</v>
      </c>
    </row>
    <row r="238" spans="1:10">
      <c r="A238" s="345" t="s">
        <v>103</v>
      </c>
      <c r="B238" s="358">
        <v>0</v>
      </c>
      <c r="C238" s="358">
        <v>0</v>
      </c>
      <c r="D238" s="358">
        <v>0</v>
      </c>
      <c r="E238" s="358">
        <v>0</v>
      </c>
      <c r="F238" s="358">
        <v>0</v>
      </c>
      <c r="G238" s="358">
        <v>0</v>
      </c>
      <c r="H238" s="358">
        <v>-572.6</v>
      </c>
      <c r="I238" s="358">
        <v>0</v>
      </c>
      <c r="J238" s="358">
        <f t="shared" si="60"/>
        <v>-572.6</v>
      </c>
    </row>
    <row r="239" spans="1:10">
      <c r="A239" s="345" t="s">
        <v>104</v>
      </c>
      <c r="B239" s="358">
        <v>0</v>
      </c>
      <c r="C239" s="358">
        <v>0</v>
      </c>
      <c r="D239" s="358">
        <v>0</v>
      </c>
      <c r="E239" s="358">
        <v>0</v>
      </c>
      <c r="F239" s="358">
        <v>0</v>
      </c>
      <c r="G239" s="358">
        <v>0</v>
      </c>
      <c r="H239" s="358">
        <v>2158.29</v>
      </c>
      <c r="I239" s="358">
        <v>0</v>
      </c>
      <c r="J239" s="358">
        <f t="shared" si="60"/>
        <v>2158.29</v>
      </c>
    </row>
    <row r="240" spans="1:10">
      <c r="A240" s="345" t="s">
        <v>105</v>
      </c>
      <c r="B240" s="358">
        <v>0</v>
      </c>
      <c r="C240" s="358">
        <v>0</v>
      </c>
      <c r="D240" s="358">
        <v>0</v>
      </c>
      <c r="E240" s="358">
        <v>0</v>
      </c>
      <c r="F240" s="358">
        <v>0</v>
      </c>
      <c r="G240" s="358">
        <v>0</v>
      </c>
      <c r="H240" s="358">
        <v>-2158.29</v>
      </c>
      <c r="I240" s="358">
        <v>0</v>
      </c>
      <c r="J240" s="358">
        <f t="shared" si="60"/>
        <v>-2158.29</v>
      </c>
    </row>
    <row r="241" spans="1:10">
      <c r="A241" s="345" t="s">
        <v>106</v>
      </c>
      <c r="B241" s="358">
        <v>0</v>
      </c>
      <c r="C241" s="358">
        <v>0</v>
      </c>
      <c r="D241" s="358">
        <v>0</v>
      </c>
      <c r="E241" s="358">
        <v>0</v>
      </c>
      <c r="F241" s="358">
        <v>0</v>
      </c>
      <c r="G241" s="358">
        <v>0</v>
      </c>
      <c r="H241" s="358">
        <v>2263.37</v>
      </c>
      <c r="I241" s="358">
        <v>0</v>
      </c>
      <c r="J241" s="358">
        <f t="shared" si="60"/>
        <v>2263.37</v>
      </c>
    </row>
    <row r="242" spans="1:10">
      <c r="A242" s="345" t="s">
        <v>107</v>
      </c>
      <c r="B242" s="358">
        <v>0</v>
      </c>
      <c r="C242" s="358">
        <v>0</v>
      </c>
      <c r="D242" s="358">
        <v>0</v>
      </c>
      <c r="E242" s="358">
        <v>0</v>
      </c>
      <c r="F242" s="358">
        <v>0</v>
      </c>
      <c r="G242" s="358">
        <v>0</v>
      </c>
      <c r="H242" s="358">
        <v>-2263.37</v>
      </c>
      <c r="I242" s="358">
        <v>0</v>
      </c>
      <c r="J242" s="358">
        <f t="shared" si="60"/>
        <v>-2263.37</v>
      </c>
    </row>
    <row r="243" spans="1:10">
      <c r="A243" s="345" t="s">
        <v>108</v>
      </c>
      <c r="B243" s="358">
        <v>0</v>
      </c>
      <c r="C243" s="358">
        <v>0</v>
      </c>
      <c r="D243" s="358">
        <v>0</v>
      </c>
      <c r="E243" s="358">
        <v>0</v>
      </c>
      <c r="F243" s="358">
        <v>0</v>
      </c>
      <c r="G243" s="358">
        <v>0</v>
      </c>
      <c r="H243" s="358">
        <v>5094.33</v>
      </c>
      <c r="I243" s="358">
        <v>0</v>
      </c>
      <c r="J243" s="358">
        <f t="shared" si="60"/>
        <v>5094.33</v>
      </c>
    </row>
    <row r="244" spans="1:10">
      <c r="A244" s="345" t="s">
        <v>109</v>
      </c>
      <c r="B244" s="358">
        <v>0</v>
      </c>
      <c r="C244" s="358">
        <v>0</v>
      </c>
      <c r="D244" s="358">
        <v>0</v>
      </c>
      <c r="E244" s="358">
        <v>0</v>
      </c>
      <c r="F244" s="358">
        <v>0</v>
      </c>
      <c r="G244" s="358">
        <v>0</v>
      </c>
      <c r="H244" s="358">
        <v>-5094.33</v>
      </c>
      <c r="I244" s="358">
        <v>0</v>
      </c>
      <c r="J244" s="358">
        <f t="shared" si="60"/>
        <v>-5094.33</v>
      </c>
    </row>
    <row r="245" spans="1:10">
      <c r="A245" s="345" t="s">
        <v>566</v>
      </c>
      <c r="B245" s="358">
        <v>0</v>
      </c>
      <c r="C245" s="358">
        <v>0</v>
      </c>
      <c r="D245" s="358">
        <v>0</v>
      </c>
      <c r="E245" s="358">
        <v>0</v>
      </c>
      <c r="F245" s="358">
        <v>156106.94</v>
      </c>
      <c r="G245" s="358">
        <v>12911.5</v>
      </c>
      <c r="H245" s="358">
        <v>14708.7</v>
      </c>
      <c r="I245" s="358">
        <v>0</v>
      </c>
      <c r="J245" s="358">
        <f t="shared" si="60"/>
        <v>183727.14</v>
      </c>
    </row>
    <row r="246" spans="1:10">
      <c r="A246" s="369" t="s">
        <v>82</v>
      </c>
      <c r="B246" s="363">
        <f t="shared" ref="B246:J246" si="61">SUM(B237:B245)</f>
        <v>0</v>
      </c>
      <c r="C246" s="363">
        <f t="shared" si="61"/>
        <v>0</v>
      </c>
      <c r="D246" s="363">
        <f t="shared" si="61"/>
        <v>0</v>
      </c>
      <c r="E246" s="363">
        <f t="shared" si="61"/>
        <v>0</v>
      </c>
      <c r="F246" s="363">
        <f t="shared" si="61"/>
        <v>156106.94</v>
      </c>
      <c r="G246" s="363">
        <f t="shared" si="61"/>
        <v>12911.5</v>
      </c>
      <c r="H246" s="363">
        <f t="shared" si="61"/>
        <v>14708.7</v>
      </c>
      <c r="I246" s="363">
        <f t="shared" si="61"/>
        <v>0</v>
      </c>
      <c r="J246" s="363">
        <f t="shared" si="61"/>
        <v>183727.14</v>
      </c>
    </row>
    <row r="247" spans="1:10">
      <c r="A247" s="368" t="s">
        <v>51</v>
      </c>
      <c r="B247" s="362"/>
      <c r="C247" s="362"/>
      <c r="D247" s="362"/>
      <c r="E247" s="362"/>
      <c r="F247" s="362"/>
      <c r="G247" s="362"/>
      <c r="H247" s="362"/>
      <c r="I247" s="362"/>
      <c r="J247" s="362"/>
    </row>
    <row r="248" spans="1:10">
      <c r="A248" s="345" t="s">
        <v>110</v>
      </c>
      <c r="B248" s="358">
        <v>0</v>
      </c>
      <c r="C248" s="358">
        <v>0</v>
      </c>
      <c r="D248" s="358">
        <v>0</v>
      </c>
      <c r="E248" s="358">
        <v>0</v>
      </c>
      <c r="F248" s="358">
        <v>0</v>
      </c>
      <c r="G248" s="358">
        <v>0</v>
      </c>
      <c r="H248" s="358">
        <v>4684.1099999999997</v>
      </c>
      <c r="I248" s="358">
        <v>0</v>
      </c>
      <c r="J248" s="358">
        <f t="shared" ref="J248:J254" si="62">SUM(B248:I248)</f>
        <v>4684.1099999999997</v>
      </c>
    </row>
    <row r="249" spans="1:10">
      <c r="A249" s="345" t="s">
        <v>52</v>
      </c>
      <c r="B249" s="358">
        <v>0</v>
      </c>
      <c r="C249" s="358">
        <v>0</v>
      </c>
      <c r="D249" s="358">
        <v>0</v>
      </c>
      <c r="E249" s="358">
        <v>0</v>
      </c>
      <c r="F249" s="358">
        <v>4078.02</v>
      </c>
      <c r="G249" s="358">
        <v>3163.07</v>
      </c>
      <c r="H249" s="358">
        <v>0</v>
      </c>
      <c r="I249" s="358">
        <v>0</v>
      </c>
      <c r="J249" s="358">
        <f t="shared" si="62"/>
        <v>7241.09</v>
      </c>
    </row>
    <row r="250" spans="1:10">
      <c r="A250" s="345" t="s">
        <v>111</v>
      </c>
      <c r="B250" s="358">
        <v>0</v>
      </c>
      <c r="C250" s="358">
        <v>0</v>
      </c>
      <c r="D250" s="358">
        <v>0</v>
      </c>
      <c r="E250" s="358">
        <v>0</v>
      </c>
      <c r="F250" s="358">
        <v>27023.8</v>
      </c>
      <c r="G250" s="358">
        <v>9968.8700000000008</v>
      </c>
      <c r="H250" s="358">
        <v>23230.71</v>
      </c>
      <c r="I250" s="358">
        <v>0</v>
      </c>
      <c r="J250" s="358">
        <f t="shared" si="62"/>
        <v>60223.38</v>
      </c>
    </row>
    <row r="251" spans="1:10">
      <c r="A251" s="345" t="s">
        <v>112</v>
      </c>
      <c r="B251" s="358">
        <v>0</v>
      </c>
      <c r="C251" s="358">
        <v>0</v>
      </c>
      <c r="D251" s="358">
        <v>0</v>
      </c>
      <c r="E251" s="358">
        <v>0</v>
      </c>
      <c r="F251" s="358">
        <v>0</v>
      </c>
      <c r="G251" s="358">
        <v>0</v>
      </c>
      <c r="H251" s="358">
        <v>-21554.71</v>
      </c>
      <c r="I251" s="358">
        <v>0</v>
      </c>
      <c r="J251" s="358">
        <f t="shared" si="62"/>
        <v>-21554.71</v>
      </c>
    </row>
    <row r="252" spans="1:10">
      <c r="A252" s="345" t="s">
        <v>751</v>
      </c>
      <c r="B252" s="358">
        <v>0</v>
      </c>
      <c r="C252" s="358">
        <v>0</v>
      </c>
      <c r="D252" s="358">
        <v>0</v>
      </c>
      <c r="E252" s="358">
        <v>0</v>
      </c>
      <c r="F252" s="358">
        <v>6352.2</v>
      </c>
      <c r="G252" s="358">
        <v>0</v>
      </c>
      <c r="H252" s="358">
        <v>0</v>
      </c>
      <c r="I252" s="358">
        <v>0</v>
      </c>
      <c r="J252" s="358">
        <f t="shared" si="62"/>
        <v>6352.2</v>
      </c>
    </row>
    <row r="253" spans="1:10">
      <c r="A253" s="345" t="s">
        <v>753</v>
      </c>
      <c r="B253" s="358">
        <v>0</v>
      </c>
      <c r="C253" s="358">
        <v>0</v>
      </c>
      <c r="D253" s="358">
        <v>0</v>
      </c>
      <c r="E253" s="358">
        <v>0</v>
      </c>
      <c r="F253" s="358">
        <v>949.12</v>
      </c>
      <c r="G253" s="358">
        <v>0</v>
      </c>
      <c r="H253" s="358">
        <v>0</v>
      </c>
      <c r="I253" s="358">
        <v>0</v>
      </c>
      <c r="J253" s="358">
        <f t="shared" si="62"/>
        <v>949.12</v>
      </c>
    </row>
    <row r="254" spans="1:10">
      <c r="A254" s="345" t="s">
        <v>752</v>
      </c>
      <c r="B254" s="358">
        <v>0</v>
      </c>
      <c r="C254" s="358">
        <v>0</v>
      </c>
      <c r="D254" s="358">
        <v>0</v>
      </c>
      <c r="E254" s="358">
        <v>0</v>
      </c>
      <c r="F254" s="358">
        <v>1173.9000000000001</v>
      </c>
      <c r="G254" s="358">
        <v>0</v>
      </c>
      <c r="H254" s="358">
        <v>0</v>
      </c>
      <c r="I254" s="358">
        <v>0</v>
      </c>
      <c r="J254" s="358">
        <f t="shared" si="62"/>
        <v>1173.9000000000001</v>
      </c>
    </row>
    <row r="255" spans="1:10">
      <c r="A255" s="369" t="s">
        <v>54</v>
      </c>
      <c r="B255" s="363">
        <f t="shared" ref="B255:J255" si="63">SUM(B248:B254)</f>
        <v>0</v>
      </c>
      <c r="C255" s="363">
        <f t="shared" si="63"/>
        <v>0</v>
      </c>
      <c r="D255" s="363">
        <f t="shared" si="63"/>
        <v>0</v>
      </c>
      <c r="E255" s="363">
        <f t="shared" si="63"/>
        <v>0</v>
      </c>
      <c r="F255" s="363">
        <f t="shared" si="63"/>
        <v>39577.040000000001</v>
      </c>
      <c r="G255" s="363">
        <f t="shared" si="63"/>
        <v>13131.94</v>
      </c>
      <c r="H255" s="363">
        <f t="shared" si="63"/>
        <v>6360.1100000000006</v>
      </c>
      <c r="I255" s="363">
        <f t="shared" si="63"/>
        <v>0</v>
      </c>
      <c r="J255" s="363">
        <f t="shared" si="63"/>
        <v>59069.090000000004</v>
      </c>
    </row>
    <row r="256" spans="1:10">
      <c r="A256" s="368" t="s">
        <v>113</v>
      </c>
      <c r="B256" s="362"/>
      <c r="C256" s="362"/>
      <c r="D256" s="362"/>
      <c r="E256" s="362"/>
      <c r="F256" s="362"/>
      <c r="G256" s="362"/>
      <c r="H256" s="362"/>
      <c r="I256" s="362"/>
      <c r="J256" s="362"/>
    </row>
    <row r="257" spans="1:10">
      <c r="A257" s="345" t="s">
        <v>114</v>
      </c>
      <c r="B257" s="358">
        <v>0</v>
      </c>
      <c r="C257" s="358">
        <v>0</v>
      </c>
      <c r="D257" s="358">
        <v>0</v>
      </c>
      <c r="E257" s="358">
        <v>1392</v>
      </c>
      <c r="F257" s="358">
        <v>10409.959999999999</v>
      </c>
      <c r="G257" s="358">
        <v>1412</v>
      </c>
      <c r="H257" s="358">
        <v>16508.46</v>
      </c>
      <c r="I257" s="358">
        <v>226</v>
      </c>
      <c r="J257" s="358">
        <f>SUM(B257:I257)</f>
        <v>29948.42</v>
      </c>
    </row>
    <row r="258" spans="1:10">
      <c r="A258" s="369" t="s">
        <v>115</v>
      </c>
      <c r="B258" s="363">
        <f t="shared" ref="B258:J258" si="64">SUM(B257)</f>
        <v>0</v>
      </c>
      <c r="C258" s="363">
        <f t="shared" si="64"/>
        <v>0</v>
      </c>
      <c r="D258" s="363">
        <f t="shared" si="64"/>
        <v>0</v>
      </c>
      <c r="E258" s="363">
        <f t="shared" si="64"/>
        <v>1392</v>
      </c>
      <c r="F258" s="363">
        <f t="shared" si="64"/>
        <v>10409.959999999999</v>
      </c>
      <c r="G258" s="363">
        <f t="shared" si="64"/>
        <v>1412</v>
      </c>
      <c r="H258" s="363">
        <f t="shared" si="64"/>
        <v>16508.46</v>
      </c>
      <c r="I258" s="363">
        <f t="shared" si="64"/>
        <v>226</v>
      </c>
      <c r="J258" s="363">
        <f t="shared" si="64"/>
        <v>29948.42</v>
      </c>
    </row>
    <row r="259" spans="1:10">
      <c r="A259" s="368" t="s">
        <v>77</v>
      </c>
      <c r="B259" s="362"/>
      <c r="C259" s="362"/>
      <c r="D259" s="362"/>
      <c r="E259" s="362"/>
      <c r="F259" s="362"/>
      <c r="G259" s="362"/>
      <c r="H259" s="362"/>
      <c r="I259" s="362"/>
      <c r="J259" s="362"/>
    </row>
    <row r="260" spans="1:10">
      <c r="A260" s="345" t="s">
        <v>78</v>
      </c>
      <c r="B260" s="358">
        <v>0</v>
      </c>
      <c r="C260" s="358">
        <v>0</v>
      </c>
      <c r="D260" s="358">
        <v>0</v>
      </c>
      <c r="E260" s="358">
        <v>0</v>
      </c>
      <c r="F260" s="358">
        <v>476.57</v>
      </c>
      <c r="G260" s="358">
        <v>317.8</v>
      </c>
      <c r="H260" s="358">
        <v>319.77</v>
      </c>
      <c r="I260" s="358">
        <v>0</v>
      </c>
      <c r="J260" s="358">
        <f>SUM(B260:I260)</f>
        <v>1114.1399999999999</v>
      </c>
    </row>
    <row r="261" spans="1:10">
      <c r="A261" s="369" t="s">
        <v>79</v>
      </c>
      <c r="B261" s="363">
        <f t="shared" ref="B261:J261" si="65">SUM(B260)</f>
        <v>0</v>
      </c>
      <c r="C261" s="363">
        <f t="shared" si="65"/>
        <v>0</v>
      </c>
      <c r="D261" s="363">
        <f t="shared" si="65"/>
        <v>0</v>
      </c>
      <c r="E261" s="363">
        <f t="shared" si="65"/>
        <v>0</v>
      </c>
      <c r="F261" s="363">
        <f t="shared" si="65"/>
        <v>476.57</v>
      </c>
      <c r="G261" s="363">
        <f t="shared" si="65"/>
        <v>317.8</v>
      </c>
      <c r="H261" s="363">
        <f t="shared" si="65"/>
        <v>319.77</v>
      </c>
      <c r="I261" s="363">
        <f t="shared" si="65"/>
        <v>0</v>
      </c>
      <c r="J261" s="363">
        <f t="shared" si="65"/>
        <v>1114.1399999999999</v>
      </c>
    </row>
    <row r="262" spans="1:10">
      <c r="A262" s="368" t="s">
        <v>116</v>
      </c>
      <c r="B262" s="362"/>
      <c r="C262" s="362"/>
      <c r="D262" s="362"/>
      <c r="E262" s="362"/>
      <c r="F262" s="362"/>
      <c r="G262" s="362"/>
      <c r="H262" s="362"/>
      <c r="I262" s="362"/>
      <c r="J262" s="362"/>
    </row>
    <row r="263" spans="1:10">
      <c r="A263" s="345" t="s">
        <v>117</v>
      </c>
      <c r="B263" s="358">
        <v>0</v>
      </c>
      <c r="C263" s="358">
        <v>0</v>
      </c>
      <c r="D263" s="358">
        <v>0</v>
      </c>
      <c r="E263" s="358">
        <v>0</v>
      </c>
      <c r="F263" s="358">
        <v>0</v>
      </c>
      <c r="G263" s="358">
        <v>0</v>
      </c>
      <c r="H263" s="358">
        <v>1215.69</v>
      </c>
      <c r="I263" s="358">
        <v>0</v>
      </c>
      <c r="J263" s="358">
        <f>SUM(B263:I263)</f>
        <v>1215.69</v>
      </c>
    </row>
    <row r="264" spans="1:10">
      <c r="A264" s="369" t="s">
        <v>119</v>
      </c>
      <c r="B264" s="363">
        <f t="shared" ref="B264:J264" si="66">SUM(B263)</f>
        <v>0</v>
      </c>
      <c r="C264" s="363">
        <f t="shared" si="66"/>
        <v>0</v>
      </c>
      <c r="D264" s="363">
        <f t="shared" si="66"/>
        <v>0</v>
      </c>
      <c r="E264" s="363">
        <f t="shared" si="66"/>
        <v>0</v>
      </c>
      <c r="F264" s="363">
        <f t="shared" si="66"/>
        <v>0</v>
      </c>
      <c r="G264" s="363">
        <f t="shared" si="66"/>
        <v>0</v>
      </c>
      <c r="H264" s="363">
        <f t="shared" si="66"/>
        <v>1215.69</v>
      </c>
      <c r="I264" s="363">
        <f t="shared" si="66"/>
        <v>0</v>
      </c>
      <c r="J264" s="363">
        <f t="shared" si="66"/>
        <v>1215.69</v>
      </c>
    </row>
    <row r="265" spans="1:10">
      <c r="A265" s="368" t="s">
        <v>120</v>
      </c>
      <c r="B265" s="362"/>
      <c r="C265" s="362"/>
      <c r="D265" s="362"/>
      <c r="E265" s="362"/>
      <c r="F265" s="362"/>
      <c r="G265" s="362"/>
      <c r="H265" s="362"/>
      <c r="I265" s="362"/>
      <c r="J265" s="362"/>
    </row>
    <row r="266" spans="1:10">
      <c r="A266" s="345" t="s">
        <v>121</v>
      </c>
      <c r="B266" s="358">
        <v>0</v>
      </c>
      <c r="C266" s="358">
        <v>0</v>
      </c>
      <c r="D266" s="358">
        <v>0</v>
      </c>
      <c r="E266" s="358">
        <v>0</v>
      </c>
      <c r="F266" s="358">
        <v>0</v>
      </c>
      <c r="G266" s="358">
        <v>0</v>
      </c>
      <c r="H266" s="358">
        <v>24.49</v>
      </c>
      <c r="I266" s="358">
        <v>0</v>
      </c>
      <c r="J266" s="358">
        <f>SUM(B266:I266)</f>
        <v>24.49</v>
      </c>
    </row>
    <row r="267" spans="1:10">
      <c r="A267" s="369" t="s">
        <v>122</v>
      </c>
      <c r="B267" s="363">
        <f t="shared" ref="B267:J267" si="67">SUM(B266)</f>
        <v>0</v>
      </c>
      <c r="C267" s="363">
        <f t="shared" si="67"/>
        <v>0</v>
      </c>
      <c r="D267" s="363">
        <f t="shared" si="67"/>
        <v>0</v>
      </c>
      <c r="E267" s="363">
        <f t="shared" si="67"/>
        <v>0</v>
      </c>
      <c r="F267" s="363">
        <f t="shared" si="67"/>
        <v>0</v>
      </c>
      <c r="G267" s="363">
        <f t="shared" si="67"/>
        <v>0</v>
      </c>
      <c r="H267" s="363">
        <f t="shared" si="67"/>
        <v>24.49</v>
      </c>
      <c r="I267" s="363">
        <f t="shared" si="67"/>
        <v>0</v>
      </c>
      <c r="J267" s="363">
        <f t="shared" si="67"/>
        <v>24.49</v>
      </c>
    </row>
    <row r="268" spans="1:10">
      <c r="A268" s="368" t="s">
        <v>123</v>
      </c>
      <c r="B268" s="362"/>
      <c r="C268" s="362"/>
      <c r="D268" s="362"/>
      <c r="E268" s="362"/>
      <c r="F268" s="362"/>
      <c r="G268" s="362"/>
      <c r="H268" s="362"/>
      <c r="I268" s="362"/>
      <c r="J268" s="362"/>
    </row>
    <row r="269" spans="1:10">
      <c r="A269" s="355" t="s">
        <v>124</v>
      </c>
      <c r="B269" s="362"/>
      <c r="C269" s="362"/>
      <c r="D269" s="362"/>
      <c r="E269" s="362"/>
      <c r="F269" s="362"/>
      <c r="G269" s="362"/>
      <c r="H269" s="362"/>
      <c r="I269" s="362"/>
      <c r="J269" s="362"/>
    </row>
    <row r="270" spans="1:10">
      <c r="A270" s="354" t="s">
        <v>125</v>
      </c>
      <c r="B270" s="358">
        <v>0</v>
      </c>
      <c r="C270" s="358">
        <v>0</v>
      </c>
      <c r="D270" s="358">
        <v>0</v>
      </c>
      <c r="E270" s="358">
        <v>0</v>
      </c>
      <c r="F270" s="358">
        <v>79.650000000000006</v>
      </c>
      <c r="G270" s="358">
        <v>755.15</v>
      </c>
      <c r="H270" s="358">
        <v>1896.28</v>
      </c>
      <c r="I270" s="358">
        <v>0</v>
      </c>
      <c r="J270" s="358">
        <f>SUM(B270:I270)</f>
        <v>2731.08</v>
      </c>
    </row>
    <row r="271" spans="1:10">
      <c r="A271" s="354" t="s">
        <v>126</v>
      </c>
      <c r="B271" s="358">
        <v>0</v>
      </c>
      <c r="C271" s="358">
        <v>0</v>
      </c>
      <c r="D271" s="358">
        <v>0</v>
      </c>
      <c r="E271" s="358">
        <v>0</v>
      </c>
      <c r="F271" s="358">
        <v>0</v>
      </c>
      <c r="G271" s="358">
        <v>783.8</v>
      </c>
      <c r="H271" s="358">
        <v>1254.98</v>
      </c>
      <c r="I271" s="358">
        <v>0</v>
      </c>
      <c r="J271" s="358">
        <f>SUM(B271:I271)</f>
        <v>2038.78</v>
      </c>
    </row>
    <row r="272" spans="1:10">
      <c r="A272" s="354" t="s">
        <v>127</v>
      </c>
      <c r="B272" s="358">
        <v>0</v>
      </c>
      <c r="C272" s="358">
        <v>0</v>
      </c>
      <c r="D272" s="358">
        <v>0</v>
      </c>
      <c r="E272" s="358">
        <v>0</v>
      </c>
      <c r="F272" s="358">
        <v>278.89999999999998</v>
      </c>
      <c r="G272" s="358">
        <v>757.24</v>
      </c>
      <c r="H272" s="358">
        <v>548.4</v>
      </c>
      <c r="I272" s="358">
        <v>0</v>
      </c>
      <c r="J272" s="358">
        <f>SUM(B272:I272)</f>
        <v>1584.54</v>
      </c>
    </row>
    <row r="273" spans="1:11">
      <c r="A273" s="354" t="s">
        <v>128</v>
      </c>
      <c r="B273" s="358">
        <v>0</v>
      </c>
      <c r="C273" s="358">
        <v>0</v>
      </c>
      <c r="D273" s="358">
        <v>0</v>
      </c>
      <c r="E273" s="358">
        <v>0</v>
      </c>
      <c r="F273" s="358">
        <v>37.64</v>
      </c>
      <c r="G273" s="358">
        <v>80.88</v>
      </c>
      <c r="H273" s="358">
        <v>757.77</v>
      </c>
      <c r="I273" s="358">
        <v>0</v>
      </c>
      <c r="J273" s="358">
        <f>SUM(B273:I273)</f>
        <v>876.29</v>
      </c>
    </row>
    <row r="274" spans="1:11">
      <c r="A274" s="354" t="s">
        <v>129</v>
      </c>
      <c r="B274" s="358">
        <v>0</v>
      </c>
      <c r="C274" s="358">
        <v>0</v>
      </c>
      <c r="D274" s="358">
        <v>0</v>
      </c>
      <c r="E274" s="358">
        <v>0</v>
      </c>
      <c r="F274" s="358">
        <v>111.05</v>
      </c>
      <c r="G274" s="358">
        <v>356.02</v>
      </c>
      <c r="H274" s="358">
        <v>20.25</v>
      </c>
      <c r="I274" s="358">
        <v>0</v>
      </c>
      <c r="J274" s="358">
        <f>SUM(B274:I274)</f>
        <v>487.32</v>
      </c>
    </row>
    <row r="275" spans="1:11">
      <c r="A275" s="356" t="s">
        <v>130</v>
      </c>
      <c r="B275" s="363">
        <f t="shared" ref="B275:J275" si="68">SUM(B270:B274)</f>
        <v>0</v>
      </c>
      <c r="C275" s="363">
        <f t="shared" si="68"/>
        <v>0</v>
      </c>
      <c r="D275" s="363">
        <f t="shared" si="68"/>
        <v>0</v>
      </c>
      <c r="E275" s="363">
        <f t="shared" si="68"/>
        <v>0</v>
      </c>
      <c r="F275" s="363">
        <f t="shared" si="68"/>
        <v>507.23999999999995</v>
      </c>
      <c r="G275" s="363">
        <f t="shared" si="68"/>
        <v>2733.0899999999997</v>
      </c>
      <c r="H275" s="363">
        <f t="shared" si="68"/>
        <v>4477.68</v>
      </c>
      <c r="I275" s="363">
        <f t="shared" si="68"/>
        <v>0</v>
      </c>
      <c r="J275" s="363">
        <f t="shared" si="68"/>
        <v>7718.0099999999993</v>
      </c>
    </row>
    <row r="276" spans="1:11">
      <c r="A276" s="369" t="s">
        <v>131</v>
      </c>
      <c r="B276" s="363">
        <f t="shared" ref="B276:J276" si="69">SUM(B275)</f>
        <v>0</v>
      </c>
      <c r="C276" s="363">
        <f t="shared" si="69"/>
        <v>0</v>
      </c>
      <c r="D276" s="363">
        <f t="shared" si="69"/>
        <v>0</v>
      </c>
      <c r="E276" s="363">
        <f t="shared" si="69"/>
        <v>0</v>
      </c>
      <c r="F276" s="363">
        <f t="shared" si="69"/>
        <v>507.23999999999995</v>
      </c>
      <c r="G276" s="363">
        <f t="shared" si="69"/>
        <v>2733.0899999999997</v>
      </c>
      <c r="H276" s="363">
        <f t="shared" si="69"/>
        <v>4477.68</v>
      </c>
      <c r="I276" s="363">
        <f t="shared" si="69"/>
        <v>0</v>
      </c>
      <c r="J276" s="363">
        <f t="shared" si="69"/>
        <v>7718.0099999999993</v>
      </c>
    </row>
    <row r="277" spans="1:11">
      <c r="A277" s="368" t="s">
        <v>754</v>
      </c>
      <c r="B277" s="362"/>
      <c r="C277" s="362"/>
      <c r="D277" s="362"/>
      <c r="E277" s="362"/>
      <c r="F277" s="362"/>
      <c r="G277" s="362"/>
      <c r="H277" s="362"/>
      <c r="I277" s="362"/>
      <c r="J277" s="362"/>
    </row>
    <row r="278" spans="1:11">
      <c r="A278" s="345" t="s">
        <v>155</v>
      </c>
      <c r="B278" s="358">
        <v>0</v>
      </c>
      <c r="C278" s="358">
        <v>0</v>
      </c>
      <c r="D278" s="358">
        <v>0</v>
      </c>
      <c r="E278" s="358">
        <v>0</v>
      </c>
      <c r="F278" s="358">
        <v>0</v>
      </c>
      <c r="G278" s="358">
        <v>0</v>
      </c>
      <c r="H278" s="358">
        <v>14000</v>
      </c>
      <c r="I278" s="358">
        <v>0</v>
      </c>
      <c r="J278" s="358">
        <f>SUM(B278:I278)</f>
        <v>14000</v>
      </c>
    </row>
    <row r="279" spans="1:11">
      <c r="A279" s="369" t="s">
        <v>755</v>
      </c>
      <c r="B279" s="363">
        <f t="shared" ref="B279:J279" si="70">SUM(B278)</f>
        <v>0</v>
      </c>
      <c r="C279" s="363">
        <f t="shared" si="70"/>
        <v>0</v>
      </c>
      <c r="D279" s="363">
        <f t="shared" si="70"/>
        <v>0</v>
      </c>
      <c r="E279" s="363">
        <f t="shared" si="70"/>
        <v>0</v>
      </c>
      <c r="F279" s="363">
        <f t="shared" si="70"/>
        <v>0</v>
      </c>
      <c r="G279" s="363">
        <f t="shared" si="70"/>
        <v>0</v>
      </c>
      <c r="H279" s="363">
        <f t="shared" si="70"/>
        <v>14000</v>
      </c>
      <c r="I279" s="363">
        <f t="shared" si="70"/>
        <v>0</v>
      </c>
      <c r="J279" s="363">
        <f t="shared" si="70"/>
        <v>14000</v>
      </c>
    </row>
    <row r="280" spans="1:11">
      <c r="A280" s="368" t="s">
        <v>132</v>
      </c>
      <c r="B280" s="362"/>
      <c r="C280" s="362"/>
      <c r="D280" s="362"/>
      <c r="E280" s="362"/>
      <c r="F280" s="362"/>
      <c r="G280" s="362"/>
      <c r="H280" s="362"/>
      <c r="I280" s="362"/>
      <c r="J280" s="362"/>
    </row>
    <row r="281" spans="1:11">
      <c r="A281" s="355" t="s">
        <v>133</v>
      </c>
      <c r="B281" s="362"/>
      <c r="C281" s="362"/>
      <c r="D281" s="362"/>
      <c r="E281" s="362"/>
      <c r="F281" s="362"/>
      <c r="G281" s="362"/>
      <c r="H281" s="362"/>
      <c r="I281" s="362"/>
      <c r="J281" s="362"/>
    </row>
    <row r="282" spans="1:11">
      <c r="A282" s="354" t="s">
        <v>134</v>
      </c>
      <c r="B282" s="358">
        <v>0</v>
      </c>
      <c r="C282" s="358">
        <v>0</v>
      </c>
      <c r="D282" s="358">
        <v>0</v>
      </c>
      <c r="E282" s="358">
        <v>0</v>
      </c>
      <c r="F282" s="358">
        <v>0</v>
      </c>
      <c r="G282" s="358">
        <v>0</v>
      </c>
      <c r="H282" s="358">
        <v>25783.69</v>
      </c>
      <c r="I282" s="358">
        <v>0</v>
      </c>
      <c r="J282" s="358">
        <f>SUM(B282:I282)</f>
        <v>25783.69</v>
      </c>
    </row>
    <row r="283" spans="1:11">
      <c r="A283" s="356" t="s">
        <v>135</v>
      </c>
      <c r="B283" s="363">
        <f t="shared" ref="B283:J284" si="71">SUM(B282)</f>
        <v>0</v>
      </c>
      <c r="C283" s="363">
        <f t="shared" si="71"/>
        <v>0</v>
      </c>
      <c r="D283" s="363">
        <f t="shared" si="71"/>
        <v>0</v>
      </c>
      <c r="E283" s="363">
        <f t="shared" si="71"/>
        <v>0</v>
      </c>
      <c r="F283" s="363">
        <f t="shared" si="71"/>
        <v>0</v>
      </c>
      <c r="G283" s="363">
        <f t="shared" si="71"/>
        <v>0</v>
      </c>
      <c r="H283" s="363">
        <f t="shared" si="71"/>
        <v>25783.69</v>
      </c>
      <c r="I283" s="363">
        <f t="shared" si="71"/>
        <v>0</v>
      </c>
      <c r="J283" s="363">
        <f t="shared" si="71"/>
        <v>25783.69</v>
      </c>
    </row>
    <row r="284" spans="1:11">
      <c r="A284" s="369" t="s">
        <v>136</v>
      </c>
      <c r="B284" s="363">
        <f t="shared" si="71"/>
        <v>0</v>
      </c>
      <c r="C284" s="363">
        <f t="shared" si="71"/>
        <v>0</v>
      </c>
      <c r="D284" s="363">
        <f t="shared" si="71"/>
        <v>0</v>
      </c>
      <c r="E284" s="363">
        <f t="shared" si="71"/>
        <v>0</v>
      </c>
      <c r="F284" s="363">
        <f t="shared" si="71"/>
        <v>0</v>
      </c>
      <c r="G284" s="363">
        <f t="shared" si="71"/>
        <v>0</v>
      </c>
      <c r="H284" s="363">
        <f t="shared" si="71"/>
        <v>25783.69</v>
      </c>
      <c r="I284" s="363">
        <f t="shared" si="71"/>
        <v>0</v>
      </c>
      <c r="J284" s="363">
        <f t="shared" si="71"/>
        <v>25783.69</v>
      </c>
    </row>
    <row r="285" spans="1:11">
      <c r="A285" s="368" t="s">
        <v>60</v>
      </c>
      <c r="B285" s="362"/>
      <c r="C285" s="362"/>
      <c r="D285" s="362"/>
      <c r="E285" s="362"/>
      <c r="F285" s="362"/>
      <c r="G285" s="362"/>
      <c r="H285" s="362"/>
      <c r="I285" s="362"/>
      <c r="J285" s="362"/>
    </row>
    <row r="286" spans="1:11">
      <c r="A286" s="355" t="s">
        <v>68</v>
      </c>
      <c r="B286" s="362"/>
      <c r="C286" s="362"/>
      <c r="D286" s="362"/>
      <c r="E286" s="362"/>
      <c r="F286" s="362"/>
      <c r="G286" s="362"/>
      <c r="H286" s="362"/>
      <c r="I286" s="362"/>
      <c r="J286" s="362"/>
    </row>
    <row r="287" spans="1:11">
      <c r="A287" s="354" t="s">
        <v>69</v>
      </c>
      <c r="B287" s="358">
        <v>0</v>
      </c>
      <c r="C287" s="358">
        <v>0</v>
      </c>
      <c r="D287" s="358">
        <v>0</v>
      </c>
      <c r="E287" s="358">
        <v>0</v>
      </c>
      <c r="F287" s="358">
        <v>70184.820000000007</v>
      </c>
      <c r="G287" s="358">
        <v>21080.37</v>
      </c>
      <c r="H287" s="358">
        <v>8980.77</v>
      </c>
      <c r="I287" s="358">
        <v>3356.97</v>
      </c>
      <c r="J287" s="358">
        <f>SUM(B287:I287)</f>
        <v>103602.93000000001</v>
      </c>
    </row>
    <row r="288" spans="1:11">
      <c r="A288" s="356" t="s">
        <v>70</v>
      </c>
      <c r="B288" s="363">
        <f t="shared" ref="B288:J288" si="72">SUM(B287)</f>
        <v>0</v>
      </c>
      <c r="C288" s="363">
        <f t="shared" si="72"/>
        <v>0</v>
      </c>
      <c r="D288" s="363">
        <f t="shared" si="72"/>
        <v>0</v>
      </c>
      <c r="E288" s="363">
        <f t="shared" si="72"/>
        <v>0</v>
      </c>
      <c r="F288" s="363">
        <f t="shared" si="72"/>
        <v>70184.820000000007</v>
      </c>
      <c r="G288" s="363">
        <f t="shared" si="72"/>
        <v>21080.37</v>
      </c>
      <c r="H288" s="363">
        <f t="shared" si="72"/>
        <v>8980.77</v>
      </c>
      <c r="I288" s="363">
        <f t="shared" si="72"/>
        <v>3356.97</v>
      </c>
      <c r="J288" s="363">
        <f t="shared" si="72"/>
        <v>103602.93000000001</v>
      </c>
      <c r="K288">
        <v>2.2000000000000002</v>
      </c>
    </row>
    <row r="289" spans="1:11">
      <c r="A289" s="355" t="s">
        <v>71</v>
      </c>
      <c r="B289" s="362"/>
      <c r="C289" s="362"/>
      <c r="D289" s="362"/>
      <c r="E289" s="362"/>
      <c r="F289" s="362"/>
      <c r="G289" s="362"/>
      <c r="H289" s="362"/>
      <c r="I289" s="362"/>
      <c r="J289" s="362"/>
    </row>
    <row r="290" spans="1:11">
      <c r="A290" s="354" t="s">
        <v>72</v>
      </c>
      <c r="B290" s="358">
        <v>0</v>
      </c>
      <c r="C290" s="358">
        <v>0</v>
      </c>
      <c r="D290" s="358">
        <v>0</v>
      </c>
      <c r="E290" s="358">
        <v>0</v>
      </c>
      <c r="F290" s="358">
        <v>354.14</v>
      </c>
      <c r="G290" s="358">
        <v>0</v>
      </c>
      <c r="H290" s="358">
        <v>402.9</v>
      </c>
      <c r="I290" s="358">
        <v>0</v>
      </c>
      <c r="J290" s="358">
        <f>SUM(B290:I290)</f>
        <v>757.04</v>
      </c>
    </row>
    <row r="291" spans="1:11">
      <c r="A291" s="354" t="s">
        <v>73</v>
      </c>
      <c r="B291" s="358">
        <v>0</v>
      </c>
      <c r="C291" s="358">
        <v>0</v>
      </c>
      <c r="D291" s="358">
        <v>0</v>
      </c>
      <c r="E291" s="358">
        <v>0</v>
      </c>
      <c r="F291" s="358">
        <v>551.64</v>
      </c>
      <c r="G291" s="358">
        <v>237.82</v>
      </c>
      <c r="H291" s="358">
        <v>691.5</v>
      </c>
      <c r="I291" s="358">
        <v>62.27</v>
      </c>
      <c r="J291" s="358">
        <f>SUM(B291:I291)</f>
        <v>1543.23</v>
      </c>
    </row>
    <row r="292" spans="1:11">
      <c r="A292" s="354" t="s">
        <v>137</v>
      </c>
      <c r="B292" s="358">
        <v>0</v>
      </c>
      <c r="C292" s="358">
        <v>0</v>
      </c>
      <c r="D292" s="358">
        <v>0</v>
      </c>
      <c r="E292" s="358">
        <v>0</v>
      </c>
      <c r="F292" s="358">
        <v>369.9</v>
      </c>
      <c r="G292" s="358">
        <v>0</v>
      </c>
      <c r="H292" s="358">
        <v>230.49</v>
      </c>
      <c r="I292" s="358">
        <v>0</v>
      </c>
      <c r="J292" s="358">
        <f>SUM(B292:I292)</f>
        <v>600.39</v>
      </c>
    </row>
    <row r="293" spans="1:11">
      <c r="A293" s="354" t="s">
        <v>74</v>
      </c>
      <c r="B293" s="358">
        <v>0</v>
      </c>
      <c r="C293" s="358">
        <v>0</v>
      </c>
      <c r="D293" s="358">
        <v>0</v>
      </c>
      <c r="E293" s="358">
        <v>0</v>
      </c>
      <c r="F293" s="358">
        <v>499.18</v>
      </c>
      <c r="G293" s="358">
        <v>0</v>
      </c>
      <c r="H293" s="358">
        <v>1668.44</v>
      </c>
      <c r="I293" s="358">
        <v>62.71</v>
      </c>
      <c r="J293" s="358">
        <f>SUM(B293:I293)</f>
        <v>2230.33</v>
      </c>
    </row>
    <row r="294" spans="1:11">
      <c r="A294" s="356" t="s">
        <v>75</v>
      </c>
      <c r="B294" s="363">
        <f t="shared" ref="B294:J294" si="73">SUM(B290:B293)</f>
        <v>0</v>
      </c>
      <c r="C294" s="363">
        <f t="shared" si="73"/>
        <v>0</v>
      </c>
      <c r="D294" s="363">
        <f t="shared" si="73"/>
        <v>0</v>
      </c>
      <c r="E294" s="363">
        <f t="shared" si="73"/>
        <v>0</v>
      </c>
      <c r="F294" s="363">
        <f t="shared" si="73"/>
        <v>1774.86</v>
      </c>
      <c r="G294" s="363">
        <f t="shared" si="73"/>
        <v>237.82</v>
      </c>
      <c r="H294" s="363">
        <f t="shared" si="73"/>
        <v>2993.33</v>
      </c>
      <c r="I294" s="363">
        <f t="shared" si="73"/>
        <v>124.98</v>
      </c>
      <c r="J294" s="363">
        <f t="shared" si="73"/>
        <v>5130.99</v>
      </c>
      <c r="K294">
        <v>2.2000000000000002</v>
      </c>
    </row>
    <row r="295" spans="1:11">
      <c r="A295" s="355" t="s">
        <v>64</v>
      </c>
      <c r="B295" s="362"/>
      <c r="C295" s="362"/>
      <c r="D295" s="362"/>
      <c r="E295" s="362"/>
      <c r="F295" s="362"/>
      <c r="G295" s="362"/>
      <c r="H295" s="362"/>
      <c r="I295" s="362"/>
      <c r="J295" s="362"/>
    </row>
    <row r="296" spans="1:11">
      <c r="A296" s="354" t="s">
        <v>66</v>
      </c>
      <c r="B296" s="358">
        <v>0</v>
      </c>
      <c r="C296" s="358">
        <v>0</v>
      </c>
      <c r="D296" s="358">
        <v>0</v>
      </c>
      <c r="E296" s="358">
        <v>0</v>
      </c>
      <c r="F296" s="358">
        <v>849.24</v>
      </c>
      <c r="G296" s="358">
        <v>145.52000000000001</v>
      </c>
      <c r="H296" s="358">
        <v>196.08</v>
      </c>
      <c r="I296" s="358">
        <v>84.02</v>
      </c>
      <c r="J296" s="358">
        <f>SUM(B296:I296)</f>
        <v>1274.8599999999999</v>
      </c>
    </row>
    <row r="297" spans="1:11">
      <c r="A297" s="354" t="s">
        <v>65</v>
      </c>
      <c r="B297" s="358">
        <v>0</v>
      </c>
      <c r="C297" s="358">
        <v>0</v>
      </c>
      <c r="D297" s="358">
        <v>0</v>
      </c>
      <c r="E297" s="358">
        <v>0</v>
      </c>
      <c r="F297" s="358">
        <v>2237.92</v>
      </c>
      <c r="G297" s="358">
        <v>0</v>
      </c>
      <c r="H297" s="358">
        <v>117.49</v>
      </c>
      <c r="I297" s="358">
        <v>300.29000000000002</v>
      </c>
      <c r="J297" s="358">
        <f>SUM(B297:I297)</f>
        <v>2655.7</v>
      </c>
    </row>
    <row r="298" spans="1:11">
      <c r="A298" s="356" t="s">
        <v>67</v>
      </c>
      <c r="B298" s="363">
        <f t="shared" ref="B298:J298" si="74">SUM(B296:B297)</f>
        <v>0</v>
      </c>
      <c r="C298" s="363">
        <f t="shared" si="74"/>
        <v>0</v>
      </c>
      <c r="D298" s="363">
        <f t="shared" si="74"/>
        <v>0</v>
      </c>
      <c r="E298" s="363">
        <f t="shared" si="74"/>
        <v>0</v>
      </c>
      <c r="F298" s="363">
        <f t="shared" si="74"/>
        <v>3087.16</v>
      </c>
      <c r="G298" s="363">
        <f t="shared" si="74"/>
        <v>145.52000000000001</v>
      </c>
      <c r="H298" s="363">
        <f t="shared" si="74"/>
        <v>313.57</v>
      </c>
      <c r="I298" s="363">
        <f t="shared" si="74"/>
        <v>384.31</v>
      </c>
      <c r="J298" s="363">
        <f t="shared" si="74"/>
        <v>3930.5599999999995</v>
      </c>
      <c r="K298">
        <v>2.2000000000000002</v>
      </c>
    </row>
    <row r="299" spans="1:11">
      <c r="A299" s="355" t="s">
        <v>61</v>
      </c>
      <c r="B299" s="362"/>
      <c r="C299" s="362"/>
      <c r="D299" s="362"/>
      <c r="E299" s="362"/>
      <c r="F299" s="362"/>
      <c r="G299" s="362"/>
      <c r="H299" s="362"/>
      <c r="I299" s="362"/>
      <c r="J299" s="362"/>
    </row>
    <row r="300" spans="1:11">
      <c r="A300" s="354" t="s">
        <v>62</v>
      </c>
      <c r="B300" s="358">
        <v>0</v>
      </c>
      <c r="C300" s="358">
        <v>0</v>
      </c>
      <c r="D300" s="358">
        <v>0</v>
      </c>
      <c r="E300" s="358">
        <v>0</v>
      </c>
      <c r="F300" s="358">
        <v>2390.35</v>
      </c>
      <c r="G300" s="358">
        <v>75.81</v>
      </c>
      <c r="H300" s="358">
        <v>0</v>
      </c>
      <c r="I300" s="358">
        <v>0</v>
      </c>
      <c r="J300" s="358">
        <f>SUM(B300:I300)</f>
        <v>2466.16</v>
      </c>
    </row>
    <row r="301" spans="1:11">
      <c r="A301" s="356" t="s">
        <v>63</v>
      </c>
      <c r="B301" s="363">
        <f t="shared" ref="B301:J301" si="75">SUM(B300)</f>
        <v>0</v>
      </c>
      <c r="C301" s="363">
        <f t="shared" si="75"/>
        <v>0</v>
      </c>
      <c r="D301" s="363">
        <f t="shared" si="75"/>
        <v>0</v>
      </c>
      <c r="E301" s="363">
        <f t="shared" si="75"/>
        <v>0</v>
      </c>
      <c r="F301" s="363">
        <f t="shared" si="75"/>
        <v>2390.35</v>
      </c>
      <c r="G301" s="363">
        <f t="shared" si="75"/>
        <v>75.81</v>
      </c>
      <c r="H301" s="363">
        <f t="shared" si="75"/>
        <v>0</v>
      </c>
      <c r="I301" s="363">
        <f t="shared" si="75"/>
        <v>0</v>
      </c>
      <c r="J301" s="363">
        <f t="shared" si="75"/>
        <v>2466.16</v>
      </c>
      <c r="K301">
        <v>2.2000000000000002</v>
      </c>
    </row>
    <row r="302" spans="1:11">
      <c r="A302" s="369" t="s">
        <v>76</v>
      </c>
      <c r="B302" s="363">
        <f t="shared" ref="B302:J302" si="76">SUM(B288,B294,B298,B301)</f>
        <v>0</v>
      </c>
      <c r="C302" s="363">
        <f t="shared" si="76"/>
        <v>0</v>
      </c>
      <c r="D302" s="363">
        <f t="shared" si="76"/>
        <v>0</v>
      </c>
      <c r="E302" s="363">
        <f t="shared" si="76"/>
        <v>0</v>
      </c>
      <c r="F302" s="363">
        <f t="shared" si="76"/>
        <v>77437.190000000017</v>
      </c>
      <c r="G302" s="363">
        <f t="shared" si="76"/>
        <v>21539.52</v>
      </c>
      <c r="H302" s="363">
        <f t="shared" si="76"/>
        <v>12287.67</v>
      </c>
      <c r="I302" s="363">
        <f t="shared" si="76"/>
        <v>3866.2599999999998</v>
      </c>
      <c r="J302" s="363">
        <f t="shared" si="76"/>
        <v>115130.64000000001</v>
      </c>
    </row>
    <row r="303" spans="1:11">
      <c r="A303" s="368" t="s">
        <v>55</v>
      </c>
      <c r="B303" s="362"/>
      <c r="C303" s="362"/>
      <c r="D303" s="362"/>
      <c r="E303" s="362"/>
      <c r="F303" s="362"/>
      <c r="G303" s="362"/>
      <c r="H303" s="362"/>
      <c r="I303" s="362"/>
      <c r="J303" s="362"/>
    </row>
    <row r="304" spans="1:11">
      <c r="A304" s="345" t="s">
        <v>56</v>
      </c>
      <c r="B304" s="358">
        <v>0</v>
      </c>
      <c r="C304" s="358">
        <v>0</v>
      </c>
      <c r="D304" s="358">
        <v>0</v>
      </c>
      <c r="E304" s="358">
        <v>0</v>
      </c>
      <c r="F304" s="358">
        <v>2285.7199999999998</v>
      </c>
      <c r="G304" s="358">
        <v>475.2</v>
      </c>
      <c r="H304" s="358">
        <v>1545.6</v>
      </c>
      <c r="I304" s="358">
        <v>63.96</v>
      </c>
      <c r="J304" s="358">
        <f>SUM(B304:I304)</f>
        <v>4370.4799999999996</v>
      </c>
    </row>
    <row r="305" spans="1:10">
      <c r="A305" s="345" t="s">
        <v>58</v>
      </c>
      <c r="B305" s="358">
        <v>0</v>
      </c>
      <c r="C305" s="358">
        <v>0</v>
      </c>
      <c r="D305" s="358">
        <v>0</v>
      </c>
      <c r="E305" s="358">
        <v>0</v>
      </c>
      <c r="F305" s="358">
        <v>171.09</v>
      </c>
      <c r="G305" s="358">
        <v>5.04</v>
      </c>
      <c r="H305" s="358">
        <v>6.49</v>
      </c>
      <c r="I305" s="358">
        <v>0</v>
      </c>
      <c r="J305" s="358">
        <f>SUM(B305:I305)</f>
        <v>182.62</v>
      </c>
    </row>
    <row r="306" spans="1:10">
      <c r="A306" s="345" t="s">
        <v>57</v>
      </c>
      <c r="B306" s="358">
        <v>0</v>
      </c>
      <c r="C306" s="358">
        <v>0</v>
      </c>
      <c r="D306" s="358">
        <v>0</v>
      </c>
      <c r="E306" s="358">
        <v>0</v>
      </c>
      <c r="F306" s="358">
        <v>199.54</v>
      </c>
      <c r="G306" s="358">
        <v>51.57</v>
      </c>
      <c r="H306" s="358">
        <v>94.76</v>
      </c>
      <c r="I306" s="358">
        <v>14.2</v>
      </c>
      <c r="J306" s="358">
        <f>SUM(B306:I306)</f>
        <v>360.07</v>
      </c>
    </row>
    <row r="307" spans="1:10">
      <c r="A307" s="369" t="s">
        <v>59</v>
      </c>
      <c r="B307" s="363">
        <f t="shared" ref="B307:J307" si="77">SUM(B304:B306)</f>
        <v>0</v>
      </c>
      <c r="C307" s="363">
        <f t="shared" si="77"/>
        <v>0</v>
      </c>
      <c r="D307" s="363">
        <f t="shared" si="77"/>
        <v>0</v>
      </c>
      <c r="E307" s="363">
        <f t="shared" si="77"/>
        <v>0</v>
      </c>
      <c r="F307" s="363">
        <f t="shared" si="77"/>
        <v>2656.35</v>
      </c>
      <c r="G307" s="363">
        <f t="shared" si="77"/>
        <v>531.81000000000006</v>
      </c>
      <c r="H307" s="363">
        <f t="shared" si="77"/>
        <v>1646.85</v>
      </c>
      <c r="I307" s="363">
        <f t="shared" si="77"/>
        <v>78.16</v>
      </c>
      <c r="J307" s="363">
        <f t="shared" si="77"/>
        <v>4913.1699999999992</v>
      </c>
    </row>
    <row r="308" spans="1:10">
      <c r="A308" s="370" t="s">
        <v>138</v>
      </c>
      <c r="B308" s="363">
        <f t="shared" ref="B308:J308" si="78">SUM(B235,B246,B255,B258,B261,B264,B267,B276,B279,B284,B302,B307)</f>
        <v>0</v>
      </c>
      <c r="C308" s="363">
        <f t="shared" si="78"/>
        <v>0</v>
      </c>
      <c r="D308" s="363">
        <f t="shared" si="78"/>
        <v>0</v>
      </c>
      <c r="E308" s="363">
        <f t="shared" si="78"/>
        <v>1392</v>
      </c>
      <c r="F308" s="363">
        <f t="shared" si="78"/>
        <v>1469623.8900000001</v>
      </c>
      <c r="G308" s="363">
        <f t="shared" si="78"/>
        <v>302208.49</v>
      </c>
      <c r="H308" s="363">
        <f t="shared" si="78"/>
        <v>412799.93999999994</v>
      </c>
      <c r="I308" s="363">
        <f t="shared" si="78"/>
        <v>4355.7199999999993</v>
      </c>
      <c r="J308" s="363">
        <f t="shared" si="78"/>
        <v>2190380.04</v>
      </c>
    </row>
    <row r="309" spans="1:10">
      <c r="A309" s="353" t="s">
        <v>139</v>
      </c>
      <c r="B309" s="362"/>
      <c r="C309" s="362"/>
      <c r="D309" s="362"/>
      <c r="E309" s="362"/>
      <c r="F309" s="362"/>
      <c r="G309" s="362"/>
      <c r="H309" s="362"/>
      <c r="I309" s="362"/>
      <c r="J309" s="362"/>
    </row>
    <row r="310" spans="1:10">
      <c r="A310" s="368" t="s">
        <v>83</v>
      </c>
      <c r="B310" s="362"/>
      <c r="C310" s="362"/>
      <c r="D310" s="362"/>
      <c r="E310" s="362"/>
      <c r="F310" s="362"/>
      <c r="G310" s="362"/>
      <c r="H310" s="362"/>
      <c r="I310" s="362"/>
      <c r="J310" s="362"/>
    </row>
    <row r="311" spans="1:10">
      <c r="A311" s="345" t="s">
        <v>98</v>
      </c>
      <c r="B311" s="358">
        <v>0</v>
      </c>
      <c r="C311" s="358">
        <v>0</v>
      </c>
      <c r="D311" s="358">
        <v>0</v>
      </c>
      <c r="E311" s="358">
        <v>0</v>
      </c>
      <c r="F311" s="358">
        <v>37616.730000000003</v>
      </c>
      <c r="G311" s="358">
        <v>176190.37</v>
      </c>
      <c r="H311" s="358">
        <v>1198382.9099999999</v>
      </c>
      <c r="I311" s="358">
        <v>467969.52</v>
      </c>
      <c r="J311" s="358">
        <f>SUM(B311:I311)</f>
        <v>1880159.53</v>
      </c>
    </row>
    <row r="312" spans="1:10">
      <c r="A312" s="345" t="s">
        <v>140</v>
      </c>
      <c r="B312" s="358">
        <v>0</v>
      </c>
      <c r="C312" s="358">
        <v>0</v>
      </c>
      <c r="D312" s="358">
        <v>0</v>
      </c>
      <c r="E312" s="358">
        <v>0</v>
      </c>
      <c r="F312" s="358">
        <v>0</v>
      </c>
      <c r="G312" s="358">
        <v>0</v>
      </c>
      <c r="H312" s="358">
        <v>-47442.85</v>
      </c>
      <c r="I312" s="358">
        <v>0</v>
      </c>
      <c r="J312" s="358">
        <f>SUM(B312:I312)</f>
        <v>-47442.85</v>
      </c>
    </row>
    <row r="313" spans="1:10">
      <c r="A313" s="345" t="s">
        <v>99</v>
      </c>
      <c r="B313" s="358">
        <v>0</v>
      </c>
      <c r="C313" s="358">
        <v>0</v>
      </c>
      <c r="D313" s="358">
        <v>0</v>
      </c>
      <c r="E313" s="358">
        <v>0</v>
      </c>
      <c r="F313" s="358">
        <v>0</v>
      </c>
      <c r="G313" s="358">
        <v>0</v>
      </c>
      <c r="H313" s="358">
        <v>2890.64</v>
      </c>
      <c r="I313" s="358">
        <v>0</v>
      </c>
      <c r="J313" s="358">
        <f>SUM(B313:I313)</f>
        <v>2890.64</v>
      </c>
    </row>
    <row r="314" spans="1:10">
      <c r="A314" s="345" t="s">
        <v>141</v>
      </c>
      <c r="B314" s="358">
        <v>0</v>
      </c>
      <c r="C314" s="358">
        <v>0</v>
      </c>
      <c r="D314" s="358">
        <v>0</v>
      </c>
      <c r="E314" s="358">
        <v>0</v>
      </c>
      <c r="F314" s="358">
        <v>0</v>
      </c>
      <c r="G314" s="358">
        <v>0</v>
      </c>
      <c r="H314" s="358">
        <v>0</v>
      </c>
      <c r="I314" s="358">
        <v>787.01</v>
      </c>
      <c r="J314" s="358">
        <f>SUM(B314:I314)</f>
        <v>787.01</v>
      </c>
    </row>
    <row r="315" spans="1:10">
      <c r="A315" s="345" t="s">
        <v>756</v>
      </c>
      <c r="B315" s="358">
        <v>0</v>
      </c>
      <c r="C315" s="358">
        <v>0</v>
      </c>
      <c r="D315" s="358">
        <v>0</v>
      </c>
      <c r="E315" s="358">
        <v>0</v>
      </c>
      <c r="F315" s="358">
        <v>0</v>
      </c>
      <c r="G315" s="358">
        <v>5238</v>
      </c>
      <c r="H315" s="358">
        <v>0</v>
      </c>
      <c r="I315" s="358">
        <v>0</v>
      </c>
      <c r="J315" s="358">
        <f>SUM(B315:I315)</f>
        <v>5238</v>
      </c>
    </row>
    <row r="316" spans="1:10">
      <c r="A316" s="355" t="s">
        <v>84</v>
      </c>
      <c r="B316" s="362"/>
      <c r="C316" s="362"/>
      <c r="D316" s="362"/>
      <c r="E316" s="362"/>
      <c r="F316" s="362"/>
      <c r="G316" s="362"/>
      <c r="H316" s="362"/>
      <c r="I316" s="362"/>
      <c r="J316" s="362"/>
    </row>
    <row r="317" spans="1:10">
      <c r="A317" s="354" t="s">
        <v>85</v>
      </c>
      <c r="B317" s="358">
        <v>0</v>
      </c>
      <c r="C317" s="358">
        <v>0</v>
      </c>
      <c r="D317" s="358">
        <v>0</v>
      </c>
      <c r="E317" s="358">
        <v>0</v>
      </c>
      <c r="F317" s="358">
        <v>0</v>
      </c>
      <c r="G317" s="358">
        <v>0</v>
      </c>
      <c r="H317" s="358">
        <v>4358.8500000000004</v>
      </c>
      <c r="I317" s="358">
        <v>0</v>
      </c>
      <c r="J317" s="358">
        <f>SUM(B317:I317)</f>
        <v>4358.8500000000004</v>
      </c>
    </row>
    <row r="318" spans="1:10">
      <c r="A318" s="354" t="s">
        <v>86</v>
      </c>
      <c r="B318" s="358">
        <v>0</v>
      </c>
      <c r="C318" s="358">
        <v>0</v>
      </c>
      <c r="D318" s="358">
        <v>0</v>
      </c>
      <c r="E318" s="358">
        <v>0</v>
      </c>
      <c r="F318" s="358">
        <v>0</v>
      </c>
      <c r="G318" s="358">
        <v>0</v>
      </c>
      <c r="H318" s="358">
        <v>40155.53</v>
      </c>
      <c r="I318" s="358">
        <v>8950.58</v>
      </c>
      <c r="J318" s="358">
        <f>SUM(B318:I318)</f>
        <v>49106.11</v>
      </c>
    </row>
    <row r="319" spans="1:10">
      <c r="A319" s="354" t="s">
        <v>101</v>
      </c>
      <c r="B319" s="358">
        <v>0</v>
      </c>
      <c r="C319" s="358">
        <v>0</v>
      </c>
      <c r="D319" s="358">
        <v>0</v>
      </c>
      <c r="E319" s="358">
        <v>0</v>
      </c>
      <c r="F319" s="358">
        <v>0</v>
      </c>
      <c r="G319" s="358">
        <v>0</v>
      </c>
      <c r="H319" s="358">
        <v>59.41</v>
      </c>
      <c r="I319" s="358">
        <v>0</v>
      </c>
      <c r="J319" s="358">
        <f>SUM(B319:I319)</f>
        <v>59.41</v>
      </c>
    </row>
    <row r="320" spans="1:10">
      <c r="A320" s="354" t="s">
        <v>87</v>
      </c>
      <c r="B320" s="358">
        <v>0</v>
      </c>
      <c r="C320" s="358">
        <v>0</v>
      </c>
      <c r="D320" s="358">
        <v>0</v>
      </c>
      <c r="E320" s="358">
        <v>0</v>
      </c>
      <c r="F320" s="358">
        <v>0</v>
      </c>
      <c r="G320" s="358">
        <v>400</v>
      </c>
      <c r="H320" s="358">
        <v>2456.6</v>
      </c>
      <c r="I320" s="358">
        <v>0</v>
      </c>
      <c r="J320" s="358">
        <f>SUM(B320:I320)</f>
        <v>2856.6</v>
      </c>
    </row>
    <row r="321" spans="1:11">
      <c r="A321" s="356" t="s">
        <v>88</v>
      </c>
      <c r="B321" s="363">
        <f t="shared" ref="B321:J321" si="79">SUM(B317:B320)</f>
        <v>0</v>
      </c>
      <c r="C321" s="363">
        <f t="shared" si="79"/>
        <v>0</v>
      </c>
      <c r="D321" s="363">
        <f t="shared" si="79"/>
        <v>0</v>
      </c>
      <c r="E321" s="363">
        <f t="shared" si="79"/>
        <v>0</v>
      </c>
      <c r="F321" s="363">
        <f t="shared" si="79"/>
        <v>0</v>
      </c>
      <c r="G321" s="363">
        <f t="shared" si="79"/>
        <v>400</v>
      </c>
      <c r="H321" s="363">
        <f t="shared" si="79"/>
        <v>47030.39</v>
      </c>
      <c r="I321" s="363">
        <f t="shared" si="79"/>
        <v>8950.58</v>
      </c>
      <c r="J321" s="363">
        <f t="shared" si="79"/>
        <v>56380.97</v>
      </c>
    </row>
    <row r="322" spans="1:11">
      <c r="A322" s="369" t="s">
        <v>89</v>
      </c>
      <c r="B322" s="363">
        <f t="shared" ref="B322:J322" si="80">SUM(B311:B315,B321)</f>
        <v>0</v>
      </c>
      <c r="C322" s="363">
        <f t="shared" si="80"/>
        <v>0</v>
      </c>
      <c r="D322" s="363">
        <f t="shared" si="80"/>
        <v>0</v>
      </c>
      <c r="E322" s="363">
        <f t="shared" si="80"/>
        <v>0</v>
      </c>
      <c r="F322" s="363">
        <f t="shared" si="80"/>
        <v>37616.730000000003</v>
      </c>
      <c r="G322" s="363">
        <f t="shared" si="80"/>
        <v>181828.37</v>
      </c>
      <c r="H322" s="363">
        <f t="shared" si="80"/>
        <v>1200861.0899999996</v>
      </c>
      <c r="I322" s="363">
        <f t="shared" si="80"/>
        <v>477707.11000000004</v>
      </c>
      <c r="J322" s="363">
        <f t="shared" si="80"/>
        <v>1898013.2999999998</v>
      </c>
    </row>
    <row r="323" spans="1:11">
      <c r="A323" s="368" t="s">
        <v>80</v>
      </c>
      <c r="B323" s="362"/>
      <c r="C323" s="362"/>
      <c r="D323" s="362"/>
      <c r="E323" s="362"/>
      <c r="F323" s="362"/>
      <c r="G323" s="362"/>
      <c r="H323" s="362"/>
      <c r="I323" s="362"/>
      <c r="J323" s="362"/>
    </row>
    <row r="324" spans="1:11">
      <c r="A324" s="345" t="s">
        <v>81</v>
      </c>
      <c r="B324" s="358">
        <v>0</v>
      </c>
      <c r="C324" s="358">
        <v>0</v>
      </c>
      <c r="D324" s="358">
        <v>0</v>
      </c>
      <c r="E324" s="358">
        <v>0</v>
      </c>
      <c r="F324" s="358">
        <v>0</v>
      </c>
      <c r="G324" s="358">
        <v>0</v>
      </c>
      <c r="H324" s="358">
        <v>0</v>
      </c>
      <c r="I324" s="358">
        <v>1916.17</v>
      </c>
      <c r="J324" s="358">
        <f t="shared" ref="J324:J335" si="81">SUM(B324:I324)</f>
        <v>1916.17</v>
      </c>
    </row>
    <row r="325" spans="1:11">
      <c r="A325" s="345" t="s">
        <v>142</v>
      </c>
      <c r="B325" s="358">
        <v>0</v>
      </c>
      <c r="C325" s="358">
        <v>0</v>
      </c>
      <c r="D325" s="358">
        <v>0</v>
      </c>
      <c r="E325" s="358">
        <v>0</v>
      </c>
      <c r="F325" s="358">
        <v>0</v>
      </c>
      <c r="G325" s="358">
        <v>920.13</v>
      </c>
      <c r="H325" s="358">
        <v>0</v>
      </c>
      <c r="I325" s="358">
        <v>743.8</v>
      </c>
      <c r="J325" s="358">
        <f t="shared" si="81"/>
        <v>1663.9299999999998</v>
      </c>
    </row>
    <row r="326" spans="1:11">
      <c r="A326" s="345" t="s">
        <v>102</v>
      </c>
      <c r="B326" s="358">
        <v>0</v>
      </c>
      <c r="C326" s="358">
        <v>0</v>
      </c>
      <c r="D326" s="358">
        <v>0</v>
      </c>
      <c r="E326" s="358">
        <v>0</v>
      </c>
      <c r="F326" s="358">
        <v>0</v>
      </c>
      <c r="G326" s="358">
        <v>0</v>
      </c>
      <c r="H326" s="358">
        <v>4033.52</v>
      </c>
      <c r="I326" s="358">
        <v>0</v>
      </c>
      <c r="J326" s="358">
        <f t="shared" si="81"/>
        <v>4033.52</v>
      </c>
    </row>
    <row r="327" spans="1:11">
      <c r="A327" s="345" t="s">
        <v>103</v>
      </c>
      <c r="B327" s="358">
        <v>0</v>
      </c>
      <c r="C327" s="358">
        <v>0</v>
      </c>
      <c r="D327" s="358">
        <v>0</v>
      </c>
      <c r="E327" s="358">
        <v>0</v>
      </c>
      <c r="F327" s="358">
        <v>0</v>
      </c>
      <c r="G327" s="358">
        <v>0</v>
      </c>
      <c r="H327" s="358">
        <v>-4033.52</v>
      </c>
      <c r="I327" s="358">
        <v>0</v>
      </c>
      <c r="J327" s="358">
        <f t="shared" si="81"/>
        <v>-4033.52</v>
      </c>
    </row>
    <row r="328" spans="1:11">
      <c r="A328" s="345" t="s">
        <v>104</v>
      </c>
      <c r="B328" s="358">
        <v>0</v>
      </c>
      <c r="C328" s="358">
        <v>0</v>
      </c>
      <c r="D328" s="358">
        <v>0</v>
      </c>
      <c r="E328" s="358">
        <v>0</v>
      </c>
      <c r="F328" s="358">
        <v>0</v>
      </c>
      <c r="G328" s="358">
        <v>0</v>
      </c>
      <c r="H328" s="358">
        <v>6191.22</v>
      </c>
      <c r="I328" s="358">
        <v>0</v>
      </c>
      <c r="J328" s="358">
        <f t="shared" si="81"/>
        <v>6191.22</v>
      </c>
    </row>
    <row r="329" spans="1:11">
      <c r="A329" s="345" t="s">
        <v>105</v>
      </c>
      <c r="B329" s="358">
        <v>0</v>
      </c>
      <c r="C329" s="358">
        <v>0</v>
      </c>
      <c r="D329" s="358">
        <v>0</v>
      </c>
      <c r="E329" s="358">
        <v>0</v>
      </c>
      <c r="F329" s="358">
        <v>0</v>
      </c>
      <c r="G329" s="358">
        <v>0</v>
      </c>
      <c r="H329" s="358">
        <v>-6191.68</v>
      </c>
      <c r="I329" s="358">
        <v>0</v>
      </c>
      <c r="J329" s="358">
        <f t="shared" si="81"/>
        <v>-6191.68</v>
      </c>
    </row>
    <row r="330" spans="1:11">
      <c r="A330" s="345" t="s">
        <v>106</v>
      </c>
      <c r="B330" s="358">
        <v>0</v>
      </c>
      <c r="C330" s="358">
        <v>0</v>
      </c>
      <c r="D330" s="358">
        <v>0</v>
      </c>
      <c r="E330" s="358">
        <v>0</v>
      </c>
      <c r="F330" s="358">
        <v>0</v>
      </c>
      <c r="G330" s="358">
        <v>0</v>
      </c>
      <c r="H330" s="358">
        <v>31112.23</v>
      </c>
      <c r="I330" s="358">
        <v>0</v>
      </c>
      <c r="J330" s="358">
        <f t="shared" si="81"/>
        <v>31112.23</v>
      </c>
    </row>
    <row r="331" spans="1:11">
      <c r="A331" s="345" t="s">
        <v>107</v>
      </c>
      <c r="B331" s="358">
        <v>0</v>
      </c>
      <c r="C331" s="358">
        <v>0</v>
      </c>
      <c r="D331" s="358">
        <v>0</v>
      </c>
      <c r="E331" s="358">
        <v>0</v>
      </c>
      <c r="F331" s="358">
        <v>0</v>
      </c>
      <c r="G331" s="358">
        <v>0</v>
      </c>
      <c r="H331" s="358">
        <v>-31112.23</v>
      </c>
      <c r="I331" s="358">
        <v>0</v>
      </c>
      <c r="J331" s="358">
        <f t="shared" si="81"/>
        <v>-31112.23</v>
      </c>
    </row>
    <row r="332" spans="1:11">
      <c r="A332" s="345" t="s">
        <v>108</v>
      </c>
      <c r="B332" s="358">
        <v>0</v>
      </c>
      <c r="C332" s="358">
        <v>0</v>
      </c>
      <c r="D332" s="358">
        <v>0</v>
      </c>
      <c r="E332" s="358">
        <v>0</v>
      </c>
      <c r="F332" s="358">
        <v>0</v>
      </c>
      <c r="G332" s="358">
        <v>0</v>
      </c>
      <c r="H332" s="358">
        <v>39935.769999999997</v>
      </c>
      <c r="I332" s="358">
        <v>0</v>
      </c>
      <c r="J332" s="358">
        <f t="shared" si="81"/>
        <v>39935.769999999997</v>
      </c>
    </row>
    <row r="333" spans="1:11">
      <c r="A333" s="345" t="s">
        <v>109</v>
      </c>
      <c r="B333" s="358">
        <v>0</v>
      </c>
      <c r="C333" s="358">
        <v>0</v>
      </c>
      <c r="D333" s="358">
        <v>0</v>
      </c>
      <c r="E333" s="358">
        <v>0</v>
      </c>
      <c r="F333" s="358">
        <v>0</v>
      </c>
      <c r="G333" s="358">
        <v>0</v>
      </c>
      <c r="H333" s="358">
        <v>-39935.769999999997</v>
      </c>
      <c r="I333" s="358">
        <v>0</v>
      </c>
      <c r="J333" s="358">
        <f t="shared" si="81"/>
        <v>-39935.769999999997</v>
      </c>
    </row>
    <row r="334" spans="1:11">
      <c r="A334" s="345" t="s">
        <v>566</v>
      </c>
      <c r="B334" s="358">
        <v>0</v>
      </c>
      <c r="C334" s="358">
        <v>0</v>
      </c>
      <c r="D334" s="358">
        <v>0</v>
      </c>
      <c r="E334" s="358">
        <v>0</v>
      </c>
      <c r="F334" s="358">
        <v>4373.42</v>
      </c>
      <c r="G334" s="358">
        <v>13370.45</v>
      </c>
      <c r="H334" s="358">
        <v>82354.22</v>
      </c>
      <c r="I334" s="358">
        <v>137015.71</v>
      </c>
      <c r="J334" s="358">
        <f t="shared" si="81"/>
        <v>237113.8</v>
      </c>
    </row>
    <row r="335" spans="1:11">
      <c r="A335" s="345" t="s">
        <v>143</v>
      </c>
      <c r="B335" s="358">
        <v>0</v>
      </c>
      <c r="C335" s="358">
        <v>0</v>
      </c>
      <c r="D335" s="358">
        <v>0</v>
      </c>
      <c r="E335" s="358">
        <v>0</v>
      </c>
      <c r="F335" s="358">
        <v>0</v>
      </c>
      <c r="G335" s="358">
        <v>0</v>
      </c>
      <c r="H335" s="358">
        <v>0</v>
      </c>
      <c r="I335" s="358">
        <v>1651.76</v>
      </c>
      <c r="J335" s="358">
        <f t="shared" si="81"/>
        <v>1651.76</v>
      </c>
    </row>
    <row r="336" spans="1:11">
      <c r="A336" s="369" t="s">
        <v>82</v>
      </c>
      <c r="B336" s="363">
        <f t="shared" ref="B336:J336" si="82">SUM(B324:B335)</f>
        <v>0</v>
      </c>
      <c r="C336" s="363">
        <f t="shared" si="82"/>
        <v>0</v>
      </c>
      <c r="D336" s="363">
        <f t="shared" si="82"/>
        <v>0</v>
      </c>
      <c r="E336" s="363">
        <f t="shared" si="82"/>
        <v>0</v>
      </c>
      <c r="F336" s="363">
        <f t="shared" si="82"/>
        <v>4373.42</v>
      </c>
      <c r="G336" s="363">
        <f t="shared" si="82"/>
        <v>14290.58</v>
      </c>
      <c r="H336" s="363">
        <f t="shared" si="82"/>
        <v>82353.760000000009</v>
      </c>
      <c r="I336" s="363">
        <f t="shared" si="82"/>
        <v>141327.44</v>
      </c>
      <c r="J336" s="363">
        <f t="shared" si="82"/>
        <v>242345.19999999998</v>
      </c>
      <c r="K336">
        <v>2.2000000000000002</v>
      </c>
    </row>
    <row r="337" spans="1:11">
      <c r="A337" s="368" t="s">
        <v>51</v>
      </c>
      <c r="B337" s="362"/>
      <c r="C337" s="362"/>
      <c r="D337" s="362"/>
      <c r="E337" s="362"/>
      <c r="F337" s="362"/>
      <c r="G337" s="362"/>
      <c r="H337" s="362"/>
      <c r="I337" s="362"/>
      <c r="J337" s="362"/>
    </row>
    <row r="338" spans="1:11">
      <c r="A338" s="345" t="s">
        <v>110</v>
      </c>
      <c r="B338" s="358">
        <v>0</v>
      </c>
      <c r="C338" s="358">
        <v>0</v>
      </c>
      <c r="D338" s="358">
        <v>0</v>
      </c>
      <c r="E338" s="358">
        <v>0</v>
      </c>
      <c r="F338" s="358">
        <v>0</v>
      </c>
      <c r="G338" s="358">
        <v>0</v>
      </c>
      <c r="H338" s="358">
        <v>76289.33</v>
      </c>
      <c r="I338" s="358">
        <v>0</v>
      </c>
      <c r="J338" s="358">
        <f>SUM(B338:I338)</f>
        <v>76289.33</v>
      </c>
    </row>
    <row r="339" spans="1:11">
      <c r="A339" s="345" t="s">
        <v>52</v>
      </c>
      <c r="B339" s="358">
        <v>0</v>
      </c>
      <c r="C339" s="358">
        <v>0</v>
      </c>
      <c r="D339" s="358">
        <v>0</v>
      </c>
      <c r="E339" s="358">
        <v>0</v>
      </c>
      <c r="F339" s="358">
        <v>0</v>
      </c>
      <c r="G339" s="358">
        <v>9284.9500000000007</v>
      </c>
      <c r="H339" s="358">
        <v>0</v>
      </c>
      <c r="I339" s="358">
        <v>957.72</v>
      </c>
      <c r="J339" s="358">
        <f>SUM(B339:I339)</f>
        <v>10242.67</v>
      </c>
    </row>
    <row r="340" spans="1:11">
      <c r="A340" s="345" t="s">
        <v>111</v>
      </c>
      <c r="B340" s="358">
        <v>0</v>
      </c>
      <c r="C340" s="358">
        <v>0</v>
      </c>
      <c r="D340" s="358">
        <v>0</v>
      </c>
      <c r="E340" s="358">
        <v>0</v>
      </c>
      <c r="F340" s="358">
        <v>1970.13</v>
      </c>
      <c r="G340" s="358">
        <v>0</v>
      </c>
      <c r="H340" s="358">
        <v>164127.76</v>
      </c>
      <c r="I340" s="358">
        <v>56021.93</v>
      </c>
      <c r="J340" s="358">
        <f>SUM(B340:I340)</f>
        <v>222119.82</v>
      </c>
    </row>
    <row r="341" spans="1:11">
      <c r="A341" s="345" t="s">
        <v>751</v>
      </c>
      <c r="B341" s="358">
        <v>0</v>
      </c>
      <c r="C341" s="358">
        <v>0</v>
      </c>
      <c r="D341" s="358">
        <v>0</v>
      </c>
      <c r="E341" s="358">
        <v>0</v>
      </c>
      <c r="F341" s="358">
        <v>0</v>
      </c>
      <c r="G341" s="358">
        <v>0</v>
      </c>
      <c r="H341" s="358">
        <v>314.19</v>
      </c>
      <c r="I341" s="358">
        <v>-2984.66</v>
      </c>
      <c r="J341" s="358">
        <f>SUM(B341:I341)</f>
        <v>-2670.47</v>
      </c>
    </row>
    <row r="342" spans="1:11">
      <c r="A342" s="345" t="s">
        <v>753</v>
      </c>
      <c r="B342" s="358">
        <v>0</v>
      </c>
      <c r="C342" s="358">
        <v>0</v>
      </c>
      <c r="D342" s="358">
        <v>0</v>
      </c>
      <c r="E342" s="358">
        <v>0</v>
      </c>
      <c r="F342" s="358">
        <v>0</v>
      </c>
      <c r="G342" s="358">
        <v>0</v>
      </c>
      <c r="H342" s="358">
        <v>0</v>
      </c>
      <c r="I342" s="358">
        <v>932.83</v>
      </c>
      <c r="J342" s="358">
        <f>SUM(B342:I342)</f>
        <v>932.83</v>
      </c>
    </row>
    <row r="343" spans="1:11">
      <c r="A343" s="369" t="s">
        <v>54</v>
      </c>
      <c r="B343" s="363">
        <f t="shared" ref="B343:J343" si="83">SUM(B338:B342)</f>
        <v>0</v>
      </c>
      <c r="C343" s="363">
        <f t="shared" si="83"/>
        <v>0</v>
      </c>
      <c r="D343" s="363">
        <f t="shared" si="83"/>
        <v>0</v>
      </c>
      <c r="E343" s="363">
        <f t="shared" si="83"/>
        <v>0</v>
      </c>
      <c r="F343" s="363">
        <f t="shared" si="83"/>
        <v>1970.13</v>
      </c>
      <c r="G343" s="363">
        <f t="shared" si="83"/>
        <v>9284.9500000000007</v>
      </c>
      <c r="H343" s="363">
        <f t="shared" si="83"/>
        <v>240731.28000000003</v>
      </c>
      <c r="I343" s="363">
        <f t="shared" si="83"/>
        <v>54927.820000000007</v>
      </c>
      <c r="J343" s="363">
        <f t="shared" si="83"/>
        <v>306914.18000000005</v>
      </c>
    </row>
    <row r="344" spans="1:11">
      <c r="A344" s="368" t="s">
        <v>113</v>
      </c>
      <c r="B344" s="362"/>
      <c r="C344" s="362"/>
      <c r="D344" s="362"/>
      <c r="E344" s="362"/>
      <c r="F344" s="362"/>
      <c r="G344" s="362"/>
      <c r="H344" s="362"/>
      <c r="I344" s="362"/>
      <c r="J344" s="362"/>
    </row>
    <row r="345" spans="1:11">
      <c r="A345" s="345" t="s">
        <v>114</v>
      </c>
      <c r="B345" s="358">
        <v>0</v>
      </c>
      <c r="C345" s="358">
        <v>0</v>
      </c>
      <c r="D345" s="358">
        <v>0</v>
      </c>
      <c r="E345" s="358">
        <v>0</v>
      </c>
      <c r="F345" s="358">
        <v>-0.05</v>
      </c>
      <c r="G345" s="358">
        <v>0</v>
      </c>
      <c r="H345" s="358">
        <v>36138</v>
      </c>
      <c r="I345" s="358">
        <v>10236</v>
      </c>
      <c r="J345" s="358">
        <f>SUM(B345:I345)</f>
        <v>46373.95</v>
      </c>
    </row>
    <row r="346" spans="1:11">
      <c r="A346" s="369" t="s">
        <v>115</v>
      </c>
      <c r="B346" s="363">
        <f t="shared" ref="B346:J346" si="84">SUM(B345)</f>
        <v>0</v>
      </c>
      <c r="C346" s="363">
        <f t="shared" si="84"/>
        <v>0</v>
      </c>
      <c r="D346" s="363">
        <f t="shared" si="84"/>
        <v>0</v>
      </c>
      <c r="E346" s="363">
        <f t="shared" si="84"/>
        <v>0</v>
      </c>
      <c r="F346" s="363">
        <f t="shared" si="84"/>
        <v>-0.05</v>
      </c>
      <c r="G346" s="363">
        <f t="shared" si="84"/>
        <v>0</v>
      </c>
      <c r="H346" s="363">
        <f t="shared" si="84"/>
        <v>36138</v>
      </c>
      <c r="I346" s="363">
        <f t="shared" si="84"/>
        <v>10236</v>
      </c>
      <c r="J346" s="363">
        <f t="shared" si="84"/>
        <v>46373.95</v>
      </c>
    </row>
    <row r="347" spans="1:11">
      <c r="A347" s="368" t="s">
        <v>77</v>
      </c>
      <c r="B347" s="362"/>
      <c r="C347" s="362"/>
      <c r="D347" s="362"/>
      <c r="E347" s="362"/>
      <c r="F347" s="362"/>
      <c r="G347" s="362"/>
      <c r="H347" s="362"/>
      <c r="I347" s="362"/>
      <c r="J347" s="362"/>
    </row>
    <row r="348" spans="1:11">
      <c r="A348" s="345" t="s">
        <v>78</v>
      </c>
      <c r="B348" s="358">
        <v>0</v>
      </c>
      <c r="C348" s="358">
        <v>0</v>
      </c>
      <c r="D348" s="358">
        <v>0</v>
      </c>
      <c r="E348" s="358">
        <v>0</v>
      </c>
      <c r="F348" s="358">
        <v>0</v>
      </c>
      <c r="G348" s="358">
        <v>1018.71</v>
      </c>
      <c r="H348" s="358">
        <v>1672.79</v>
      </c>
      <c r="I348" s="358">
        <v>0</v>
      </c>
      <c r="J348" s="358">
        <f>SUM(B348:I348)</f>
        <v>2691.5</v>
      </c>
    </row>
    <row r="349" spans="1:11">
      <c r="A349" s="369" t="s">
        <v>79</v>
      </c>
      <c r="B349" s="363">
        <f t="shared" ref="B349:J349" si="85">SUM(B348)</f>
        <v>0</v>
      </c>
      <c r="C349" s="363">
        <f t="shared" si="85"/>
        <v>0</v>
      </c>
      <c r="D349" s="363">
        <f t="shared" si="85"/>
        <v>0</v>
      </c>
      <c r="E349" s="363">
        <f t="shared" si="85"/>
        <v>0</v>
      </c>
      <c r="F349" s="363">
        <f t="shared" si="85"/>
        <v>0</v>
      </c>
      <c r="G349" s="363">
        <f t="shared" si="85"/>
        <v>1018.71</v>
      </c>
      <c r="H349" s="363">
        <f t="shared" si="85"/>
        <v>1672.79</v>
      </c>
      <c r="I349" s="363">
        <f t="shared" si="85"/>
        <v>0</v>
      </c>
      <c r="J349" s="363">
        <f t="shared" si="85"/>
        <v>2691.5</v>
      </c>
      <c r="K349">
        <v>2.2000000000000002</v>
      </c>
    </row>
    <row r="350" spans="1:11">
      <c r="A350" s="368" t="s">
        <v>116</v>
      </c>
      <c r="B350" s="362"/>
      <c r="C350" s="362"/>
      <c r="D350" s="362"/>
      <c r="E350" s="362"/>
      <c r="F350" s="362"/>
      <c r="G350" s="362"/>
      <c r="H350" s="362"/>
      <c r="I350" s="362"/>
      <c r="J350" s="362"/>
    </row>
    <row r="351" spans="1:11">
      <c r="A351" s="345" t="s">
        <v>117</v>
      </c>
      <c r="B351" s="358">
        <v>0</v>
      </c>
      <c r="C351" s="358">
        <v>0</v>
      </c>
      <c r="D351" s="358">
        <v>0</v>
      </c>
      <c r="E351" s="358">
        <v>0</v>
      </c>
      <c r="F351" s="358">
        <v>0</v>
      </c>
      <c r="G351" s="358">
        <v>0</v>
      </c>
      <c r="H351" s="358">
        <v>3749.68</v>
      </c>
      <c r="I351" s="358">
        <v>0</v>
      </c>
      <c r="J351" s="358">
        <f>SUM(B351:I351)</f>
        <v>3749.68</v>
      </c>
    </row>
    <row r="352" spans="1:11">
      <c r="A352" s="345" t="s">
        <v>118</v>
      </c>
      <c r="B352" s="358">
        <v>0</v>
      </c>
      <c r="C352" s="358">
        <v>0</v>
      </c>
      <c r="D352" s="358">
        <v>0</v>
      </c>
      <c r="E352" s="358">
        <v>0</v>
      </c>
      <c r="F352" s="358">
        <v>0</v>
      </c>
      <c r="G352" s="358">
        <v>0</v>
      </c>
      <c r="H352" s="358">
        <v>15298.52</v>
      </c>
      <c r="I352" s="358">
        <v>81.96</v>
      </c>
      <c r="J352" s="358">
        <f>SUM(B352:I352)</f>
        <v>15380.48</v>
      </c>
    </row>
    <row r="353" spans="1:10">
      <c r="A353" s="369" t="s">
        <v>119</v>
      </c>
      <c r="B353" s="363">
        <f t="shared" ref="B353:J353" si="86">SUM(B351:B352)</f>
        <v>0</v>
      </c>
      <c r="C353" s="363">
        <f t="shared" si="86"/>
        <v>0</v>
      </c>
      <c r="D353" s="363">
        <f t="shared" si="86"/>
        <v>0</v>
      </c>
      <c r="E353" s="363">
        <f t="shared" si="86"/>
        <v>0</v>
      </c>
      <c r="F353" s="363">
        <f t="shared" si="86"/>
        <v>0</v>
      </c>
      <c r="G353" s="363">
        <f t="shared" si="86"/>
        <v>0</v>
      </c>
      <c r="H353" s="363">
        <f t="shared" si="86"/>
        <v>19048.2</v>
      </c>
      <c r="I353" s="363">
        <f t="shared" si="86"/>
        <v>81.96</v>
      </c>
      <c r="J353" s="363">
        <f t="shared" si="86"/>
        <v>19130.16</v>
      </c>
    </row>
    <row r="354" spans="1:10">
      <c r="A354" s="368" t="s">
        <v>120</v>
      </c>
      <c r="B354" s="362"/>
      <c r="C354" s="362"/>
      <c r="D354" s="362"/>
      <c r="E354" s="362"/>
      <c r="F354" s="362"/>
      <c r="G354" s="362"/>
      <c r="H354" s="362"/>
      <c r="I354" s="362"/>
      <c r="J354" s="362"/>
    </row>
    <row r="355" spans="1:10">
      <c r="A355" s="345" t="s">
        <v>121</v>
      </c>
      <c r="B355" s="358">
        <v>0</v>
      </c>
      <c r="C355" s="358">
        <v>0</v>
      </c>
      <c r="D355" s="358">
        <v>0</v>
      </c>
      <c r="E355" s="358">
        <v>0</v>
      </c>
      <c r="F355" s="358">
        <v>0</v>
      </c>
      <c r="G355" s="358">
        <v>0</v>
      </c>
      <c r="H355" s="358">
        <v>3739.86</v>
      </c>
      <c r="I355" s="358">
        <v>0</v>
      </c>
      <c r="J355" s="358">
        <f>SUM(B355:I355)</f>
        <v>3739.86</v>
      </c>
    </row>
    <row r="356" spans="1:10">
      <c r="A356" s="369" t="s">
        <v>122</v>
      </c>
      <c r="B356" s="363">
        <f t="shared" ref="B356:J356" si="87">SUM(B355)</f>
        <v>0</v>
      </c>
      <c r="C356" s="363">
        <f t="shared" si="87"/>
        <v>0</v>
      </c>
      <c r="D356" s="363">
        <f t="shared" si="87"/>
        <v>0</v>
      </c>
      <c r="E356" s="363">
        <f t="shared" si="87"/>
        <v>0</v>
      </c>
      <c r="F356" s="363">
        <f t="shared" si="87"/>
        <v>0</v>
      </c>
      <c r="G356" s="363">
        <f t="shared" si="87"/>
        <v>0</v>
      </c>
      <c r="H356" s="363">
        <f t="shared" si="87"/>
        <v>3739.86</v>
      </c>
      <c r="I356" s="363">
        <f t="shared" si="87"/>
        <v>0</v>
      </c>
      <c r="J356" s="363">
        <f t="shared" si="87"/>
        <v>3739.86</v>
      </c>
    </row>
    <row r="357" spans="1:10">
      <c r="A357" s="368" t="s">
        <v>123</v>
      </c>
      <c r="B357" s="362"/>
      <c r="C357" s="362"/>
      <c r="D357" s="362"/>
      <c r="E357" s="362"/>
      <c r="F357" s="362"/>
      <c r="G357" s="362"/>
      <c r="H357" s="362"/>
      <c r="I357" s="362"/>
      <c r="J357" s="362"/>
    </row>
    <row r="358" spans="1:10">
      <c r="A358" s="355" t="s">
        <v>124</v>
      </c>
      <c r="B358" s="362"/>
      <c r="C358" s="362"/>
      <c r="D358" s="362"/>
      <c r="E358" s="362"/>
      <c r="F358" s="362"/>
      <c r="G358" s="362"/>
      <c r="H358" s="362"/>
      <c r="I358" s="362"/>
      <c r="J358" s="362"/>
    </row>
    <row r="359" spans="1:10">
      <c r="A359" s="354" t="s">
        <v>125</v>
      </c>
      <c r="B359" s="358">
        <v>0</v>
      </c>
      <c r="C359" s="358">
        <v>0</v>
      </c>
      <c r="D359" s="358">
        <v>0</v>
      </c>
      <c r="E359" s="358">
        <v>0</v>
      </c>
      <c r="F359" s="358">
        <v>0</v>
      </c>
      <c r="G359" s="358">
        <v>56.5</v>
      </c>
      <c r="H359" s="358">
        <v>787.81</v>
      </c>
      <c r="I359" s="358">
        <v>10613</v>
      </c>
      <c r="J359" s="358">
        <f t="shared" ref="J359:J364" si="88">SUM(B359:I359)</f>
        <v>11457.31</v>
      </c>
    </row>
    <row r="360" spans="1:10">
      <c r="A360" s="354" t="s">
        <v>126</v>
      </c>
      <c r="B360" s="358">
        <v>0</v>
      </c>
      <c r="C360" s="358">
        <v>0</v>
      </c>
      <c r="D360" s="358">
        <v>0</v>
      </c>
      <c r="E360" s="358">
        <v>0</v>
      </c>
      <c r="F360" s="358">
        <v>0</v>
      </c>
      <c r="G360" s="358">
        <v>0</v>
      </c>
      <c r="H360" s="358">
        <v>980.92</v>
      </c>
      <c r="I360" s="358">
        <v>11606.19</v>
      </c>
      <c r="J360" s="358">
        <f t="shared" si="88"/>
        <v>12587.11</v>
      </c>
    </row>
    <row r="361" spans="1:10">
      <c r="A361" s="354" t="s">
        <v>127</v>
      </c>
      <c r="B361" s="358">
        <v>0</v>
      </c>
      <c r="C361" s="358">
        <v>0</v>
      </c>
      <c r="D361" s="358">
        <v>0</v>
      </c>
      <c r="E361" s="358">
        <v>0</v>
      </c>
      <c r="F361" s="358">
        <v>0</v>
      </c>
      <c r="G361" s="358">
        <v>0</v>
      </c>
      <c r="H361" s="358">
        <v>664.93</v>
      </c>
      <c r="I361" s="358">
        <v>2308.69</v>
      </c>
      <c r="J361" s="358">
        <f t="shared" si="88"/>
        <v>2973.62</v>
      </c>
    </row>
    <row r="362" spans="1:10">
      <c r="A362" s="354" t="s">
        <v>128</v>
      </c>
      <c r="B362" s="358">
        <v>0</v>
      </c>
      <c r="C362" s="358">
        <v>0</v>
      </c>
      <c r="D362" s="358">
        <v>0</v>
      </c>
      <c r="E362" s="358">
        <v>0</v>
      </c>
      <c r="F362" s="358">
        <v>0</v>
      </c>
      <c r="G362" s="358">
        <v>0</v>
      </c>
      <c r="H362" s="358">
        <v>49.47</v>
      </c>
      <c r="I362" s="358">
        <v>2554.35</v>
      </c>
      <c r="J362" s="358">
        <f t="shared" si="88"/>
        <v>2603.8199999999997</v>
      </c>
    </row>
    <row r="363" spans="1:10">
      <c r="A363" s="354" t="s">
        <v>129</v>
      </c>
      <c r="B363" s="358">
        <v>0</v>
      </c>
      <c r="C363" s="358">
        <v>0</v>
      </c>
      <c r="D363" s="358">
        <v>0</v>
      </c>
      <c r="E363" s="358">
        <v>0</v>
      </c>
      <c r="F363" s="358">
        <v>0</v>
      </c>
      <c r="G363" s="358">
        <v>0</v>
      </c>
      <c r="H363" s="358">
        <v>0</v>
      </c>
      <c r="I363" s="358">
        <v>516.14</v>
      </c>
      <c r="J363" s="358">
        <f t="shared" si="88"/>
        <v>516.14</v>
      </c>
    </row>
    <row r="364" spans="1:10">
      <c r="A364" s="354" t="s">
        <v>757</v>
      </c>
      <c r="B364" s="358">
        <v>0</v>
      </c>
      <c r="C364" s="358">
        <v>0</v>
      </c>
      <c r="D364" s="358">
        <v>0</v>
      </c>
      <c r="E364" s="358">
        <v>0</v>
      </c>
      <c r="F364" s="358">
        <v>0</v>
      </c>
      <c r="G364" s="358">
        <v>0</v>
      </c>
      <c r="H364" s="358">
        <v>0</v>
      </c>
      <c r="I364" s="358">
        <v>226.31</v>
      </c>
      <c r="J364" s="358">
        <f t="shared" si="88"/>
        <v>226.31</v>
      </c>
    </row>
    <row r="365" spans="1:10">
      <c r="A365" s="356" t="s">
        <v>130</v>
      </c>
      <c r="B365" s="363">
        <f t="shared" ref="B365:J365" si="89">SUM(B359:B364)</f>
        <v>0</v>
      </c>
      <c r="C365" s="363">
        <f t="shared" si="89"/>
        <v>0</v>
      </c>
      <c r="D365" s="363">
        <f t="shared" si="89"/>
        <v>0</v>
      </c>
      <c r="E365" s="363">
        <f t="shared" si="89"/>
        <v>0</v>
      </c>
      <c r="F365" s="363">
        <f t="shared" si="89"/>
        <v>0</v>
      </c>
      <c r="G365" s="363">
        <f t="shared" si="89"/>
        <v>56.5</v>
      </c>
      <c r="H365" s="363">
        <f t="shared" si="89"/>
        <v>2483.1299999999997</v>
      </c>
      <c r="I365" s="363">
        <f t="shared" si="89"/>
        <v>27824.68</v>
      </c>
      <c r="J365" s="363">
        <f t="shared" si="89"/>
        <v>30364.309999999998</v>
      </c>
    </row>
    <row r="366" spans="1:10">
      <c r="A366" s="369" t="s">
        <v>131</v>
      </c>
      <c r="B366" s="363">
        <f t="shared" ref="B366:J366" si="90">SUM(B365)</f>
        <v>0</v>
      </c>
      <c r="C366" s="363">
        <f t="shared" si="90"/>
        <v>0</v>
      </c>
      <c r="D366" s="363">
        <f t="shared" si="90"/>
        <v>0</v>
      </c>
      <c r="E366" s="363">
        <f t="shared" si="90"/>
        <v>0</v>
      </c>
      <c r="F366" s="363">
        <f t="shared" si="90"/>
        <v>0</v>
      </c>
      <c r="G366" s="363">
        <f t="shared" si="90"/>
        <v>56.5</v>
      </c>
      <c r="H366" s="363">
        <f t="shared" si="90"/>
        <v>2483.1299999999997</v>
      </c>
      <c r="I366" s="363">
        <f t="shared" si="90"/>
        <v>27824.68</v>
      </c>
      <c r="J366" s="363">
        <f t="shared" si="90"/>
        <v>30364.309999999998</v>
      </c>
    </row>
    <row r="367" spans="1:10">
      <c r="A367" s="368" t="s">
        <v>754</v>
      </c>
      <c r="B367" s="362"/>
      <c r="C367" s="362"/>
      <c r="D367" s="362"/>
      <c r="E367" s="362"/>
      <c r="F367" s="362"/>
      <c r="G367" s="362"/>
      <c r="H367" s="362"/>
      <c r="I367" s="362"/>
      <c r="J367" s="362"/>
    </row>
    <row r="368" spans="1:10">
      <c r="A368" s="345" t="s">
        <v>155</v>
      </c>
      <c r="B368" s="358">
        <v>0</v>
      </c>
      <c r="C368" s="358">
        <v>0</v>
      </c>
      <c r="D368" s="358">
        <v>0</v>
      </c>
      <c r="E368" s="358">
        <v>0</v>
      </c>
      <c r="F368" s="358">
        <v>0</v>
      </c>
      <c r="G368" s="358">
        <v>0</v>
      </c>
      <c r="H368" s="358">
        <v>0</v>
      </c>
      <c r="I368" s="358">
        <v>146.47</v>
      </c>
      <c r="J368" s="358">
        <f>SUM(B368:I368)</f>
        <v>146.47</v>
      </c>
    </row>
    <row r="369" spans="1:10">
      <c r="A369" s="345" t="s">
        <v>156</v>
      </c>
      <c r="B369" s="358">
        <v>0</v>
      </c>
      <c r="C369" s="358">
        <v>0</v>
      </c>
      <c r="D369" s="358">
        <v>0</v>
      </c>
      <c r="E369" s="358">
        <v>0</v>
      </c>
      <c r="F369" s="358">
        <v>0</v>
      </c>
      <c r="G369" s="358">
        <v>0</v>
      </c>
      <c r="H369" s="358">
        <v>289</v>
      </c>
      <c r="I369" s="358">
        <v>0</v>
      </c>
      <c r="J369" s="358">
        <f>SUM(B369:I369)</f>
        <v>289</v>
      </c>
    </row>
    <row r="370" spans="1:10">
      <c r="A370" s="369" t="s">
        <v>755</v>
      </c>
      <c r="B370" s="363">
        <f t="shared" ref="B370:J370" si="91">SUM(B368:B369)</f>
        <v>0</v>
      </c>
      <c r="C370" s="363">
        <f t="shared" si="91"/>
        <v>0</v>
      </c>
      <c r="D370" s="363">
        <f t="shared" si="91"/>
        <v>0</v>
      </c>
      <c r="E370" s="363">
        <f t="shared" si="91"/>
        <v>0</v>
      </c>
      <c r="F370" s="363">
        <f t="shared" si="91"/>
        <v>0</v>
      </c>
      <c r="G370" s="363">
        <f t="shared" si="91"/>
        <v>0</v>
      </c>
      <c r="H370" s="363">
        <f t="shared" si="91"/>
        <v>289</v>
      </c>
      <c r="I370" s="363">
        <f t="shared" si="91"/>
        <v>146.47</v>
      </c>
      <c r="J370" s="363">
        <f t="shared" si="91"/>
        <v>435.47</v>
      </c>
    </row>
    <row r="371" spans="1:10">
      <c r="A371" s="368" t="s">
        <v>144</v>
      </c>
      <c r="B371" s="362"/>
      <c r="C371" s="362"/>
      <c r="D371" s="362"/>
      <c r="E371" s="362"/>
      <c r="F371" s="362"/>
      <c r="G371" s="362"/>
      <c r="H371" s="362"/>
      <c r="I371" s="362"/>
      <c r="J371" s="362"/>
    </row>
    <row r="372" spans="1:10">
      <c r="A372" s="345" t="s">
        <v>145</v>
      </c>
      <c r="B372" s="358">
        <v>0</v>
      </c>
      <c r="C372" s="358">
        <v>0</v>
      </c>
      <c r="D372" s="358">
        <v>0</v>
      </c>
      <c r="E372" s="358">
        <v>0</v>
      </c>
      <c r="F372" s="358">
        <v>0</v>
      </c>
      <c r="G372" s="358">
        <v>0</v>
      </c>
      <c r="H372" s="358">
        <v>188168.26</v>
      </c>
      <c r="I372" s="358">
        <v>0</v>
      </c>
      <c r="J372" s="358">
        <f>SUM(B372:I372)</f>
        <v>188168.26</v>
      </c>
    </row>
    <row r="373" spans="1:10">
      <c r="A373" s="369" t="s">
        <v>146</v>
      </c>
      <c r="B373" s="363">
        <f t="shared" ref="B373:J373" si="92">SUM(B372)</f>
        <v>0</v>
      </c>
      <c r="C373" s="363">
        <f t="shared" si="92"/>
        <v>0</v>
      </c>
      <c r="D373" s="363">
        <f t="shared" si="92"/>
        <v>0</v>
      </c>
      <c r="E373" s="363">
        <f t="shared" si="92"/>
        <v>0</v>
      </c>
      <c r="F373" s="363">
        <f t="shared" si="92"/>
        <v>0</v>
      </c>
      <c r="G373" s="363">
        <f t="shared" si="92"/>
        <v>0</v>
      </c>
      <c r="H373" s="363">
        <f t="shared" si="92"/>
        <v>188168.26</v>
      </c>
      <c r="I373" s="363">
        <f t="shared" si="92"/>
        <v>0</v>
      </c>
      <c r="J373" s="363">
        <f t="shared" si="92"/>
        <v>188168.26</v>
      </c>
    </row>
    <row r="374" spans="1:10">
      <c r="A374" s="368" t="s">
        <v>132</v>
      </c>
      <c r="B374" s="362"/>
      <c r="C374" s="362"/>
      <c r="D374" s="362"/>
      <c r="E374" s="362"/>
      <c r="F374" s="362"/>
      <c r="G374" s="362"/>
      <c r="H374" s="362"/>
      <c r="I374" s="362"/>
      <c r="J374" s="362"/>
    </row>
    <row r="375" spans="1:10">
      <c r="A375" s="355" t="s">
        <v>133</v>
      </c>
      <c r="B375" s="362"/>
      <c r="C375" s="362"/>
      <c r="D375" s="362"/>
      <c r="E375" s="362"/>
      <c r="F375" s="362"/>
      <c r="G375" s="362"/>
      <c r="H375" s="362"/>
      <c r="I375" s="362"/>
      <c r="J375" s="362"/>
    </row>
    <row r="376" spans="1:10">
      <c r="A376" s="354" t="s">
        <v>134</v>
      </c>
      <c r="B376" s="358">
        <v>0</v>
      </c>
      <c r="C376" s="358">
        <v>0</v>
      </c>
      <c r="D376" s="358">
        <v>0</v>
      </c>
      <c r="E376" s="358">
        <v>0</v>
      </c>
      <c r="F376" s="358">
        <v>0</v>
      </c>
      <c r="G376" s="358">
        <v>0</v>
      </c>
      <c r="H376" s="358">
        <v>373743.97</v>
      </c>
      <c r="I376" s="358">
        <v>0</v>
      </c>
      <c r="J376" s="358">
        <f>SUM(B376:I376)</f>
        <v>373743.97</v>
      </c>
    </row>
    <row r="377" spans="1:10">
      <c r="A377" s="356" t="s">
        <v>135</v>
      </c>
      <c r="B377" s="363">
        <f t="shared" ref="B377:J378" si="93">SUM(B376)</f>
        <v>0</v>
      </c>
      <c r="C377" s="363">
        <f t="shared" si="93"/>
        <v>0</v>
      </c>
      <c r="D377" s="363">
        <f t="shared" si="93"/>
        <v>0</v>
      </c>
      <c r="E377" s="363">
        <f t="shared" si="93"/>
        <v>0</v>
      </c>
      <c r="F377" s="363">
        <f t="shared" si="93"/>
        <v>0</v>
      </c>
      <c r="G377" s="363">
        <f t="shared" si="93"/>
        <v>0</v>
      </c>
      <c r="H377" s="363">
        <f t="shared" si="93"/>
        <v>373743.97</v>
      </c>
      <c r="I377" s="363">
        <f t="shared" si="93"/>
        <v>0</v>
      </c>
      <c r="J377" s="363">
        <f t="shared" si="93"/>
        <v>373743.97</v>
      </c>
    </row>
    <row r="378" spans="1:10">
      <c r="A378" s="369" t="s">
        <v>136</v>
      </c>
      <c r="B378" s="363">
        <f t="shared" si="93"/>
        <v>0</v>
      </c>
      <c r="C378" s="363">
        <f t="shared" si="93"/>
        <v>0</v>
      </c>
      <c r="D378" s="363">
        <f t="shared" si="93"/>
        <v>0</v>
      </c>
      <c r="E378" s="363">
        <f t="shared" si="93"/>
        <v>0</v>
      </c>
      <c r="F378" s="363">
        <f t="shared" si="93"/>
        <v>0</v>
      </c>
      <c r="G378" s="363">
        <f t="shared" si="93"/>
        <v>0</v>
      </c>
      <c r="H378" s="363">
        <f t="shared" si="93"/>
        <v>373743.97</v>
      </c>
      <c r="I378" s="363">
        <f t="shared" si="93"/>
        <v>0</v>
      </c>
      <c r="J378" s="363">
        <f t="shared" si="93"/>
        <v>373743.97</v>
      </c>
    </row>
    <row r="379" spans="1:10">
      <c r="A379" s="368" t="s">
        <v>60</v>
      </c>
      <c r="B379" s="362"/>
      <c r="C379" s="362"/>
      <c r="D379" s="362"/>
      <c r="E379" s="362"/>
      <c r="F379" s="362"/>
      <c r="G379" s="362"/>
      <c r="H379" s="362"/>
      <c r="I379" s="362"/>
      <c r="J379" s="362"/>
    </row>
    <row r="380" spans="1:10">
      <c r="A380" s="355" t="s">
        <v>68</v>
      </c>
      <c r="B380" s="362"/>
      <c r="C380" s="362"/>
      <c r="D380" s="362"/>
      <c r="E380" s="362"/>
      <c r="F380" s="362"/>
      <c r="G380" s="362"/>
      <c r="H380" s="362"/>
      <c r="I380" s="362"/>
      <c r="J380" s="362"/>
    </row>
    <row r="381" spans="1:10">
      <c r="A381" s="354" t="s">
        <v>69</v>
      </c>
      <c r="B381" s="358">
        <v>0</v>
      </c>
      <c r="C381" s="358">
        <v>0</v>
      </c>
      <c r="D381" s="358">
        <v>0</v>
      </c>
      <c r="E381" s="358">
        <v>0</v>
      </c>
      <c r="F381" s="358">
        <v>0</v>
      </c>
      <c r="G381" s="358">
        <v>26756.77</v>
      </c>
      <c r="H381" s="358">
        <v>76044.899999999994</v>
      </c>
      <c r="I381" s="358">
        <v>61254.51</v>
      </c>
      <c r="J381" s="358">
        <f>SUM(B381:I381)</f>
        <v>164056.18</v>
      </c>
    </row>
    <row r="382" spans="1:10">
      <c r="A382" s="354" t="s">
        <v>148</v>
      </c>
      <c r="B382" s="358">
        <v>0</v>
      </c>
      <c r="C382" s="358">
        <v>0</v>
      </c>
      <c r="D382" s="358">
        <v>0</v>
      </c>
      <c r="E382" s="358">
        <v>0</v>
      </c>
      <c r="F382" s="358">
        <v>0</v>
      </c>
      <c r="G382" s="358">
        <v>0</v>
      </c>
      <c r="H382" s="358">
        <v>0</v>
      </c>
      <c r="I382" s="358">
        <v>448.76</v>
      </c>
      <c r="J382" s="358">
        <f>SUM(B382:I382)</f>
        <v>448.76</v>
      </c>
    </row>
    <row r="383" spans="1:10">
      <c r="A383" s="356" t="s">
        <v>70</v>
      </c>
      <c r="B383" s="363">
        <f t="shared" ref="B383:J383" si="94">SUM(B381:B382)</f>
        <v>0</v>
      </c>
      <c r="C383" s="363">
        <f t="shared" si="94"/>
        <v>0</v>
      </c>
      <c r="D383" s="363">
        <f t="shared" si="94"/>
        <v>0</v>
      </c>
      <c r="E383" s="363">
        <f t="shared" si="94"/>
        <v>0</v>
      </c>
      <c r="F383" s="363">
        <f t="shared" si="94"/>
        <v>0</v>
      </c>
      <c r="G383" s="363">
        <f t="shared" si="94"/>
        <v>26756.77</v>
      </c>
      <c r="H383" s="363">
        <f t="shared" si="94"/>
        <v>76044.899999999994</v>
      </c>
      <c r="I383" s="363">
        <f t="shared" si="94"/>
        <v>61703.270000000004</v>
      </c>
      <c r="J383" s="363">
        <f t="shared" si="94"/>
        <v>164504.94</v>
      </c>
    </row>
    <row r="384" spans="1:10">
      <c r="A384" s="355" t="s">
        <v>71</v>
      </c>
      <c r="B384" s="362"/>
      <c r="C384" s="362"/>
      <c r="D384" s="362"/>
      <c r="E384" s="362"/>
      <c r="F384" s="362"/>
      <c r="G384" s="362"/>
      <c r="H384" s="362"/>
      <c r="I384" s="362"/>
      <c r="J384" s="362"/>
    </row>
    <row r="385" spans="1:10">
      <c r="A385" s="354" t="s">
        <v>72</v>
      </c>
      <c r="B385" s="358">
        <v>0</v>
      </c>
      <c r="C385" s="358">
        <v>0</v>
      </c>
      <c r="D385" s="358">
        <v>0</v>
      </c>
      <c r="E385" s="358">
        <v>0</v>
      </c>
      <c r="F385" s="358">
        <v>0</v>
      </c>
      <c r="G385" s="358">
        <v>0</v>
      </c>
      <c r="H385" s="358">
        <v>4311.17</v>
      </c>
      <c r="I385" s="358">
        <v>0</v>
      </c>
      <c r="J385" s="358">
        <f>SUM(B385:I385)</f>
        <v>4311.17</v>
      </c>
    </row>
    <row r="386" spans="1:10">
      <c r="A386" s="354" t="s">
        <v>73</v>
      </c>
      <c r="B386" s="358">
        <v>0</v>
      </c>
      <c r="C386" s="358">
        <v>0</v>
      </c>
      <c r="D386" s="358">
        <v>0</v>
      </c>
      <c r="E386" s="358">
        <v>0</v>
      </c>
      <c r="F386" s="358">
        <v>0</v>
      </c>
      <c r="G386" s="358">
        <v>130.53</v>
      </c>
      <c r="H386" s="358">
        <v>947.04</v>
      </c>
      <c r="I386" s="358">
        <v>620.03</v>
      </c>
      <c r="J386" s="358">
        <f>SUM(B386:I386)</f>
        <v>1697.6</v>
      </c>
    </row>
    <row r="387" spans="1:10">
      <c r="A387" s="354" t="s">
        <v>137</v>
      </c>
      <c r="B387" s="358">
        <v>0</v>
      </c>
      <c r="C387" s="358">
        <v>0</v>
      </c>
      <c r="D387" s="358">
        <v>0</v>
      </c>
      <c r="E387" s="358">
        <v>0</v>
      </c>
      <c r="F387" s="358">
        <v>83.29</v>
      </c>
      <c r="G387" s="358">
        <v>0</v>
      </c>
      <c r="H387" s="358">
        <v>21264.22</v>
      </c>
      <c r="I387" s="358">
        <v>174.94</v>
      </c>
      <c r="J387" s="358">
        <f>SUM(B387:I387)</f>
        <v>21522.45</v>
      </c>
    </row>
    <row r="388" spans="1:10">
      <c r="A388" s="354" t="s">
        <v>74</v>
      </c>
      <c r="B388" s="358">
        <v>0</v>
      </c>
      <c r="C388" s="358">
        <v>0</v>
      </c>
      <c r="D388" s="358">
        <v>0</v>
      </c>
      <c r="E388" s="358">
        <v>0</v>
      </c>
      <c r="F388" s="358">
        <v>0</v>
      </c>
      <c r="G388" s="358">
        <v>0</v>
      </c>
      <c r="H388" s="358">
        <v>16450.38</v>
      </c>
      <c r="I388" s="358">
        <v>710.73</v>
      </c>
      <c r="J388" s="358">
        <f>SUM(B388:I388)</f>
        <v>17161.11</v>
      </c>
    </row>
    <row r="389" spans="1:10">
      <c r="A389" s="356" t="s">
        <v>75</v>
      </c>
      <c r="B389" s="363">
        <f t="shared" ref="B389:J389" si="95">SUM(B385:B388)</f>
        <v>0</v>
      </c>
      <c r="C389" s="363">
        <f t="shared" si="95"/>
        <v>0</v>
      </c>
      <c r="D389" s="363">
        <f t="shared" si="95"/>
        <v>0</v>
      </c>
      <c r="E389" s="363">
        <f t="shared" si="95"/>
        <v>0</v>
      </c>
      <c r="F389" s="363">
        <f t="shared" si="95"/>
        <v>83.29</v>
      </c>
      <c r="G389" s="363">
        <f t="shared" si="95"/>
        <v>130.53</v>
      </c>
      <c r="H389" s="363">
        <f t="shared" si="95"/>
        <v>42972.81</v>
      </c>
      <c r="I389" s="363">
        <f t="shared" si="95"/>
        <v>1505.7</v>
      </c>
      <c r="J389" s="363">
        <f t="shared" si="95"/>
        <v>44692.33</v>
      </c>
    </row>
    <row r="390" spans="1:10">
      <c r="A390" s="355" t="s">
        <v>64</v>
      </c>
      <c r="B390" s="362"/>
      <c r="C390" s="362"/>
      <c r="D390" s="362"/>
      <c r="E390" s="362"/>
      <c r="F390" s="362"/>
      <c r="G390" s="362"/>
      <c r="H390" s="362"/>
      <c r="I390" s="362"/>
      <c r="J390" s="362"/>
    </row>
    <row r="391" spans="1:10">
      <c r="A391" s="354" t="s">
        <v>66</v>
      </c>
      <c r="B391" s="358">
        <v>0</v>
      </c>
      <c r="C391" s="358">
        <v>0</v>
      </c>
      <c r="D391" s="358">
        <v>0</v>
      </c>
      <c r="E391" s="358">
        <v>0</v>
      </c>
      <c r="F391" s="358">
        <v>0</v>
      </c>
      <c r="G391" s="358">
        <v>345.6</v>
      </c>
      <c r="H391" s="358">
        <v>1464.27</v>
      </c>
      <c r="I391" s="358">
        <v>824.9</v>
      </c>
      <c r="J391" s="358">
        <f>SUM(B391:I391)</f>
        <v>2634.77</v>
      </c>
    </row>
    <row r="392" spans="1:10">
      <c r="A392" s="354" t="s">
        <v>65</v>
      </c>
      <c r="B392" s="358">
        <v>0</v>
      </c>
      <c r="C392" s="358">
        <v>0</v>
      </c>
      <c r="D392" s="358">
        <v>0</v>
      </c>
      <c r="E392" s="358">
        <v>0</v>
      </c>
      <c r="F392" s="358">
        <v>0</v>
      </c>
      <c r="G392" s="358">
        <v>0</v>
      </c>
      <c r="H392" s="358">
        <v>1064.8900000000001</v>
      </c>
      <c r="I392" s="358">
        <v>7038.66</v>
      </c>
      <c r="J392" s="358">
        <f>SUM(B392:I392)</f>
        <v>8103.55</v>
      </c>
    </row>
    <row r="393" spans="1:10">
      <c r="A393" s="356" t="s">
        <v>67</v>
      </c>
      <c r="B393" s="363">
        <f t="shared" ref="B393:J393" si="96">SUM(B391:B392)</f>
        <v>0</v>
      </c>
      <c r="C393" s="363">
        <f t="shared" si="96"/>
        <v>0</v>
      </c>
      <c r="D393" s="363">
        <f t="shared" si="96"/>
        <v>0</v>
      </c>
      <c r="E393" s="363">
        <f t="shared" si="96"/>
        <v>0</v>
      </c>
      <c r="F393" s="363">
        <f t="shared" si="96"/>
        <v>0</v>
      </c>
      <c r="G393" s="363">
        <f t="shared" si="96"/>
        <v>345.6</v>
      </c>
      <c r="H393" s="363">
        <f t="shared" si="96"/>
        <v>2529.16</v>
      </c>
      <c r="I393" s="363">
        <f t="shared" si="96"/>
        <v>7863.5599999999995</v>
      </c>
      <c r="J393" s="363">
        <f t="shared" si="96"/>
        <v>10738.32</v>
      </c>
    </row>
    <row r="394" spans="1:10">
      <c r="A394" s="369" t="s">
        <v>76</v>
      </c>
      <c r="B394" s="363">
        <f t="shared" ref="B394:J394" si="97">SUM(B383,B389,B393)</f>
        <v>0</v>
      </c>
      <c r="C394" s="363">
        <f t="shared" si="97"/>
        <v>0</v>
      </c>
      <c r="D394" s="363">
        <f t="shared" si="97"/>
        <v>0</v>
      </c>
      <c r="E394" s="363">
        <f t="shared" si="97"/>
        <v>0</v>
      </c>
      <c r="F394" s="363">
        <f t="shared" si="97"/>
        <v>83.29</v>
      </c>
      <c r="G394" s="363">
        <f t="shared" si="97"/>
        <v>27232.899999999998</v>
      </c>
      <c r="H394" s="363">
        <f t="shared" si="97"/>
        <v>121546.87</v>
      </c>
      <c r="I394" s="363">
        <f t="shared" si="97"/>
        <v>71072.53</v>
      </c>
      <c r="J394" s="363">
        <f t="shared" si="97"/>
        <v>219935.59000000003</v>
      </c>
    </row>
    <row r="395" spans="1:10">
      <c r="A395" s="368" t="s">
        <v>162</v>
      </c>
      <c r="B395" s="362"/>
      <c r="C395" s="362"/>
      <c r="D395" s="362"/>
      <c r="E395" s="362"/>
      <c r="F395" s="362"/>
      <c r="G395" s="362"/>
      <c r="H395" s="362"/>
      <c r="I395" s="362"/>
      <c r="J395" s="362"/>
    </row>
    <row r="396" spans="1:10">
      <c r="A396" s="345" t="s">
        <v>163</v>
      </c>
      <c r="B396" s="358">
        <v>0</v>
      </c>
      <c r="C396" s="358">
        <v>0</v>
      </c>
      <c r="D396" s="358">
        <v>0</v>
      </c>
      <c r="E396" s="358">
        <v>0</v>
      </c>
      <c r="F396" s="358">
        <v>0</v>
      </c>
      <c r="G396" s="358">
        <v>0</v>
      </c>
      <c r="H396" s="358">
        <v>0</v>
      </c>
      <c r="I396" s="358">
        <v>51.02</v>
      </c>
      <c r="J396" s="358">
        <f>SUM(B396:I396)</f>
        <v>51.02</v>
      </c>
    </row>
    <row r="397" spans="1:10">
      <c r="A397" s="345" t="s">
        <v>191</v>
      </c>
      <c r="B397" s="358">
        <v>0</v>
      </c>
      <c r="C397" s="358">
        <v>0</v>
      </c>
      <c r="D397" s="358">
        <v>0</v>
      </c>
      <c r="E397" s="358">
        <v>0</v>
      </c>
      <c r="F397" s="358">
        <v>0</v>
      </c>
      <c r="G397" s="358">
        <v>0</v>
      </c>
      <c r="H397" s="358">
        <v>3462.63</v>
      </c>
      <c r="I397" s="358">
        <v>0</v>
      </c>
      <c r="J397" s="358">
        <f>SUM(B397:I397)</f>
        <v>3462.63</v>
      </c>
    </row>
    <row r="398" spans="1:10">
      <c r="A398" s="369" t="s">
        <v>165</v>
      </c>
      <c r="B398" s="363">
        <f t="shared" ref="B398:J398" si="98">SUM(B396:B397)</f>
        <v>0</v>
      </c>
      <c r="C398" s="363">
        <f t="shared" si="98"/>
        <v>0</v>
      </c>
      <c r="D398" s="363">
        <f t="shared" si="98"/>
        <v>0</v>
      </c>
      <c r="E398" s="363">
        <f t="shared" si="98"/>
        <v>0</v>
      </c>
      <c r="F398" s="363">
        <f t="shared" si="98"/>
        <v>0</v>
      </c>
      <c r="G398" s="363">
        <f t="shared" si="98"/>
        <v>0</v>
      </c>
      <c r="H398" s="363">
        <f t="shared" si="98"/>
        <v>3462.63</v>
      </c>
      <c r="I398" s="363">
        <f t="shared" si="98"/>
        <v>51.02</v>
      </c>
      <c r="J398" s="363">
        <f t="shared" si="98"/>
        <v>3513.65</v>
      </c>
    </row>
    <row r="399" spans="1:10">
      <c r="A399" s="368" t="s">
        <v>55</v>
      </c>
      <c r="B399" s="362"/>
      <c r="C399" s="362"/>
      <c r="D399" s="362"/>
      <c r="E399" s="362"/>
      <c r="F399" s="362"/>
      <c r="G399" s="362"/>
      <c r="H399" s="362"/>
      <c r="I399" s="362"/>
      <c r="J399" s="362"/>
    </row>
    <row r="400" spans="1:10">
      <c r="A400" s="345" t="s">
        <v>56</v>
      </c>
      <c r="B400" s="358">
        <v>0</v>
      </c>
      <c r="C400" s="358">
        <v>0</v>
      </c>
      <c r="D400" s="358">
        <v>0</v>
      </c>
      <c r="E400" s="358">
        <v>0</v>
      </c>
      <c r="F400" s="358">
        <v>313.52999999999997</v>
      </c>
      <c r="G400" s="358">
        <v>0</v>
      </c>
      <c r="H400" s="358">
        <v>11459.44</v>
      </c>
      <c r="I400" s="358">
        <v>2023.26</v>
      </c>
      <c r="J400" s="358">
        <f>SUM(B400:I400)</f>
        <v>13796.230000000001</v>
      </c>
    </row>
    <row r="401" spans="1:11">
      <c r="A401" s="345" t="s">
        <v>58</v>
      </c>
      <c r="B401" s="358">
        <v>0</v>
      </c>
      <c r="C401" s="358">
        <v>0</v>
      </c>
      <c r="D401" s="358">
        <v>0</v>
      </c>
      <c r="E401" s="358">
        <v>0</v>
      </c>
      <c r="F401" s="358">
        <v>0</v>
      </c>
      <c r="G401" s="358">
        <v>6.93</v>
      </c>
      <c r="H401" s="358">
        <v>50.78</v>
      </c>
      <c r="I401" s="358">
        <v>12.88</v>
      </c>
      <c r="J401" s="358">
        <f>SUM(B401:I401)</f>
        <v>70.59</v>
      </c>
    </row>
    <row r="402" spans="1:11">
      <c r="A402" s="345" t="s">
        <v>57</v>
      </c>
      <c r="B402" s="358">
        <v>0</v>
      </c>
      <c r="C402" s="358">
        <v>0</v>
      </c>
      <c r="D402" s="358">
        <v>0</v>
      </c>
      <c r="E402" s="358">
        <v>0</v>
      </c>
      <c r="F402" s="358">
        <v>0</v>
      </c>
      <c r="G402" s="358">
        <v>30.79</v>
      </c>
      <c r="H402" s="358">
        <v>851.67</v>
      </c>
      <c r="I402" s="358">
        <v>265</v>
      </c>
      <c r="J402" s="358">
        <f>SUM(B402:I402)</f>
        <v>1147.46</v>
      </c>
    </row>
    <row r="403" spans="1:11">
      <c r="A403" s="369" t="s">
        <v>59</v>
      </c>
      <c r="B403" s="363">
        <f t="shared" ref="B403:J403" si="99">SUM(B400:B402)</f>
        <v>0</v>
      </c>
      <c r="C403" s="363">
        <f t="shared" si="99"/>
        <v>0</v>
      </c>
      <c r="D403" s="363">
        <f t="shared" si="99"/>
        <v>0</v>
      </c>
      <c r="E403" s="363">
        <f t="shared" si="99"/>
        <v>0</v>
      </c>
      <c r="F403" s="363">
        <f t="shared" si="99"/>
        <v>313.52999999999997</v>
      </c>
      <c r="G403" s="363">
        <f t="shared" si="99"/>
        <v>37.72</v>
      </c>
      <c r="H403" s="363">
        <f t="shared" si="99"/>
        <v>12361.890000000001</v>
      </c>
      <c r="I403" s="363">
        <f t="shared" si="99"/>
        <v>2301.1400000000003</v>
      </c>
      <c r="J403" s="363">
        <f t="shared" si="99"/>
        <v>15014.280000000002</v>
      </c>
    </row>
    <row r="404" spans="1:11">
      <c r="A404" s="370" t="s">
        <v>149</v>
      </c>
      <c r="B404" s="363">
        <f t="shared" ref="B404:J404" si="100">SUM(B322,B336,B343,B346,B349,B353,B356,B366,B370,B373,B378,B394,B398,B403)</f>
        <v>0</v>
      </c>
      <c r="C404" s="363">
        <f t="shared" si="100"/>
        <v>0</v>
      </c>
      <c r="D404" s="363">
        <f t="shared" si="100"/>
        <v>0</v>
      </c>
      <c r="E404" s="363">
        <f t="shared" si="100"/>
        <v>0</v>
      </c>
      <c r="F404" s="363">
        <f t="shared" si="100"/>
        <v>44357.049999999996</v>
      </c>
      <c r="G404" s="363">
        <f t="shared" si="100"/>
        <v>233749.72999999998</v>
      </c>
      <c r="H404" s="363">
        <f t="shared" si="100"/>
        <v>2286600.73</v>
      </c>
      <c r="I404" s="363">
        <f t="shared" si="100"/>
        <v>785676.17000000016</v>
      </c>
      <c r="J404" s="363">
        <f t="shared" si="100"/>
        <v>3350383.6799999997</v>
      </c>
    </row>
    <row r="405" spans="1:11">
      <c r="A405" s="371" t="s">
        <v>150</v>
      </c>
      <c r="B405" s="363">
        <f t="shared" ref="B405:J405" si="101">SUM(B308,B404)</f>
        <v>0</v>
      </c>
      <c r="C405" s="363">
        <f t="shared" si="101"/>
        <v>0</v>
      </c>
      <c r="D405" s="363">
        <f t="shared" si="101"/>
        <v>0</v>
      </c>
      <c r="E405" s="363">
        <f t="shared" si="101"/>
        <v>1392</v>
      </c>
      <c r="F405" s="363">
        <f t="shared" si="101"/>
        <v>1513980.9400000002</v>
      </c>
      <c r="G405" s="363">
        <f t="shared" si="101"/>
        <v>535958.22</v>
      </c>
      <c r="H405" s="363">
        <f t="shared" si="101"/>
        <v>2699400.67</v>
      </c>
      <c r="I405" s="363">
        <f t="shared" si="101"/>
        <v>790031.89000000013</v>
      </c>
      <c r="J405" s="363">
        <f t="shared" si="101"/>
        <v>5540763.7199999997</v>
      </c>
      <c r="K405">
        <v>4.0999999999999996</v>
      </c>
    </row>
    <row r="406" spans="1:11">
      <c r="A406" s="352" t="s">
        <v>151</v>
      </c>
      <c r="B406" s="362"/>
      <c r="C406" s="362"/>
      <c r="D406" s="362"/>
      <c r="E406" s="362"/>
      <c r="F406" s="362"/>
      <c r="G406" s="362"/>
      <c r="H406" s="362"/>
      <c r="I406" s="362"/>
      <c r="J406" s="362"/>
    </row>
    <row r="407" spans="1:11">
      <c r="A407" s="353" t="s">
        <v>152</v>
      </c>
      <c r="B407" s="362"/>
      <c r="C407" s="362"/>
      <c r="D407" s="362"/>
      <c r="E407" s="362"/>
      <c r="F407" s="362"/>
      <c r="G407" s="362"/>
      <c r="H407" s="362"/>
      <c r="I407" s="362"/>
      <c r="J407" s="362"/>
    </row>
    <row r="408" spans="1:11">
      <c r="A408" s="368" t="s">
        <v>83</v>
      </c>
      <c r="B408" s="362"/>
      <c r="C408" s="362"/>
      <c r="D408" s="362"/>
      <c r="E408" s="362"/>
      <c r="F408" s="362"/>
      <c r="G408" s="362"/>
      <c r="H408" s="362"/>
      <c r="I408" s="362"/>
      <c r="J408" s="362"/>
    </row>
    <row r="409" spans="1:11">
      <c r="A409" s="345" t="s">
        <v>98</v>
      </c>
      <c r="B409" s="358">
        <v>0</v>
      </c>
      <c r="C409" s="358">
        <v>0</v>
      </c>
      <c r="D409" s="358">
        <v>0</v>
      </c>
      <c r="E409" s="358">
        <v>224538.14</v>
      </c>
      <c r="F409" s="358">
        <v>493450.06</v>
      </c>
      <c r="G409" s="358">
        <v>535331.12</v>
      </c>
      <c r="H409" s="358">
        <v>1249243.6200000001</v>
      </c>
      <c r="I409" s="358">
        <v>216900.33</v>
      </c>
      <c r="J409" s="358">
        <f>SUM(B409:I409)</f>
        <v>2719463.27</v>
      </c>
    </row>
    <row r="410" spans="1:11">
      <c r="A410" s="345" t="s">
        <v>99</v>
      </c>
      <c r="B410" s="358">
        <v>0</v>
      </c>
      <c r="C410" s="358">
        <v>0</v>
      </c>
      <c r="D410" s="358">
        <v>0</v>
      </c>
      <c r="E410" s="358">
        <v>0</v>
      </c>
      <c r="F410" s="358">
        <v>0</v>
      </c>
      <c r="G410" s="358">
        <v>0</v>
      </c>
      <c r="H410" s="358">
        <v>-25889.81</v>
      </c>
      <c r="I410" s="358">
        <v>0</v>
      </c>
      <c r="J410" s="358">
        <f>SUM(B410:I410)</f>
        <v>-25889.81</v>
      </c>
    </row>
    <row r="411" spans="1:11">
      <c r="A411" s="345" t="s">
        <v>758</v>
      </c>
      <c r="B411" s="358">
        <v>0</v>
      </c>
      <c r="C411" s="358">
        <v>0</v>
      </c>
      <c r="D411" s="358">
        <v>0</v>
      </c>
      <c r="E411" s="358">
        <v>0</v>
      </c>
      <c r="F411" s="358">
        <v>0</v>
      </c>
      <c r="G411" s="358">
        <v>0</v>
      </c>
      <c r="H411" s="358">
        <v>20008.55</v>
      </c>
      <c r="I411" s="358">
        <v>0</v>
      </c>
      <c r="J411" s="358">
        <f>SUM(B411:I411)</f>
        <v>20008.55</v>
      </c>
    </row>
    <row r="412" spans="1:11">
      <c r="A412" s="345" t="s">
        <v>141</v>
      </c>
      <c r="B412" s="358">
        <v>0</v>
      </c>
      <c r="C412" s="358">
        <v>0</v>
      </c>
      <c r="D412" s="358">
        <v>0</v>
      </c>
      <c r="E412" s="358">
        <v>0</v>
      </c>
      <c r="F412" s="358">
        <v>0</v>
      </c>
      <c r="G412" s="358">
        <v>0</v>
      </c>
      <c r="H412" s="358">
        <v>0</v>
      </c>
      <c r="I412" s="358">
        <v>445.61</v>
      </c>
      <c r="J412" s="358">
        <f>SUM(B412:I412)</f>
        <v>445.61</v>
      </c>
    </row>
    <row r="413" spans="1:11">
      <c r="A413" s="345" t="s">
        <v>153</v>
      </c>
      <c r="B413" s="358">
        <v>0</v>
      </c>
      <c r="C413" s="358">
        <v>0</v>
      </c>
      <c r="D413" s="358">
        <v>0</v>
      </c>
      <c r="E413" s="358">
        <v>0</v>
      </c>
      <c r="F413" s="358">
        <v>129518.77</v>
      </c>
      <c r="G413" s="358">
        <v>0</v>
      </c>
      <c r="H413" s="358">
        <v>0</v>
      </c>
      <c r="I413" s="358">
        <v>0</v>
      </c>
      <c r="J413" s="358">
        <f>SUM(B413:I413)</f>
        <v>129518.77</v>
      </c>
    </row>
    <row r="414" spans="1:11">
      <c r="A414" s="355" t="s">
        <v>84</v>
      </c>
      <c r="B414" s="362"/>
      <c r="C414" s="362"/>
      <c r="D414" s="362"/>
      <c r="E414" s="362"/>
      <c r="F414" s="362"/>
      <c r="G414" s="362"/>
      <c r="H414" s="362"/>
      <c r="I414" s="362"/>
      <c r="J414" s="362"/>
    </row>
    <row r="415" spans="1:11">
      <c r="A415" s="354" t="s">
        <v>85</v>
      </c>
      <c r="B415" s="358">
        <v>0</v>
      </c>
      <c r="C415" s="358">
        <v>0</v>
      </c>
      <c r="D415" s="358">
        <v>0</v>
      </c>
      <c r="E415" s="358">
        <v>0</v>
      </c>
      <c r="F415" s="358">
        <v>344.61</v>
      </c>
      <c r="G415" s="358">
        <v>0</v>
      </c>
      <c r="H415" s="358">
        <v>531.25</v>
      </c>
      <c r="I415" s="358">
        <v>0</v>
      </c>
      <c r="J415" s="358">
        <f>SUM(B415:I415)</f>
        <v>875.86</v>
      </c>
    </row>
    <row r="416" spans="1:11">
      <c r="A416" s="354" t="s">
        <v>100</v>
      </c>
      <c r="B416" s="358">
        <v>0</v>
      </c>
      <c r="C416" s="358">
        <v>0</v>
      </c>
      <c r="D416" s="358">
        <v>0</v>
      </c>
      <c r="E416" s="358">
        <v>0</v>
      </c>
      <c r="F416" s="358">
        <v>34.49</v>
      </c>
      <c r="G416" s="358">
        <v>0</v>
      </c>
      <c r="H416" s="358">
        <v>0</v>
      </c>
      <c r="I416" s="358">
        <v>0</v>
      </c>
      <c r="J416" s="358">
        <f>SUM(B416:I416)</f>
        <v>34.49</v>
      </c>
    </row>
    <row r="417" spans="1:11">
      <c r="A417" s="354" t="s">
        <v>86</v>
      </c>
      <c r="B417" s="358">
        <v>0</v>
      </c>
      <c r="C417" s="358">
        <v>0</v>
      </c>
      <c r="D417" s="358">
        <v>0</v>
      </c>
      <c r="E417" s="358">
        <v>410.81</v>
      </c>
      <c r="F417" s="358">
        <v>678.15</v>
      </c>
      <c r="G417" s="358">
        <v>99.91</v>
      </c>
      <c r="H417" s="358">
        <v>6065.83</v>
      </c>
      <c r="I417" s="358">
        <v>2194.48</v>
      </c>
      <c r="J417" s="358">
        <f>SUM(B417:I417)</f>
        <v>9449.18</v>
      </c>
    </row>
    <row r="418" spans="1:11">
      <c r="A418" s="354" t="s">
        <v>101</v>
      </c>
      <c r="B418" s="358">
        <v>0</v>
      </c>
      <c r="C418" s="358">
        <v>0</v>
      </c>
      <c r="D418" s="358">
        <v>0</v>
      </c>
      <c r="E418" s="358">
        <v>0</v>
      </c>
      <c r="F418" s="358">
        <v>225</v>
      </c>
      <c r="G418" s="358">
        <v>0</v>
      </c>
      <c r="H418" s="358">
        <v>0</v>
      </c>
      <c r="I418" s="358">
        <v>0</v>
      </c>
      <c r="J418" s="358">
        <f>SUM(B418:I418)</f>
        <v>225</v>
      </c>
    </row>
    <row r="419" spans="1:11">
      <c r="A419" s="354" t="s">
        <v>87</v>
      </c>
      <c r="B419" s="358">
        <v>0</v>
      </c>
      <c r="C419" s="358">
        <v>0</v>
      </c>
      <c r="D419" s="358">
        <v>0</v>
      </c>
      <c r="E419" s="358">
        <v>0</v>
      </c>
      <c r="F419" s="358">
        <v>1017.46</v>
      </c>
      <c r="G419" s="358">
        <v>40</v>
      </c>
      <c r="H419" s="358">
        <v>250.51</v>
      </c>
      <c r="I419" s="358">
        <v>0</v>
      </c>
      <c r="J419" s="358">
        <f>SUM(B419:I419)</f>
        <v>1307.97</v>
      </c>
    </row>
    <row r="420" spans="1:11">
      <c r="A420" s="356" t="s">
        <v>88</v>
      </c>
      <c r="B420" s="363">
        <f t="shared" ref="B420:J420" si="102">SUM(B415:B419)</f>
        <v>0</v>
      </c>
      <c r="C420" s="363">
        <f t="shared" si="102"/>
        <v>0</v>
      </c>
      <c r="D420" s="363">
        <f t="shared" si="102"/>
        <v>0</v>
      </c>
      <c r="E420" s="363">
        <f t="shared" si="102"/>
        <v>410.81</v>
      </c>
      <c r="F420" s="363">
        <f t="shared" si="102"/>
        <v>2299.71</v>
      </c>
      <c r="G420" s="363">
        <f t="shared" si="102"/>
        <v>139.91</v>
      </c>
      <c r="H420" s="363">
        <f t="shared" si="102"/>
        <v>6847.59</v>
      </c>
      <c r="I420" s="363">
        <f t="shared" si="102"/>
        <v>2194.48</v>
      </c>
      <c r="J420" s="363">
        <f t="shared" si="102"/>
        <v>11892.5</v>
      </c>
      <c r="K420">
        <v>2.2000000000000002</v>
      </c>
    </row>
    <row r="421" spans="1:11">
      <c r="A421" s="369" t="s">
        <v>89</v>
      </c>
      <c r="B421" s="363">
        <f t="shared" ref="B421:J421" si="103">SUM(B409:B413,B420)</f>
        <v>0</v>
      </c>
      <c r="C421" s="363">
        <f t="shared" si="103"/>
        <v>0</v>
      </c>
      <c r="D421" s="363">
        <f t="shared" si="103"/>
        <v>0</v>
      </c>
      <c r="E421" s="363">
        <f t="shared" si="103"/>
        <v>224948.95</v>
      </c>
      <c r="F421" s="363">
        <f t="shared" si="103"/>
        <v>625268.53999999992</v>
      </c>
      <c r="G421" s="363">
        <f t="shared" si="103"/>
        <v>535471.03</v>
      </c>
      <c r="H421" s="363">
        <f t="shared" si="103"/>
        <v>1250209.9500000002</v>
      </c>
      <c r="I421" s="363">
        <f t="shared" si="103"/>
        <v>219540.41999999998</v>
      </c>
      <c r="J421" s="363">
        <f t="shared" si="103"/>
        <v>2855438.8899999997</v>
      </c>
    </row>
    <row r="422" spans="1:11">
      <c r="A422" s="368" t="s">
        <v>80</v>
      </c>
      <c r="B422" s="362"/>
      <c r="C422" s="362"/>
      <c r="D422" s="362"/>
      <c r="E422" s="362"/>
      <c r="F422" s="362"/>
      <c r="G422" s="362"/>
      <c r="H422" s="362"/>
      <c r="I422" s="362"/>
      <c r="J422" s="362"/>
    </row>
    <row r="423" spans="1:11">
      <c r="A423" s="345" t="s">
        <v>81</v>
      </c>
      <c r="B423" s="358">
        <v>0</v>
      </c>
      <c r="C423" s="358">
        <v>0</v>
      </c>
      <c r="D423" s="358">
        <v>0</v>
      </c>
      <c r="E423" s="358">
        <v>0</v>
      </c>
      <c r="F423" s="358">
        <v>0</v>
      </c>
      <c r="G423" s="358">
        <v>0</v>
      </c>
      <c r="H423" s="358">
        <v>0</v>
      </c>
      <c r="I423" s="358">
        <v>1024.9100000000001</v>
      </c>
      <c r="J423" s="358">
        <f t="shared" ref="J423:J432" si="104">SUM(B423:I423)</f>
        <v>1024.9100000000001</v>
      </c>
    </row>
    <row r="424" spans="1:11">
      <c r="A424" s="345" t="s">
        <v>142</v>
      </c>
      <c r="B424" s="358">
        <v>0</v>
      </c>
      <c r="C424" s="358">
        <v>0</v>
      </c>
      <c r="D424" s="358">
        <v>0</v>
      </c>
      <c r="E424" s="358">
        <v>273.16000000000003</v>
      </c>
      <c r="F424" s="358">
        <v>0</v>
      </c>
      <c r="G424" s="358">
        <v>2520.34</v>
      </c>
      <c r="H424" s="358">
        <v>0</v>
      </c>
      <c r="I424" s="358">
        <v>0</v>
      </c>
      <c r="J424" s="358">
        <f t="shared" si="104"/>
        <v>2793.5</v>
      </c>
    </row>
    <row r="425" spans="1:11">
      <c r="A425" s="345" t="s">
        <v>102</v>
      </c>
      <c r="B425" s="358">
        <v>0</v>
      </c>
      <c r="C425" s="358">
        <v>0</v>
      </c>
      <c r="D425" s="358">
        <v>0</v>
      </c>
      <c r="E425" s="358">
        <v>0</v>
      </c>
      <c r="F425" s="358">
        <v>0</v>
      </c>
      <c r="G425" s="358">
        <v>0</v>
      </c>
      <c r="H425" s="358">
        <v>298.75</v>
      </c>
      <c r="I425" s="358">
        <v>0</v>
      </c>
      <c r="J425" s="358">
        <f t="shared" si="104"/>
        <v>298.75</v>
      </c>
    </row>
    <row r="426" spans="1:11">
      <c r="A426" s="345" t="s">
        <v>103</v>
      </c>
      <c r="B426" s="358">
        <v>0</v>
      </c>
      <c r="C426" s="358">
        <v>0</v>
      </c>
      <c r="D426" s="358">
        <v>0</v>
      </c>
      <c r="E426" s="358">
        <v>0</v>
      </c>
      <c r="F426" s="358">
        <v>0</v>
      </c>
      <c r="G426" s="358">
        <v>0</v>
      </c>
      <c r="H426" s="358">
        <v>-298.75</v>
      </c>
      <c r="I426" s="358">
        <v>0</v>
      </c>
      <c r="J426" s="358">
        <f t="shared" si="104"/>
        <v>-298.75</v>
      </c>
    </row>
    <row r="427" spans="1:11">
      <c r="A427" s="345" t="s">
        <v>104</v>
      </c>
      <c r="B427" s="358">
        <v>0</v>
      </c>
      <c r="C427" s="358">
        <v>0</v>
      </c>
      <c r="D427" s="358">
        <v>0</v>
      </c>
      <c r="E427" s="358">
        <v>0</v>
      </c>
      <c r="F427" s="358">
        <v>0</v>
      </c>
      <c r="G427" s="358">
        <v>0</v>
      </c>
      <c r="H427" s="358">
        <v>699.22</v>
      </c>
      <c r="I427" s="358">
        <v>0</v>
      </c>
      <c r="J427" s="358">
        <f t="shared" si="104"/>
        <v>699.22</v>
      </c>
    </row>
    <row r="428" spans="1:11">
      <c r="A428" s="345" t="s">
        <v>105</v>
      </c>
      <c r="B428" s="358">
        <v>0</v>
      </c>
      <c r="C428" s="358">
        <v>0</v>
      </c>
      <c r="D428" s="358">
        <v>0</v>
      </c>
      <c r="E428" s="358">
        <v>0</v>
      </c>
      <c r="F428" s="358">
        <v>0</v>
      </c>
      <c r="G428" s="358">
        <v>0</v>
      </c>
      <c r="H428" s="358">
        <v>-699.22</v>
      </c>
      <c r="I428" s="358">
        <v>0</v>
      </c>
      <c r="J428" s="358">
        <f t="shared" si="104"/>
        <v>-699.22</v>
      </c>
    </row>
    <row r="429" spans="1:11">
      <c r="A429" s="345" t="s">
        <v>108</v>
      </c>
      <c r="B429" s="358">
        <v>0</v>
      </c>
      <c r="C429" s="358">
        <v>0</v>
      </c>
      <c r="D429" s="358">
        <v>0</v>
      </c>
      <c r="E429" s="358">
        <v>0</v>
      </c>
      <c r="F429" s="358">
        <v>0</v>
      </c>
      <c r="G429" s="358">
        <v>0</v>
      </c>
      <c r="H429" s="358">
        <v>6096.34</v>
      </c>
      <c r="I429" s="358">
        <v>0</v>
      </c>
      <c r="J429" s="358">
        <f t="shared" si="104"/>
        <v>6096.34</v>
      </c>
    </row>
    <row r="430" spans="1:11">
      <c r="A430" s="345" t="s">
        <v>109</v>
      </c>
      <c r="B430" s="358">
        <v>0</v>
      </c>
      <c r="C430" s="358">
        <v>0</v>
      </c>
      <c r="D430" s="358">
        <v>0</v>
      </c>
      <c r="E430" s="358">
        <v>0</v>
      </c>
      <c r="F430" s="358">
        <v>0</v>
      </c>
      <c r="G430" s="358">
        <v>0</v>
      </c>
      <c r="H430" s="358">
        <v>-6096.34</v>
      </c>
      <c r="I430" s="358">
        <v>0</v>
      </c>
      <c r="J430" s="358">
        <f t="shared" si="104"/>
        <v>-6096.34</v>
      </c>
    </row>
    <row r="431" spans="1:11">
      <c r="A431" s="345" t="s">
        <v>566</v>
      </c>
      <c r="B431" s="358">
        <v>0</v>
      </c>
      <c r="C431" s="358">
        <v>0</v>
      </c>
      <c r="D431" s="358">
        <v>0</v>
      </c>
      <c r="E431" s="358">
        <v>14878.21</v>
      </c>
      <c r="F431" s="358">
        <v>83832.55</v>
      </c>
      <c r="G431" s="358">
        <v>25243.87</v>
      </c>
      <c r="H431" s="358">
        <v>20595.11</v>
      </c>
      <c r="I431" s="358">
        <v>64985.72</v>
      </c>
      <c r="J431" s="358">
        <f t="shared" si="104"/>
        <v>209535.46</v>
      </c>
    </row>
    <row r="432" spans="1:11">
      <c r="A432" s="345" t="s">
        <v>143</v>
      </c>
      <c r="B432" s="358">
        <v>0</v>
      </c>
      <c r="C432" s="358">
        <v>0</v>
      </c>
      <c r="D432" s="358">
        <v>0</v>
      </c>
      <c r="E432" s="358">
        <v>0</v>
      </c>
      <c r="F432" s="358">
        <v>0</v>
      </c>
      <c r="G432" s="358">
        <v>0</v>
      </c>
      <c r="H432" s="358">
        <v>0</v>
      </c>
      <c r="I432" s="358">
        <v>880.61</v>
      </c>
      <c r="J432" s="358">
        <f t="shared" si="104"/>
        <v>880.61</v>
      </c>
    </row>
    <row r="433" spans="1:10">
      <c r="A433" s="369" t="s">
        <v>82</v>
      </c>
      <c r="B433" s="363">
        <f t="shared" ref="B433:J433" si="105">SUM(B423:B432)</f>
        <v>0</v>
      </c>
      <c r="C433" s="363">
        <f t="shared" si="105"/>
        <v>0</v>
      </c>
      <c r="D433" s="363">
        <f t="shared" si="105"/>
        <v>0</v>
      </c>
      <c r="E433" s="363">
        <f t="shared" si="105"/>
        <v>15151.369999999999</v>
      </c>
      <c r="F433" s="363">
        <f t="shared" si="105"/>
        <v>83832.55</v>
      </c>
      <c r="G433" s="363">
        <f t="shared" si="105"/>
        <v>27764.21</v>
      </c>
      <c r="H433" s="363">
        <f t="shared" si="105"/>
        <v>20595.11</v>
      </c>
      <c r="I433" s="363">
        <f t="shared" si="105"/>
        <v>66891.240000000005</v>
      </c>
      <c r="J433" s="363">
        <f t="shared" si="105"/>
        <v>214234.47999999998</v>
      </c>
    </row>
    <row r="434" spans="1:10">
      <c r="A434" s="368" t="s">
        <v>51</v>
      </c>
      <c r="B434" s="362"/>
      <c r="C434" s="362"/>
      <c r="D434" s="362"/>
      <c r="E434" s="362"/>
      <c r="F434" s="362"/>
      <c r="G434" s="362"/>
      <c r="H434" s="362"/>
      <c r="I434" s="362"/>
      <c r="J434" s="362"/>
    </row>
    <row r="435" spans="1:10">
      <c r="A435" s="345" t="s">
        <v>52</v>
      </c>
      <c r="B435" s="358">
        <v>0</v>
      </c>
      <c r="C435" s="358">
        <v>0</v>
      </c>
      <c r="D435" s="358">
        <v>0</v>
      </c>
      <c r="E435" s="358">
        <v>0</v>
      </c>
      <c r="F435" s="358">
        <v>6924.55</v>
      </c>
      <c r="G435" s="358">
        <v>38330.93</v>
      </c>
      <c r="H435" s="358">
        <v>0</v>
      </c>
      <c r="I435" s="358">
        <v>0</v>
      </c>
      <c r="J435" s="358">
        <f t="shared" ref="J435:J440" si="106">SUM(B435:I435)</f>
        <v>45255.48</v>
      </c>
    </row>
    <row r="436" spans="1:10">
      <c r="A436" s="345" t="s">
        <v>111</v>
      </c>
      <c r="B436" s="358">
        <v>0</v>
      </c>
      <c r="C436" s="358">
        <v>0</v>
      </c>
      <c r="D436" s="358">
        <v>0</v>
      </c>
      <c r="E436" s="358">
        <v>8222.9599999999991</v>
      </c>
      <c r="F436" s="358">
        <v>6334.75</v>
      </c>
      <c r="G436" s="358">
        <v>9380.83</v>
      </c>
      <c r="H436" s="358">
        <v>25422.48</v>
      </c>
      <c r="I436" s="358">
        <v>27808.36</v>
      </c>
      <c r="J436" s="358">
        <f t="shared" si="106"/>
        <v>77169.38</v>
      </c>
    </row>
    <row r="437" spans="1:10">
      <c r="A437" s="345" t="s">
        <v>112</v>
      </c>
      <c r="B437" s="358">
        <v>0</v>
      </c>
      <c r="C437" s="358">
        <v>0</v>
      </c>
      <c r="D437" s="358">
        <v>0</v>
      </c>
      <c r="E437" s="358">
        <v>0</v>
      </c>
      <c r="F437" s="358">
        <v>0</v>
      </c>
      <c r="G437" s="358">
        <v>0</v>
      </c>
      <c r="H437" s="358">
        <v>-139523.5</v>
      </c>
      <c r="I437" s="358">
        <v>0</v>
      </c>
      <c r="J437" s="358">
        <f t="shared" si="106"/>
        <v>-139523.5</v>
      </c>
    </row>
    <row r="438" spans="1:10">
      <c r="A438" s="345" t="s">
        <v>751</v>
      </c>
      <c r="B438" s="358">
        <v>0</v>
      </c>
      <c r="C438" s="358">
        <v>0</v>
      </c>
      <c r="D438" s="358">
        <v>0</v>
      </c>
      <c r="E438" s="358">
        <v>646.9</v>
      </c>
      <c r="F438" s="358">
        <v>8455.61</v>
      </c>
      <c r="G438" s="358">
        <v>61676.06</v>
      </c>
      <c r="H438" s="358">
        <v>2402.96</v>
      </c>
      <c r="I438" s="358">
        <v>-739.71</v>
      </c>
      <c r="J438" s="358">
        <f t="shared" si="106"/>
        <v>72441.819999999992</v>
      </c>
    </row>
    <row r="439" spans="1:10">
      <c r="A439" s="345" t="s">
        <v>753</v>
      </c>
      <c r="B439" s="358">
        <v>0</v>
      </c>
      <c r="C439" s="358">
        <v>0</v>
      </c>
      <c r="D439" s="358">
        <v>0</v>
      </c>
      <c r="E439" s="358">
        <v>0</v>
      </c>
      <c r="F439" s="358">
        <v>450.17</v>
      </c>
      <c r="G439" s="358">
        <v>0</v>
      </c>
      <c r="H439" s="358">
        <v>0</v>
      </c>
      <c r="I439" s="358">
        <v>270.73</v>
      </c>
      <c r="J439" s="358">
        <f t="shared" si="106"/>
        <v>720.90000000000009</v>
      </c>
    </row>
    <row r="440" spans="1:10">
      <c r="A440" s="345" t="s">
        <v>752</v>
      </c>
      <c r="B440" s="358">
        <v>0</v>
      </c>
      <c r="C440" s="358">
        <v>0</v>
      </c>
      <c r="D440" s="358">
        <v>0</v>
      </c>
      <c r="E440" s="358">
        <v>0</v>
      </c>
      <c r="F440" s="358">
        <v>780.82</v>
      </c>
      <c r="G440" s="358">
        <v>0</v>
      </c>
      <c r="H440" s="358">
        <v>0</v>
      </c>
      <c r="I440" s="358">
        <v>0</v>
      </c>
      <c r="J440" s="358">
        <f t="shared" si="106"/>
        <v>780.82</v>
      </c>
    </row>
    <row r="441" spans="1:10">
      <c r="A441" s="369" t="s">
        <v>54</v>
      </c>
      <c r="B441" s="363">
        <f t="shared" ref="B441:J441" si="107">SUM(B435:B440)</f>
        <v>0</v>
      </c>
      <c r="C441" s="363">
        <f t="shared" si="107"/>
        <v>0</v>
      </c>
      <c r="D441" s="363">
        <f t="shared" si="107"/>
        <v>0</v>
      </c>
      <c r="E441" s="363">
        <f t="shared" si="107"/>
        <v>8869.8599999999988</v>
      </c>
      <c r="F441" s="363">
        <f t="shared" si="107"/>
        <v>22945.899999999998</v>
      </c>
      <c r="G441" s="363">
        <f t="shared" si="107"/>
        <v>109387.82</v>
      </c>
      <c r="H441" s="363">
        <f t="shared" si="107"/>
        <v>-111698.06</v>
      </c>
      <c r="I441" s="363">
        <f t="shared" si="107"/>
        <v>27339.38</v>
      </c>
      <c r="J441" s="363">
        <f t="shared" si="107"/>
        <v>56844.900000000009</v>
      </c>
    </row>
    <row r="442" spans="1:10">
      <c r="A442" s="368" t="s">
        <v>113</v>
      </c>
      <c r="B442" s="362"/>
      <c r="C442" s="362"/>
      <c r="D442" s="362"/>
      <c r="E442" s="362"/>
      <c r="F442" s="362"/>
      <c r="G442" s="362"/>
      <c r="H442" s="362"/>
      <c r="I442" s="362"/>
      <c r="J442" s="362"/>
    </row>
    <row r="443" spans="1:10">
      <c r="A443" s="345" t="s">
        <v>114</v>
      </c>
      <c r="B443" s="358">
        <v>0</v>
      </c>
      <c r="C443" s="358">
        <v>0</v>
      </c>
      <c r="D443" s="358">
        <v>0</v>
      </c>
      <c r="E443" s="358">
        <v>1687</v>
      </c>
      <c r="F443" s="358">
        <v>39153.620000000003</v>
      </c>
      <c r="G443" s="358">
        <v>1842</v>
      </c>
      <c r="H443" s="358">
        <v>9038</v>
      </c>
      <c r="I443" s="358">
        <v>4251</v>
      </c>
      <c r="J443" s="358">
        <f>SUM(B443:I443)</f>
        <v>55971.62</v>
      </c>
    </row>
    <row r="444" spans="1:10">
      <c r="A444" s="369" t="s">
        <v>115</v>
      </c>
      <c r="B444" s="363">
        <f t="shared" ref="B444:J444" si="108">SUM(B443)</f>
        <v>0</v>
      </c>
      <c r="C444" s="363">
        <f t="shared" si="108"/>
        <v>0</v>
      </c>
      <c r="D444" s="363">
        <f t="shared" si="108"/>
        <v>0</v>
      </c>
      <c r="E444" s="363">
        <f t="shared" si="108"/>
        <v>1687</v>
      </c>
      <c r="F444" s="363">
        <f t="shared" si="108"/>
        <v>39153.620000000003</v>
      </c>
      <c r="G444" s="363">
        <f t="shared" si="108"/>
        <v>1842</v>
      </c>
      <c r="H444" s="363">
        <f t="shared" si="108"/>
        <v>9038</v>
      </c>
      <c r="I444" s="363">
        <f t="shared" si="108"/>
        <v>4251</v>
      </c>
      <c r="J444" s="363">
        <f t="shared" si="108"/>
        <v>55971.62</v>
      </c>
    </row>
    <row r="445" spans="1:10">
      <c r="A445" s="368" t="s">
        <v>77</v>
      </c>
      <c r="B445" s="362"/>
      <c r="C445" s="362"/>
      <c r="D445" s="362"/>
      <c r="E445" s="362"/>
      <c r="F445" s="362"/>
      <c r="G445" s="362"/>
      <c r="H445" s="362"/>
      <c r="I445" s="362"/>
      <c r="J445" s="362"/>
    </row>
    <row r="446" spans="1:10">
      <c r="A446" s="345" t="s">
        <v>78</v>
      </c>
      <c r="B446" s="358">
        <v>0</v>
      </c>
      <c r="C446" s="358">
        <v>0</v>
      </c>
      <c r="D446" s="358">
        <v>0</v>
      </c>
      <c r="E446" s="358">
        <v>480.07</v>
      </c>
      <c r="F446" s="358">
        <v>798.48</v>
      </c>
      <c r="G446" s="358">
        <v>1621.61</v>
      </c>
      <c r="H446" s="358">
        <v>7182.9</v>
      </c>
      <c r="I446" s="358">
        <v>0</v>
      </c>
      <c r="J446" s="358">
        <f>SUM(B446:I446)</f>
        <v>10083.06</v>
      </c>
    </row>
    <row r="447" spans="1:10">
      <c r="A447" s="369" t="s">
        <v>79</v>
      </c>
      <c r="B447" s="363">
        <f t="shared" ref="B447:J447" si="109">SUM(B446)</f>
        <v>0</v>
      </c>
      <c r="C447" s="363">
        <f t="shared" si="109"/>
        <v>0</v>
      </c>
      <c r="D447" s="363">
        <f t="shared" si="109"/>
        <v>0</v>
      </c>
      <c r="E447" s="363">
        <f t="shared" si="109"/>
        <v>480.07</v>
      </c>
      <c r="F447" s="363">
        <f t="shared" si="109"/>
        <v>798.48</v>
      </c>
      <c r="G447" s="363">
        <f t="shared" si="109"/>
        <v>1621.61</v>
      </c>
      <c r="H447" s="363">
        <f t="shared" si="109"/>
        <v>7182.9</v>
      </c>
      <c r="I447" s="363">
        <f t="shared" si="109"/>
        <v>0</v>
      </c>
      <c r="J447" s="363">
        <f t="shared" si="109"/>
        <v>10083.06</v>
      </c>
    </row>
    <row r="448" spans="1:10">
      <c r="A448" s="368" t="s">
        <v>116</v>
      </c>
      <c r="B448" s="362"/>
      <c r="C448" s="362"/>
      <c r="D448" s="362"/>
      <c r="E448" s="362"/>
      <c r="F448" s="362"/>
      <c r="G448" s="362"/>
      <c r="H448" s="362"/>
      <c r="I448" s="362"/>
      <c r="J448" s="362"/>
    </row>
    <row r="449" spans="1:10">
      <c r="A449" s="345" t="s">
        <v>117</v>
      </c>
      <c r="B449" s="358">
        <v>0</v>
      </c>
      <c r="C449" s="358">
        <v>0</v>
      </c>
      <c r="D449" s="358">
        <v>0</v>
      </c>
      <c r="E449" s="358">
        <v>0</v>
      </c>
      <c r="F449" s="358">
        <v>0</v>
      </c>
      <c r="G449" s="358">
        <v>0</v>
      </c>
      <c r="H449" s="358">
        <v>55.63</v>
      </c>
      <c r="I449" s="358">
        <v>0</v>
      </c>
      <c r="J449" s="358">
        <f>SUM(B449:I449)</f>
        <v>55.63</v>
      </c>
    </row>
    <row r="450" spans="1:10">
      <c r="A450" s="345" t="s">
        <v>118</v>
      </c>
      <c r="B450" s="358">
        <v>0</v>
      </c>
      <c r="C450" s="358">
        <v>0</v>
      </c>
      <c r="D450" s="358">
        <v>0</v>
      </c>
      <c r="E450" s="358">
        <v>0</v>
      </c>
      <c r="F450" s="358">
        <v>0</v>
      </c>
      <c r="G450" s="358">
        <v>0</v>
      </c>
      <c r="H450" s="358">
        <v>0</v>
      </c>
      <c r="I450" s="358">
        <v>79.849999999999994</v>
      </c>
      <c r="J450" s="358">
        <f>SUM(B450:I450)</f>
        <v>79.849999999999994</v>
      </c>
    </row>
    <row r="451" spans="1:10">
      <c r="A451" s="345" t="s">
        <v>759</v>
      </c>
      <c r="B451" s="358">
        <v>0</v>
      </c>
      <c r="C451" s="358">
        <v>0</v>
      </c>
      <c r="D451" s="358">
        <v>0</v>
      </c>
      <c r="E451" s="358">
        <v>0</v>
      </c>
      <c r="F451" s="358">
        <v>0</v>
      </c>
      <c r="G451" s="358">
        <v>0</v>
      </c>
      <c r="H451" s="358">
        <v>7922.83</v>
      </c>
      <c r="I451" s="358">
        <v>0</v>
      </c>
      <c r="J451" s="358">
        <f>SUM(B451:I451)</f>
        <v>7922.83</v>
      </c>
    </row>
    <row r="452" spans="1:10">
      <c r="A452" s="369" t="s">
        <v>119</v>
      </c>
      <c r="B452" s="363">
        <f t="shared" ref="B452:J452" si="110">SUM(B449:B451)</f>
        <v>0</v>
      </c>
      <c r="C452" s="363">
        <f t="shared" si="110"/>
        <v>0</v>
      </c>
      <c r="D452" s="363">
        <f t="shared" si="110"/>
        <v>0</v>
      </c>
      <c r="E452" s="363">
        <f t="shared" si="110"/>
        <v>0</v>
      </c>
      <c r="F452" s="363">
        <f t="shared" si="110"/>
        <v>0</v>
      </c>
      <c r="G452" s="363">
        <f t="shared" si="110"/>
        <v>0</v>
      </c>
      <c r="H452" s="363">
        <f t="shared" si="110"/>
        <v>7978.46</v>
      </c>
      <c r="I452" s="363">
        <f t="shared" si="110"/>
        <v>79.849999999999994</v>
      </c>
      <c r="J452" s="363">
        <f t="shared" si="110"/>
        <v>8058.3099999999995</v>
      </c>
    </row>
    <row r="453" spans="1:10">
      <c r="A453" s="368" t="s">
        <v>120</v>
      </c>
      <c r="B453" s="362"/>
      <c r="C453" s="362"/>
      <c r="D453" s="362"/>
      <c r="E453" s="362"/>
      <c r="F453" s="362"/>
      <c r="G453" s="362"/>
      <c r="H453" s="362"/>
      <c r="I453" s="362"/>
      <c r="J453" s="362"/>
    </row>
    <row r="454" spans="1:10">
      <c r="A454" s="345" t="s">
        <v>121</v>
      </c>
      <c r="B454" s="358">
        <v>0</v>
      </c>
      <c r="C454" s="358">
        <v>0</v>
      </c>
      <c r="D454" s="358">
        <v>0</v>
      </c>
      <c r="E454" s="358">
        <v>932.64</v>
      </c>
      <c r="F454" s="358">
        <v>0</v>
      </c>
      <c r="G454" s="358">
        <v>0</v>
      </c>
      <c r="H454" s="358">
        <v>0</v>
      </c>
      <c r="I454" s="358">
        <v>0</v>
      </c>
      <c r="J454" s="358">
        <f>SUM(B454:I454)</f>
        <v>932.64</v>
      </c>
    </row>
    <row r="455" spans="1:10">
      <c r="A455" s="345" t="s">
        <v>760</v>
      </c>
      <c r="B455" s="358">
        <v>0</v>
      </c>
      <c r="C455" s="358">
        <v>0</v>
      </c>
      <c r="D455" s="358">
        <v>0</v>
      </c>
      <c r="E455" s="358">
        <v>0</v>
      </c>
      <c r="F455" s="358">
        <v>0</v>
      </c>
      <c r="G455" s="358">
        <v>256.10000000000002</v>
      </c>
      <c r="H455" s="358">
        <v>0</v>
      </c>
      <c r="I455" s="358">
        <v>0</v>
      </c>
      <c r="J455" s="358">
        <f>SUM(B455:I455)</f>
        <v>256.10000000000002</v>
      </c>
    </row>
    <row r="456" spans="1:10">
      <c r="A456" s="369" t="s">
        <v>122</v>
      </c>
      <c r="B456" s="363">
        <f t="shared" ref="B456:J456" si="111">SUM(B454:B455)</f>
        <v>0</v>
      </c>
      <c r="C456" s="363">
        <f t="shared" si="111"/>
        <v>0</v>
      </c>
      <c r="D456" s="363">
        <f t="shared" si="111"/>
        <v>0</v>
      </c>
      <c r="E456" s="363">
        <f t="shared" si="111"/>
        <v>932.64</v>
      </c>
      <c r="F456" s="363">
        <f t="shared" si="111"/>
        <v>0</v>
      </c>
      <c r="G456" s="363">
        <f t="shared" si="111"/>
        <v>256.10000000000002</v>
      </c>
      <c r="H456" s="363">
        <f t="shared" si="111"/>
        <v>0</v>
      </c>
      <c r="I456" s="363">
        <f t="shared" si="111"/>
        <v>0</v>
      </c>
      <c r="J456" s="363">
        <f t="shared" si="111"/>
        <v>1188.74</v>
      </c>
    </row>
    <row r="457" spans="1:10">
      <c r="A457" s="368" t="s">
        <v>123</v>
      </c>
      <c r="B457" s="362"/>
      <c r="C457" s="362"/>
      <c r="D457" s="362"/>
      <c r="E457" s="362"/>
      <c r="F457" s="362"/>
      <c r="G457" s="362"/>
      <c r="H457" s="362"/>
      <c r="I457" s="362"/>
      <c r="J457" s="362"/>
    </row>
    <row r="458" spans="1:10">
      <c r="A458" s="355" t="s">
        <v>124</v>
      </c>
      <c r="B458" s="362"/>
      <c r="C458" s="362"/>
      <c r="D458" s="362"/>
      <c r="E458" s="362"/>
      <c r="F458" s="362"/>
      <c r="G458" s="362"/>
      <c r="H458" s="362"/>
      <c r="I458" s="362"/>
      <c r="J458" s="362"/>
    </row>
    <row r="459" spans="1:10">
      <c r="A459" s="354" t="s">
        <v>125</v>
      </c>
      <c r="B459" s="358">
        <v>0</v>
      </c>
      <c r="C459" s="358">
        <v>0</v>
      </c>
      <c r="D459" s="358">
        <v>0</v>
      </c>
      <c r="E459" s="358">
        <v>1007.51</v>
      </c>
      <c r="F459" s="358">
        <v>68444.56</v>
      </c>
      <c r="G459" s="358">
        <v>9722.61</v>
      </c>
      <c r="H459" s="358">
        <v>28005.25</v>
      </c>
      <c r="I459" s="358">
        <v>531.51</v>
      </c>
      <c r="J459" s="358">
        <f>SUM(B459:I459)</f>
        <v>107711.43999999999</v>
      </c>
    </row>
    <row r="460" spans="1:10">
      <c r="A460" s="354" t="s">
        <v>126</v>
      </c>
      <c r="B460" s="358">
        <v>0</v>
      </c>
      <c r="C460" s="358">
        <v>0</v>
      </c>
      <c r="D460" s="358">
        <v>0</v>
      </c>
      <c r="E460" s="358">
        <v>943.43</v>
      </c>
      <c r="F460" s="358">
        <v>24548.22</v>
      </c>
      <c r="G460" s="358">
        <v>11823.33</v>
      </c>
      <c r="H460" s="358">
        <v>16249.28</v>
      </c>
      <c r="I460" s="358">
        <v>7296.33</v>
      </c>
      <c r="J460" s="358">
        <f>SUM(B460:I460)</f>
        <v>60860.590000000004</v>
      </c>
    </row>
    <row r="461" spans="1:10">
      <c r="A461" s="354" t="s">
        <v>127</v>
      </c>
      <c r="B461" s="358">
        <v>0</v>
      </c>
      <c r="C461" s="358">
        <v>0</v>
      </c>
      <c r="D461" s="358">
        <v>0</v>
      </c>
      <c r="E461" s="358">
        <v>2390.1799999999998</v>
      </c>
      <c r="F461" s="358">
        <v>9295.7999999999993</v>
      </c>
      <c r="G461" s="358">
        <v>6507.97</v>
      </c>
      <c r="H461" s="358">
        <v>1931.49</v>
      </c>
      <c r="I461" s="358">
        <v>3054.91</v>
      </c>
      <c r="J461" s="358">
        <f>SUM(B461:I461)</f>
        <v>23180.350000000002</v>
      </c>
    </row>
    <row r="462" spans="1:10">
      <c r="A462" s="354" t="s">
        <v>128</v>
      </c>
      <c r="B462" s="358">
        <v>0</v>
      </c>
      <c r="C462" s="358">
        <v>0</v>
      </c>
      <c r="D462" s="358">
        <v>0</v>
      </c>
      <c r="E462" s="358">
        <v>0</v>
      </c>
      <c r="F462" s="358">
        <v>5340.95</v>
      </c>
      <c r="G462" s="358">
        <v>1673.1</v>
      </c>
      <c r="H462" s="358">
        <v>1267.94</v>
      </c>
      <c r="I462" s="358">
        <v>2233.4</v>
      </c>
      <c r="J462" s="358">
        <f>SUM(B462:I462)</f>
        <v>10515.39</v>
      </c>
    </row>
    <row r="463" spans="1:10">
      <c r="A463" s="354" t="s">
        <v>129</v>
      </c>
      <c r="B463" s="358">
        <v>0</v>
      </c>
      <c r="C463" s="358">
        <v>0</v>
      </c>
      <c r="D463" s="358">
        <v>0</v>
      </c>
      <c r="E463" s="358">
        <v>0</v>
      </c>
      <c r="F463" s="358">
        <v>11586.77</v>
      </c>
      <c r="G463" s="358">
        <v>1302.4100000000001</v>
      </c>
      <c r="H463" s="358">
        <v>35.840000000000003</v>
      </c>
      <c r="I463" s="358">
        <v>2657.97</v>
      </c>
      <c r="J463" s="358">
        <f>SUM(B463:I463)</f>
        <v>15582.99</v>
      </c>
    </row>
    <row r="464" spans="1:10">
      <c r="A464" s="356" t="s">
        <v>130</v>
      </c>
      <c r="B464" s="363">
        <f t="shared" ref="B464:J464" si="112">SUM(B459:B463)</f>
        <v>0</v>
      </c>
      <c r="C464" s="363">
        <f t="shared" si="112"/>
        <v>0</v>
      </c>
      <c r="D464" s="363">
        <f t="shared" si="112"/>
        <v>0</v>
      </c>
      <c r="E464" s="363">
        <f t="shared" si="112"/>
        <v>4341.12</v>
      </c>
      <c r="F464" s="363">
        <f t="shared" si="112"/>
        <v>119216.3</v>
      </c>
      <c r="G464" s="363">
        <f t="shared" si="112"/>
        <v>31029.420000000002</v>
      </c>
      <c r="H464" s="363">
        <f t="shared" si="112"/>
        <v>47489.799999999996</v>
      </c>
      <c r="I464" s="363">
        <f t="shared" si="112"/>
        <v>15774.119999999999</v>
      </c>
      <c r="J464" s="363">
        <f t="shared" si="112"/>
        <v>217850.76</v>
      </c>
    </row>
    <row r="465" spans="1:10">
      <c r="A465" s="355" t="s">
        <v>761</v>
      </c>
      <c r="B465" s="362"/>
      <c r="C465" s="362"/>
      <c r="D465" s="362"/>
      <c r="E465" s="362"/>
      <c r="F465" s="362"/>
      <c r="G465" s="362"/>
      <c r="H465" s="362"/>
      <c r="I465" s="362"/>
      <c r="J465" s="362"/>
    </row>
    <row r="466" spans="1:10">
      <c r="A466" s="354" t="s">
        <v>762</v>
      </c>
      <c r="B466" s="358">
        <v>0</v>
      </c>
      <c r="C466" s="358">
        <v>0</v>
      </c>
      <c r="D466" s="358">
        <v>0</v>
      </c>
      <c r="E466" s="358">
        <v>0</v>
      </c>
      <c r="F466" s="358">
        <v>57.15</v>
      </c>
      <c r="G466" s="358">
        <v>0</v>
      </c>
      <c r="H466" s="358">
        <v>0</v>
      </c>
      <c r="I466" s="358">
        <v>0</v>
      </c>
      <c r="J466" s="358">
        <f>SUM(B466:I466)</f>
        <v>57.15</v>
      </c>
    </row>
    <row r="467" spans="1:10">
      <c r="A467" s="356" t="s">
        <v>763</v>
      </c>
      <c r="B467" s="363">
        <f t="shared" ref="B467:J467" si="113">SUM(B466)</f>
        <v>0</v>
      </c>
      <c r="C467" s="363">
        <f t="shared" si="113"/>
        <v>0</v>
      </c>
      <c r="D467" s="363">
        <f t="shared" si="113"/>
        <v>0</v>
      </c>
      <c r="E467" s="363">
        <f t="shared" si="113"/>
        <v>0</v>
      </c>
      <c r="F467" s="363">
        <f t="shared" si="113"/>
        <v>57.15</v>
      </c>
      <c r="G467" s="363">
        <f t="shared" si="113"/>
        <v>0</v>
      </c>
      <c r="H467" s="363">
        <f t="shared" si="113"/>
        <v>0</v>
      </c>
      <c r="I467" s="363">
        <f t="shared" si="113"/>
        <v>0</v>
      </c>
      <c r="J467" s="363">
        <f t="shared" si="113"/>
        <v>57.15</v>
      </c>
    </row>
    <row r="468" spans="1:10">
      <c r="A468" s="369" t="s">
        <v>131</v>
      </c>
      <c r="B468" s="363">
        <f t="shared" ref="B468:J468" si="114">SUM(B464,B467)</f>
        <v>0</v>
      </c>
      <c r="C468" s="363">
        <f t="shared" si="114"/>
        <v>0</v>
      </c>
      <c r="D468" s="363">
        <f t="shared" si="114"/>
        <v>0</v>
      </c>
      <c r="E468" s="363">
        <f t="shared" si="114"/>
        <v>4341.12</v>
      </c>
      <c r="F468" s="363">
        <f t="shared" si="114"/>
        <v>119273.45</v>
      </c>
      <c r="G468" s="363">
        <f t="shared" si="114"/>
        <v>31029.420000000002</v>
      </c>
      <c r="H468" s="363">
        <f t="shared" si="114"/>
        <v>47489.799999999996</v>
      </c>
      <c r="I468" s="363">
        <f t="shared" si="114"/>
        <v>15774.119999999999</v>
      </c>
      <c r="J468" s="363">
        <f t="shared" si="114"/>
        <v>217907.91</v>
      </c>
    </row>
    <row r="469" spans="1:10">
      <c r="A469" s="368" t="s">
        <v>168</v>
      </c>
      <c r="B469" s="362"/>
      <c r="C469" s="362"/>
      <c r="D469" s="362"/>
      <c r="E469" s="362"/>
      <c r="F469" s="362"/>
      <c r="G469" s="362"/>
      <c r="H469" s="362"/>
      <c r="I469" s="362"/>
      <c r="J469" s="362"/>
    </row>
    <row r="470" spans="1:10">
      <c r="A470" s="345" t="s">
        <v>169</v>
      </c>
      <c r="B470" s="358">
        <v>0</v>
      </c>
      <c r="C470" s="358">
        <v>0</v>
      </c>
      <c r="D470" s="358">
        <v>0</v>
      </c>
      <c r="E470" s="358">
        <v>514.92999999999995</v>
      </c>
      <c r="F470" s="358">
        <v>0</v>
      </c>
      <c r="G470" s="358">
        <v>0</v>
      </c>
      <c r="H470" s="358">
        <v>2909.73</v>
      </c>
      <c r="I470" s="358">
        <v>0</v>
      </c>
      <c r="J470" s="358">
        <f>SUM(B470:I470)</f>
        <v>3424.66</v>
      </c>
    </row>
    <row r="471" spans="1:10">
      <c r="A471" s="345" t="s">
        <v>170</v>
      </c>
      <c r="B471" s="358">
        <v>0</v>
      </c>
      <c r="C471" s="358">
        <v>0</v>
      </c>
      <c r="D471" s="358">
        <v>0</v>
      </c>
      <c r="E471" s="358">
        <v>0</v>
      </c>
      <c r="F471" s="358">
        <v>123.43</v>
      </c>
      <c r="G471" s="358">
        <v>0</v>
      </c>
      <c r="H471" s="358">
        <v>0</v>
      </c>
      <c r="I471" s="358">
        <v>0</v>
      </c>
      <c r="J471" s="358">
        <f>SUM(B471:I471)</f>
        <v>123.43</v>
      </c>
    </row>
    <row r="472" spans="1:10">
      <c r="A472" s="345" t="s">
        <v>171</v>
      </c>
      <c r="B472" s="358">
        <v>0</v>
      </c>
      <c r="C472" s="358">
        <v>0</v>
      </c>
      <c r="D472" s="358">
        <v>0</v>
      </c>
      <c r="E472" s="358">
        <v>143.44999999999999</v>
      </c>
      <c r="F472" s="358">
        <v>0</v>
      </c>
      <c r="G472" s="358">
        <v>0</v>
      </c>
      <c r="H472" s="358">
        <v>0</v>
      </c>
      <c r="I472" s="358">
        <v>0</v>
      </c>
      <c r="J472" s="358">
        <f>SUM(B472:I472)</f>
        <v>143.44999999999999</v>
      </c>
    </row>
    <row r="473" spans="1:10">
      <c r="A473" s="369" t="s">
        <v>172</v>
      </c>
      <c r="B473" s="363">
        <f t="shared" ref="B473:J473" si="115">SUM(B470:B472)</f>
        <v>0</v>
      </c>
      <c r="C473" s="363">
        <f t="shared" si="115"/>
        <v>0</v>
      </c>
      <c r="D473" s="363">
        <f t="shared" si="115"/>
        <v>0</v>
      </c>
      <c r="E473" s="363">
        <f t="shared" si="115"/>
        <v>658.37999999999988</v>
      </c>
      <c r="F473" s="363">
        <f t="shared" si="115"/>
        <v>123.43</v>
      </c>
      <c r="G473" s="363">
        <f t="shared" si="115"/>
        <v>0</v>
      </c>
      <c r="H473" s="363">
        <f t="shared" si="115"/>
        <v>2909.73</v>
      </c>
      <c r="I473" s="363">
        <f t="shared" si="115"/>
        <v>0</v>
      </c>
      <c r="J473" s="363">
        <f t="shared" si="115"/>
        <v>3691.5399999999995</v>
      </c>
    </row>
    <row r="474" spans="1:10">
      <c r="A474" s="368" t="s">
        <v>754</v>
      </c>
      <c r="B474" s="362"/>
      <c r="C474" s="362"/>
      <c r="D474" s="362"/>
      <c r="E474" s="362"/>
      <c r="F474" s="362"/>
      <c r="G474" s="362"/>
      <c r="H474" s="362"/>
      <c r="I474" s="362"/>
      <c r="J474" s="362"/>
    </row>
    <row r="475" spans="1:10">
      <c r="A475" s="345" t="s">
        <v>155</v>
      </c>
      <c r="B475" s="358">
        <v>0</v>
      </c>
      <c r="C475" s="358">
        <v>0</v>
      </c>
      <c r="D475" s="358">
        <v>0</v>
      </c>
      <c r="E475" s="358">
        <v>6779</v>
      </c>
      <c r="F475" s="358">
        <v>47900.68</v>
      </c>
      <c r="G475" s="358">
        <v>31934.44</v>
      </c>
      <c r="H475" s="358">
        <v>583898.71</v>
      </c>
      <c r="I475" s="358">
        <v>210.8</v>
      </c>
      <c r="J475" s="358">
        <f>SUM(B475:I475)</f>
        <v>670723.63</v>
      </c>
    </row>
    <row r="476" spans="1:10">
      <c r="A476" s="345" t="s">
        <v>156</v>
      </c>
      <c r="B476" s="358">
        <v>0</v>
      </c>
      <c r="C476" s="358">
        <v>0</v>
      </c>
      <c r="D476" s="358">
        <v>0</v>
      </c>
      <c r="E476" s="358">
        <v>0</v>
      </c>
      <c r="F476" s="358">
        <v>0</v>
      </c>
      <c r="G476" s="358">
        <v>0</v>
      </c>
      <c r="H476" s="358">
        <v>2809.14</v>
      </c>
      <c r="I476" s="358">
        <v>0</v>
      </c>
      <c r="J476" s="358">
        <f>SUM(B476:I476)</f>
        <v>2809.14</v>
      </c>
    </row>
    <row r="477" spans="1:10">
      <c r="A477" s="369" t="s">
        <v>755</v>
      </c>
      <c r="B477" s="363">
        <f t="shared" ref="B477:J477" si="116">SUM(B475:B476)</f>
        <v>0</v>
      </c>
      <c r="C477" s="363">
        <f t="shared" si="116"/>
        <v>0</v>
      </c>
      <c r="D477" s="363">
        <f t="shared" si="116"/>
        <v>0</v>
      </c>
      <c r="E477" s="363">
        <f t="shared" si="116"/>
        <v>6779</v>
      </c>
      <c r="F477" s="363">
        <f t="shared" si="116"/>
        <v>47900.68</v>
      </c>
      <c r="G477" s="363">
        <f t="shared" si="116"/>
        <v>31934.44</v>
      </c>
      <c r="H477" s="363">
        <f t="shared" si="116"/>
        <v>586707.85</v>
      </c>
      <c r="I477" s="363">
        <f t="shared" si="116"/>
        <v>210.8</v>
      </c>
      <c r="J477" s="363">
        <f t="shared" si="116"/>
        <v>673532.77</v>
      </c>
    </row>
    <row r="478" spans="1:10">
      <c r="A478" s="368" t="s">
        <v>132</v>
      </c>
      <c r="B478" s="362"/>
      <c r="C478" s="362"/>
      <c r="D478" s="362"/>
      <c r="E478" s="362"/>
      <c r="F478" s="362"/>
      <c r="G478" s="362"/>
      <c r="H478" s="362"/>
      <c r="I478" s="362"/>
      <c r="J478" s="362"/>
    </row>
    <row r="479" spans="1:10">
      <c r="A479" s="355" t="s">
        <v>133</v>
      </c>
      <c r="B479" s="362"/>
      <c r="C479" s="362"/>
      <c r="D479" s="362"/>
      <c r="E479" s="362"/>
      <c r="F479" s="362"/>
      <c r="G479" s="362"/>
      <c r="H479" s="362"/>
      <c r="I479" s="362"/>
      <c r="J479" s="362"/>
    </row>
    <row r="480" spans="1:10">
      <c r="A480" s="354" t="s">
        <v>134</v>
      </c>
      <c r="B480" s="358">
        <v>0</v>
      </c>
      <c r="C480" s="358">
        <v>0</v>
      </c>
      <c r="D480" s="358">
        <v>0</v>
      </c>
      <c r="E480" s="358">
        <v>0</v>
      </c>
      <c r="F480" s="358">
        <v>82.46</v>
      </c>
      <c r="G480" s="358">
        <v>0</v>
      </c>
      <c r="H480" s="358">
        <v>0</v>
      </c>
      <c r="I480" s="358">
        <v>15370.29</v>
      </c>
      <c r="J480" s="358">
        <f>SUM(B480:I480)</f>
        <v>15452.75</v>
      </c>
    </row>
    <row r="481" spans="1:10">
      <c r="A481" s="356" t="s">
        <v>135</v>
      </c>
      <c r="B481" s="363">
        <f t="shared" ref="B481:J481" si="117">SUM(B480)</f>
        <v>0</v>
      </c>
      <c r="C481" s="363">
        <f t="shared" si="117"/>
        <v>0</v>
      </c>
      <c r="D481" s="363">
        <f t="shared" si="117"/>
        <v>0</v>
      </c>
      <c r="E481" s="363">
        <f t="shared" si="117"/>
        <v>0</v>
      </c>
      <c r="F481" s="363">
        <f t="shared" si="117"/>
        <v>82.46</v>
      </c>
      <c r="G481" s="363">
        <f t="shared" si="117"/>
        <v>0</v>
      </c>
      <c r="H481" s="363">
        <f t="shared" si="117"/>
        <v>0</v>
      </c>
      <c r="I481" s="363">
        <f t="shared" si="117"/>
        <v>15370.29</v>
      </c>
      <c r="J481" s="363">
        <f t="shared" si="117"/>
        <v>15452.75</v>
      </c>
    </row>
    <row r="482" spans="1:10">
      <c r="A482" s="355" t="s">
        <v>183</v>
      </c>
      <c r="B482" s="362"/>
      <c r="C482" s="362"/>
      <c r="D482" s="362"/>
      <c r="E482" s="362"/>
      <c r="F482" s="362"/>
      <c r="G482" s="362"/>
      <c r="H482" s="362"/>
      <c r="I482" s="362"/>
      <c r="J482" s="362"/>
    </row>
    <row r="483" spans="1:10">
      <c r="A483" s="354" t="s">
        <v>184</v>
      </c>
      <c r="B483" s="358">
        <v>0</v>
      </c>
      <c r="C483" s="358">
        <v>0</v>
      </c>
      <c r="D483" s="358">
        <v>0</v>
      </c>
      <c r="E483" s="358">
        <v>0</v>
      </c>
      <c r="F483" s="358">
        <v>0</v>
      </c>
      <c r="G483" s="358">
        <v>0</v>
      </c>
      <c r="H483" s="358">
        <v>0</v>
      </c>
      <c r="I483" s="358">
        <v>3684.58</v>
      </c>
      <c r="J483" s="358">
        <f>SUM(B483:I483)</f>
        <v>3684.58</v>
      </c>
    </row>
    <row r="484" spans="1:10">
      <c r="A484" s="356" t="s">
        <v>189</v>
      </c>
      <c r="B484" s="363">
        <f t="shared" ref="B484:J484" si="118">SUM(B483)</f>
        <v>0</v>
      </c>
      <c r="C484" s="363">
        <f t="shared" si="118"/>
        <v>0</v>
      </c>
      <c r="D484" s="363">
        <f t="shared" si="118"/>
        <v>0</v>
      </c>
      <c r="E484" s="363">
        <f t="shared" si="118"/>
        <v>0</v>
      </c>
      <c r="F484" s="363">
        <f t="shared" si="118"/>
        <v>0</v>
      </c>
      <c r="G484" s="363">
        <f t="shared" si="118"/>
        <v>0</v>
      </c>
      <c r="H484" s="363">
        <f t="shared" si="118"/>
        <v>0</v>
      </c>
      <c r="I484" s="363">
        <f t="shared" si="118"/>
        <v>3684.58</v>
      </c>
      <c r="J484" s="363">
        <f t="shared" si="118"/>
        <v>3684.58</v>
      </c>
    </row>
    <row r="485" spans="1:10">
      <c r="A485" s="369" t="s">
        <v>136</v>
      </c>
      <c r="B485" s="363">
        <f t="shared" ref="B485:J485" si="119">SUM(B481,B484)</f>
        <v>0</v>
      </c>
      <c r="C485" s="363">
        <f t="shared" si="119"/>
        <v>0</v>
      </c>
      <c r="D485" s="363">
        <f t="shared" si="119"/>
        <v>0</v>
      </c>
      <c r="E485" s="363">
        <f t="shared" si="119"/>
        <v>0</v>
      </c>
      <c r="F485" s="363">
        <f t="shared" si="119"/>
        <v>82.46</v>
      </c>
      <c r="G485" s="363">
        <f t="shared" si="119"/>
        <v>0</v>
      </c>
      <c r="H485" s="363">
        <f t="shared" si="119"/>
        <v>0</v>
      </c>
      <c r="I485" s="363">
        <f t="shared" si="119"/>
        <v>19054.870000000003</v>
      </c>
      <c r="J485" s="363">
        <f t="shared" si="119"/>
        <v>19137.330000000002</v>
      </c>
    </row>
    <row r="486" spans="1:10">
      <c r="A486" s="368" t="s">
        <v>60</v>
      </c>
      <c r="B486" s="362"/>
      <c r="C486" s="362"/>
      <c r="D486" s="362"/>
      <c r="E486" s="362"/>
      <c r="F486" s="362"/>
      <c r="G486" s="362"/>
      <c r="H486" s="362"/>
      <c r="I486" s="362"/>
      <c r="J486" s="362"/>
    </row>
    <row r="487" spans="1:10">
      <c r="A487" s="355" t="s">
        <v>68</v>
      </c>
      <c r="B487" s="362"/>
      <c r="C487" s="362"/>
      <c r="D487" s="362"/>
      <c r="E487" s="362"/>
      <c r="F487" s="362"/>
      <c r="G487" s="362"/>
      <c r="H487" s="362"/>
      <c r="I487" s="362"/>
      <c r="J487" s="362"/>
    </row>
    <row r="488" spans="1:10">
      <c r="A488" s="354" t="s">
        <v>69</v>
      </c>
      <c r="B488" s="358">
        <v>0</v>
      </c>
      <c r="C488" s="358">
        <v>0</v>
      </c>
      <c r="D488" s="358">
        <v>0</v>
      </c>
      <c r="E488" s="358">
        <v>0</v>
      </c>
      <c r="F488" s="358">
        <v>127406.15</v>
      </c>
      <c r="G488" s="358">
        <v>25021.65</v>
      </c>
      <c r="H488" s="358">
        <v>10493.84</v>
      </c>
      <c r="I488" s="358">
        <v>9299.51</v>
      </c>
      <c r="J488" s="358">
        <f>SUM(B488:I488)</f>
        <v>172221.15</v>
      </c>
    </row>
    <row r="489" spans="1:10">
      <c r="A489" s="354" t="s">
        <v>148</v>
      </c>
      <c r="B489" s="358">
        <v>0</v>
      </c>
      <c r="C489" s="358">
        <v>0</v>
      </c>
      <c r="D489" s="358">
        <v>0</v>
      </c>
      <c r="E489" s="358">
        <v>30</v>
      </c>
      <c r="F489" s="358">
        <v>0</v>
      </c>
      <c r="G489" s="358">
        <v>108.1</v>
      </c>
      <c r="H489" s="358">
        <v>0</v>
      </c>
      <c r="I489" s="358">
        <v>0</v>
      </c>
      <c r="J489" s="358">
        <f>SUM(B489:I489)</f>
        <v>138.1</v>
      </c>
    </row>
    <row r="490" spans="1:10">
      <c r="A490" s="356" t="s">
        <v>70</v>
      </c>
      <c r="B490" s="363">
        <f t="shared" ref="B490:J490" si="120">SUM(B488:B489)</f>
        <v>0</v>
      </c>
      <c r="C490" s="363">
        <f t="shared" si="120"/>
        <v>0</v>
      </c>
      <c r="D490" s="363">
        <f t="shared" si="120"/>
        <v>0</v>
      </c>
      <c r="E490" s="363">
        <f t="shared" si="120"/>
        <v>30</v>
      </c>
      <c r="F490" s="363">
        <f t="shared" si="120"/>
        <v>127406.15</v>
      </c>
      <c r="G490" s="363">
        <f t="shared" si="120"/>
        <v>25129.75</v>
      </c>
      <c r="H490" s="363">
        <f t="shared" si="120"/>
        <v>10493.84</v>
      </c>
      <c r="I490" s="363">
        <f t="shared" si="120"/>
        <v>9299.51</v>
      </c>
      <c r="J490" s="363">
        <f t="shared" si="120"/>
        <v>172359.25</v>
      </c>
    </row>
    <row r="491" spans="1:10">
      <c r="A491" s="355" t="s">
        <v>71</v>
      </c>
      <c r="B491" s="362"/>
      <c r="C491" s="362"/>
      <c r="D491" s="362"/>
      <c r="E491" s="362"/>
      <c r="F491" s="362"/>
      <c r="G491" s="362"/>
      <c r="H491" s="362"/>
      <c r="I491" s="362"/>
      <c r="J491" s="362"/>
    </row>
    <row r="492" spans="1:10">
      <c r="A492" s="354" t="s">
        <v>72</v>
      </c>
      <c r="B492" s="358">
        <v>0</v>
      </c>
      <c r="C492" s="358">
        <v>0</v>
      </c>
      <c r="D492" s="358">
        <v>0</v>
      </c>
      <c r="E492" s="358">
        <v>310.24</v>
      </c>
      <c r="F492" s="358">
        <v>1508.38</v>
      </c>
      <c r="G492" s="358">
        <v>1362.22</v>
      </c>
      <c r="H492" s="358">
        <v>6377.67</v>
      </c>
      <c r="I492" s="358">
        <v>0</v>
      </c>
      <c r="J492" s="358">
        <f>SUM(B492:I492)</f>
        <v>9558.51</v>
      </c>
    </row>
    <row r="493" spans="1:10">
      <c r="A493" s="354" t="s">
        <v>73</v>
      </c>
      <c r="B493" s="358">
        <v>0</v>
      </c>
      <c r="C493" s="358">
        <v>0</v>
      </c>
      <c r="D493" s="358">
        <v>0</v>
      </c>
      <c r="E493" s="358">
        <v>221.67</v>
      </c>
      <c r="F493" s="358">
        <v>1081.72</v>
      </c>
      <c r="G493" s="358">
        <v>177.23</v>
      </c>
      <c r="H493" s="358">
        <v>2971.39</v>
      </c>
      <c r="I493" s="358">
        <v>109.68</v>
      </c>
      <c r="J493" s="358">
        <f>SUM(B493:I493)</f>
        <v>4561.6900000000005</v>
      </c>
    </row>
    <row r="494" spans="1:10">
      <c r="A494" s="354" t="s">
        <v>137</v>
      </c>
      <c r="B494" s="358">
        <v>0</v>
      </c>
      <c r="C494" s="358">
        <v>0</v>
      </c>
      <c r="D494" s="358">
        <v>0</v>
      </c>
      <c r="E494" s="358">
        <v>0</v>
      </c>
      <c r="F494" s="358">
        <v>0</v>
      </c>
      <c r="G494" s="358">
        <v>0</v>
      </c>
      <c r="H494" s="358">
        <v>94.2</v>
      </c>
      <c r="I494" s="358">
        <v>0</v>
      </c>
      <c r="J494" s="358">
        <f>SUM(B494:I494)</f>
        <v>94.2</v>
      </c>
    </row>
    <row r="495" spans="1:10">
      <c r="A495" s="354" t="s">
        <v>74</v>
      </c>
      <c r="B495" s="358">
        <v>0</v>
      </c>
      <c r="C495" s="358">
        <v>0</v>
      </c>
      <c r="D495" s="358">
        <v>0</v>
      </c>
      <c r="E495" s="358">
        <v>100</v>
      </c>
      <c r="F495" s="358">
        <v>1535.44</v>
      </c>
      <c r="G495" s="358">
        <v>205.69</v>
      </c>
      <c r="H495" s="358">
        <v>7918.57</v>
      </c>
      <c r="I495" s="358">
        <v>88.99</v>
      </c>
      <c r="J495" s="358">
        <f>SUM(B495:I495)</f>
        <v>9848.69</v>
      </c>
    </row>
    <row r="496" spans="1:10">
      <c r="A496" s="356" t="s">
        <v>75</v>
      </c>
      <c r="B496" s="363">
        <f t="shared" ref="B496:J496" si="121">SUM(B492:B495)</f>
        <v>0</v>
      </c>
      <c r="C496" s="363">
        <f t="shared" si="121"/>
        <v>0</v>
      </c>
      <c r="D496" s="363">
        <f t="shared" si="121"/>
        <v>0</v>
      </c>
      <c r="E496" s="363">
        <f t="shared" si="121"/>
        <v>631.91</v>
      </c>
      <c r="F496" s="363">
        <f t="shared" si="121"/>
        <v>4125.5400000000009</v>
      </c>
      <c r="G496" s="363">
        <f t="shared" si="121"/>
        <v>1745.14</v>
      </c>
      <c r="H496" s="363">
        <f t="shared" si="121"/>
        <v>17361.830000000002</v>
      </c>
      <c r="I496" s="363">
        <f t="shared" si="121"/>
        <v>198.67000000000002</v>
      </c>
      <c r="J496" s="363">
        <f t="shared" si="121"/>
        <v>24063.090000000004</v>
      </c>
    </row>
    <row r="497" spans="1:10">
      <c r="A497" s="355" t="s">
        <v>64</v>
      </c>
      <c r="B497" s="362"/>
      <c r="C497" s="362"/>
      <c r="D497" s="362"/>
      <c r="E497" s="362"/>
      <c r="F497" s="362"/>
      <c r="G497" s="362"/>
      <c r="H497" s="362"/>
      <c r="I497" s="362"/>
      <c r="J497" s="362"/>
    </row>
    <row r="498" spans="1:10">
      <c r="A498" s="354" t="s">
        <v>66</v>
      </c>
      <c r="B498" s="358">
        <v>0</v>
      </c>
      <c r="C498" s="358">
        <v>0</v>
      </c>
      <c r="D498" s="358">
        <v>0</v>
      </c>
      <c r="E498" s="358">
        <v>0</v>
      </c>
      <c r="F498" s="358">
        <v>1560.57</v>
      </c>
      <c r="G498" s="358">
        <v>378.62</v>
      </c>
      <c r="H498" s="358">
        <v>258.47000000000003</v>
      </c>
      <c r="I498" s="358">
        <v>174.67</v>
      </c>
      <c r="J498" s="358">
        <f>SUM(B498:I498)</f>
        <v>2372.33</v>
      </c>
    </row>
    <row r="499" spans="1:10">
      <c r="A499" s="354" t="s">
        <v>65</v>
      </c>
      <c r="B499" s="358">
        <v>0</v>
      </c>
      <c r="C499" s="358">
        <v>0</v>
      </c>
      <c r="D499" s="358">
        <v>0</v>
      </c>
      <c r="E499" s="358">
        <v>0</v>
      </c>
      <c r="F499" s="358">
        <v>5039.4399999999996</v>
      </c>
      <c r="G499" s="358">
        <v>1396.32</v>
      </c>
      <c r="H499" s="358">
        <v>161.74</v>
      </c>
      <c r="I499" s="358">
        <v>689.49</v>
      </c>
      <c r="J499" s="358">
        <f>SUM(B499:I499)</f>
        <v>7286.9899999999989</v>
      </c>
    </row>
    <row r="500" spans="1:10">
      <c r="A500" s="354" t="s">
        <v>196</v>
      </c>
      <c r="B500" s="358">
        <v>0</v>
      </c>
      <c r="C500" s="358">
        <v>0</v>
      </c>
      <c r="D500" s="358">
        <v>0</v>
      </c>
      <c r="E500" s="358">
        <v>0</v>
      </c>
      <c r="F500" s="358">
        <v>1475.02</v>
      </c>
      <c r="G500" s="358">
        <v>0</v>
      </c>
      <c r="H500" s="358">
        <v>0</v>
      </c>
      <c r="I500" s="358">
        <v>818.22</v>
      </c>
      <c r="J500" s="358">
        <f>SUM(B500:I500)</f>
        <v>2293.2399999999998</v>
      </c>
    </row>
    <row r="501" spans="1:10">
      <c r="A501" s="354" t="s">
        <v>671</v>
      </c>
      <c r="B501" s="358">
        <v>0</v>
      </c>
      <c r="C501" s="358">
        <v>0</v>
      </c>
      <c r="D501" s="358">
        <v>0</v>
      </c>
      <c r="E501" s="358">
        <v>7419.05</v>
      </c>
      <c r="F501" s="358">
        <v>7398.87</v>
      </c>
      <c r="G501" s="358">
        <v>17417.189999999999</v>
      </c>
      <c r="H501" s="358">
        <v>3554.62</v>
      </c>
      <c r="I501" s="358">
        <v>646.9</v>
      </c>
      <c r="J501" s="358">
        <f>SUM(B501:I501)</f>
        <v>36436.630000000005</v>
      </c>
    </row>
    <row r="502" spans="1:10">
      <c r="A502" s="356" t="s">
        <v>67</v>
      </c>
      <c r="B502" s="363">
        <f t="shared" ref="B502:J502" si="122">SUM(B498:B501)</f>
        <v>0</v>
      </c>
      <c r="C502" s="363">
        <f t="shared" si="122"/>
        <v>0</v>
      </c>
      <c r="D502" s="363">
        <f t="shared" si="122"/>
        <v>0</v>
      </c>
      <c r="E502" s="363">
        <f t="shared" si="122"/>
        <v>7419.05</v>
      </c>
      <c r="F502" s="363">
        <f t="shared" si="122"/>
        <v>15473.899999999998</v>
      </c>
      <c r="G502" s="363">
        <f t="shared" si="122"/>
        <v>19192.129999999997</v>
      </c>
      <c r="H502" s="363">
        <f t="shared" si="122"/>
        <v>3974.83</v>
      </c>
      <c r="I502" s="363">
        <f t="shared" si="122"/>
        <v>2329.2800000000002</v>
      </c>
      <c r="J502" s="363">
        <f t="shared" si="122"/>
        <v>48389.19</v>
      </c>
    </row>
    <row r="503" spans="1:10">
      <c r="A503" s="355" t="s">
        <v>61</v>
      </c>
      <c r="B503" s="362"/>
      <c r="C503" s="362"/>
      <c r="D503" s="362"/>
      <c r="E503" s="362"/>
      <c r="F503" s="362"/>
      <c r="G503" s="362"/>
      <c r="H503" s="362"/>
      <c r="I503" s="362"/>
      <c r="J503" s="362"/>
    </row>
    <row r="504" spans="1:10">
      <c r="A504" s="354" t="s">
        <v>62</v>
      </c>
      <c r="B504" s="358">
        <v>0</v>
      </c>
      <c r="C504" s="358">
        <v>0</v>
      </c>
      <c r="D504" s="358">
        <v>0</v>
      </c>
      <c r="E504" s="358">
        <v>633.09</v>
      </c>
      <c r="F504" s="358">
        <v>4423.7700000000004</v>
      </c>
      <c r="G504" s="358">
        <v>0</v>
      </c>
      <c r="H504" s="358">
        <v>0</v>
      </c>
      <c r="I504" s="358">
        <v>0</v>
      </c>
      <c r="J504" s="358">
        <f>SUM(B504:I504)</f>
        <v>5056.8600000000006</v>
      </c>
    </row>
    <row r="505" spans="1:10">
      <c r="A505" s="356" t="s">
        <v>63</v>
      </c>
      <c r="B505" s="363">
        <f t="shared" ref="B505:J505" si="123">SUM(B504)</f>
        <v>0</v>
      </c>
      <c r="C505" s="363">
        <f t="shared" si="123"/>
        <v>0</v>
      </c>
      <c r="D505" s="363">
        <f t="shared" si="123"/>
        <v>0</v>
      </c>
      <c r="E505" s="363">
        <f t="shared" si="123"/>
        <v>633.09</v>
      </c>
      <c r="F505" s="363">
        <f t="shared" si="123"/>
        <v>4423.7700000000004</v>
      </c>
      <c r="G505" s="363">
        <f t="shared" si="123"/>
        <v>0</v>
      </c>
      <c r="H505" s="363">
        <f t="shared" si="123"/>
        <v>0</v>
      </c>
      <c r="I505" s="363">
        <f t="shared" si="123"/>
        <v>0</v>
      </c>
      <c r="J505" s="363">
        <f t="shared" si="123"/>
        <v>5056.8600000000006</v>
      </c>
    </row>
    <row r="506" spans="1:10">
      <c r="A506" s="369" t="s">
        <v>76</v>
      </c>
      <c r="B506" s="363">
        <f t="shared" ref="B506:J506" si="124">SUM(B490,B496,B502,B505)</f>
        <v>0</v>
      </c>
      <c r="C506" s="363">
        <f t="shared" si="124"/>
        <v>0</v>
      </c>
      <c r="D506" s="363">
        <f t="shared" si="124"/>
        <v>0</v>
      </c>
      <c r="E506" s="363">
        <f t="shared" si="124"/>
        <v>8714.0499999999993</v>
      </c>
      <c r="F506" s="363">
        <f t="shared" si="124"/>
        <v>151429.35999999999</v>
      </c>
      <c r="G506" s="363">
        <f t="shared" si="124"/>
        <v>46067.02</v>
      </c>
      <c r="H506" s="363">
        <f t="shared" si="124"/>
        <v>31830.5</v>
      </c>
      <c r="I506" s="363">
        <f t="shared" si="124"/>
        <v>11827.460000000001</v>
      </c>
      <c r="J506" s="363">
        <f t="shared" si="124"/>
        <v>249868.39</v>
      </c>
    </row>
    <row r="507" spans="1:10">
      <c r="A507" s="368" t="s">
        <v>162</v>
      </c>
      <c r="B507" s="362"/>
      <c r="C507" s="362"/>
      <c r="D507" s="362"/>
      <c r="E507" s="362"/>
      <c r="F507" s="362"/>
      <c r="G507" s="362"/>
      <c r="H507" s="362"/>
      <c r="I507" s="362"/>
      <c r="J507" s="362"/>
    </row>
    <row r="508" spans="1:10">
      <c r="A508" s="345" t="s">
        <v>164</v>
      </c>
      <c r="B508" s="358">
        <v>0</v>
      </c>
      <c r="C508" s="358">
        <v>0</v>
      </c>
      <c r="D508" s="358">
        <v>0</v>
      </c>
      <c r="E508" s="358">
        <v>0</v>
      </c>
      <c r="F508" s="358">
        <v>27.5</v>
      </c>
      <c r="G508" s="358">
        <v>0</v>
      </c>
      <c r="H508" s="358">
        <v>17.29</v>
      </c>
      <c r="I508" s="358">
        <v>0</v>
      </c>
      <c r="J508" s="358">
        <f>SUM(B508:I508)</f>
        <v>44.79</v>
      </c>
    </row>
    <row r="509" spans="1:10">
      <c r="A509" s="345" t="s">
        <v>191</v>
      </c>
      <c r="B509" s="358">
        <v>0</v>
      </c>
      <c r="C509" s="358">
        <v>0</v>
      </c>
      <c r="D509" s="358">
        <v>0</v>
      </c>
      <c r="E509" s="358">
        <v>2915.16</v>
      </c>
      <c r="F509" s="358">
        <v>568.21</v>
      </c>
      <c r="G509" s="358">
        <v>0</v>
      </c>
      <c r="H509" s="358">
        <v>1060.1600000000001</v>
      </c>
      <c r="I509" s="358">
        <v>0</v>
      </c>
      <c r="J509" s="358">
        <f>SUM(B509:I509)</f>
        <v>4543.53</v>
      </c>
    </row>
    <row r="510" spans="1:10">
      <c r="A510" s="369" t="s">
        <v>165</v>
      </c>
      <c r="B510" s="363">
        <f t="shared" ref="B510:J510" si="125">SUM(B508:B509)</f>
        <v>0</v>
      </c>
      <c r="C510" s="363">
        <f t="shared" si="125"/>
        <v>0</v>
      </c>
      <c r="D510" s="363">
        <f t="shared" si="125"/>
        <v>0</v>
      </c>
      <c r="E510" s="363">
        <f t="shared" si="125"/>
        <v>2915.16</v>
      </c>
      <c r="F510" s="363">
        <f t="shared" si="125"/>
        <v>595.71</v>
      </c>
      <c r="G510" s="363">
        <f t="shared" si="125"/>
        <v>0</v>
      </c>
      <c r="H510" s="363">
        <f t="shared" si="125"/>
        <v>1077.45</v>
      </c>
      <c r="I510" s="363">
        <f t="shared" si="125"/>
        <v>0</v>
      </c>
      <c r="J510" s="363">
        <f t="shared" si="125"/>
        <v>4588.32</v>
      </c>
    </row>
    <row r="511" spans="1:10">
      <c r="A511" s="368" t="s">
        <v>55</v>
      </c>
      <c r="B511" s="362"/>
      <c r="C511" s="362"/>
      <c r="D511" s="362"/>
      <c r="E511" s="362"/>
      <c r="F511" s="362"/>
      <c r="G511" s="362"/>
      <c r="H511" s="362"/>
      <c r="I511" s="362"/>
      <c r="J511" s="362"/>
    </row>
    <row r="512" spans="1:10">
      <c r="A512" s="345" t="s">
        <v>56</v>
      </c>
      <c r="B512" s="358">
        <v>0</v>
      </c>
      <c r="C512" s="358">
        <v>0</v>
      </c>
      <c r="D512" s="358">
        <v>0</v>
      </c>
      <c r="E512" s="358">
        <v>0</v>
      </c>
      <c r="F512" s="358">
        <v>3638.37</v>
      </c>
      <c r="G512" s="358">
        <v>0</v>
      </c>
      <c r="H512" s="358">
        <v>1397.24</v>
      </c>
      <c r="I512" s="358">
        <v>300.33999999999997</v>
      </c>
      <c r="J512" s="358">
        <f>SUM(B512:I512)</f>
        <v>5335.95</v>
      </c>
    </row>
    <row r="513" spans="1:10">
      <c r="A513" s="345" t="s">
        <v>58</v>
      </c>
      <c r="B513" s="358">
        <v>0</v>
      </c>
      <c r="C513" s="358">
        <v>0</v>
      </c>
      <c r="D513" s="358">
        <v>0</v>
      </c>
      <c r="E513" s="358">
        <v>0</v>
      </c>
      <c r="F513" s="358">
        <v>309.24</v>
      </c>
      <c r="G513" s="358">
        <v>7.05</v>
      </c>
      <c r="H513" s="358">
        <v>6.59</v>
      </c>
      <c r="I513" s="358">
        <v>0</v>
      </c>
      <c r="J513" s="358">
        <f>SUM(B513:I513)</f>
        <v>322.88</v>
      </c>
    </row>
    <row r="514" spans="1:10">
      <c r="A514" s="345" t="s">
        <v>57</v>
      </c>
      <c r="B514" s="358">
        <v>0</v>
      </c>
      <c r="C514" s="358">
        <v>0</v>
      </c>
      <c r="D514" s="358">
        <v>0</v>
      </c>
      <c r="E514" s="358">
        <v>17.12</v>
      </c>
      <c r="F514" s="358">
        <v>340.69</v>
      </c>
      <c r="G514" s="358">
        <v>27.36</v>
      </c>
      <c r="H514" s="358">
        <v>129.65</v>
      </c>
      <c r="I514" s="358">
        <v>38.68</v>
      </c>
      <c r="J514" s="358">
        <f>SUM(B514:I514)</f>
        <v>553.5</v>
      </c>
    </row>
    <row r="515" spans="1:10">
      <c r="A515" s="369" t="s">
        <v>59</v>
      </c>
      <c r="B515" s="363">
        <f t="shared" ref="B515:J515" si="126">SUM(B512:B514)</f>
        <v>0</v>
      </c>
      <c r="C515" s="363">
        <f t="shared" si="126"/>
        <v>0</v>
      </c>
      <c r="D515" s="363">
        <f t="shared" si="126"/>
        <v>0</v>
      </c>
      <c r="E515" s="363">
        <f t="shared" si="126"/>
        <v>17.12</v>
      </c>
      <c r="F515" s="363">
        <f t="shared" si="126"/>
        <v>4288.2999999999993</v>
      </c>
      <c r="G515" s="363">
        <f t="shared" si="126"/>
        <v>34.409999999999997</v>
      </c>
      <c r="H515" s="363">
        <f t="shared" si="126"/>
        <v>1533.48</v>
      </c>
      <c r="I515" s="363">
        <f t="shared" si="126"/>
        <v>339.02</v>
      </c>
      <c r="J515" s="363">
        <f t="shared" si="126"/>
        <v>6212.33</v>
      </c>
    </row>
    <row r="516" spans="1:10">
      <c r="A516" s="370" t="s">
        <v>166</v>
      </c>
      <c r="B516" s="363">
        <f t="shared" ref="B516:J516" si="127">SUM(B421,B433,B441,B444,B447,B452,B456,B468,B473,B477,B485,B506,B510,B515)</f>
        <v>0</v>
      </c>
      <c r="C516" s="363">
        <f t="shared" si="127"/>
        <v>0</v>
      </c>
      <c r="D516" s="363">
        <f t="shared" si="127"/>
        <v>0</v>
      </c>
      <c r="E516" s="363">
        <f t="shared" si="127"/>
        <v>275494.71999999997</v>
      </c>
      <c r="F516" s="363">
        <f t="shared" si="127"/>
        <v>1095692.48</v>
      </c>
      <c r="G516" s="363">
        <f t="shared" si="127"/>
        <v>785408.06</v>
      </c>
      <c r="H516" s="363">
        <f t="shared" si="127"/>
        <v>1854855.1700000002</v>
      </c>
      <c r="I516" s="363">
        <f t="shared" si="127"/>
        <v>365308.15999999997</v>
      </c>
      <c r="J516" s="363">
        <f t="shared" si="127"/>
        <v>4376758.5900000008</v>
      </c>
    </row>
    <row r="517" spans="1:10">
      <c r="A517" s="353" t="s">
        <v>167</v>
      </c>
      <c r="B517" s="362"/>
      <c r="C517" s="362"/>
      <c r="D517" s="362"/>
      <c r="E517" s="362"/>
      <c r="F517" s="362"/>
      <c r="G517" s="362"/>
      <c r="H517" s="362"/>
      <c r="I517" s="362"/>
      <c r="J517" s="362"/>
    </row>
    <row r="518" spans="1:10">
      <c r="A518" s="368" t="s">
        <v>83</v>
      </c>
      <c r="B518" s="362"/>
      <c r="C518" s="362"/>
      <c r="D518" s="362"/>
      <c r="E518" s="362"/>
      <c r="F518" s="362"/>
      <c r="G518" s="362"/>
      <c r="H518" s="362"/>
      <c r="I518" s="362"/>
      <c r="J518" s="362"/>
    </row>
    <row r="519" spans="1:10">
      <c r="A519" s="345" t="s">
        <v>98</v>
      </c>
      <c r="B519" s="358">
        <v>0</v>
      </c>
      <c r="C519" s="358">
        <v>0</v>
      </c>
      <c r="D519" s="358">
        <v>0</v>
      </c>
      <c r="E519" s="358">
        <v>0</v>
      </c>
      <c r="F519" s="358">
        <v>144763.48000000001</v>
      </c>
      <c r="G519" s="358">
        <v>0</v>
      </c>
      <c r="H519" s="358">
        <v>0</v>
      </c>
      <c r="I519" s="358">
        <v>0</v>
      </c>
      <c r="J519" s="358">
        <f>SUM(B519:I519)</f>
        <v>144763.48000000001</v>
      </c>
    </row>
    <row r="520" spans="1:10">
      <c r="A520" s="355" t="s">
        <v>84</v>
      </c>
      <c r="B520" s="362"/>
      <c r="C520" s="362"/>
      <c r="D520" s="362"/>
      <c r="E520" s="362"/>
      <c r="F520" s="362"/>
      <c r="G520" s="362"/>
      <c r="H520" s="362"/>
      <c r="I520" s="362"/>
      <c r="J520" s="362"/>
    </row>
    <row r="521" spans="1:10">
      <c r="A521" s="354" t="s">
        <v>85</v>
      </c>
      <c r="B521" s="358">
        <v>0</v>
      </c>
      <c r="C521" s="358">
        <v>0</v>
      </c>
      <c r="D521" s="358">
        <v>0</v>
      </c>
      <c r="E521" s="358">
        <v>0</v>
      </c>
      <c r="F521" s="358">
        <v>10.52</v>
      </c>
      <c r="G521" s="358">
        <v>0</v>
      </c>
      <c r="H521" s="358">
        <v>0</v>
      </c>
      <c r="I521" s="358">
        <v>0</v>
      </c>
      <c r="J521" s="358">
        <f>SUM(B521:I521)</f>
        <v>10.52</v>
      </c>
    </row>
    <row r="522" spans="1:10">
      <c r="A522" s="354" t="s">
        <v>87</v>
      </c>
      <c r="B522" s="358">
        <v>0</v>
      </c>
      <c r="C522" s="358">
        <v>0</v>
      </c>
      <c r="D522" s="358">
        <v>0</v>
      </c>
      <c r="E522" s="358">
        <v>0</v>
      </c>
      <c r="F522" s="358">
        <v>92.5</v>
      </c>
      <c r="G522" s="358">
        <v>0</v>
      </c>
      <c r="H522" s="358">
        <v>0</v>
      </c>
      <c r="I522" s="358">
        <v>0</v>
      </c>
      <c r="J522" s="358">
        <f>SUM(B522:I522)</f>
        <v>92.5</v>
      </c>
    </row>
    <row r="523" spans="1:10">
      <c r="A523" s="356" t="s">
        <v>88</v>
      </c>
      <c r="B523" s="363">
        <f t="shared" ref="B523:J523" si="128">SUM(B521:B522)</f>
        <v>0</v>
      </c>
      <c r="C523" s="363">
        <f t="shared" si="128"/>
        <v>0</v>
      </c>
      <c r="D523" s="363">
        <f t="shared" si="128"/>
        <v>0</v>
      </c>
      <c r="E523" s="363">
        <f t="shared" si="128"/>
        <v>0</v>
      </c>
      <c r="F523" s="363">
        <f t="shared" si="128"/>
        <v>103.02</v>
      </c>
      <c r="G523" s="363">
        <f t="shared" si="128"/>
        <v>0</v>
      </c>
      <c r="H523" s="363">
        <f t="shared" si="128"/>
        <v>0</v>
      </c>
      <c r="I523" s="363">
        <f t="shared" si="128"/>
        <v>0</v>
      </c>
      <c r="J523" s="363">
        <f t="shared" si="128"/>
        <v>103.02</v>
      </c>
    </row>
    <row r="524" spans="1:10">
      <c r="A524" s="369" t="s">
        <v>89</v>
      </c>
      <c r="B524" s="363">
        <f t="shared" ref="B524:J524" si="129">SUM(B519,B523)</f>
        <v>0</v>
      </c>
      <c r="C524" s="363">
        <f t="shared" si="129"/>
        <v>0</v>
      </c>
      <c r="D524" s="363">
        <f t="shared" si="129"/>
        <v>0</v>
      </c>
      <c r="E524" s="363">
        <f t="shared" si="129"/>
        <v>0</v>
      </c>
      <c r="F524" s="363">
        <f t="shared" si="129"/>
        <v>144866.5</v>
      </c>
      <c r="G524" s="363">
        <f t="shared" si="129"/>
        <v>0</v>
      </c>
      <c r="H524" s="363">
        <f t="shared" si="129"/>
        <v>0</v>
      </c>
      <c r="I524" s="363">
        <f t="shared" si="129"/>
        <v>0</v>
      </c>
      <c r="J524" s="363">
        <f t="shared" si="129"/>
        <v>144866.5</v>
      </c>
    </row>
    <row r="525" spans="1:10">
      <c r="A525" s="368" t="s">
        <v>80</v>
      </c>
      <c r="B525" s="362"/>
      <c r="C525" s="362"/>
      <c r="D525" s="362"/>
      <c r="E525" s="362"/>
      <c r="F525" s="362"/>
      <c r="G525" s="362"/>
      <c r="H525" s="362"/>
      <c r="I525" s="362"/>
      <c r="J525" s="362"/>
    </row>
    <row r="526" spans="1:10">
      <c r="A526" s="345" t="s">
        <v>566</v>
      </c>
      <c r="B526" s="358">
        <v>0</v>
      </c>
      <c r="C526" s="358">
        <v>0</v>
      </c>
      <c r="D526" s="358">
        <v>0</v>
      </c>
      <c r="E526" s="358">
        <v>0</v>
      </c>
      <c r="F526" s="358">
        <v>18698.349999999999</v>
      </c>
      <c r="G526" s="358">
        <v>0</v>
      </c>
      <c r="H526" s="358">
        <v>0</v>
      </c>
      <c r="I526" s="358">
        <v>0</v>
      </c>
      <c r="J526" s="358">
        <f>SUM(B526:I526)</f>
        <v>18698.349999999999</v>
      </c>
    </row>
    <row r="527" spans="1:10">
      <c r="A527" s="369" t="s">
        <v>82</v>
      </c>
      <c r="B527" s="363">
        <f t="shared" ref="B527:J527" si="130">SUM(B526)</f>
        <v>0</v>
      </c>
      <c r="C527" s="363">
        <f t="shared" si="130"/>
        <v>0</v>
      </c>
      <c r="D527" s="363">
        <f t="shared" si="130"/>
        <v>0</v>
      </c>
      <c r="E527" s="363">
        <f t="shared" si="130"/>
        <v>0</v>
      </c>
      <c r="F527" s="363">
        <f t="shared" si="130"/>
        <v>18698.349999999999</v>
      </c>
      <c r="G527" s="363">
        <f t="shared" si="130"/>
        <v>0</v>
      </c>
      <c r="H527" s="363">
        <f t="shared" si="130"/>
        <v>0</v>
      </c>
      <c r="I527" s="363">
        <f t="shared" si="130"/>
        <v>0</v>
      </c>
      <c r="J527" s="363">
        <f t="shared" si="130"/>
        <v>18698.349999999999</v>
      </c>
    </row>
    <row r="528" spans="1:10">
      <c r="A528" s="368" t="s">
        <v>51</v>
      </c>
      <c r="B528" s="362"/>
      <c r="C528" s="362"/>
      <c r="D528" s="362"/>
      <c r="E528" s="362"/>
      <c r="F528" s="362"/>
      <c r="G528" s="362"/>
      <c r="H528" s="362"/>
      <c r="I528" s="362"/>
      <c r="J528" s="362"/>
    </row>
    <row r="529" spans="1:10">
      <c r="A529" s="345" t="s">
        <v>52</v>
      </c>
      <c r="B529" s="358">
        <v>0</v>
      </c>
      <c r="C529" s="358">
        <v>0</v>
      </c>
      <c r="D529" s="358">
        <v>0</v>
      </c>
      <c r="E529" s="358">
        <v>0</v>
      </c>
      <c r="F529" s="358">
        <v>647.20000000000005</v>
      </c>
      <c r="G529" s="358">
        <v>0</v>
      </c>
      <c r="H529" s="358">
        <v>0</v>
      </c>
      <c r="I529" s="358">
        <v>0</v>
      </c>
      <c r="J529" s="358">
        <f>SUM(B529:I529)</f>
        <v>647.20000000000005</v>
      </c>
    </row>
    <row r="530" spans="1:10">
      <c r="A530" s="345" t="s">
        <v>111</v>
      </c>
      <c r="B530" s="358">
        <v>0</v>
      </c>
      <c r="C530" s="358">
        <v>0</v>
      </c>
      <c r="D530" s="358">
        <v>0</v>
      </c>
      <c r="E530" s="358">
        <v>0</v>
      </c>
      <c r="F530" s="358">
        <v>5379.09</v>
      </c>
      <c r="G530" s="358">
        <v>0</v>
      </c>
      <c r="H530" s="358">
        <v>0</v>
      </c>
      <c r="I530" s="358">
        <v>0</v>
      </c>
      <c r="J530" s="358">
        <f>SUM(B530:I530)</f>
        <v>5379.09</v>
      </c>
    </row>
    <row r="531" spans="1:10">
      <c r="A531" s="345" t="s">
        <v>751</v>
      </c>
      <c r="B531" s="358">
        <v>0</v>
      </c>
      <c r="C531" s="358">
        <v>0</v>
      </c>
      <c r="D531" s="358">
        <v>0</v>
      </c>
      <c r="E531" s="358">
        <v>-96.25</v>
      </c>
      <c r="F531" s="358">
        <v>2226.1</v>
      </c>
      <c r="G531" s="358">
        <v>0</v>
      </c>
      <c r="H531" s="358">
        <v>0</v>
      </c>
      <c r="I531" s="358">
        <v>0</v>
      </c>
      <c r="J531" s="358">
        <f>SUM(B531:I531)</f>
        <v>2129.85</v>
      </c>
    </row>
    <row r="532" spans="1:10">
      <c r="A532" s="345" t="s">
        <v>753</v>
      </c>
      <c r="B532" s="358">
        <v>0</v>
      </c>
      <c r="C532" s="358">
        <v>0</v>
      </c>
      <c r="D532" s="358">
        <v>0</v>
      </c>
      <c r="E532" s="358">
        <v>0</v>
      </c>
      <c r="F532" s="358">
        <v>287.75</v>
      </c>
      <c r="G532" s="358">
        <v>0</v>
      </c>
      <c r="H532" s="358">
        <v>0</v>
      </c>
      <c r="I532" s="358">
        <v>0</v>
      </c>
      <c r="J532" s="358">
        <f>SUM(B532:I532)</f>
        <v>287.75</v>
      </c>
    </row>
    <row r="533" spans="1:10">
      <c r="A533" s="369" t="s">
        <v>54</v>
      </c>
      <c r="B533" s="363">
        <f t="shared" ref="B533:J533" si="131">SUM(B529:B532)</f>
        <v>0</v>
      </c>
      <c r="C533" s="363">
        <f t="shared" si="131"/>
        <v>0</v>
      </c>
      <c r="D533" s="363">
        <f t="shared" si="131"/>
        <v>0</v>
      </c>
      <c r="E533" s="363">
        <f t="shared" si="131"/>
        <v>-96.25</v>
      </c>
      <c r="F533" s="363">
        <f t="shared" si="131"/>
        <v>8540.14</v>
      </c>
      <c r="G533" s="363">
        <f t="shared" si="131"/>
        <v>0</v>
      </c>
      <c r="H533" s="363">
        <f t="shared" si="131"/>
        <v>0</v>
      </c>
      <c r="I533" s="363">
        <f t="shared" si="131"/>
        <v>0</v>
      </c>
      <c r="J533" s="363">
        <f t="shared" si="131"/>
        <v>8443.89</v>
      </c>
    </row>
    <row r="534" spans="1:10">
      <c r="A534" s="368" t="s">
        <v>113</v>
      </c>
      <c r="B534" s="362"/>
      <c r="C534" s="362"/>
      <c r="D534" s="362"/>
      <c r="E534" s="362"/>
      <c r="F534" s="362"/>
      <c r="G534" s="362"/>
      <c r="H534" s="362"/>
      <c r="I534" s="362"/>
      <c r="J534" s="362"/>
    </row>
    <row r="535" spans="1:10">
      <c r="A535" s="345" t="s">
        <v>114</v>
      </c>
      <c r="B535" s="358">
        <v>0</v>
      </c>
      <c r="C535" s="358">
        <v>0</v>
      </c>
      <c r="D535" s="358">
        <v>0</v>
      </c>
      <c r="E535" s="358">
        <v>0</v>
      </c>
      <c r="F535" s="358">
        <v>9381.7099999999991</v>
      </c>
      <c r="G535" s="358">
        <v>0</v>
      </c>
      <c r="H535" s="358">
        <v>0</v>
      </c>
      <c r="I535" s="358">
        <v>0</v>
      </c>
      <c r="J535" s="358">
        <f>SUM(B535:I535)</f>
        <v>9381.7099999999991</v>
      </c>
    </row>
    <row r="536" spans="1:10">
      <c r="A536" s="369" t="s">
        <v>115</v>
      </c>
      <c r="B536" s="363">
        <f t="shared" ref="B536:J536" si="132">SUM(B535)</f>
        <v>0</v>
      </c>
      <c r="C536" s="363">
        <f t="shared" si="132"/>
        <v>0</v>
      </c>
      <c r="D536" s="363">
        <f t="shared" si="132"/>
        <v>0</v>
      </c>
      <c r="E536" s="363">
        <f t="shared" si="132"/>
        <v>0</v>
      </c>
      <c r="F536" s="363">
        <f t="shared" si="132"/>
        <v>9381.7099999999991</v>
      </c>
      <c r="G536" s="363">
        <f t="shared" si="132"/>
        <v>0</v>
      </c>
      <c r="H536" s="363">
        <f t="shared" si="132"/>
        <v>0</v>
      </c>
      <c r="I536" s="363">
        <f t="shared" si="132"/>
        <v>0</v>
      </c>
      <c r="J536" s="363">
        <f t="shared" si="132"/>
        <v>9381.7099999999991</v>
      </c>
    </row>
    <row r="537" spans="1:10">
      <c r="A537" s="368" t="s">
        <v>77</v>
      </c>
      <c r="B537" s="362"/>
      <c r="C537" s="362"/>
      <c r="D537" s="362"/>
      <c r="E537" s="362"/>
      <c r="F537" s="362"/>
      <c r="G537" s="362"/>
      <c r="H537" s="362"/>
      <c r="I537" s="362"/>
      <c r="J537" s="362"/>
    </row>
    <row r="538" spans="1:10">
      <c r="A538" s="345" t="s">
        <v>78</v>
      </c>
      <c r="B538" s="358">
        <v>0</v>
      </c>
      <c r="C538" s="358">
        <v>0</v>
      </c>
      <c r="D538" s="358">
        <v>0</v>
      </c>
      <c r="E538" s="358">
        <v>0</v>
      </c>
      <c r="F538" s="358">
        <v>75</v>
      </c>
      <c r="G538" s="358">
        <v>0</v>
      </c>
      <c r="H538" s="358">
        <v>0</v>
      </c>
      <c r="I538" s="358">
        <v>0</v>
      </c>
      <c r="J538" s="358">
        <f>SUM(B538:I538)</f>
        <v>75</v>
      </c>
    </row>
    <row r="539" spans="1:10">
      <c r="A539" s="369" t="s">
        <v>79</v>
      </c>
      <c r="B539" s="363">
        <f t="shared" ref="B539:J539" si="133">SUM(B538)</f>
        <v>0</v>
      </c>
      <c r="C539" s="363">
        <f t="shared" si="133"/>
        <v>0</v>
      </c>
      <c r="D539" s="363">
        <f t="shared" si="133"/>
        <v>0</v>
      </c>
      <c r="E539" s="363">
        <f t="shared" si="133"/>
        <v>0</v>
      </c>
      <c r="F539" s="363">
        <f t="shared" si="133"/>
        <v>75</v>
      </c>
      <c r="G539" s="363">
        <f t="shared" si="133"/>
        <v>0</v>
      </c>
      <c r="H539" s="363">
        <f t="shared" si="133"/>
        <v>0</v>
      </c>
      <c r="I539" s="363">
        <f t="shared" si="133"/>
        <v>0</v>
      </c>
      <c r="J539" s="363">
        <f t="shared" si="133"/>
        <v>75</v>
      </c>
    </row>
    <row r="540" spans="1:10">
      <c r="A540" s="368" t="s">
        <v>123</v>
      </c>
      <c r="B540" s="362"/>
      <c r="C540" s="362"/>
      <c r="D540" s="362"/>
      <c r="E540" s="362"/>
      <c r="F540" s="362"/>
      <c r="G540" s="362"/>
      <c r="H540" s="362"/>
      <c r="I540" s="362"/>
      <c r="J540" s="362"/>
    </row>
    <row r="541" spans="1:10">
      <c r="A541" s="355" t="s">
        <v>124</v>
      </c>
      <c r="B541" s="362"/>
      <c r="C541" s="362"/>
      <c r="D541" s="362"/>
      <c r="E541" s="362"/>
      <c r="F541" s="362"/>
      <c r="G541" s="362"/>
      <c r="H541" s="362"/>
      <c r="I541" s="362"/>
      <c r="J541" s="362"/>
    </row>
    <row r="542" spans="1:10">
      <c r="A542" s="354" t="s">
        <v>127</v>
      </c>
      <c r="B542" s="358">
        <v>0</v>
      </c>
      <c r="C542" s="358">
        <v>0</v>
      </c>
      <c r="D542" s="358">
        <v>0</v>
      </c>
      <c r="E542" s="358">
        <v>0</v>
      </c>
      <c r="F542" s="358">
        <v>333</v>
      </c>
      <c r="G542" s="358">
        <v>0</v>
      </c>
      <c r="H542" s="358">
        <v>0</v>
      </c>
      <c r="I542" s="358">
        <v>0</v>
      </c>
      <c r="J542" s="358">
        <f>SUM(B542:I542)</f>
        <v>333</v>
      </c>
    </row>
    <row r="543" spans="1:10">
      <c r="A543" s="356" t="s">
        <v>130</v>
      </c>
      <c r="B543" s="363">
        <f t="shared" ref="B543:J544" si="134">SUM(B542)</f>
        <v>0</v>
      </c>
      <c r="C543" s="363">
        <f t="shared" si="134"/>
        <v>0</v>
      </c>
      <c r="D543" s="363">
        <f t="shared" si="134"/>
        <v>0</v>
      </c>
      <c r="E543" s="363">
        <f t="shared" si="134"/>
        <v>0</v>
      </c>
      <c r="F543" s="363">
        <f t="shared" si="134"/>
        <v>333</v>
      </c>
      <c r="G543" s="363">
        <f t="shared" si="134"/>
        <v>0</v>
      </c>
      <c r="H543" s="363">
        <f t="shared" si="134"/>
        <v>0</v>
      </c>
      <c r="I543" s="363">
        <f t="shared" si="134"/>
        <v>0</v>
      </c>
      <c r="J543" s="363">
        <f t="shared" si="134"/>
        <v>333</v>
      </c>
    </row>
    <row r="544" spans="1:10">
      <c r="A544" s="369" t="s">
        <v>131</v>
      </c>
      <c r="B544" s="363">
        <f t="shared" si="134"/>
        <v>0</v>
      </c>
      <c r="C544" s="363">
        <f t="shared" si="134"/>
        <v>0</v>
      </c>
      <c r="D544" s="363">
        <f t="shared" si="134"/>
        <v>0</v>
      </c>
      <c r="E544" s="363">
        <f t="shared" si="134"/>
        <v>0</v>
      </c>
      <c r="F544" s="363">
        <f t="shared" si="134"/>
        <v>333</v>
      </c>
      <c r="G544" s="363">
        <f t="shared" si="134"/>
        <v>0</v>
      </c>
      <c r="H544" s="363">
        <f t="shared" si="134"/>
        <v>0</v>
      </c>
      <c r="I544" s="363">
        <f t="shared" si="134"/>
        <v>0</v>
      </c>
      <c r="J544" s="363">
        <f t="shared" si="134"/>
        <v>333</v>
      </c>
    </row>
    <row r="545" spans="1:10">
      <c r="A545" s="368" t="s">
        <v>168</v>
      </c>
      <c r="B545" s="362"/>
      <c r="C545" s="362"/>
      <c r="D545" s="362"/>
      <c r="E545" s="362"/>
      <c r="F545" s="362"/>
      <c r="G545" s="362"/>
      <c r="H545" s="362"/>
      <c r="I545" s="362"/>
      <c r="J545" s="362"/>
    </row>
    <row r="546" spans="1:10">
      <c r="A546" s="345" t="s">
        <v>169</v>
      </c>
      <c r="B546" s="358">
        <v>0</v>
      </c>
      <c r="C546" s="358">
        <v>0</v>
      </c>
      <c r="D546" s="358">
        <v>0</v>
      </c>
      <c r="E546" s="358">
        <v>5393.27</v>
      </c>
      <c r="F546" s="358">
        <v>50712.44</v>
      </c>
      <c r="G546" s="358">
        <v>39507.040000000001</v>
      </c>
      <c r="H546" s="358">
        <v>-125</v>
      </c>
      <c r="I546" s="358">
        <v>0</v>
      </c>
      <c r="J546" s="358">
        <f>SUM(B546:I546)</f>
        <v>95487.75</v>
      </c>
    </row>
    <row r="547" spans="1:10">
      <c r="A547" s="345" t="s">
        <v>170</v>
      </c>
      <c r="B547" s="358">
        <v>0</v>
      </c>
      <c r="C547" s="358">
        <v>0</v>
      </c>
      <c r="D547" s="358">
        <v>0</v>
      </c>
      <c r="E547" s="358">
        <v>0</v>
      </c>
      <c r="F547" s="358">
        <v>34631.85</v>
      </c>
      <c r="G547" s="358">
        <v>119.5</v>
      </c>
      <c r="H547" s="358">
        <v>20721.599999999999</v>
      </c>
      <c r="I547" s="358">
        <v>0</v>
      </c>
      <c r="J547" s="358">
        <f>SUM(B547:I547)</f>
        <v>55472.95</v>
      </c>
    </row>
    <row r="548" spans="1:10">
      <c r="A548" s="345" t="s">
        <v>171</v>
      </c>
      <c r="B548" s="358">
        <v>0</v>
      </c>
      <c r="C548" s="358">
        <v>0</v>
      </c>
      <c r="D548" s="358">
        <v>0</v>
      </c>
      <c r="E548" s="358">
        <v>106.56</v>
      </c>
      <c r="F548" s="358">
        <v>995.82</v>
      </c>
      <c r="G548" s="358">
        <v>0</v>
      </c>
      <c r="H548" s="358">
        <v>91</v>
      </c>
      <c r="I548" s="358">
        <v>0</v>
      </c>
      <c r="J548" s="358">
        <f>SUM(B548:I548)</f>
        <v>1193.3800000000001</v>
      </c>
    </row>
    <row r="549" spans="1:10">
      <c r="A549" s="369" t="s">
        <v>172</v>
      </c>
      <c r="B549" s="363">
        <f t="shared" ref="B549:J549" si="135">SUM(B546:B548)</f>
        <v>0</v>
      </c>
      <c r="C549" s="363">
        <f t="shared" si="135"/>
        <v>0</v>
      </c>
      <c r="D549" s="363">
        <f t="shared" si="135"/>
        <v>0</v>
      </c>
      <c r="E549" s="363">
        <f t="shared" si="135"/>
        <v>5499.8300000000008</v>
      </c>
      <c r="F549" s="363">
        <f t="shared" si="135"/>
        <v>86340.110000000015</v>
      </c>
      <c r="G549" s="363">
        <f t="shared" si="135"/>
        <v>39626.54</v>
      </c>
      <c r="H549" s="363">
        <f t="shared" si="135"/>
        <v>20687.599999999999</v>
      </c>
      <c r="I549" s="363">
        <f t="shared" si="135"/>
        <v>0</v>
      </c>
      <c r="J549" s="363">
        <f t="shared" si="135"/>
        <v>152154.08000000002</v>
      </c>
    </row>
    <row r="550" spans="1:10">
      <c r="A550" s="368" t="s">
        <v>754</v>
      </c>
      <c r="B550" s="362"/>
      <c r="C550" s="362"/>
      <c r="D550" s="362"/>
      <c r="E550" s="362"/>
      <c r="F550" s="362"/>
      <c r="G550" s="362"/>
      <c r="H550" s="362"/>
      <c r="I550" s="362"/>
      <c r="J550" s="362"/>
    </row>
    <row r="551" spans="1:10">
      <c r="A551" s="345" t="s">
        <v>155</v>
      </c>
      <c r="B551" s="358">
        <v>0</v>
      </c>
      <c r="C551" s="358">
        <v>0</v>
      </c>
      <c r="D551" s="358">
        <v>0</v>
      </c>
      <c r="E551" s="358">
        <v>0</v>
      </c>
      <c r="F551" s="358">
        <v>0</v>
      </c>
      <c r="G551" s="358">
        <v>0</v>
      </c>
      <c r="H551" s="358">
        <v>11327.13</v>
      </c>
      <c r="I551" s="358">
        <v>0</v>
      </c>
      <c r="J551" s="358">
        <f>SUM(B551:I551)</f>
        <v>11327.13</v>
      </c>
    </row>
    <row r="552" spans="1:10">
      <c r="A552" s="369" t="s">
        <v>755</v>
      </c>
      <c r="B552" s="363">
        <f t="shared" ref="B552:J552" si="136">SUM(B551)</f>
        <v>0</v>
      </c>
      <c r="C552" s="363">
        <f t="shared" si="136"/>
        <v>0</v>
      </c>
      <c r="D552" s="363">
        <f t="shared" si="136"/>
        <v>0</v>
      </c>
      <c r="E552" s="363">
        <f t="shared" si="136"/>
        <v>0</v>
      </c>
      <c r="F552" s="363">
        <f t="shared" si="136"/>
        <v>0</v>
      </c>
      <c r="G552" s="363">
        <f t="shared" si="136"/>
        <v>0</v>
      </c>
      <c r="H552" s="363">
        <f t="shared" si="136"/>
        <v>11327.13</v>
      </c>
      <c r="I552" s="363">
        <f t="shared" si="136"/>
        <v>0</v>
      </c>
      <c r="J552" s="363">
        <f t="shared" si="136"/>
        <v>11327.13</v>
      </c>
    </row>
    <row r="553" spans="1:10">
      <c r="A553" s="368" t="s">
        <v>60</v>
      </c>
      <c r="B553" s="362"/>
      <c r="C553" s="362"/>
      <c r="D553" s="362"/>
      <c r="E553" s="362"/>
      <c r="F553" s="362"/>
      <c r="G553" s="362"/>
      <c r="H553" s="362"/>
      <c r="I553" s="362"/>
      <c r="J553" s="362"/>
    </row>
    <row r="554" spans="1:10">
      <c r="A554" s="355" t="s">
        <v>68</v>
      </c>
      <c r="B554" s="362"/>
      <c r="C554" s="362"/>
      <c r="D554" s="362"/>
      <c r="E554" s="362"/>
      <c r="F554" s="362"/>
      <c r="G554" s="362"/>
      <c r="H554" s="362"/>
      <c r="I554" s="362"/>
      <c r="J554" s="362"/>
    </row>
    <row r="555" spans="1:10">
      <c r="A555" s="354" t="s">
        <v>69</v>
      </c>
      <c r="B555" s="358">
        <v>0</v>
      </c>
      <c r="C555" s="358">
        <v>0</v>
      </c>
      <c r="D555" s="358">
        <v>0</v>
      </c>
      <c r="E555" s="358">
        <v>0</v>
      </c>
      <c r="F555" s="358">
        <v>11697.48</v>
      </c>
      <c r="G555" s="358">
        <v>0</v>
      </c>
      <c r="H555" s="358">
        <v>0</v>
      </c>
      <c r="I555" s="358">
        <v>0</v>
      </c>
      <c r="J555" s="358">
        <f>SUM(B555:I555)</f>
        <v>11697.48</v>
      </c>
    </row>
    <row r="556" spans="1:10">
      <c r="A556" s="356" t="s">
        <v>70</v>
      </c>
      <c r="B556" s="363">
        <f t="shared" ref="B556:J556" si="137">SUM(B555)</f>
        <v>0</v>
      </c>
      <c r="C556" s="363">
        <f t="shared" si="137"/>
        <v>0</v>
      </c>
      <c r="D556" s="363">
        <f t="shared" si="137"/>
        <v>0</v>
      </c>
      <c r="E556" s="363">
        <f t="shared" si="137"/>
        <v>0</v>
      </c>
      <c r="F556" s="363">
        <f t="shared" si="137"/>
        <v>11697.48</v>
      </c>
      <c r="G556" s="363">
        <f t="shared" si="137"/>
        <v>0</v>
      </c>
      <c r="H556" s="363">
        <f t="shared" si="137"/>
        <v>0</v>
      </c>
      <c r="I556" s="363">
        <f t="shared" si="137"/>
        <v>0</v>
      </c>
      <c r="J556" s="363">
        <f t="shared" si="137"/>
        <v>11697.48</v>
      </c>
    </row>
    <row r="557" spans="1:10">
      <c r="A557" s="355" t="s">
        <v>71</v>
      </c>
      <c r="B557" s="362"/>
      <c r="C557" s="362"/>
      <c r="D557" s="362"/>
      <c r="E557" s="362"/>
      <c r="F557" s="362"/>
      <c r="G557" s="362"/>
      <c r="H557" s="362"/>
      <c r="I557" s="362"/>
      <c r="J557" s="362"/>
    </row>
    <row r="558" spans="1:10">
      <c r="A558" s="354" t="s">
        <v>72</v>
      </c>
      <c r="B558" s="358">
        <v>0</v>
      </c>
      <c r="C558" s="358">
        <v>0</v>
      </c>
      <c r="D558" s="358">
        <v>0</v>
      </c>
      <c r="E558" s="358">
        <v>217.43</v>
      </c>
      <c r="F558" s="358">
        <v>59.02</v>
      </c>
      <c r="G558" s="358">
        <v>0</v>
      </c>
      <c r="H558" s="358">
        <v>0</v>
      </c>
      <c r="I558" s="358">
        <v>0</v>
      </c>
      <c r="J558" s="358">
        <f>SUM(B558:I558)</f>
        <v>276.45</v>
      </c>
    </row>
    <row r="559" spans="1:10">
      <c r="A559" s="354" t="s">
        <v>73</v>
      </c>
      <c r="B559" s="358">
        <v>0</v>
      </c>
      <c r="C559" s="358">
        <v>0</v>
      </c>
      <c r="D559" s="358">
        <v>0</v>
      </c>
      <c r="E559" s="358">
        <v>0</v>
      </c>
      <c r="F559" s="358">
        <v>91.01</v>
      </c>
      <c r="G559" s="358">
        <v>0</v>
      </c>
      <c r="H559" s="358">
        <v>0</v>
      </c>
      <c r="I559" s="358">
        <v>0</v>
      </c>
      <c r="J559" s="358">
        <f>SUM(B559:I559)</f>
        <v>91.01</v>
      </c>
    </row>
    <row r="560" spans="1:10">
      <c r="A560" s="354" t="s">
        <v>74</v>
      </c>
      <c r="B560" s="358">
        <v>0</v>
      </c>
      <c r="C560" s="358">
        <v>0</v>
      </c>
      <c r="D560" s="358">
        <v>0</v>
      </c>
      <c r="E560" s="358">
        <v>0</v>
      </c>
      <c r="F560" s="358">
        <v>42.56</v>
      </c>
      <c r="G560" s="358">
        <v>0</v>
      </c>
      <c r="H560" s="358">
        <v>6050.59</v>
      </c>
      <c r="I560" s="358">
        <v>0</v>
      </c>
      <c r="J560" s="358">
        <f>SUM(B560:I560)</f>
        <v>6093.1500000000005</v>
      </c>
    </row>
    <row r="561" spans="1:10">
      <c r="A561" s="356" t="s">
        <v>75</v>
      </c>
      <c r="B561" s="363">
        <f t="shared" ref="B561:J561" si="138">SUM(B558:B560)</f>
        <v>0</v>
      </c>
      <c r="C561" s="363">
        <f t="shared" si="138"/>
        <v>0</v>
      </c>
      <c r="D561" s="363">
        <f t="shared" si="138"/>
        <v>0</v>
      </c>
      <c r="E561" s="363">
        <f t="shared" si="138"/>
        <v>217.43</v>
      </c>
      <c r="F561" s="363">
        <f t="shared" si="138"/>
        <v>192.59</v>
      </c>
      <c r="G561" s="363">
        <f t="shared" si="138"/>
        <v>0</v>
      </c>
      <c r="H561" s="363">
        <f t="shared" si="138"/>
        <v>6050.59</v>
      </c>
      <c r="I561" s="363">
        <f t="shared" si="138"/>
        <v>0</v>
      </c>
      <c r="J561" s="363">
        <f t="shared" si="138"/>
        <v>6460.6100000000006</v>
      </c>
    </row>
    <row r="562" spans="1:10">
      <c r="A562" s="355" t="s">
        <v>64</v>
      </c>
      <c r="B562" s="362"/>
      <c r="C562" s="362"/>
      <c r="D562" s="362"/>
      <c r="E562" s="362"/>
      <c r="F562" s="362"/>
      <c r="G562" s="362"/>
      <c r="H562" s="362"/>
      <c r="I562" s="362"/>
      <c r="J562" s="362"/>
    </row>
    <row r="563" spans="1:10">
      <c r="A563" s="354" t="s">
        <v>66</v>
      </c>
      <c r="B563" s="358">
        <v>0</v>
      </c>
      <c r="C563" s="358">
        <v>0</v>
      </c>
      <c r="D563" s="358">
        <v>0</v>
      </c>
      <c r="E563" s="358">
        <v>0</v>
      </c>
      <c r="F563" s="358">
        <v>131.85</v>
      </c>
      <c r="G563" s="358">
        <v>0</v>
      </c>
      <c r="H563" s="358">
        <v>0</v>
      </c>
      <c r="I563" s="358">
        <v>0</v>
      </c>
      <c r="J563" s="358">
        <f>SUM(B563:I563)</f>
        <v>131.85</v>
      </c>
    </row>
    <row r="564" spans="1:10">
      <c r="A564" s="354" t="s">
        <v>65</v>
      </c>
      <c r="B564" s="358">
        <v>0</v>
      </c>
      <c r="C564" s="358">
        <v>0</v>
      </c>
      <c r="D564" s="358">
        <v>0</v>
      </c>
      <c r="E564" s="358">
        <v>0</v>
      </c>
      <c r="F564" s="358">
        <v>406.43</v>
      </c>
      <c r="G564" s="358">
        <v>0</v>
      </c>
      <c r="H564" s="358">
        <v>0</v>
      </c>
      <c r="I564" s="358">
        <v>0</v>
      </c>
      <c r="J564" s="358">
        <f>SUM(B564:I564)</f>
        <v>406.43</v>
      </c>
    </row>
    <row r="565" spans="1:10">
      <c r="A565" s="354" t="s">
        <v>671</v>
      </c>
      <c r="B565" s="358">
        <v>0</v>
      </c>
      <c r="C565" s="358">
        <v>0</v>
      </c>
      <c r="D565" s="358">
        <v>0</v>
      </c>
      <c r="E565" s="358">
        <v>0</v>
      </c>
      <c r="F565" s="358">
        <v>1837.99</v>
      </c>
      <c r="G565" s="358">
        <v>0</v>
      </c>
      <c r="H565" s="358">
        <v>0</v>
      </c>
      <c r="I565" s="358">
        <v>0</v>
      </c>
      <c r="J565" s="358">
        <f>SUM(B565:I565)</f>
        <v>1837.99</v>
      </c>
    </row>
    <row r="566" spans="1:10">
      <c r="A566" s="356" t="s">
        <v>67</v>
      </c>
      <c r="B566" s="363">
        <f t="shared" ref="B566:J566" si="139">SUM(B563:B565)</f>
        <v>0</v>
      </c>
      <c r="C566" s="363">
        <f t="shared" si="139"/>
        <v>0</v>
      </c>
      <c r="D566" s="363">
        <f t="shared" si="139"/>
        <v>0</v>
      </c>
      <c r="E566" s="363">
        <f t="shared" si="139"/>
        <v>0</v>
      </c>
      <c r="F566" s="363">
        <f t="shared" si="139"/>
        <v>2376.27</v>
      </c>
      <c r="G566" s="363">
        <f t="shared" si="139"/>
        <v>0</v>
      </c>
      <c r="H566" s="363">
        <f t="shared" si="139"/>
        <v>0</v>
      </c>
      <c r="I566" s="363">
        <f t="shared" si="139"/>
        <v>0</v>
      </c>
      <c r="J566" s="363">
        <f t="shared" si="139"/>
        <v>2376.27</v>
      </c>
    </row>
    <row r="567" spans="1:10">
      <c r="A567" s="355" t="s">
        <v>61</v>
      </c>
      <c r="B567" s="362"/>
      <c r="C567" s="362"/>
      <c r="D567" s="362"/>
      <c r="E567" s="362"/>
      <c r="F567" s="362"/>
      <c r="G567" s="362"/>
      <c r="H567" s="362"/>
      <c r="I567" s="362"/>
      <c r="J567" s="362"/>
    </row>
    <row r="568" spans="1:10">
      <c r="A568" s="354" t="s">
        <v>62</v>
      </c>
      <c r="B568" s="358">
        <v>0</v>
      </c>
      <c r="C568" s="358">
        <v>0</v>
      </c>
      <c r="D568" s="358">
        <v>0</v>
      </c>
      <c r="E568" s="358">
        <v>0</v>
      </c>
      <c r="F568" s="358">
        <v>349.02</v>
      </c>
      <c r="G568" s="358">
        <v>75.81</v>
      </c>
      <c r="H568" s="358">
        <v>0</v>
      </c>
      <c r="I568" s="358">
        <v>0</v>
      </c>
      <c r="J568" s="358">
        <f>SUM(B568:I568)</f>
        <v>424.83</v>
      </c>
    </row>
    <row r="569" spans="1:10">
      <c r="A569" s="356" t="s">
        <v>63</v>
      </c>
      <c r="B569" s="363">
        <f t="shared" ref="B569:J569" si="140">SUM(B568)</f>
        <v>0</v>
      </c>
      <c r="C569" s="363">
        <f t="shared" si="140"/>
        <v>0</v>
      </c>
      <c r="D569" s="363">
        <f t="shared" si="140"/>
        <v>0</v>
      </c>
      <c r="E569" s="363">
        <f t="shared" si="140"/>
        <v>0</v>
      </c>
      <c r="F569" s="363">
        <f t="shared" si="140"/>
        <v>349.02</v>
      </c>
      <c r="G569" s="363">
        <f t="shared" si="140"/>
        <v>75.81</v>
      </c>
      <c r="H569" s="363">
        <f t="shared" si="140"/>
        <v>0</v>
      </c>
      <c r="I569" s="363">
        <f t="shared" si="140"/>
        <v>0</v>
      </c>
      <c r="J569" s="363">
        <f t="shared" si="140"/>
        <v>424.83</v>
      </c>
    </row>
    <row r="570" spans="1:10">
      <c r="A570" s="369" t="s">
        <v>76</v>
      </c>
      <c r="B570" s="363">
        <f t="shared" ref="B570:J570" si="141">SUM(B556,B561,B566,B569)</f>
        <v>0</v>
      </c>
      <c r="C570" s="363">
        <f t="shared" si="141"/>
        <v>0</v>
      </c>
      <c r="D570" s="363">
        <f t="shared" si="141"/>
        <v>0</v>
      </c>
      <c r="E570" s="363">
        <f t="shared" si="141"/>
        <v>217.43</v>
      </c>
      <c r="F570" s="363">
        <f t="shared" si="141"/>
        <v>14615.36</v>
      </c>
      <c r="G570" s="363">
        <f t="shared" si="141"/>
        <v>75.81</v>
      </c>
      <c r="H570" s="363">
        <f t="shared" si="141"/>
        <v>6050.59</v>
      </c>
      <c r="I570" s="363">
        <f t="shared" si="141"/>
        <v>0</v>
      </c>
      <c r="J570" s="363">
        <f t="shared" si="141"/>
        <v>20959.190000000002</v>
      </c>
    </row>
    <row r="571" spans="1:10">
      <c r="A571" s="368" t="s">
        <v>162</v>
      </c>
      <c r="B571" s="362"/>
      <c r="C571" s="362"/>
      <c r="D571" s="362"/>
      <c r="E571" s="362"/>
      <c r="F571" s="362"/>
      <c r="G571" s="362"/>
      <c r="H571" s="362"/>
      <c r="I571" s="362"/>
      <c r="J571" s="362"/>
    </row>
    <row r="572" spans="1:10">
      <c r="A572" s="345" t="s">
        <v>163</v>
      </c>
      <c r="B572" s="358">
        <v>0</v>
      </c>
      <c r="C572" s="358">
        <v>0</v>
      </c>
      <c r="D572" s="358">
        <v>0</v>
      </c>
      <c r="E572" s="358">
        <v>0</v>
      </c>
      <c r="F572" s="358">
        <v>12670.77</v>
      </c>
      <c r="G572" s="358">
        <v>0</v>
      </c>
      <c r="H572" s="358">
        <v>0</v>
      </c>
      <c r="I572" s="358">
        <v>0</v>
      </c>
      <c r="J572" s="358">
        <f>SUM(B572:I572)</f>
        <v>12670.77</v>
      </c>
    </row>
    <row r="573" spans="1:10">
      <c r="A573" s="345" t="s">
        <v>164</v>
      </c>
      <c r="B573" s="358">
        <v>0</v>
      </c>
      <c r="C573" s="358">
        <v>0</v>
      </c>
      <c r="D573" s="358">
        <v>0</v>
      </c>
      <c r="E573" s="358">
        <v>0</v>
      </c>
      <c r="F573" s="358">
        <v>91.61</v>
      </c>
      <c r="G573" s="358">
        <v>0</v>
      </c>
      <c r="H573" s="358">
        <v>0</v>
      </c>
      <c r="I573" s="358">
        <v>0</v>
      </c>
      <c r="J573" s="358">
        <f>SUM(B573:I573)</f>
        <v>91.61</v>
      </c>
    </row>
    <row r="574" spans="1:10">
      <c r="A574" s="369" t="s">
        <v>165</v>
      </c>
      <c r="B574" s="363">
        <f t="shared" ref="B574:J574" si="142">SUM(B572:B573)</f>
        <v>0</v>
      </c>
      <c r="C574" s="363">
        <f t="shared" si="142"/>
        <v>0</v>
      </c>
      <c r="D574" s="363">
        <f t="shared" si="142"/>
        <v>0</v>
      </c>
      <c r="E574" s="363">
        <f t="shared" si="142"/>
        <v>0</v>
      </c>
      <c r="F574" s="363">
        <f t="shared" si="142"/>
        <v>12762.380000000001</v>
      </c>
      <c r="G574" s="363">
        <f t="shared" si="142"/>
        <v>0</v>
      </c>
      <c r="H574" s="363">
        <f t="shared" si="142"/>
        <v>0</v>
      </c>
      <c r="I574" s="363">
        <f t="shared" si="142"/>
        <v>0</v>
      </c>
      <c r="J574" s="363">
        <f t="shared" si="142"/>
        <v>12762.380000000001</v>
      </c>
    </row>
    <row r="575" spans="1:10">
      <c r="A575" s="368" t="s">
        <v>55</v>
      </c>
      <c r="B575" s="362"/>
      <c r="C575" s="362"/>
      <c r="D575" s="362"/>
      <c r="E575" s="362"/>
      <c r="F575" s="362"/>
      <c r="G575" s="362"/>
      <c r="H575" s="362"/>
      <c r="I575" s="362"/>
      <c r="J575" s="362"/>
    </row>
    <row r="576" spans="1:10">
      <c r="A576" s="345" t="s">
        <v>56</v>
      </c>
      <c r="B576" s="358">
        <v>0</v>
      </c>
      <c r="C576" s="358">
        <v>0</v>
      </c>
      <c r="D576" s="358">
        <v>0</v>
      </c>
      <c r="E576" s="358">
        <v>0</v>
      </c>
      <c r="F576" s="358">
        <v>227.3</v>
      </c>
      <c r="G576" s="358">
        <v>0</v>
      </c>
      <c r="H576" s="358">
        <v>0</v>
      </c>
      <c r="I576" s="358">
        <v>0</v>
      </c>
      <c r="J576" s="358">
        <f>SUM(B576:I576)</f>
        <v>227.3</v>
      </c>
    </row>
    <row r="577" spans="1:11">
      <c r="A577" s="345" t="s">
        <v>58</v>
      </c>
      <c r="B577" s="358">
        <v>0</v>
      </c>
      <c r="C577" s="358">
        <v>0</v>
      </c>
      <c r="D577" s="358">
        <v>0</v>
      </c>
      <c r="E577" s="358">
        <v>0</v>
      </c>
      <c r="F577" s="358">
        <v>28.52</v>
      </c>
      <c r="G577" s="358">
        <v>0</v>
      </c>
      <c r="H577" s="358">
        <v>0</v>
      </c>
      <c r="I577" s="358">
        <v>0</v>
      </c>
      <c r="J577" s="358">
        <f>SUM(B577:I577)</f>
        <v>28.52</v>
      </c>
    </row>
    <row r="578" spans="1:11">
      <c r="A578" s="345" t="s">
        <v>57</v>
      </c>
      <c r="B578" s="358">
        <v>0</v>
      </c>
      <c r="C578" s="358">
        <v>0</v>
      </c>
      <c r="D578" s="358">
        <v>0</v>
      </c>
      <c r="E578" s="358">
        <v>0</v>
      </c>
      <c r="F578" s="358">
        <v>28.89</v>
      </c>
      <c r="G578" s="358">
        <v>0</v>
      </c>
      <c r="H578" s="358">
        <v>0</v>
      </c>
      <c r="I578" s="358">
        <v>0</v>
      </c>
      <c r="J578" s="358">
        <f>SUM(B578:I578)</f>
        <v>28.89</v>
      </c>
    </row>
    <row r="579" spans="1:11">
      <c r="A579" s="369" t="s">
        <v>59</v>
      </c>
      <c r="B579" s="363">
        <f t="shared" ref="B579:J579" si="143">SUM(B576:B578)</f>
        <v>0</v>
      </c>
      <c r="C579" s="363">
        <f t="shared" si="143"/>
        <v>0</v>
      </c>
      <c r="D579" s="363">
        <f t="shared" si="143"/>
        <v>0</v>
      </c>
      <c r="E579" s="363">
        <f t="shared" si="143"/>
        <v>0</v>
      </c>
      <c r="F579" s="363">
        <f t="shared" si="143"/>
        <v>284.71000000000004</v>
      </c>
      <c r="G579" s="363">
        <f t="shared" si="143"/>
        <v>0</v>
      </c>
      <c r="H579" s="363">
        <f t="shared" si="143"/>
        <v>0</v>
      </c>
      <c r="I579" s="363">
        <f t="shared" si="143"/>
        <v>0</v>
      </c>
      <c r="J579" s="363">
        <f t="shared" si="143"/>
        <v>284.71000000000004</v>
      </c>
    </row>
    <row r="580" spans="1:11">
      <c r="A580" s="370" t="s">
        <v>173</v>
      </c>
      <c r="B580" s="363">
        <f t="shared" ref="B580:J580" si="144">SUM(B524,B527,B533,B536,B539,B544,B549,B552,B570,B574,B579)</f>
        <v>0</v>
      </c>
      <c r="C580" s="363">
        <f t="shared" si="144"/>
        <v>0</v>
      </c>
      <c r="D580" s="363">
        <f t="shared" si="144"/>
        <v>0</v>
      </c>
      <c r="E580" s="363">
        <f t="shared" si="144"/>
        <v>5621.0100000000011</v>
      </c>
      <c r="F580" s="363">
        <f t="shared" si="144"/>
        <v>295897.26</v>
      </c>
      <c r="G580" s="363">
        <f t="shared" si="144"/>
        <v>39702.35</v>
      </c>
      <c r="H580" s="363">
        <f t="shared" si="144"/>
        <v>38065.319999999992</v>
      </c>
      <c r="I580" s="363">
        <f t="shared" si="144"/>
        <v>0</v>
      </c>
      <c r="J580" s="363">
        <f t="shared" si="144"/>
        <v>379285.94000000006</v>
      </c>
    </row>
    <row r="581" spans="1:11">
      <c r="A581" s="371" t="s">
        <v>174</v>
      </c>
      <c r="B581" s="363">
        <f t="shared" ref="B581:J581" si="145">SUM(B516,B580)</f>
        <v>0</v>
      </c>
      <c r="C581" s="363">
        <f t="shared" si="145"/>
        <v>0</v>
      </c>
      <c r="D581" s="363">
        <f t="shared" si="145"/>
        <v>0</v>
      </c>
      <c r="E581" s="363">
        <f t="shared" si="145"/>
        <v>281115.73</v>
      </c>
      <c r="F581" s="363">
        <f t="shared" si="145"/>
        <v>1391589.74</v>
      </c>
      <c r="G581" s="363">
        <f t="shared" si="145"/>
        <v>825110.41</v>
      </c>
      <c r="H581" s="363">
        <f t="shared" si="145"/>
        <v>1892920.4900000002</v>
      </c>
      <c r="I581" s="363">
        <f t="shared" si="145"/>
        <v>365308.15999999997</v>
      </c>
      <c r="J581" s="363">
        <f t="shared" si="145"/>
        <v>4756044.5300000012</v>
      </c>
      <c r="K581">
        <v>4.2</v>
      </c>
    </row>
    <row r="582" spans="1:11">
      <c r="A582" s="352" t="s">
        <v>175</v>
      </c>
      <c r="B582" s="362"/>
      <c r="C582" s="362"/>
      <c r="D582" s="362"/>
      <c r="E582" s="362"/>
      <c r="F582" s="362"/>
      <c r="G582" s="362"/>
      <c r="H582" s="362"/>
      <c r="I582" s="362"/>
      <c r="J582" s="362"/>
    </row>
    <row r="583" spans="1:11">
      <c r="A583" s="353" t="s">
        <v>195</v>
      </c>
      <c r="B583" s="362"/>
      <c r="C583" s="362"/>
      <c r="D583" s="362"/>
      <c r="E583" s="362"/>
      <c r="F583" s="362"/>
      <c r="G583" s="362"/>
      <c r="H583" s="362"/>
      <c r="I583" s="362"/>
      <c r="J583" s="362"/>
    </row>
    <row r="584" spans="1:11">
      <c r="A584" s="368" t="s">
        <v>83</v>
      </c>
      <c r="B584" s="362"/>
      <c r="C584" s="362"/>
      <c r="D584" s="362"/>
      <c r="E584" s="362"/>
      <c r="F584" s="362"/>
      <c r="G584" s="362"/>
      <c r="H584" s="362"/>
      <c r="I584" s="362"/>
      <c r="J584" s="362"/>
    </row>
    <row r="585" spans="1:11">
      <c r="A585" s="345" t="s">
        <v>98</v>
      </c>
      <c r="B585" s="358">
        <v>0</v>
      </c>
      <c r="C585" s="358">
        <v>0</v>
      </c>
      <c r="D585" s="358">
        <v>0</v>
      </c>
      <c r="E585" s="358">
        <v>0</v>
      </c>
      <c r="F585" s="358">
        <v>261565.88</v>
      </c>
      <c r="G585" s="358">
        <v>266685.96000000002</v>
      </c>
      <c r="H585" s="358">
        <v>54683.839999999997</v>
      </c>
      <c r="I585" s="358">
        <v>7908.17</v>
      </c>
      <c r="J585" s="358">
        <f>SUM(B585:I585)</f>
        <v>590843.85000000009</v>
      </c>
    </row>
    <row r="586" spans="1:11">
      <c r="A586" s="345" t="s">
        <v>99</v>
      </c>
      <c r="B586" s="358">
        <v>0</v>
      </c>
      <c r="C586" s="358">
        <v>0</v>
      </c>
      <c r="D586" s="358">
        <v>0</v>
      </c>
      <c r="E586" s="358">
        <v>0</v>
      </c>
      <c r="F586" s="358">
        <v>0</v>
      </c>
      <c r="G586" s="358">
        <v>0</v>
      </c>
      <c r="H586" s="358">
        <v>-6191.59</v>
      </c>
      <c r="I586" s="358">
        <v>0</v>
      </c>
      <c r="J586" s="358">
        <f>SUM(B586:I586)</f>
        <v>-6191.59</v>
      </c>
    </row>
    <row r="587" spans="1:11">
      <c r="A587" s="345" t="s">
        <v>141</v>
      </c>
      <c r="B587" s="358">
        <v>0</v>
      </c>
      <c r="C587" s="358">
        <v>0</v>
      </c>
      <c r="D587" s="358">
        <v>0</v>
      </c>
      <c r="E587" s="358">
        <v>0</v>
      </c>
      <c r="F587" s="358">
        <v>0</v>
      </c>
      <c r="G587" s="358">
        <v>0</v>
      </c>
      <c r="H587" s="358">
        <v>0</v>
      </c>
      <c r="I587" s="358">
        <v>4.74</v>
      </c>
      <c r="J587" s="358">
        <f>SUM(B587:I587)</f>
        <v>4.74</v>
      </c>
    </row>
    <row r="588" spans="1:11">
      <c r="A588" s="345" t="s">
        <v>756</v>
      </c>
      <c r="B588" s="358">
        <v>0</v>
      </c>
      <c r="C588" s="358">
        <v>0</v>
      </c>
      <c r="D588" s="358">
        <v>0</v>
      </c>
      <c r="E588" s="358">
        <v>0</v>
      </c>
      <c r="F588" s="358">
        <v>0</v>
      </c>
      <c r="G588" s="358">
        <v>122000</v>
      </c>
      <c r="H588" s="358">
        <v>0</v>
      </c>
      <c r="I588" s="358">
        <v>0</v>
      </c>
      <c r="J588" s="358">
        <f>SUM(B588:I588)</f>
        <v>122000</v>
      </c>
    </row>
    <row r="589" spans="1:11">
      <c r="A589" s="355" t="s">
        <v>84</v>
      </c>
      <c r="B589" s="362"/>
      <c r="C589" s="362"/>
      <c r="D589" s="362"/>
      <c r="E589" s="362"/>
      <c r="F589" s="362"/>
      <c r="G589" s="362"/>
      <c r="H589" s="362"/>
      <c r="I589" s="362"/>
      <c r="J589" s="362"/>
    </row>
    <row r="590" spans="1:11">
      <c r="A590" s="354" t="s">
        <v>85</v>
      </c>
      <c r="B590" s="358">
        <v>0</v>
      </c>
      <c r="C590" s="358">
        <v>0</v>
      </c>
      <c r="D590" s="358">
        <v>0</v>
      </c>
      <c r="E590" s="358">
        <v>0</v>
      </c>
      <c r="F590" s="358">
        <v>852.58</v>
      </c>
      <c r="G590" s="358">
        <v>0</v>
      </c>
      <c r="H590" s="358">
        <v>744.09</v>
      </c>
      <c r="I590" s="358">
        <v>0</v>
      </c>
      <c r="J590" s="358">
        <f>SUM(B590:I590)</f>
        <v>1596.67</v>
      </c>
    </row>
    <row r="591" spans="1:11">
      <c r="A591" s="354" t="s">
        <v>86</v>
      </c>
      <c r="B591" s="358">
        <v>0</v>
      </c>
      <c r="C591" s="358">
        <v>0</v>
      </c>
      <c r="D591" s="358">
        <v>0</v>
      </c>
      <c r="E591" s="358">
        <v>0</v>
      </c>
      <c r="F591" s="358">
        <v>49.36</v>
      </c>
      <c r="G591" s="358">
        <v>70.23</v>
      </c>
      <c r="H591" s="358">
        <v>1372.1</v>
      </c>
      <c r="I591" s="358">
        <v>218.96</v>
      </c>
      <c r="J591" s="358">
        <f>SUM(B591:I591)</f>
        <v>1710.6499999999999</v>
      </c>
    </row>
    <row r="592" spans="1:11">
      <c r="A592" s="354" t="s">
        <v>101</v>
      </c>
      <c r="B592" s="358">
        <v>0</v>
      </c>
      <c r="C592" s="358">
        <v>0</v>
      </c>
      <c r="D592" s="358">
        <v>0</v>
      </c>
      <c r="E592" s="358">
        <v>0</v>
      </c>
      <c r="F592" s="358">
        <v>607</v>
      </c>
      <c r="G592" s="358">
        <v>0</v>
      </c>
      <c r="H592" s="358">
        <v>0</v>
      </c>
      <c r="I592" s="358">
        <v>0</v>
      </c>
      <c r="J592" s="358">
        <f>SUM(B592:I592)</f>
        <v>607</v>
      </c>
    </row>
    <row r="593" spans="1:10">
      <c r="A593" s="354" t="s">
        <v>87</v>
      </c>
      <c r="B593" s="358">
        <v>0</v>
      </c>
      <c r="C593" s="358">
        <v>0</v>
      </c>
      <c r="D593" s="358">
        <v>0</v>
      </c>
      <c r="E593" s="358">
        <v>0</v>
      </c>
      <c r="F593" s="358">
        <v>184.99</v>
      </c>
      <c r="G593" s="358">
        <v>564.99</v>
      </c>
      <c r="H593" s="358">
        <v>159.74</v>
      </c>
      <c r="I593" s="358">
        <v>0</v>
      </c>
      <c r="J593" s="358">
        <f>SUM(B593:I593)</f>
        <v>909.72</v>
      </c>
    </row>
    <row r="594" spans="1:10">
      <c r="A594" s="356" t="s">
        <v>88</v>
      </c>
      <c r="B594" s="363">
        <f t="shared" ref="B594:J594" si="146">SUM(B590:B593)</f>
        <v>0</v>
      </c>
      <c r="C594" s="363">
        <f t="shared" si="146"/>
        <v>0</v>
      </c>
      <c r="D594" s="363">
        <f t="shared" si="146"/>
        <v>0</v>
      </c>
      <c r="E594" s="363">
        <f t="shared" si="146"/>
        <v>0</v>
      </c>
      <c r="F594" s="363">
        <f t="shared" si="146"/>
        <v>1693.93</v>
      </c>
      <c r="G594" s="363">
        <f t="shared" si="146"/>
        <v>635.22</v>
      </c>
      <c r="H594" s="363">
        <f t="shared" si="146"/>
        <v>2275.9300000000003</v>
      </c>
      <c r="I594" s="363">
        <f t="shared" si="146"/>
        <v>218.96</v>
      </c>
      <c r="J594" s="363">
        <f t="shared" si="146"/>
        <v>4824.04</v>
      </c>
    </row>
    <row r="595" spans="1:10">
      <c r="A595" s="369" t="s">
        <v>89</v>
      </c>
      <c r="B595" s="363">
        <f t="shared" ref="B595:J595" si="147">SUM(B585:B588,B594)</f>
        <v>0</v>
      </c>
      <c r="C595" s="363">
        <f t="shared" si="147"/>
        <v>0</v>
      </c>
      <c r="D595" s="363">
        <f t="shared" si="147"/>
        <v>0</v>
      </c>
      <c r="E595" s="363">
        <f t="shared" si="147"/>
        <v>0</v>
      </c>
      <c r="F595" s="363">
        <f t="shared" si="147"/>
        <v>263259.81</v>
      </c>
      <c r="G595" s="363">
        <f t="shared" si="147"/>
        <v>389321.18</v>
      </c>
      <c r="H595" s="363">
        <f t="shared" si="147"/>
        <v>50768.18</v>
      </c>
      <c r="I595" s="363">
        <f t="shared" si="147"/>
        <v>8131.87</v>
      </c>
      <c r="J595" s="363">
        <f t="shared" si="147"/>
        <v>711481.04000000015</v>
      </c>
    </row>
    <row r="596" spans="1:10">
      <c r="A596" s="368" t="s">
        <v>80</v>
      </c>
      <c r="B596" s="362"/>
      <c r="C596" s="362"/>
      <c r="D596" s="362"/>
      <c r="E596" s="362"/>
      <c r="F596" s="362"/>
      <c r="G596" s="362"/>
      <c r="H596" s="362"/>
      <c r="I596" s="362"/>
      <c r="J596" s="362"/>
    </row>
    <row r="597" spans="1:10">
      <c r="A597" s="345" t="s">
        <v>81</v>
      </c>
      <c r="B597" s="358">
        <v>0</v>
      </c>
      <c r="C597" s="358">
        <v>0</v>
      </c>
      <c r="D597" s="358">
        <v>0</v>
      </c>
      <c r="E597" s="358">
        <v>0</v>
      </c>
      <c r="F597" s="358">
        <v>0</v>
      </c>
      <c r="G597" s="358">
        <v>0</v>
      </c>
      <c r="H597" s="358">
        <v>0</v>
      </c>
      <c r="I597" s="358">
        <v>22.98</v>
      </c>
      <c r="J597" s="358">
        <f>SUM(B597:I597)</f>
        <v>22.98</v>
      </c>
    </row>
    <row r="598" spans="1:10">
      <c r="A598" s="345" t="s">
        <v>142</v>
      </c>
      <c r="B598" s="358">
        <v>0</v>
      </c>
      <c r="C598" s="358">
        <v>0</v>
      </c>
      <c r="D598" s="358">
        <v>0</v>
      </c>
      <c r="E598" s="358">
        <v>0</v>
      </c>
      <c r="F598" s="358">
        <v>0</v>
      </c>
      <c r="G598" s="358">
        <v>392.25</v>
      </c>
      <c r="H598" s="358">
        <v>0</v>
      </c>
      <c r="I598" s="358">
        <v>0</v>
      </c>
      <c r="J598" s="358">
        <f>SUM(B598:I598)</f>
        <v>392.25</v>
      </c>
    </row>
    <row r="599" spans="1:10">
      <c r="A599" s="345" t="s">
        <v>566</v>
      </c>
      <c r="B599" s="358">
        <v>0</v>
      </c>
      <c r="C599" s="358">
        <v>0</v>
      </c>
      <c r="D599" s="358">
        <v>0</v>
      </c>
      <c r="E599" s="358">
        <v>0</v>
      </c>
      <c r="F599" s="358">
        <v>34101</v>
      </c>
      <c r="G599" s="358">
        <v>9795.07</v>
      </c>
      <c r="H599" s="358">
        <v>0</v>
      </c>
      <c r="I599" s="358">
        <v>2104.44</v>
      </c>
      <c r="J599" s="358">
        <f>SUM(B599:I599)</f>
        <v>46000.51</v>
      </c>
    </row>
    <row r="600" spans="1:10">
      <c r="A600" s="345" t="s">
        <v>143</v>
      </c>
      <c r="B600" s="358">
        <v>0</v>
      </c>
      <c r="C600" s="358">
        <v>0</v>
      </c>
      <c r="D600" s="358">
        <v>0</v>
      </c>
      <c r="E600" s="358">
        <v>0</v>
      </c>
      <c r="F600" s="358">
        <v>0</v>
      </c>
      <c r="G600" s="358">
        <v>0</v>
      </c>
      <c r="H600" s="358">
        <v>0</v>
      </c>
      <c r="I600" s="358">
        <v>20.07</v>
      </c>
      <c r="J600" s="358">
        <f>SUM(B600:I600)</f>
        <v>20.07</v>
      </c>
    </row>
    <row r="601" spans="1:10">
      <c r="A601" s="369" t="s">
        <v>82</v>
      </c>
      <c r="B601" s="363">
        <f t="shared" ref="B601:J601" si="148">SUM(B597:B600)</f>
        <v>0</v>
      </c>
      <c r="C601" s="363">
        <f t="shared" si="148"/>
        <v>0</v>
      </c>
      <c r="D601" s="363">
        <f t="shared" si="148"/>
        <v>0</v>
      </c>
      <c r="E601" s="363">
        <f t="shared" si="148"/>
        <v>0</v>
      </c>
      <c r="F601" s="363">
        <f t="shared" si="148"/>
        <v>34101</v>
      </c>
      <c r="G601" s="363">
        <f t="shared" si="148"/>
        <v>10187.32</v>
      </c>
      <c r="H601" s="363">
        <f t="shared" si="148"/>
        <v>0</v>
      </c>
      <c r="I601" s="363">
        <f t="shared" si="148"/>
        <v>2147.4900000000002</v>
      </c>
      <c r="J601" s="363">
        <f t="shared" si="148"/>
        <v>46435.810000000005</v>
      </c>
    </row>
    <row r="602" spans="1:10">
      <c r="A602" s="368" t="s">
        <v>51</v>
      </c>
      <c r="B602" s="362"/>
      <c r="C602" s="362"/>
      <c r="D602" s="362"/>
      <c r="E602" s="362"/>
      <c r="F602" s="362"/>
      <c r="G602" s="362"/>
      <c r="H602" s="362"/>
      <c r="I602" s="362"/>
      <c r="J602" s="362"/>
    </row>
    <row r="603" spans="1:10">
      <c r="A603" s="345" t="s">
        <v>52</v>
      </c>
      <c r="B603" s="358">
        <v>0</v>
      </c>
      <c r="C603" s="358">
        <v>0</v>
      </c>
      <c r="D603" s="358">
        <v>0</v>
      </c>
      <c r="E603" s="358">
        <v>0</v>
      </c>
      <c r="F603" s="358">
        <v>1294.43</v>
      </c>
      <c r="G603" s="358">
        <v>23018.67</v>
      </c>
      <c r="H603" s="358">
        <v>0</v>
      </c>
      <c r="I603" s="358">
        <v>0</v>
      </c>
      <c r="J603" s="358">
        <f t="shared" ref="J603:J608" si="149">SUM(B603:I603)</f>
        <v>24313.1</v>
      </c>
    </row>
    <row r="604" spans="1:10">
      <c r="A604" s="345" t="s">
        <v>111</v>
      </c>
      <c r="B604" s="358">
        <v>0</v>
      </c>
      <c r="C604" s="358">
        <v>0</v>
      </c>
      <c r="D604" s="358">
        <v>0</v>
      </c>
      <c r="E604" s="358">
        <v>0</v>
      </c>
      <c r="F604" s="358">
        <v>7068.49</v>
      </c>
      <c r="G604" s="358">
        <v>-2896.45</v>
      </c>
      <c r="H604" s="358">
        <v>0</v>
      </c>
      <c r="I604" s="358">
        <v>723.11</v>
      </c>
      <c r="J604" s="358">
        <f t="shared" si="149"/>
        <v>4895.1499999999996</v>
      </c>
    </row>
    <row r="605" spans="1:10">
      <c r="A605" s="345" t="s">
        <v>112</v>
      </c>
      <c r="B605" s="358">
        <v>0</v>
      </c>
      <c r="C605" s="358">
        <v>0</v>
      </c>
      <c r="D605" s="358">
        <v>0</v>
      </c>
      <c r="E605" s="358">
        <v>0</v>
      </c>
      <c r="F605" s="358">
        <v>0</v>
      </c>
      <c r="G605" s="358">
        <v>0</v>
      </c>
      <c r="H605" s="358">
        <v>-83112.94</v>
      </c>
      <c r="I605" s="358">
        <v>0</v>
      </c>
      <c r="J605" s="358">
        <f t="shared" si="149"/>
        <v>-83112.94</v>
      </c>
    </row>
    <row r="606" spans="1:10">
      <c r="A606" s="345" t="s">
        <v>751</v>
      </c>
      <c r="B606" s="358">
        <v>0</v>
      </c>
      <c r="C606" s="358">
        <v>0</v>
      </c>
      <c r="D606" s="358">
        <v>0</v>
      </c>
      <c r="E606" s="358">
        <v>0</v>
      </c>
      <c r="F606" s="358">
        <v>2008.02</v>
      </c>
      <c r="G606" s="358">
        <v>4389.8999999999996</v>
      </c>
      <c r="H606" s="358">
        <v>0</v>
      </c>
      <c r="I606" s="358">
        <v>6645.29</v>
      </c>
      <c r="J606" s="358">
        <f t="shared" si="149"/>
        <v>13043.21</v>
      </c>
    </row>
    <row r="607" spans="1:10">
      <c r="A607" s="345" t="s">
        <v>753</v>
      </c>
      <c r="B607" s="358">
        <v>0</v>
      </c>
      <c r="C607" s="358">
        <v>0</v>
      </c>
      <c r="D607" s="358">
        <v>0</v>
      </c>
      <c r="E607" s="358">
        <v>0</v>
      </c>
      <c r="F607" s="358">
        <v>236.14</v>
      </c>
      <c r="G607" s="358">
        <v>0</v>
      </c>
      <c r="H607" s="358">
        <v>0</v>
      </c>
      <c r="I607" s="358">
        <v>135.37</v>
      </c>
      <c r="J607" s="358">
        <f t="shared" si="149"/>
        <v>371.51</v>
      </c>
    </row>
    <row r="608" spans="1:10">
      <c r="A608" s="345" t="s">
        <v>752</v>
      </c>
      <c r="B608" s="358">
        <v>0</v>
      </c>
      <c r="C608" s="358">
        <v>0</v>
      </c>
      <c r="D608" s="358">
        <v>0</v>
      </c>
      <c r="E608" s="358">
        <v>0</v>
      </c>
      <c r="F608" s="358">
        <v>527.42999999999995</v>
      </c>
      <c r="G608" s="358">
        <v>0</v>
      </c>
      <c r="H608" s="358">
        <v>0</v>
      </c>
      <c r="I608" s="358">
        <v>0</v>
      </c>
      <c r="J608" s="358">
        <f t="shared" si="149"/>
        <v>527.42999999999995</v>
      </c>
    </row>
    <row r="609" spans="1:10">
      <c r="A609" s="369" t="s">
        <v>54</v>
      </c>
      <c r="B609" s="363">
        <f t="shared" ref="B609:J609" si="150">SUM(B603:B608)</f>
        <v>0</v>
      </c>
      <c r="C609" s="363">
        <f t="shared" si="150"/>
        <v>0</v>
      </c>
      <c r="D609" s="363">
        <f t="shared" si="150"/>
        <v>0</v>
      </c>
      <c r="E609" s="363">
        <f t="shared" si="150"/>
        <v>0</v>
      </c>
      <c r="F609" s="363">
        <f t="shared" si="150"/>
        <v>11134.51</v>
      </c>
      <c r="G609" s="363">
        <f t="shared" si="150"/>
        <v>24512.119999999995</v>
      </c>
      <c r="H609" s="363">
        <f t="shared" si="150"/>
        <v>-83112.94</v>
      </c>
      <c r="I609" s="363">
        <f t="shared" si="150"/>
        <v>7503.7699999999995</v>
      </c>
      <c r="J609" s="363">
        <f t="shared" si="150"/>
        <v>-39962.54</v>
      </c>
    </row>
    <row r="610" spans="1:10">
      <c r="A610" s="368" t="s">
        <v>113</v>
      </c>
      <c r="B610" s="362"/>
      <c r="C610" s="362"/>
      <c r="D610" s="362"/>
      <c r="E610" s="362"/>
      <c r="F610" s="362"/>
      <c r="G610" s="362"/>
      <c r="H610" s="362"/>
      <c r="I610" s="362"/>
      <c r="J610" s="362"/>
    </row>
    <row r="611" spans="1:10">
      <c r="A611" s="345" t="s">
        <v>114</v>
      </c>
      <c r="B611" s="358">
        <v>0</v>
      </c>
      <c r="C611" s="358">
        <v>0</v>
      </c>
      <c r="D611" s="358">
        <v>0</v>
      </c>
      <c r="E611" s="358">
        <v>0</v>
      </c>
      <c r="F611" s="358">
        <v>58234.57</v>
      </c>
      <c r="G611" s="358">
        <v>0</v>
      </c>
      <c r="H611" s="358">
        <v>36237</v>
      </c>
      <c r="I611" s="358">
        <v>0</v>
      </c>
      <c r="J611" s="358">
        <f>SUM(B611:I611)</f>
        <v>94471.57</v>
      </c>
    </row>
    <row r="612" spans="1:10">
      <c r="A612" s="369" t="s">
        <v>115</v>
      </c>
      <c r="B612" s="363">
        <f t="shared" ref="B612:J612" si="151">SUM(B611)</f>
        <v>0</v>
      </c>
      <c r="C612" s="363">
        <f t="shared" si="151"/>
        <v>0</v>
      </c>
      <c r="D612" s="363">
        <f t="shared" si="151"/>
        <v>0</v>
      </c>
      <c r="E612" s="363">
        <f t="shared" si="151"/>
        <v>0</v>
      </c>
      <c r="F612" s="363">
        <f t="shared" si="151"/>
        <v>58234.57</v>
      </c>
      <c r="G612" s="363">
        <f t="shared" si="151"/>
        <v>0</v>
      </c>
      <c r="H612" s="363">
        <f t="shared" si="151"/>
        <v>36237</v>
      </c>
      <c r="I612" s="363">
        <f t="shared" si="151"/>
        <v>0</v>
      </c>
      <c r="J612" s="363">
        <f t="shared" si="151"/>
        <v>94471.57</v>
      </c>
    </row>
    <row r="613" spans="1:10">
      <c r="A613" s="368" t="s">
        <v>77</v>
      </c>
      <c r="B613" s="362"/>
      <c r="C613" s="362"/>
      <c r="D613" s="362"/>
      <c r="E613" s="362"/>
      <c r="F613" s="362"/>
      <c r="G613" s="362"/>
      <c r="H613" s="362"/>
      <c r="I613" s="362"/>
      <c r="J613" s="362"/>
    </row>
    <row r="614" spans="1:10">
      <c r="A614" s="345" t="s">
        <v>78</v>
      </c>
      <c r="B614" s="358">
        <v>0</v>
      </c>
      <c r="C614" s="358">
        <v>0</v>
      </c>
      <c r="D614" s="358">
        <v>0</v>
      </c>
      <c r="E614" s="358">
        <v>0</v>
      </c>
      <c r="F614" s="358">
        <v>150.01</v>
      </c>
      <c r="G614" s="358">
        <v>0</v>
      </c>
      <c r="H614" s="358">
        <v>206.06</v>
      </c>
      <c r="I614" s="358">
        <v>0</v>
      </c>
      <c r="J614" s="358">
        <f>SUM(B614:I614)</f>
        <v>356.07</v>
      </c>
    </row>
    <row r="615" spans="1:10">
      <c r="A615" s="369" t="s">
        <v>79</v>
      </c>
      <c r="B615" s="363">
        <f t="shared" ref="B615:J615" si="152">SUM(B614)</f>
        <v>0</v>
      </c>
      <c r="C615" s="363">
        <f t="shared" si="152"/>
        <v>0</v>
      </c>
      <c r="D615" s="363">
        <f t="shared" si="152"/>
        <v>0</v>
      </c>
      <c r="E615" s="363">
        <f t="shared" si="152"/>
        <v>0</v>
      </c>
      <c r="F615" s="363">
        <f t="shared" si="152"/>
        <v>150.01</v>
      </c>
      <c r="G615" s="363">
        <f t="shared" si="152"/>
        <v>0</v>
      </c>
      <c r="H615" s="363">
        <f t="shared" si="152"/>
        <v>206.06</v>
      </c>
      <c r="I615" s="363">
        <f t="shared" si="152"/>
        <v>0</v>
      </c>
      <c r="J615" s="363">
        <f t="shared" si="152"/>
        <v>356.07</v>
      </c>
    </row>
    <row r="616" spans="1:10">
      <c r="A616" s="368" t="s">
        <v>116</v>
      </c>
      <c r="B616" s="362"/>
      <c r="C616" s="362"/>
      <c r="D616" s="362"/>
      <c r="E616" s="362"/>
      <c r="F616" s="362"/>
      <c r="G616" s="362"/>
      <c r="H616" s="362"/>
      <c r="I616" s="362"/>
      <c r="J616" s="362"/>
    </row>
    <row r="617" spans="1:10">
      <c r="A617" s="345" t="s">
        <v>117</v>
      </c>
      <c r="B617" s="358">
        <v>0</v>
      </c>
      <c r="C617" s="358">
        <v>0</v>
      </c>
      <c r="D617" s="358">
        <v>0</v>
      </c>
      <c r="E617" s="358">
        <v>0</v>
      </c>
      <c r="F617" s="358">
        <v>0</v>
      </c>
      <c r="G617" s="358">
        <v>0</v>
      </c>
      <c r="H617" s="358">
        <v>579.23</v>
      </c>
      <c r="I617" s="358">
        <v>0</v>
      </c>
      <c r="J617" s="358">
        <f>SUM(B617:I617)</f>
        <v>579.23</v>
      </c>
    </row>
    <row r="618" spans="1:10">
      <c r="A618" s="345" t="s">
        <v>764</v>
      </c>
      <c r="B618" s="358">
        <v>0</v>
      </c>
      <c r="C618" s="358">
        <v>0</v>
      </c>
      <c r="D618" s="358">
        <v>0</v>
      </c>
      <c r="E618" s="358">
        <v>0</v>
      </c>
      <c r="F618" s="358">
        <v>54.38</v>
      </c>
      <c r="G618" s="358">
        <v>0</v>
      </c>
      <c r="H618" s="358">
        <v>0</v>
      </c>
      <c r="I618" s="358">
        <v>0</v>
      </c>
      <c r="J618" s="358">
        <f>SUM(B618:I618)</f>
        <v>54.38</v>
      </c>
    </row>
    <row r="619" spans="1:10">
      <c r="A619" s="369" t="s">
        <v>119</v>
      </c>
      <c r="B619" s="363">
        <f t="shared" ref="B619:J619" si="153">SUM(B617:B618)</f>
        <v>0</v>
      </c>
      <c r="C619" s="363">
        <f t="shared" si="153"/>
        <v>0</v>
      </c>
      <c r="D619" s="363">
        <f t="shared" si="153"/>
        <v>0</v>
      </c>
      <c r="E619" s="363">
        <f t="shared" si="153"/>
        <v>0</v>
      </c>
      <c r="F619" s="363">
        <f t="shared" si="153"/>
        <v>54.38</v>
      </c>
      <c r="G619" s="363">
        <f t="shared" si="153"/>
        <v>0</v>
      </c>
      <c r="H619" s="363">
        <f t="shared" si="153"/>
        <v>579.23</v>
      </c>
      <c r="I619" s="363">
        <f t="shared" si="153"/>
        <v>0</v>
      </c>
      <c r="J619" s="363">
        <f t="shared" si="153"/>
        <v>633.61</v>
      </c>
    </row>
    <row r="620" spans="1:10">
      <c r="A620" s="368" t="s">
        <v>120</v>
      </c>
      <c r="B620" s="362"/>
      <c r="C620" s="362"/>
      <c r="D620" s="362"/>
      <c r="E620" s="362"/>
      <c r="F620" s="362"/>
      <c r="G620" s="362"/>
      <c r="H620" s="362"/>
      <c r="I620" s="362"/>
      <c r="J620" s="362"/>
    </row>
    <row r="621" spans="1:10">
      <c r="A621" s="345" t="s">
        <v>121</v>
      </c>
      <c r="B621" s="358">
        <v>0</v>
      </c>
      <c r="C621" s="358">
        <v>0</v>
      </c>
      <c r="D621" s="358">
        <v>0</v>
      </c>
      <c r="E621" s="358">
        <v>0</v>
      </c>
      <c r="F621" s="358">
        <v>340.75</v>
      </c>
      <c r="G621" s="358">
        <v>0</v>
      </c>
      <c r="H621" s="358">
        <v>0</v>
      </c>
      <c r="I621" s="358">
        <v>0</v>
      </c>
      <c r="J621" s="358">
        <f>SUM(B621:I621)</f>
        <v>340.75</v>
      </c>
    </row>
    <row r="622" spans="1:10">
      <c r="A622" s="369" t="s">
        <v>122</v>
      </c>
      <c r="B622" s="363">
        <f t="shared" ref="B622:J622" si="154">SUM(B621)</f>
        <v>0</v>
      </c>
      <c r="C622" s="363">
        <f t="shared" si="154"/>
        <v>0</v>
      </c>
      <c r="D622" s="363">
        <f t="shared" si="154"/>
        <v>0</v>
      </c>
      <c r="E622" s="363">
        <f t="shared" si="154"/>
        <v>0</v>
      </c>
      <c r="F622" s="363">
        <f t="shared" si="154"/>
        <v>340.75</v>
      </c>
      <c r="G622" s="363">
        <f t="shared" si="154"/>
        <v>0</v>
      </c>
      <c r="H622" s="363">
        <f t="shared" si="154"/>
        <v>0</v>
      </c>
      <c r="I622" s="363">
        <f t="shared" si="154"/>
        <v>0</v>
      </c>
      <c r="J622" s="363">
        <f t="shared" si="154"/>
        <v>340.75</v>
      </c>
    </row>
    <row r="623" spans="1:10">
      <c r="A623" s="368" t="s">
        <v>123</v>
      </c>
      <c r="B623" s="362"/>
      <c r="C623" s="362"/>
      <c r="D623" s="362"/>
      <c r="E623" s="362"/>
      <c r="F623" s="362"/>
      <c r="G623" s="362"/>
      <c r="H623" s="362"/>
      <c r="I623" s="362"/>
      <c r="J623" s="362"/>
    </row>
    <row r="624" spans="1:10">
      <c r="A624" s="355" t="s">
        <v>124</v>
      </c>
      <c r="B624" s="362"/>
      <c r="C624" s="362"/>
      <c r="D624" s="362"/>
      <c r="E624" s="362"/>
      <c r="F624" s="362"/>
      <c r="G624" s="362"/>
      <c r="H624" s="362"/>
      <c r="I624" s="362"/>
      <c r="J624" s="362"/>
    </row>
    <row r="625" spans="1:10">
      <c r="A625" s="354" t="s">
        <v>125</v>
      </c>
      <c r="B625" s="358">
        <v>0</v>
      </c>
      <c r="C625" s="358">
        <v>0</v>
      </c>
      <c r="D625" s="358">
        <v>0</v>
      </c>
      <c r="E625" s="358">
        <v>0</v>
      </c>
      <c r="F625" s="358">
        <v>2897.86</v>
      </c>
      <c r="G625" s="358">
        <v>3980</v>
      </c>
      <c r="H625" s="358">
        <v>21646</v>
      </c>
      <c r="I625" s="358">
        <v>0</v>
      </c>
      <c r="J625" s="358">
        <f>SUM(B625:I625)</f>
        <v>28523.86</v>
      </c>
    </row>
    <row r="626" spans="1:10">
      <c r="A626" s="354" t="s">
        <v>126</v>
      </c>
      <c r="B626" s="358">
        <v>0</v>
      </c>
      <c r="C626" s="358">
        <v>0</v>
      </c>
      <c r="D626" s="358">
        <v>0</v>
      </c>
      <c r="E626" s="358">
        <v>0</v>
      </c>
      <c r="F626" s="358">
        <v>2247.79</v>
      </c>
      <c r="G626" s="358">
        <v>1102.78</v>
      </c>
      <c r="H626" s="358">
        <v>0</v>
      </c>
      <c r="I626" s="358">
        <v>0</v>
      </c>
      <c r="J626" s="358">
        <f>SUM(B626:I626)</f>
        <v>3350.5699999999997</v>
      </c>
    </row>
    <row r="627" spans="1:10">
      <c r="A627" s="354" t="s">
        <v>127</v>
      </c>
      <c r="B627" s="358">
        <v>0</v>
      </c>
      <c r="C627" s="358">
        <v>0</v>
      </c>
      <c r="D627" s="358">
        <v>0</v>
      </c>
      <c r="E627" s="358">
        <v>0</v>
      </c>
      <c r="F627" s="358">
        <v>5854.84</v>
      </c>
      <c r="G627" s="358">
        <v>3351.06</v>
      </c>
      <c r="H627" s="358">
        <v>368.79</v>
      </c>
      <c r="I627" s="358">
        <v>5494.49</v>
      </c>
      <c r="J627" s="358">
        <f>SUM(B627:I627)</f>
        <v>15069.18</v>
      </c>
    </row>
    <row r="628" spans="1:10">
      <c r="A628" s="354" t="s">
        <v>128</v>
      </c>
      <c r="B628" s="358">
        <v>0</v>
      </c>
      <c r="C628" s="358">
        <v>0</v>
      </c>
      <c r="D628" s="358">
        <v>0</v>
      </c>
      <c r="E628" s="358">
        <v>0</v>
      </c>
      <c r="F628" s="358">
        <v>4.8600000000000003</v>
      </c>
      <c r="G628" s="358">
        <v>0</v>
      </c>
      <c r="H628" s="358">
        <v>0</v>
      </c>
      <c r="I628" s="358">
        <v>0</v>
      </c>
      <c r="J628" s="358">
        <f>SUM(B628:I628)</f>
        <v>4.8600000000000003</v>
      </c>
    </row>
    <row r="629" spans="1:10">
      <c r="A629" s="354" t="s">
        <v>129</v>
      </c>
      <c r="B629" s="358">
        <v>0</v>
      </c>
      <c r="C629" s="358">
        <v>0</v>
      </c>
      <c r="D629" s="358">
        <v>0</v>
      </c>
      <c r="E629" s="358">
        <v>0</v>
      </c>
      <c r="F629" s="358">
        <v>0</v>
      </c>
      <c r="G629" s="358">
        <v>0</v>
      </c>
      <c r="H629" s="358">
        <v>0</v>
      </c>
      <c r="I629" s="358">
        <v>61.31</v>
      </c>
      <c r="J629" s="358">
        <f>SUM(B629:I629)</f>
        <v>61.31</v>
      </c>
    </row>
    <row r="630" spans="1:10">
      <c r="A630" s="356" t="s">
        <v>130</v>
      </c>
      <c r="B630" s="363">
        <f t="shared" ref="B630:J630" si="155">SUM(B625:B629)</f>
        <v>0</v>
      </c>
      <c r="C630" s="363">
        <f t="shared" si="155"/>
        <v>0</v>
      </c>
      <c r="D630" s="363">
        <f t="shared" si="155"/>
        <v>0</v>
      </c>
      <c r="E630" s="363">
        <f t="shared" si="155"/>
        <v>0</v>
      </c>
      <c r="F630" s="363">
        <f t="shared" si="155"/>
        <v>11005.35</v>
      </c>
      <c r="G630" s="363">
        <f t="shared" si="155"/>
        <v>8433.84</v>
      </c>
      <c r="H630" s="363">
        <f t="shared" si="155"/>
        <v>22014.79</v>
      </c>
      <c r="I630" s="363">
        <f t="shared" si="155"/>
        <v>5555.8</v>
      </c>
      <c r="J630" s="363">
        <f t="shared" si="155"/>
        <v>47009.78</v>
      </c>
    </row>
    <row r="631" spans="1:10">
      <c r="A631" s="355" t="s">
        <v>761</v>
      </c>
      <c r="B631" s="362"/>
      <c r="C631" s="362"/>
      <c r="D631" s="362"/>
      <c r="E631" s="362"/>
      <c r="F631" s="362"/>
      <c r="G631" s="362"/>
      <c r="H631" s="362"/>
      <c r="I631" s="362"/>
      <c r="J631" s="362"/>
    </row>
    <row r="632" spans="1:10">
      <c r="A632" s="354" t="s">
        <v>762</v>
      </c>
      <c r="B632" s="358">
        <v>0</v>
      </c>
      <c r="C632" s="358">
        <v>0</v>
      </c>
      <c r="D632" s="358">
        <v>0</v>
      </c>
      <c r="E632" s="358">
        <v>0</v>
      </c>
      <c r="F632" s="358">
        <v>9.09</v>
      </c>
      <c r="G632" s="358">
        <v>0</v>
      </c>
      <c r="H632" s="358">
        <v>0</v>
      </c>
      <c r="I632" s="358">
        <v>0</v>
      </c>
      <c r="J632" s="358">
        <f>SUM(B632:I632)</f>
        <v>9.09</v>
      </c>
    </row>
    <row r="633" spans="1:10">
      <c r="A633" s="354" t="s">
        <v>765</v>
      </c>
      <c r="B633" s="358">
        <v>0</v>
      </c>
      <c r="C633" s="358">
        <v>0</v>
      </c>
      <c r="D633" s="358">
        <v>0</v>
      </c>
      <c r="E633" s="358">
        <v>0</v>
      </c>
      <c r="F633" s="358">
        <v>17.04</v>
      </c>
      <c r="G633" s="358">
        <v>0</v>
      </c>
      <c r="H633" s="358">
        <v>0</v>
      </c>
      <c r="I633" s="358">
        <v>0</v>
      </c>
      <c r="J633" s="358">
        <f>SUM(B633:I633)</f>
        <v>17.04</v>
      </c>
    </row>
    <row r="634" spans="1:10">
      <c r="A634" s="356" t="s">
        <v>763</v>
      </c>
      <c r="B634" s="363">
        <f t="shared" ref="B634:J634" si="156">SUM(B632:B633)</f>
        <v>0</v>
      </c>
      <c r="C634" s="363">
        <f t="shared" si="156"/>
        <v>0</v>
      </c>
      <c r="D634" s="363">
        <f t="shared" si="156"/>
        <v>0</v>
      </c>
      <c r="E634" s="363">
        <f t="shared" si="156"/>
        <v>0</v>
      </c>
      <c r="F634" s="363">
        <f t="shared" si="156"/>
        <v>26.13</v>
      </c>
      <c r="G634" s="363">
        <f t="shared" si="156"/>
        <v>0</v>
      </c>
      <c r="H634" s="363">
        <f t="shared" si="156"/>
        <v>0</v>
      </c>
      <c r="I634" s="363">
        <f t="shared" si="156"/>
        <v>0</v>
      </c>
      <c r="J634" s="363">
        <f t="shared" si="156"/>
        <v>26.13</v>
      </c>
    </row>
    <row r="635" spans="1:10">
      <c r="A635" s="369" t="s">
        <v>131</v>
      </c>
      <c r="B635" s="363">
        <f t="shared" ref="B635:J635" si="157">SUM(B630,B634)</f>
        <v>0</v>
      </c>
      <c r="C635" s="363">
        <f t="shared" si="157"/>
        <v>0</v>
      </c>
      <c r="D635" s="363">
        <f t="shared" si="157"/>
        <v>0</v>
      </c>
      <c r="E635" s="363">
        <f t="shared" si="157"/>
        <v>0</v>
      </c>
      <c r="F635" s="363">
        <f t="shared" si="157"/>
        <v>11031.48</v>
      </c>
      <c r="G635" s="363">
        <f t="shared" si="157"/>
        <v>8433.84</v>
      </c>
      <c r="H635" s="363">
        <f t="shared" si="157"/>
        <v>22014.79</v>
      </c>
      <c r="I635" s="363">
        <f t="shared" si="157"/>
        <v>5555.8</v>
      </c>
      <c r="J635" s="363">
        <f t="shared" si="157"/>
        <v>47035.909999999996</v>
      </c>
    </row>
    <row r="636" spans="1:10">
      <c r="A636" s="368" t="s">
        <v>168</v>
      </c>
      <c r="B636" s="362"/>
      <c r="C636" s="362"/>
      <c r="D636" s="362"/>
      <c r="E636" s="362"/>
      <c r="F636" s="362"/>
      <c r="G636" s="362"/>
      <c r="H636" s="362"/>
      <c r="I636" s="362"/>
      <c r="J636" s="362"/>
    </row>
    <row r="637" spans="1:10">
      <c r="A637" s="345" t="s">
        <v>171</v>
      </c>
      <c r="B637" s="358">
        <v>0</v>
      </c>
      <c r="C637" s="358">
        <v>0</v>
      </c>
      <c r="D637" s="358">
        <v>0</v>
      </c>
      <c r="E637" s="358">
        <v>0</v>
      </c>
      <c r="F637" s="358">
        <v>32.74</v>
      </c>
      <c r="G637" s="358">
        <v>0</v>
      </c>
      <c r="H637" s="358">
        <v>0</v>
      </c>
      <c r="I637" s="358">
        <v>0</v>
      </c>
      <c r="J637" s="358">
        <f>SUM(B637:I637)</f>
        <v>32.74</v>
      </c>
    </row>
    <row r="638" spans="1:10">
      <c r="A638" s="369" t="s">
        <v>172</v>
      </c>
      <c r="B638" s="363">
        <f t="shared" ref="B638:J638" si="158">SUM(B637)</f>
        <v>0</v>
      </c>
      <c r="C638" s="363">
        <f t="shared" si="158"/>
        <v>0</v>
      </c>
      <c r="D638" s="363">
        <f t="shared" si="158"/>
        <v>0</v>
      </c>
      <c r="E638" s="363">
        <f t="shared" si="158"/>
        <v>0</v>
      </c>
      <c r="F638" s="363">
        <f t="shared" si="158"/>
        <v>32.74</v>
      </c>
      <c r="G638" s="363">
        <f t="shared" si="158"/>
        <v>0</v>
      </c>
      <c r="H638" s="363">
        <f t="shared" si="158"/>
        <v>0</v>
      </c>
      <c r="I638" s="363">
        <f t="shared" si="158"/>
        <v>0</v>
      </c>
      <c r="J638" s="363">
        <f t="shared" si="158"/>
        <v>32.74</v>
      </c>
    </row>
    <row r="639" spans="1:10">
      <c r="A639" s="368" t="s">
        <v>754</v>
      </c>
      <c r="B639" s="362"/>
      <c r="C639" s="362"/>
      <c r="D639" s="362"/>
      <c r="E639" s="362"/>
      <c r="F639" s="362"/>
      <c r="G639" s="362"/>
      <c r="H639" s="362"/>
      <c r="I639" s="362"/>
      <c r="J639" s="362"/>
    </row>
    <row r="640" spans="1:10">
      <c r="A640" s="345" t="s">
        <v>155</v>
      </c>
      <c r="B640" s="358">
        <v>0</v>
      </c>
      <c r="C640" s="358">
        <v>0</v>
      </c>
      <c r="D640" s="358">
        <v>0</v>
      </c>
      <c r="E640" s="358">
        <v>5118.5200000000004</v>
      </c>
      <c r="F640" s="358">
        <v>0</v>
      </c>
      <c r="G640" s="358">
        <v>0</v>
      </c>
      <c r="H640" s="358">
        <v>0</v>
      </c>
      <c r="I640" s="358">
        <v>0</v>
      </c>
      <c r="J640" s="358">
        <f>SUM(B640:I640)</f>
        <v>5118.5200000000004</v>
      </c>
    </row>
    <row r="641" spans="1:10">
      <c r="A641" s="369" t="s">
        <v>755</v>
      </c>
      <c r="B641" s="363">
        <f t="shared" ref="B641:J641" si="159">SUM(B640)</f>
        <v>0</v>
      </c>
      <c r="C641" s="363">
        <f t="shared" si="159"/>
        <v>0</v>
      </c>
      <c r="D641" s="363">
        <f t="shared" si="159"/>
        <v>0</v>
      </c>
      <c r="E641" s="363">
        <f t="shared" si="159"/>
        <v>5118.5200000000004</v>
      </c>
      <c r="F641" s="363">
        <f t="shared" si="159"/>
        <v>0</v>
      </c>
      <c r="G641" s="363">
        <f t="shared" si="159"/>
        <v>0</v>
      </c>
      <c r="H641" s="363">
        <f t="shared" si="159"/>
        <v>0</v>
      </c>
      <c r="I641" s="363">
        <f t="shared" si="159"/>
        <v>0</v>
      </c>
      <c r="J641" s="363">
        <f t="shared" si="159"/>
        <v>5118.5200000000004</v>
      </c>
    </row>
    <row r="642" spans="1:10">
      <c r="A642" s="368" t="s">
        <v>132</v>
      </c>
      <c r="B642" s="362"/>
      <c r="C642" s="362"/>
      <c r="D642" s="362"/>
      <c r="E642" s="362"/>
      <c r="F642" s="362"/>
      <c r="G642" s="362"/>
      <c r="H642" s="362"/>
      <c r="I642" s="362"/>
      <c r="J642" s="362"/>
    </row>
    <row r="643" spans="1:10">
      <c r="A643" s="355" t="s">
        <v>133</v>
      </c>
      <c r="B643" s="362"/>
      <c r="C643" s="362"/>
      <c r="D643" s="362"/>
      <c r="E643" s="362"/>
      <c r="F643" s="362"/>
      <c r="G643" s="362"/>
      <c r="H643" s="362"/>
      <c r="I643" s="362"/>
      <c r="J643" s="362"/>
    </row>
    <row r="644" spans="1:10">
      <c r="A644" s="354" t="s">
        <v>134</v>
      </c>
      <c r="B644" s="358">
        <v>0</v>
      </c>
      <c r="C644" s="358">
        <v>0</v>
      </c>
      <c r="D644" s="358">
        <v>0</v>
      </c>
      <c r="E644" s="358">
        <v>22500</v>
      </c>
      <c r="F644" s="358">
        <v>33713.43</v>
      </c>
      <c r="G644" s="358">
        <v>0</v>
      </c>
      <c r="H644" s="358">
        <v>160554.68</v>
      </c>
      <c r="I644" s="358">
        <v>0</v>
      </c>
      <c r="J644" s="358">
        <f>SUM(B644:I644)</f>
        <v>216768.11</v>
      </c>
    </row>
    <row r="645" spans="1:10">
      <c r="A645" s="356" t="s">
        <v>135</v>
      </c>
      <c r="B645" s="363">
        <f t="shared" ref="B645:J645" si="160">SUM(B644)</f>
        <v>0</v>
      </c>
      <c r="C645" s="363">
        <f t="shared" si="160"/>
        <v>0</v>
      </c>
      <c r="D645" s="363">
        <f t="shared" si="160"/>
        <v>0</v>
      </c>
      <c r="E645" s="363">
        <f t="shared" si="160"/>
        <v>22500</v>
      </c>
      <c r="F645" s="363">
        <f t="shared" si="160"/>
        <v>33713.43</v>
      </c>
      <c r="G645" s="363">
        <f t="shared" si="160"/>
        <v>0</v>
      </c>
      <c r="H645" s="363">
        <f t="shared" si="160"/>
        <v>160554.68</v>
      </c>
      <c r="I645" s="363">
        <f t="shared" si="160"/>
        <v>0</v>
      </c>
      <c r="J645" s="363">
        <f t="shared" si="160"/>
        <v>216768.11</v>
      </c>
    </row>
    <row r="646" spans="1:10">
      <c r="A646" s="355" t="s">
        <v>177</v>
      </c>
      <c r="B646" s="362"/>
      <c r="C646" s="362"/>
      <c r="D646" s="362"/>
      <c r="E646" s="362"/>
      <c r="F646" s="362"/>
      <c r="G646" s="362"/>
      <c r="H646" s="362"/>
      <c r="I646" s="362"/>
      <c r="J646" s="362"/>
    </row>
    <row r="647" spans="1:10">
      <c r="A647" s="354" t="s">
        <v>766</v>
      </c>
      <c r="B647" s="358">
        <v>0</v>
      </c>
      <c r="C647" s="358">
        <v>0</v>
      </c>
      <c r="D647" s="358">
        <v>0</v>
      </c>
      <c r="E647" s="358">
        <v>0</v>
      </c>
      <c r="F647" s="358">
        <v>0</v>
      </c>
      <c r="G647" s="358">
        <v>0</v>
      </c>
      <c r="H647" s="358">
        <v>2659.09</v>
      </c>
      <c r="I647" s="358">
        <v>0</v>
      </c>
      <c r="J647" s="358">
        <f>SUM(B647:I647)</f>
        <v>2659.09</v>
      </c>
    </row>
    <row r="648" spans="1:10">
      <c r="A648" s="356" t="s">
        <v>179</v>
      </c>
      <c r="B648" s="363">
        <f t="shared" ref="B648:J648" si="161">SUM(B647)</f>
        <v>0</v>
      </c>
      <c r="C648" s="363">
        <f t="shared" si="161"/>
        <v>0</v>
      </c>
      <c r="D648" s="363">
        <f t="shared" si="161"/>
        <v>0</v>
      </c>
      <c r="E648" s="363">
        <f t="shared" si="161"/>
        <v>0</v>
      </c>
      <c r="F648" s="363">
        <f t="shared" si="161"/>
        <v>0</v>
      </c>
      <c r="G648" s="363">
        <f t="shared" si="161"/>
        <v>0</v>
      </c>
      <c r="H648" s="363">
        <f t="shared" si="161"/>
        <v>2659.09</v>
      </c>
      <c r="I648" s="363">
        <f t="shared" si="161"/>
        <v>0</v>
      </c>
      <c r="J648" s="363">
        <f t="shared" si="161"/>
        <v>2659.09</v>
      </c>
    </row>
    <row r="649" spans="1:10">
      <c r="A649" s="355" t="s">
        <v>183</v>
      </c>
      <c r="B649" s="362"/>
      <c r="C649" s="362"/>
      <c r="D649" s="362"/>
      <c r="E649" s="362"/>
      <c r="F649" s="362"/>
      <c r="G649" s="362"/>
      <c r="H649" s="362"/>
      <c r="I649" s="362"/>
      <c r="J649" s="362"/>
    </row>
    <row r="650" spans="1:10">
      <c r="A650" s="354" t="s">
        <v>186</v>
      </c>
      <c r="B650" s="358">
        <v>0</v>
      </c>
      <c r="C650" s="358">
        <v>0</v>
      </c>
      <c r="D650" s="358">
        <v>0</v>
      </c>
      <c r="E650" s="358">
        <v>15000</v>
      </c>
      <c r="F650" s="358">
        <v>0</v>
      </c>
      <c r="G650" s="358">
        <v>117198.01</v>
      </c>
      <c r="H650" s="358">
        <v>1203.53</v>
      </c>
      <c r="I650" s="358">
        <v>0</v>
      </c>
      <c r="J650" s="358">
        <f>SUM(B650:I650)</f>
        <v>133401.54</v>
      </c>
    </row>
    <row r="651" spans="1:10">
      <c r="A651" s="356" t="s">
        <v>189</v>
      </c>
      <c r="B651" s="363">
        <f t="shared" ref="B651:J651" si="162">SUM(B650)</f>
        <v>0</v>
      </c>
      <c r="C651" s="363">
        <f t="shared" si="162"/>
        <v>0</v>
      </c>
      <c r="D651" s="363">
        <f t="shared" si="162"/>
        <v>0</v>
      </c>
      <c r="E651" s="363">
        <f t="shared" si="162"/>
        <v>15000</v>
      </c>
      <c r="F651" s="363">
        <f t="shared" si="162"/>
        <v>0</v>
      </c>
      <c r="G651" s="363">
        <f t="shared" si="162"/>
        <v>117198.01</v>
      </c>
      <c r="H651" s="363">
        <f t="shared" si="162"/>
        <v>1203.53</v>
      </c>
      <c r="I651" s="363">
        <f t="shared" si="162"/>
        <v>0</v>
      </c>
      <c r="J651" s="363">
        <f t="shared" si="162"/>
        <v>133401.54</v>
      </c>
    </row>
    <row r="652" spans="1:10">
      <c r="A652" s="369" t="s">
        <v>136</v>
      </c>
      <c r="B652" s="363">
        <f t="shared" ref="B652:J652" si="163">SUM(B645,B648,B651)</f>
        <v>0</v>
      </c>
      <c r="C652" s="363">
        <f t="shared" si="163"/>
        <v>0</v>
      </c>
      <c r="D652" s="363">
        <f t="shared" si="163"/>
        <v>0</v>
      </c>
      <c r="E652" s="363">
        <f t="shared" si="163"/>
        <v>37500</v>
      </c>
      <c r="F652" s="363">
        <f t="shared" si="163"/>
        <v>33713.43</v>
      </c>
      <c r="G652" s="363">
        <f t="shared" si="163"/>
        <v>117198.01</v>
      </c>
      <c r="H652" s="363">
        <f t="shared" si="163"/>
        <v>164417.29999999999</v>
      </c>
      <c r="I652" s="363">
        <f t="shared" si="163"/>
        <v>0</v>
      </c>
      <c r="J652" s="363">
        <f t="shared" si="163"/>
        <v>352828.74</v>
      </c>
    </row>
    <row r="653" spans="1:10">
      <c r="A653" s="368" t="s">
        <v>60</v>
      </c>
      <c r="B653" s="362"/>
      <c r="C653" s="362"/>
      <c r="D653" s="362"/>
      <c r="E653" s="362"/>
      <c r="F653" s="362"/>
      <c r="G653" s="362"/>
      <c r="H653" s="362"/>
      <c r="I653" s="362"/>
      <c r="J653" s="362"/>
    </row>
    <row r="654" spans="1:10">
      <c r="A654" s="355" t="s">
        <v>68</v>
      </c>
      <c r="B654" s="362"/>
      <c r="C654" s="362"/>
      <c r="D654" s="362"/>
      <c r="E654" s="362"/>
      <c r="F654" s="362"/>
      <c r="G654" s="362"/>
      <c r="H654" s="362"/>
      <c r="I654" s="362"/>
      <c r="J654" s="362"/>
    </row>
    <row r="655" spans="1:10">
      <c r="A655" s="354" t="s">
        <v>69</v>
      </c>
      <c r="B655" s="358">
        <v>0</v>
      </c>
      <c r="C655" s="358">
        <v>0</v>
      </c>
      <c r="D655" s="358">
        <v>0</v>
      </c>
      <c r="E655" s="358">
        <v>0</v>
      </c>
      <c r="F655" s="358">
        <v>86816.97</v>
      </c>
      <c r="G655" s="358">
        <v>103219.11</v>
      </c>
      <c r="H655" s="358">
        <v>27362.52</v>
      </c>
      <c r="I655" s="358">
        <v>27639.279999999999</v>
      </c>
      <c r="J655" s="358">
        <f>SUM(B655:I655)</f>
        <v>245037.88</v>
      </c>
    </row>
    <row r="656" spans="1:10">
      <c r="A656" s="354" t="s">
        <v>767</v>
      </c>
      <c r="B656" s="358">
        <v>0</v>
      </c>
      <c r="C656" s="358">
        <v>0</v>
      </c>
      <c r="D656" s="358">
        <v>0</v>
      </c>
      <c r="E656" s="358">
        <v>0</v>
      </c>
      <c r="F656" s="358">
        <v>0</v>
      </c>
      <c r="G656" s="358">
        <v>0</v>
      </c>
      <c r="H656" s="358">
        <v>4758.03</v>
      </c>
      <c r="I656" s="358">
        <v>0</v>
      </c>
      <c r="J656" s="358">
        <f>SUM(B656:I656)</f>
        <v>4758.03</v>
      </c>
    </row>
    <row r="657" spans="1:10">
      <c r="A657" s="354" t="s">
        <v>768</v>
      </c>
      <c r="B657" s="358">
        <v>0</v>
      </c>
      <c r="C657" s="358">
        <v>0</v>
      </c>
      <c r="D657" s="358">
        <v>0</v>
      </c>
      <c r="E657" s="358">
        <v>0</v>
      </c>
      <c r="F657" s="358">
        <v>0</v>
      </c>
      <c r="G657" s="358">
        <v>0</v>
      </c>
      <c r="H657" s="358">
        <v>3181.54</v>
      </c>
      <c r="I657" s="358">
        <v>0</v>
      </c>
      <c r="J657" s="358">
        <f>SUM(B657:I657)</f>
        <v>3181.54</v>
      </c>
    </row>
    <row r="658" spans="1:10">
      <c r="A658" s="354" t="s">
        <v>148</v>
      </c>
      <c r="B658" s="358">
        <v>0</v>
      </c>
      <c r="C658" s="358">
        <v>0</v>
      </c>
      <c r="D658" s="358">
        <v>0</v>
      </c>
      <c r="E658" s="358">
        <v>0</v>
      </c>
      <c r="F658" s="358">
        <v>72.8</v>
      </c>
      <c r="G658" s="358">
        <v>0</v>
      </c>
      <c r="H658" s="358">
        <v>1677.1</v>
      </c>
      <c r="I658" s="358">
        <v>382.18</v>
      </c>
      <c r="J658" s="358">
        <f>SUM(B658:I658)</f>
        <v>2132.08</v>
      </c>
    </row>
    <row r="659" spans="1:10">
      <c r="A659" s="356" t="s">
        <v>70</v>
      </c>
      <c r="B659" s="363">
        <f t="shared" ref="B659:J659" si="164">SUM(B655:B658)</f>
        <v>0</v>
      </c>
      <c r="C659" s="363">
        <f t="shared" si="164"/>
        <v>0</v>
      </c>
      <c r="D659" s="363">
        <f t="shared" si="164"/>
        <v>0</v>
      </c>
      <c r="E659" s="363">
        <f t="shared" si="164"/>
        <v>0</v>
      </c>
      <c r="F659" s="363">
        <f t="shared" si="164"/>
        <v>86889.77</v>
      </c>
      <c r="G659" s="363">
        <f t="shared" si="164"/>
        <v>103219.11</v>
      </c>
      <c r="H659" s="363">
        <f t="shared" si="164"/>
        <v>36979.189999999995</v>
      </c>
      <c r="I659" s="363">
        <f t="shared" si="164"/>
        <v>28021.46</v>
      </c>
      <c r="J659" s="363">
        <f t="shared" si="164"/>
        <v>255109.53</v>
      </c>
    </row>
    <row r="660" spans="1:10">
      <c r="A660" s="355" t="s">
        <v>158</v>
      </c>
      <c r="B660" s="362"/>
      <c r="C660" s="362"/>
      <c r="D660" s="362"/>
      <c r="E660" s="362"/>
      <c r="F660" s="362"/>
      <c r="G660" s="362"/>
      <c r="H660" s="362"/>
      <c r="I660" s="362"/>
      <c r="J660" s="362"/>
    </row>
    <row r="661" spans="1:10">
      <c r="A661" s="354" t="s">
        <v>159</v>
      </c>
      <c r="B661" s="358">
        <v>0</v>
      </c>
      <c r="C661" s="358">
        <v>0</v>
      </c>
      <c r="D661" s="358">
        <v>0</v>
      </c>
      <c r="E661" s="358">
        <v>0</v>
      </c>
      <c r="F661" s="358">
        <v>0</v>
      </c>
      <c r="G661" s="358">
        <v>0</v>
      </c>
      <c r="H661" s="358">
        <v>43.68</v>
      </c>
      <c r="I661" s="358">
        <v>0</v>
      </c>
      <c r="J661" s="358">
        <f>SUM(B661:I661)</f>
        <v>43.68</v>
      </c>
    </row>
    <row r="662" spans="1:10">
      <c r="A662" s="354" t="s">
        <v>769</v>
      </c>
      <c r="B662" s="358">
        <v>0</v>
      </c>
      <c r="C662" s="358">
        <v>0</v>
      </c>
      <c r="D662" s="358">
        <v>0</v>
      </c>
      <c r="E662" s="358">
        <v>0</v>
      </c>
      <c r="F662" s="358">
        <v>2122.66</v>
      </c>
      <c r="G662" s="358">
        <v>0</v>
      </c>
      <c r="H662" s="358">
        <v>1433.32</v>
      </c>
      <c r="I662" s="358">
        <v>0</v>
      </c>
      <c r="J662" s="358">
        <f>SUM(B662:I662)</f>
        <v>3555.9799999999996</v>
      </c>
    </row>
    <row r="663" spans="1:10">
      <c r="A663" s="354" t="s">
        <v>770</v>
      </c>
      <c r="B663" s="358">
        <v>0</v>
      </c>
      <c r="C663" s="358">
        <v>0</v>
      </c>
      <c r="D663" s="358">
        <v>0</v>
      </c>
      <c r="E663" s="358">
        <v>0</v>
      </c>
      <c r="F663" s="358">
        <v>0</v>
      </c>
      <c r="G663" s="358">
        <v>0</v>
      </c>
      <c r="H663" s="358">
        <v>6867.51</v>
      </c>
      <c r="I663" s="358">
        <v>0</v>
      </c>
      <c r="J663" s="358">
        <f>SUM(B663:I663)</f>
        <v>6867.51</v>
      </c>
    </row>
    <row r="664" spans="1:10">
      <c r="A664" s="356" t="s">
        <v>160</v>
      </c>
      <c r="B664" s="363">
        <f t="shared" ref="B664:J664" si="165">SUM(B661:B663)</f>
        <v>0</v>
      </c>
      <c r="C664" s="363">
        <f t="shared" si="165"/>
        <v>0</v>
      </c>
      <c r="D664" s="363">
        <f t="shared" si="165"/>
        <v>0</v>
      </c>
      <c r="E664" s="363">
        <f t="shared" si="165"/>
        <v>0</v>
      </c>
      <c r="F664" s="363">
        <f t="shared" si="165"/>
        <v>2122.66</v>
      </c>
      <c r="G664" s="363">
        <f t="shared" si="165"/>
        <v>0</v>
      </c>
      <c r="H664" s="363">
        <f t="shared" si="165"/>
        <v>8344.51</v>
      </c>
      <c r="I664" s="363">
        <f t="shared" si="165"/>
        <v>0</v>
      </c>
      <c r="J664" s="363">
        <f t="shared" si="165"/>
        <v>10467.17</v>
      </c>
    </row>
    <row r="665" spans="1:10">
      <c r="A665" s="355" t="s">
        <v>71</v>
      </c>
      <c r="B665" s="362"/>
      <c r="C665" s="362"/>
      <c r="D665" s="362"/>
      <c r="E665" s="362"/>
      <c r="F665" s="362"/>
      <c r="G665" s="362"/>
      <c r="H665" s="362"/>
      <c r="I665" s="362"/>
      <c r="J665" s="362"/>
    </row>
    <row r="666" spans="1:10">
      <c r="A666" s="354" t="s">
        <v>72</v>
      </c>
      <c r="B666" s="358">
        <v>0</v>
      </c>
      <c r="C666" s="358">
        <v>0</v>
      </c>
      <c r="D666" s="358">
        <v>0</v>
      </c>
      <c r="E666" s="358">
        <v>434.86</v>
      </c>
      <c r="F666" s="358">
        <v>1053.8599999999999</v>
      </c>
      <c r="G666" s="358">
        <v>410.21</v>
      </c>
      <c r="H666" s="358">
        <v>6716.53</v>
      </c>
      <c r="I666" s="358">
        <v>0</v>
      </c>
      <c r="J666" s="358">
        <f>SUM(B666:I666)</f>
        <v>8615.4599999999991</v>
      </c>
    </row>
    <row r="667" spans="1:10">
      <c r="A667" s="354" t="s">
        <v>73</v>
      </c>
      <c r="B667" s="358">
        <v>0</v>
      </c>
      <c r="C667" s="358">
        <v>0</v>
      </c>
      <c r="D667" s="358">
        <v>0</v>
      </c>
      <c r="E667" s="358">
        <v>0</v>
      </c>
      <c r="F667" s="358">
        <v>1112.03</v>
      </c>
      <c r="G667" s="358">
        <v>590.49</v>
      </c>
      <c r="H667" s="358">
        <v>946.61</v>
      </c>
      <c r="I667" s="358">
        <v>1351.46</v>
      </c>
      <c r="J667" s="358">
        <f>SUM(B667:I667)</f>
        <v>4000.59</v>
      </c>
    </row>
    <row r="668" spans="1:10">
      <c r="A668" s="354" t="s">
        <v>137</v>
      </c>
      <c r="B668" s="358">
        <v>0</v>
      </c>
      <c r="C668" s="358">
        <v>0</v>
      </c>
      <c r="D668" s="358">
        <v>0</v>
      </c>
      <c r="E668" s="358">
        <v>0</v>
      </c>
      <c r="F668" s="358">
        <v>10.06</v>
      </c>
      <c r="G668" s="358">
        <v>8</v>
      </c>
      <c r="H668" s="358">
        <v>17253.63</v>
      </c>
      <c r="I668" s="358">
        <v>0</v>
      </c>
      <c r="J668" s="358">
        <f>SUM(B668:I668)</f>
        <v>17271.690000000002</v>
      </c>
    </row>
    <row r="669" spans="1:10">
      <c r="A669" s="354" t="s">
        <v>74</v>
      </c>
      <c r="B669" s="358">
        <v>0</v>
      </c>
      <c r="C669" s="358">
        <v>0</v>
      </c>
      <c r="D669" s="358">
        <v>0</v>
      </c>
      <c r="E669" s="358">
        <v>0</v>
      </c>
      <c r="F669" s="358">
        <v>702.1</v>
      </c>
      <c r="G669" s="358">
        <v>539.01</v>
      </c>
      <c r="H669" s="358">
        <v>4758.66</v>
      </c>
      <c r="I669" s="358">
        <v>23.95</v>
      </c>
      <c r="J669" s="358">
        <f>SUM(B669:I669)</f>
        <v>6023.72</v>
      </c>
    </row>
    <row r="670" spans="1:10">
      <c r="A670" s="356" t="s">
        <v>75</v>
      </c>
      <c r="B670" s="363">
        <f t="shared" ref="B670:J670" si="166">SUM(B666:B669)</f>
        <v>0</v>
      </c>
      <c r="C670" s="363">
        <f t="shared" si="166"/>
        <v>0</v>
      </c>
      <c r="D670" s="363">
        <f t="shared" si="166"/>
        <v>0</v>
      </c>
      <c r="E670" s="363">
        <f t="shared" si="166"/>
        <v>434.86</v>
      </c>
      <c r="F670" s="363">
        <f t="shared" si="166"/>
        <v>2878.0499999999997</v>
      </c>
      <c r="G670" s="363">
        <f t="shared" si="166"/>
        <v>1547.71</v>
      </c>
      <c r="H670" s="363">
        <f t="shared" si="166"/>
        <v>29675.43</v>
      </c>
      <c r="I670" s="363">
        <f t="shared" si="166"/>
        <v>1375.41</v>
      </c>
      <c r="J670" s="363">
        <f t="shared" si="166"/>
        <v>35911.46</v>
      </c>
    </row>
    <row r="671" spans="1:10">
      <c r="A671" s="355" t="s">
        <v>64</v>
      </c>
      <c r="B671" s="362"/>
      <c r="C671" s="362"/>
      <c r="D671" s="362"/>
      <c r="E671" s="362"/>
      <c r="F671" s="362"/>
      <c r="G671" s="362"/>
      <c r="H671" s="362"/>
      <c r="I671" s="362"/>
      <c r="J671" s="362"/>
    </row>
    <row r="672" spans="1:10">
      <c r="A672" s="354" t="s">
        <v>66</v>
      </c>
      <c r="B672" s="358">
        <v>0</v>
      </c>
      <c r="C672" s="358">
        <v>0</v>
      </c>
      <c r="D672" s="358">
        <v>0</v>
      </c>
      <c r="E672" s="358">
        <v>0</v>
      </c>
      <c r="F672" s="358">
        <v>854.15</v>
      </c>
      <c r="G672" s="358">
        <v>289.55</v>
      </c>
      <c r="H672" s="358">
        <v>1152.3599999999999</v>
      </c>
      <c r="I672" s="358">
        <v>265.35000000000002</v>
      </c>
      <c r="J672" s="358">
        <f>SUM(B672:I672)</f>
        <v>2561.41</v>
      </c>
    </row>
    <row r="673" spans="1:10">
      <c r="A673" s="354" t="s">
        <v>65</v>
      </c>
      <c r="B673" s="358">
        <v>0</v>
      </c>
      <c r="C673" s="358">
        <v>0</v>
      </c>
      <c r="D673" s="358">
        <v>0</v>
      </c>
      <c r="E673" s="358">
        <v>0</v>
      </c>
      <c r="F673" s="358">
        <v>745.97</v>
      </c>
      <c r="G673" s="358">
        <v>424.62</v>
      </c>
      <c r="H673" s="358">
        <v>80.98</v>
      </c>
      <c r="I673" s="358">
        <v>78.819999999999993</v>
      </c>
      <c r="J673" s="358">
        <f>SUM(B673:I673)</f>
        <v>1330.39</v>
      </c>
    </row>
    <row r="674" spans="1:10">
      <c r="A674" s="354" t="s">
        <v>161</v>
      </c>
      <c r="B674" s="358">
        <v>0</v>
      </c>
      <c r="C674" s="358">
        <v>0</v>
      </c>
      <c r="D674" s="358">
        <v>0</v>
      </c>
      <c r="E674" s="358">
        <v>0</v>
      </c>
      <c r="F674" s="358">
        <v>76.45</v>
      </c>
      <c r="G674" s="358">
        <v>27.82</v>
      </c>
      <c r="H674" s="358">
        <v>350.99</v>
      </c>
      <c r="I674" s="358">
        <v>13.34</v>
      </c>
      <c r="J674" s="358">
        <f>SUM(B674:I674)</f>
        <v>468.59999999999997</v>
      </c>
    </row>
    <row r="675" spans="1:10">
      <c r="A675" s="354" t="s">
        <v>671</v>
      </c>
      <c r="B675" s="358">
        <v>0</v>
      </c>
      <c r="C675" s="358">
        <v>0</v>
      </c>
      <c r="D675" s="358">
        <v>0</v>
      </c>
      <c r="E675" s="358">
        <v>0</v>
      </c>
      <c r="F675" s="358">
        <v>66.260000000000005</v>
      </c>
      <c r="G675" s="358">
        <v>0</v>
      </c>
      <c r="H675" s="358">
        <v>0</v>
      </c>
      <c r="I675" s="358">
        <v>0</v>
      </c>
      <c r="J675" s="358">
        <f>SUM(B675:I675)</f>
        <v>66.260000000000005</v>
      </c>
    </row>
    <row r="676" spans="1:10">
      <c r="A676" s="356" t="s">
        <v>67</v>
      </c>
      <c r="B676" s="363">
        <f t="shared" ref="B676:J676" si="167">SUM(B672:B675)</f>
        <v>0</v>
      </c>
      <c r="C676" s="363">
        <f t="shared" si="167"/>
        <v>0</v>
      </c>
      <c r="D676" s="363">
        <f t="shared" si="167"/>
        <v>0</v>
      </c>
      <c r="E676" s="363">
        <f t="shared" si="167"/>
        <v>0</v>
      </c>
      <c r="F676" s="363">
        <f t="shared" si="167"/>
        <v>1742.83</v>
      </c>
      <c r="G676" s="363">
        <f t="shared" si="167"/>
        <v>741.99000000000012</v>
      </c>
      <c r="H676" s="363">
        <f t="shared" si="167"/>
        <v>1584.33</v>
      </c>
      <c r="I676" s="363">
        <f t="shared" si="167"/>
        <v>357.51</v>
      </c>
      <c r="J676" s="363">
        <f t="shared" si="167"/>
        <v>4426.6600000000008</v>
      </c>
    </row>
    <row r="677" spans="1:10">
      <c r="A677" s="355" t="s">
        <v>61</v>
      </c>
      <c r="B677" s="362"/>
      <c r="C677" s="362"/>
      <c r="D677" s="362"/>
      <c r="E677" s="362"/>
      <c r="F677" s="362"/>
      <c r="G677" s="362"/>
      <c r="H677" s="362"/>
      <c r="I677" s="362"/>
      <c r="J677" s="362"/>
    </row>
    <row r="678" spans="1:10">
      <c r="A678" s="354" t="s">
        <v>771</v>
      </c>
      <c r="B678" s="358">
        <v>0</v>
      </c>
      <c r="C678" s="358">
        <v>0</v>
      </c>
      <c r="D678" s="358">
        <v>0</v>
      </c>
      <c r="E678" s="358">
        <v>0</v>
      </c>
      <c r="F678" s="358">
        <v>0</v>
      </c>
      <c r="G678" s="358">
        <v>0</v>
      </c>
      <c r="H678" s="358">
        <v>14.41</v>
      </c>
      <c r="I678" s="358">
        <v>0</v>
      </c>
      <c r="J678" s="358">
        <f>SUM(B678:I678)</f>
        <v>14.41</v>
      </c>
    </row>
    <row r="679" spans="1:10">
      <c r="A679" s="354" t="s">
        <v>190</v>
      </c>
      <c r="B679" s="358">
        <v>0</v>
      </c>
      <c r="C679" s="358">
        <v>0</v>
      </c>
      <c r="D679" s="358">
        <v>0</v>
      </c>
      <c r="E679" s="358">
        <v>2991.94</v>
      </c>
      <c r="F679" s="358">
        <v>0</v>
      </c>
      <c r="G679" s="358">
        <v>0</v>
      </c>
      <c r="H679" s="358">
        <v>140158.76</v>
      </c>
      <c r="I679" s="358">
        <v>525.17999999999995</v>
      </c>
      <c r="J679" s="358">
        <f>SUM(B679:I679)</f>
        <v>143675.88</v>
      </c>
    </row>
    <row r="680" spans="1:10">
      <c r="A680" s="354" t="s">
        <v>62</v>
      </c>
      <c r="B680" s="358">
        <v>0</v>
      </c>
      <c r="C680" s="358">
        <v>0</v>
      </c>
      <c r="D680" s="358">
        <v>0</v>
      </c>
      <c r="E680" s="358">
        <v>0</v>
      </c>
      <c r="F680" s="358">
        <v>-698.87</v>
      </c>
      <c r="G680" s="358">
        <v>0</v>
      </c>
      <c r="H680" s="358">
        <v>0</v>
      </c>
      <c r="I680" s="358">
        <v>0</v>
      </c>
      <c r="J680" s="358">
        <f>SUM(B680:I680)</f>
        <v>-698.87</v>
      </c>
    </row>
    <row r="681" spans="1:10">
      <c r="A681" s="354" t="s">
        <v>180</v>
      </c>
      <c r="B681" s="358">
        <v>0</v>
      </c>
      <c r="C681" s="358">
        <v>0</v>
      </c>
      <c r="D681" s="358">
        <v>0</v>
      </c>
      <c r="E681" s="358">
        <v>0</v>
      </c>
      <c r="F681" s="358">
        <v>1385.36</v>
      </c>
      <c r="G681" s="358">
        <v>0</v>
      </c>
      <c r="H681" s="358">
        <v>0</v>
      </c>
      <c r="I681" s="358">
        <v>5256.78</v>
      </c>
      <c r="J681" s="358">
        <f>SUM(B681:I681)</f>
        <v>6642.1399999999994</v>
      </c>
    </row>
    <row r="682" spans="1:10">
      <c r="A682" s="356" t="s">
        <v>63</v>
      </c>
      <c r="B682" s="363">
        <f t="shared" ref="B682:J682" si="168">SUM(B678:B681)</f>
        <v>0</v>
      </c>
      <c r="C682" s="363">
        <f t="shared" si="168"/>
        <v>0</v>
      </c>
      <c r="D682" s="363">
        <f t="shared" si="168"/>
        <v>0</v>
      </c>
      <c r="E682" s="363">
        <f t="shared" si="168"/>
        <v>2991.94</v>
      </c>
      <c r="F682" s="363">
        <f t="shared" si="168"/>
        <v>686.4899999999999</v>
      </c>
      <c r="G682" s="363">
        <f t="shared" si="168"/>
        <v>0</v>
      </c>
      <c r="H682" s="363">
        <f t="shared" si="168"/>
        <v>140173.17000000001</v>
      </c>
      <c r="I682" s="363">
        <f t="shared" si="168"/>
        <v>5781.96</v>
      </c>
      <c r="J682" s="363">
        <f t="shared" si="168"/>
        <v>149633.56</v>
      </c>
    </row>
    <row r="683" spans="1:10">
      <c r="A683" s="369" t="s">
        <v>76</v>
      </c>
      <c r="B683" s="363">
        <f t="shared" ref="B683:J683" si="169">SUM(B659,B664,B670,B676,B682)</f>
        <v>0</v>
      </c>
      <c r="C683" s="363">
        <f t="shared" si="169"/>
        <v>0</v>
      </c>
      <c r="D683" s="363">
        <f t="shared" si="169"/>
        <v>0</v>
      </c>
      <c r="E683" s="363">
        <f t="shared" si="169"/>
        <v>3426.8</v>
      </c>
      <c r="F683" s="363">
        <f t="shared" si="169"/>
        <v>94319.800000000017</v>
      </c>
      <c r="G683" s="363">
        <f t="shared" si="169"/>
        <v>105508.81000000001</v>
      </c>
      <c r="H683" s="363">
        <f t="shared" si="169"/>
        <v>216756.63</v>
      </c>
      <c r="I683" s="363">
        <f t="shared" si="169"/>
        <v>35536.339999999997</v>
      </c>
      <c r="J683" s="363">
        <f t="shared" si="169"/>
        <v>455548.38</v>
      </c>
    </row>
    <row r="684" spans="1:10">
      <c r="A684" s="368" t="s">
        <v>162</v>
      </c>
      <c r="B684" s="362"/>
      <c r="C684" s="362"/>
      <c r="D684" s="362"/>
      <c r="E684" s="362"/>
      <c r="F684" s="362"/>
      <c r="G684" s="362"/>
      <c r="H684" s="362"/>
      <c r="I684" s="362"/>
      <c r="J684" s="362"/>
    </row>
    <row r="685" spans="1:10">
      <c r="A685" s="345" t="s">
        <v>163</v>
      </c>
      <c r="B685" s="358">
        <v>0</v>
      </c>
      <c r="C685" s="358">
        <v>0</v>
      </c>
      <c r="D685" s="358">
        <v>0</v>
      </c>
      <c r="E685" s="358">
        <v>12949</v>
      </c>
      <c r="F685" s="358">
        <v>0</v>
      </c>
      <c r="G685" s="358">
        <v>7058.53</v>
      </c>
      <c r="H685" s="358">
        <v>1383.83</v>
      </c>
      <c r="I685" s="358">
        <v>24.19</v>
      </c>
      <c r="J685" s="358">
        <f>SUM(B685:I685)</f>
        <v>21415.55</v>
      </c>
    </row>
    <row r="686" spans="1:10">
      <c r="A686" s="345" t="s">
        <v>164</v>
      </c>
      <c r="B686" s="358">
        <v>0</v>
      </c>
      <c r="C686" s="358">
        <v>0</v>
      </c>
      <c r="D686" s="358">
        <v>0</v>
      </c>
      <c r="E686" s="358">
        <v>0</v>
      </c>
      <c r="F686" s="358">
        <v>99.02</v>
      </c>
      <c r="G686" s="358">
        <v>0</v>
      </c>
      <c r="H686" s="358">
        <v>0</v>
      </c>
      <c r="I686" s="358">
        <v>0</v>
      </c>
      <c r="J686" s="358">
        <f>SUM(B686:I686)</f>
        <v>99.02</v>
      </c>
    </row>
    <row r="687" spans="1:10">
      <c r="A687" s="345" t="s">
        <v>191</v>
      </c>
      <c r="B687" s="358">
        <v>0</v>
      </c>
      <c r="C687" s="358">
        <v>0</v>
      </c>
      <c r="D687" s="358">
        <v>0</v>
      </c>
      <c r="E687" s="358">
        <v>0</v>
      </c>
      <c r="F687" s="358">
        <v>0</v>
      </c>
      <c r="G687" s="358">
        <v>0</v>
      </c>
      <c r="H687" s="358">
        <v>5029.79</v>
      </c>
      <c r="I687" s="358">
        <v>0</v>
      </c>
      <c r="J687" s="358">
        <f>SUM(B687:I687)</f>
        <v>5029.79</v>
      </c>
    </row>
    <row r="688" spans="1:10">
      <c r="A688" s="345" t="s">
        <v>772</v>
      </c>
      <c r="B688" s="358">
        <v>0</v>
      </c>
      <c r="C688" s="358">
        <v>0</v>
      </c>
      <c r="D688" s="358">
        <v>0</v>
      </c>
      <c r="E688" s="358">
        <v>0</v>
      </c>
      <c r="F688" s="358">
        <v>0</v>
      </c>
      <c r="G688" s="358">
        <v>0</v>
      </c>
      <c r="H688" s="358">
        <v>0</v>
      </c>
      <c r="I688" s="358">
        <v>-34472.03</v>
      </c>
      <c r="J688" s="358">
        <f>SUM(B688:I688)</f>
        <v>-34472.03</v>
      </c>
    </row>
    <row r="689" spans="1:10">
      <c r="A689" s="369" t="s">
        <v>165</v>
      </c>
      <c r="B689" s="363">
        <f t="shared" ref="B689:J689" si="170">SUM(B685:B688)</f>
        <v>0</v>
      </c>
      <c r="C689" s="363">
        <f t="shared" si="170"/>
        <v>0</v>
      </c>
      <c r="D689" s="363">
        <f t="shared" si="170"/>
        <v>0</v>
      </c>
      <c r="E689" s="363">
        <f t="shared" si="170"/>
        <v>12949</v>
      </c>
      <c r="F689" s="363">
        <f t="shared" si="170"/>
        <v>99.02</v>
      </c>
      <c r="G689" s="363">
        <f t="shared" si="170"/>
        <v>7058.53</v>
      </c>
      <c r="H689" s="363">
        <f t="shared" si="170"/>
        <v>6413.62</v>
      </c>
      <c r="I689" s="363">
        <f t="shared" si="170"/>
        <v>-34447.839999999997</v>
      </c>
      <c r="J689" s="363">
        <f t="shared" si="170"/>
        <v>-7927.6699999999983</v>
      </c>
    </row>
    <row r="690" spans="1:10">
      <c r="A690" s="368" t="s">
        <v>55</v>
      </c>
      <c r="B690" s="362"/>
      <c r="C690" s="362"/>
      <c r="D690" s="362"/>
      <c r="E690" s="362"/>
      <c r="F690" s="362"/>
      <c r="G690" s="362"/>
      <c r="H690" s="362"/>
      <c r="I690" s="362"/>
      <c r="J690" s="362"/>
    </row>
    <row r="691" spans="1:10">
      <c r="A691" s="345" t="s">
        <v>56</v>
      </c>
      <c r="B691" s="358">
        <v>0</v>
      </c>
      <c r="C691" s="358">
        <v>0</v>
      </c>
      <c r="D691" s="358">
        <v>0</v>
      </c>
      <c r="E691" s="358">
        <v>0</v>
      </c>
      <c r="F691" s="358">
        <v>2838.44</v>
      </c>
      <c r="G691" s="358">
        <v>319.74</v>
      </c>
      <c r="H691" s="358">
        <v>6075.19</v>
      </c>
      <c r="I691" s="358">
        <v>1226.79</v>
      </c>
      <c r="J691" s="358">
        <f>SUM(B691:I691)</f>
        <v>10460.16</v>
      </c>
    </row>
    <row r="692" spans="1:10">
      <c r="A692" s="345" t="s">
        <v>58</v>
      </c>
      <c r="B692" s="358">
        <v>0</v>
      </c>
      <c r="C692" s="358">
        <v>0</v>
      </c>
      <c r="D692" s="358">
        <v>0</v>
      </c>
      <c r="E692" s="358">
        <v>0</v>
      </c>
      <c r="F692" s="358">
        <v>526.26</v>
      </c>
      <c r="G692" s="358">
        <v>11.06</v>
      </c>
      <c r="H692" s="358">
        <v>855.82</v>
      </c>
      <c r="I692" s="358">
        <v>5.56</v>
      </c>
      <c r="J692" s="358">
        <f>SUM(B692:I692)</f>
        <v>1398.6999999999998</v>
      </c>
    </row>
    <row r="693" spans="1:10">
      <c r="A693" s="345" t="s">
        <v>57</v>
      </c>
      <c r="B693" s="358">
        <v>0</v>
      </c>
      <c r="C693" s="358">
        <v>0</v>
      </c>
      <c r="D693" s="358">
        <v>0</v>
      </c>
      <c r="E693" s="358">
        <v>3.75</v>
      </c>
      <c r="F693" s="358">
        <v>279.18</v>
      </c>
      <c r="G693" s="358">
        <v>116.96</v>
      </c>
      <c r="H693" s="358">
        <v>554.33000000000004</v>
      </c>
      <c r="I693" s="358">
        <v>170.67</v>
      </c>
      <c r="J693" s="358">
        <f>SUM(B693:I693)</f>
        <v>1124.8900000000001</v>
      </c>
    </row>
    <row r="694" spans="1:10">
      <c r="A694" s="369" t="s">
        <v>59</v>
      </c>
      <c r="B694" s="363">
        <f t="shared" ref="B694:J694" si="171">SUM(B691:B693)</f>
        <v>0</v>
      </c>
      <c r="C694" s="363">
        <f t="shared" si="171"/>
        <v>0</v>
      </c>
      <c r="D694" s="363">
        <f t="shared" si="171"/>
        <v>0</v>
      </c>
      <c r="E694" s="363">
        <f t="shared" si="171"/>
        <v>3.75</v>
      </c>
      <c r="F694" s="363">
        <f t="shared" si="171"/>
        <v>3643.8799999999997</v>
      </c>
      <c r="G694" s="363">
        <f t="shared" si="171"/>
        <v>447.76</v>
      </c>
      <c r="H694" s="363">
        <f t="shared" si="171"/>
        <v>7485.3399999999992</v>
      </c>
      <c r="I694" s="363">
        <f t="shared" si="171"/>
        <v>1403.02</v>
      </c>
      <c r="J694" s="363">
        <f t="shared" si="171"/>
        <v>12983.75</v>
      </c>
    </row>
    <row r="695" spans="1:10">
      <c r="A695" s="370" t="s">
        <v>197</v>
      </c>
      <c r="B695" s="363">
        <f t="shared" ref="B695:J695" si="172">SUM(B595,B601,B609,B612,B615,B619,B622,B635,B638,B641,B652,B683,B689,B694)</f>
        <v>0</v>
      </c>
      <c r="C695" s="363">
        <f t="shared" si="172"/>
        <v>0</v>
      </c>
      <c r="D695" s="363">
        <f t="shared" si="172"/>
        <v>0</v>
      </c>
      <c r="E695" s="363">
        <f t="shared" si="172"/>
        <v>58998.070000000007</v>
      </c>
      <c r="F695" s="363">
        <f t="shared" si="172"/>
        <v>510115.38</v>
      </c>
      <c r="G695" s="363">
        <f t="shared" si="172"/>
        <v>662667.57000000007</v>
      </c>
      <c r="H695" s="363">
        <f t="shared" si="172"/>
        <v>421765.21</v>
      </c>
      <c r="I695" s="363">
        <f t="shared" si="172"/>
        <v>25830.45</v>
      </c>
      <c r="J695" s="363">
        <f t="shared" si="172"/>
        <v>1679376.6800000002</v>
      </c>
    </row>
    <row r="696" spans="1:10">
      <c r="A696" s="353" t="s">
        <v>176</v>
      </c>
      <c r="B696" s="362"/>
      <c r="C696" s="362"/>
      <c r="D696" s="362"/>
      <c r="E696" s="362"/>
      <c r="F696" s="362"/>
      <c r="G696" s="362"/>
      <c r="H696" s="362"/>
      <c r="I696" s="362"/>
      <c r="J696" s="362"/>
    </row>
    <row r="697" spans="1:10">
      <c r="A697" s="368" t="s">
        <v>83</v>
      </c>
      <c r="B697" s="362"/>
      <c r="C697" s="362"/>
      <c r="D697" s="362"/>
      <c r="E697" s="362"/>
      <c r="F697" s="362"/>
      <c r="G697" s="362"/>
      <c r="H697" s="362"/>
      <c r="I697" s="362"/>
      <c r="J697" s="362"/>
    </row>
    <row r="698" spans="1:10">
      <c r="A698" s="345" t="s">
        <v>98</v>
      </c>
      <c r="B698" s="358">
        <v>0</v>
      </c>
      <c r="C698" s="358">
        <v>0</v>
      </c>
      <c r="D698" s="358">
        <v>0</v>
      </c>
      <c r="E698" s="358">
        <v>0</v>
      </c>
      <c r="F698" s="358">
        <v>243509.31</v>
      </c>
      <c r="G698" s="358">
        <v>0</v>
      </c>
      <c r="H698" s="358">
        <v>138873.98000000001</v>
      </c>
      <c r="I698" s="358">
        <v>7908.17</v>
      </c>
      <c r="J698" s="358">
        <f>SUM(B698:I698)</f>
        <v>390291.46</v>
      </c>
    </row>
    <row r="699" spans="1:10">
      <c r="A699" s="345" t="s">
        <v>99</v>
      </c>
      <c r="B699" s="358">
        <v>0</v>
      </c>
      <c r="C699" s="358">
        <v>0</v>
      </c>
      <c r="D699" s="358">
        <v>0</v>
      </c>
      <c r="E699" s="358">
        <v>0</v>
      </c>
      <c r="F699" s="358">
        <v>0</v>
      </c>
      <c r="G699" s="358">
        <v>0</v>
      </c>
      <c r="H699" s="358">
        <v>-482.11</v>
      </c>
      <c r="I699" s="358">
        <v>0</v>
      </c>
      <c r="J699" s="358">
        <f>SUM(B699:I699)</f>
        <v>-482.11</v>
      </c>
    </row>
    <row r="700" spans="1:10">
      <c r="A700" s="345" t="s">
        <v>141</v>
      </c>
      <c r="B700" s="358">
        <v>0</v>
      </c>
      <c r="C700" s="358">
        <v>0</v>
      </c>
      <c r="D700" s="358">
        <v>0</v>
      </c>
      <c r="E700" s="358">
        <v>0</v>
      </c>
      <c r="F700" s="358">
        <v>0</v>
      </c>
      <c r="G700" s="358">
        <v>0</v>
      </c>
      <c r="H700" s="358">
        <v>0</v>
      </c>
      <c r="I700" s="358">
        <v>4.74</v>
      </c>
      <c r="J700" s="358">
        <f>SUM(B700:I700)</f>
        <v>4.74</v>
      </c>
    </row>
    <row r="701" spans="1:10">
      <c r="A701" s="355" t="s">
        <v>84</v>
      </c>
      <c r="B701" s="362"/>
      <c r="C701" s="362"/>
      <c r="D701" s="362"/>
      <c r="E701" s="362"/>
      <c r="F701" s="362"/>
      <c r="G701" s="362"/>
      <c r="H701" s="362"/>
      <c r="I701" s="362"/>
      <c r="J701" s="362"/>
    </row>
    <row r="702" spans="1:10">
      <c r="A702" s="354" t="s">
        <v>85</v>
      </c>
      <c r="B702" s="358">
        <v>0</v>
      </c>
      <c r="C702" s="358">
        <v>0</v>
      </c>
      <c r="D702" s="358">
        <v>0</v>
      </c>
      <c r="E702" s="358">
        <v>0</v>
      </c>
      <c r="F702" s="358">
        <v>193.39</v>
      </c>
      <c r="G702" s="358">
        <v>0</v>
      </c>
      <c r="H702" s="358">
        <v>663.16</v>
      </c>
      <c r="I702" s="358">
        <v>0</v>
      </c>
      <c r="J702" s="358">
        <f>SUM(B702:I702)</f>
        <v>856.55</v>
      </c>
    </row>
    <row r="703" spans="1:10">
      <c r="A703" s="354" t="s">
        <v>86</v>
      </c>
      <c r="B703" s="358">
        <v>0</v>
      </c>
      <c r="C703" s="358">
        <v>0</v>
      </c>
      <c r="D703" s="358">
        <v>0</v>
      </c>
      <c r="E703" s="358">
        <v>0</v>
      </c>
      <c r="F703" s="358">
        <v>0</v>
      </c>
      <c r="G703" s="358">
        <v>0</v>
      </c>
      <c r="H703" s="358">
        <v>6156.79</v>
      </c>
      <c r="I703" s="358">
        <v>218.96</v>
      </c>
      <c r="J703" s="358">
        <f>SUM(B703:I703)</f>
        <v>6375.75</v>
      </c>
    </row>
    <row r="704" spans="1:10">
      <c r="A704" s="354" t="s">
        <v>101</v>
      </c>
      <c r="B704" s="358">
        <v>0</v>
      </c>
      <c r="C704" s="358">
        <v>0</v>
      </c>
      <c r="D704" s="358">
        <v>0</v>
      </c>
      <c r="E704" s="358">
        <v>0</v>
      </c>
      <c r="F704" s="358">
        <v>0</v>
      </c>
      <c r="G704" s="358">
        <v>0</v>
      </c>
      <c r="H704" s="358">
        <v>59.33</v>
      </c>
      <c r="I704" s="358">
        <v>0</v>
      </c>
      <c r="J704" s="358">
        <f>SUM(B704:I704)</f>
        <v>59.33</v>
      </c>
    </row>
    <row r="705" spans="1:10">
      <c r="A705" s="354" t="s">
        <v>87</v>
      </c>
      <c r="B705" s="358">
        <v>0</v>
      </c>
      <c r="C705" s="358">
        <v>0</v>
      </c>
      <c r="D705" s="358">
        <v>0</v>
      </c>
      <c r="E705" s="358">
        <v>0</v>
      </c>
      <c r="F705" s="358">
        <v>277.48</v>
      </c>
      <c r="G705" s="358">
        <v>0</v>
      </c>
      <c r="H705" s="358">
        <v>330.38</v>
      </c>
      <c r="I705" s="358">
        <v>0</v>
      </c>
      <c r="J705" s="358">
        <f>SUM(B705:I705)</f>
        <v>607.86</v>
      </c>
    </row>
    <row r="706" spans="1:10">
      <c r="A706" s="356" t="s">
        <v>88</v>
      </c>
      <c r="B706" s="363">
        <f t="shared" ref="B706:J706" si="173">SUM(B702:B705)</f>
        <v>0</v>
      </c>
      <c r="C706" s="363">
        <f t="shared" si="173"/>
        <v>0</v>
      </c>
      <c r="D706" s="363">
        <f t="shared" si="173"/>
        <v>0</v>
      </c>
      <c r="E706" s="363">
        <f t="shared" si="173"/>
        <v>0</v>
      </c>
      <c r="F706" s="363">
        <f t="shared" si="173"/>
        <v>470.87</v>
      </c>
      <c r="G706" s="363">
        <f t="shared" si="173"/>
        <v>0</v>
      </c>
      <c r="H706" s="363">
        <f t="shared" si="173"/>
        <v>7209.66</v>
      </c>
      <c r="I706" s="363">
        <f t="shared" si="173"/>
        <v>218.96</v>
      </c>
      <c r="J706" s="363">
        <f t="shared" si="173"/>
        <v>7899.49</v>
      </c>
    </row>
    <row r="707" spans="1:10">
      <c r="A707" s="369" t="s">
        <v>89</v>
      </c>
      <c r="B707" s="363">
        <f t="shared" ref="B707:J707" si="174">SUM(B698:B700,B706)</f>
        <v>0</v>
      </c>
      <c r="C707" s="363">
        <f t="shared" si="174"/>
        <v>0</v>
      </c>
      <c r="D707" s="363">
        <f t="shared" si="174"/>
        <v>0</v>
      </c>
      <c r="E707" s="363">
        <f t="shared" si="174"/>
        <v>0</v>
      </c>
      <c r="F707" s="363">
        <f t="shared" si="174"/>
        <v>243980.18</v>
      </c>
      <c r="G707" s="363">
        <f t="shared" si="174"/>
        <v>0</v>
      </c>
      <c r="H707" s="363">
        <f t="shared" si="174"/>
        <v>145601.53000000003</v>
      </c>
      <c r="I707" s="363">
        <f t="shared" si="174"/>
        <v>8131.87</v>
      </c>
      <c r="J707" s="363">
        <f t="shared" si="174"/>
        <v>397713.58</v>
      </c>
    </row>
    <row r="708" spans="1:10">
      <c r="A708" s="368" t="s">
        <v>80</v>
      </c>
      <c r="B708" s="362"/>
      <c r="C708" s="362"/>
      <c r="D708" s="362"/>
      <c r="E708" s="362"/>
      <c r="F708" s="362"/>
      <c r="G708" s="362"/>
      <c r="H708" s="362"/>
      <c r="I708" s="362"/>
      <c r="J708" s="362"/>
    </row>
    <row r="709" spans="1:10">
      <c r="A709" s="345" t="s">
        <v>81</v>
      </c>
      <c r="B709" s="358">
        <v>0</v>
      </c>
      <c r="C709" s="358">
        <v>0</v>
      </c>
      <c r="D709" s="358">
        <v>0</v>
      </c>
      <c r="E709" s="358">
        <v>0</v>
      </c>
      <c r="F709" s="358">
        <v>0</v>
      </c>
      <c r="G709" s="358">
        <v>0</v>
      </c>
      <c r="H709" s="358">
        <v>0</v>
      </c>
      <c r="I709" s="358">
        <v>22.98</v>
      </c>
      <c r="J709" s="358">
        <f t="shared" ref="J709:J719" si="175">SUM(B709:I709)</f>
        <v>22.98</v>
      </c>
    </row>
    <row r="710" spans="1:10">
      <c r="A710" s="345" t="s">
        <v>102</v>
      </c>
      <c r="B710" s="358">
        <v>0</v>
      </c>
      <c r="C710" s="358">
        <v>0</v>
      </c>
      <c r="D710" s="358">
        <v>0</v>
      </c>
      <c r="E710" s="358">
        <v>0</v>
      </c>
      <c r="F710" s="358">
        <v>0</v>
      </c>
      <c r="G710" s="358">
        <v>0</v>
      </c>
      <c r="H710" s="358">
        <v>464.71</v>
      </c>
      <c r="I710" s="358">
        <v>0</v>
      </c>
      <c r="J710" s="358">
        <f t="shared" si="175"/>
        <v>464.71</v>
      </c>
    </row>
    <row r="711" spans="1:10">
      <c r="A711" s="345" t="s">
        <v>103</v>
      </c>
      <c r="B711" s="358">
        <v>0</v>
      </c>
      <c r="C711" s="358">
        <v>0</v>
      </c>
      <c r="D711" s="358">
        <v>0</v>
      </c>
      <c r="E711" s="358">
        <v>0</v>
      </c>
      <c r="F711" s="358">
        <v>0</v>
      </c>
      <c r="G711" s="358">
        <v>0</v>
      </c>
      <c r="H711" s="358">
        <v>-464.71</v>
      </c>
      <c r="I711" s="358">
        <v>0</v>
      </c>
      <c r="J711" s="358">
        <f t="shared" si="175"/>
        <v>-464.71</v>
      </c>
    </row>
    <row r="712" spans="1:10">
      <c r="A712" s="345" t="s">
        <v>104</v>
      </c>
      <c r="B712" s="358">
        <v>0</v>
      </c>
      <c r="C712" s="358">
        <v>0</v>
      </c>
      <c r="D712" s="358">
        <v>0</v>
      </c>
      <c r="E712" s="358">
        <v>0</v>
      </c>
      <c r="F712" s="358">
        <v>0</v>
      </c>
      <c r="G712" s="358">
        <v>0</v>
      </c>
      <c r="H712" s="358">
        <v>2014.39</v>
      </c>
      <c r="I712" s="358">
        <v>0</v>
      </c>
      <c r="J712" s="358">
        <f t="shared" si="175"/>
        <v>2014.39</v>
      </c>
    </row>
    <row r="713" spans="1:10">
      <c r="A713" s="345" t="s">
        <v>105</v>
      </c>
      <c r="B713" s="358">
        <v>0</v>
      </c>
      <c r="C713" s="358">
        <v>0</v>
      </c>
      <c r="D713" s="358">
        <v>0</v>
      </c>
      <c r="E713" s="358">
        <v>0</v>
      </c>
      <c r="F713" s="358">
        <v>0</v>
      </c>
      <c r="G713" s="358">
        <v>0</v>
      </c>
      <c r="H713" s="358">
        <v>-2014.39</v>
      </c>
      <c r="I713" s="358">
        <v>0</v>
      </c>
      <c r="J713" s="358">
        <f t="shared" si="175"/>
        <v>-2014.39</v>
      </c>
    </row>
    <row r="714" spans="1:10">
      <c r="A714" s="345" t="s">
        <v>106</v>
      </c>
      <c r="B714" s="358">
        <v>0</v>
      </c>
      <c r="C714" s="358">
        <v>0</v>
      </c>
      <c r="D714" s="358">
        <v>0</v>
      </c>
      <c r="E714" s="358">
        <v>0</v>
      </c>
      <c r="F714" s="358">
        <v>0</v>
      </c>
      <c r="G714" s="358">
        <v>0</v>
      </c>
      <c r="H714" s="358">
        <v>1547.15</v>
      </c>
      <c r="I714" s="358">
        <v>0</v>
      </c>
      <c r="J714" s="358">
        <f t="shared" si="175"/>
        <v>1547.15</v>
      </c>
    </row>
    <row r="715" spans="1:10">
      <c r="A715" s="345" t="s">
        <v>107</v>
      </c>
      <c r="B715" s="358">
        <v>0</v>
      </c>
      <c r="C715" s="358">
        <v>0</v>
      </c>
      <c r="D715" s="358">
        <v>0</v>
      </c>
      <c r="E715" s="358">
        <v>0</v>
      </c>
      <c r="F715" s="358">
        <v>0</v>
      </c>
      <c r="G715" s="358">
        <v>0</v>
      </c>
      <c r="H715" s="358">
        <v>-1547.15</v>
      </c>
      <c r="I715" s="358">
        <v>0</v>
      </c>
      <c r="J715" s="358">
        <f t="shared" si="175"/>
        <v>-1547.15</v>
      </c>
    </row>
    <row r="716" spans="1:10">
      <c r="A716" s="345" t="s">
        <v>108</v>
      </c>
      <c r="B716" s="358">
        <v>0</v>
      </c>
      <c r="C716" s="358">
        <v>0</v>
      </c>
      <c r="D716" s="358">
        <v>0</v>
      </c>
      <c r="E716" s="358">
        <v>0</v>
      </c>
      <c r="F716" s="358">
        <v>0</v>
      </c>
      <c r="G716" s="358">
        <v>0</v>
      </c>
      <c r="H716" s="358">
        <v>6114.56</v>
      </c>
      <c r="I716" s="358">
        <v>0</v>
      </c>
      <c r="J716" s="358">
        <f t="shared" si="175"/>
        <v>6114.56</v>
      </c>
    </row>
    <row r="717" spans="1:10">
      <c r="A717" s="345" t="s">
        <v>109</v>
      </c>
      <c r="B717" s="358">
        <v>0</v>
      </c>
      <c r="C717" s="358">
        <v>0</v>
      </c>
      <c r="D717" s="358">
        <v>0</v>
      </c>
      <c r="E717" s="358">
        <v>0</v>
      </c>
      <c r="F717" s="358">
        <v>0</v>
      </c>
      <c r="G717" s="358">
        <v>0</v>
      </c>
      <c r="H717" s="358">
        <v>-6114.56</v>
      </c>
      <c r="I717" s="358">
        <v>0</v>
      </c>
      <c r="J717" s="358">
        <f t="shared" si="175"/>
        <v>-6114.56</v>
      </c>
    </row>
    <row r="718" spans="1:10">
      <c r="A718" s="345" t="s">
        <v>566</v>
      </c>
      <c r="B718" s="358">
        <v>0</v>
      </c>
      <c r="C718" s="358">
        <v>0</v>
      </c>
      <c r="D718" s="358">
        <v>0</v>
      </c>
      <c r="E718" s="358">
        <v>0</v>
      </c>
      <c r="F718" s="358">
        <v>31735.35</v>
      </c>
      <c r="G718" s="358">
        <v>0</v>
      </c>
      <c r="H718" s="358">
        <v>9041.34</v>
      </c>
      <c r="I718" s="358">
        <v>2104.44</v>
      </c>
      <c r="J718" s="358">
        <f t="shared" si="175"/>
        <v>42881.130000000005</v>
      </c>
    </row>
    <row r="719" spans="1:10">
      <c r="A719" s="345" t="s">
        <v>143</v>
      </c>
      <c r="B719" s="358">
        <v>0</v>
      </c>
      <c r="C719" s="358">
        <v>0</v>
      </c>
      <c r="D719" s="358">
        <v>0</v>
      </c>
      <c r="E719" s="358">
        <v>0</v>
      </c>
      <c r="F719" s="358">
        <v>0</v>
      </c>
      <c r="G719" s="358">
        <v>0</v>
      </c>
      <c r="H719" s="358">
        <v>0</v>
      </c>
      <c r="I719" s="358">
        <v>20.07</v>
      </c>
      <c r="J719" s="358">
        <f t="shared" si="175"/>
        <v>20.07</v>
      </c>
    </row>
    <row r="720" spans="1:10">
      <c r="A720" s="369" t="s">
        <v>82</v>
      </c>
      <c r="B720" s="363">
        <f t="shared" ref="B720:J720" si="176">SUM(B709:B719)</f>
        <v>0</v>
      </c>
      <c r="C720" s="363">
        <f t="shared" si="176"/>
        <v>0</v>
      </c>
      <c r="D720" s="363">
        <f t="shared" si="176"/>
        <v>0</v>
      </c>
      <c r="E720" s="363">
        <f t="shared" si="176"/>
        <v>0</v>
      </c>
      <c r="F720" s="363">
        <f t="shared" si="176"/>
        <v>31735.35</v>
      </c>
      <c r="G720" s="363">
        <f t="shared" si="176"/>
        <v>0</v>
      </c>
      <c r="H720" s="363">
        <f t="shared" si="176"/>
        <v>9041.34</v>
      </c>
      <c r="I720" s="363">
        <f t="shared" si="176"/>
        <v>2147.4900000000002</v>
      </c>
      <c r="J720" s="363">
        <f t="shared" si="176"/>
        <v>42924.180000000008</v>
      </c>
    </row>
    <row r="721" spans="1:10">
      <c r="A721" s="368" t="s">
        <v>51</v>
      </c>
      <c r="B721" s="362"/>
      <c r="C721" s="362"/>
      <c r="D721" s="362"/>
      <c r="E721" s="362"/>
      <c r="F721" s="362"/>
      <c r="G721" s="362"/>
      <c r="H721" s="362"/>
      <c r="I721" s="362"/>
      <c r="J721" s="362"/>
    </row>
    <row r="722" spans="1:10">
      <c r="A722" s="345" t="s">
        <v>110</v>
      </c>
      <c r="B722" s="358">
        <v>0</v>
      </c>
      <c r="C722" s="358">
        <v>0</v>
      </c>
      <c r="D722" s="358">
        <v>0</v>
      </c>
      <c r="E722" s="358">
        <v>0</v>
      </c>
      <c r="F722" s="358">
        <v>0</v>
      </c>
      <c r="G722" s="358">
        <v>0</v>
      </c>
      <c r="H722" s="358">
        <v>8717.51</v>
      </c>
      <c r="I722" s="358">
        <v>0</v>
      </c>
      <c r="J722" s="358">
        <f t="shared" ref="J722:J727" si="177">SUM(B722:I722)</f>
        <v>8717.51</v>
      </c>
    </row>
    <row r="723" spans="1:10">
      <c r="A723" s="345" t="s">
        <v>52</v>
      </c>
      <c r="B723" s="358">
        <v>0</v>
      </c>
      <c r="C723" s="358">
        <v>0</v>
      </c>
      <c r="D723" s="358">
        <v>0</v>
      </c>
      <c r="E723" s="358">
        <v>0</v>
      </c>
      <c r="F723" s="358">
        <v>1941.65</v>
      </c>
      <c r="G723" s="358">
        <v>0</v>
      </c>
      <c r="H723" s="358">
        <v>0</v>
      </c>
      <c r="I723" s="358">
        <v>0</v>
      </c>
      <c r="J723" s="358">
        <f t="shared" si="177"/>
        <v>1941.65</v>
      </c>
    </row>
    <row r="724" spans="1:10">
      <c r="A724" s="345" t="s">
        <v>111</v>
      </c>
      <c r="B724" s="358">
        <v>0</v>
      </c>
      <c r="C724" s="358">
        <v>0</v>
      </c>
      <c r="D724" s="358">
        <v>0</v>
      </c>
      <c r="E724" s="358">
        <v>0</v>
      </c>
      <c r="F724" s="358">
        <v>6870.84</v>
      </c>
      <c r="G724" s="358">
        <v>0</v>
      </c>
      <c r="H724" s="358">
        <v>16145.45</v>
      </c>
      <c r="I724" s="358">
        <v>723.11</v>
      </c>
      <c r="J724" s="358">
        <f t="shared" si="177"/>
        <v>23739.4</v>
      </c>
    </row>
    <row r="725" spans="1:10">
      <c r="A725" s="345" t="s">
        <v>112</v>
      </c>
      <c r="B725" s="358">
        <v>0</v>
      </c>
      <c r="C725" s="358">
        <v>0</v>
      </c>
      <c r="D725" s="358">
        <v>0</v>
      </c>
      <c r="E725" s="358">
        <v>0</v>
      </c>
      <c r="F725" s="358">
        <v>0</v>
      </c>
      <c r="G725" s="358">
        <v>0</v>
      </c>
      <c r="H725" s="358">
        <v>-8717.52</v>
      </c>
      <c r="I725" s="358">
        <v>0</v>
      </c>
      <c r="J725" s="358">
        <f t="shared" si="177"/>
        <v>-8717.52</v>
      </c>
    </row>
    <row r="726" spans="1:10">
      <c r="A726" s="345" t="s">
        <v>751</v>
      </c>
      <c r="B726" s="358">
        <v>0</v>
      </c>
      <c r="C726" s="358">
        <v>0</v>
      </c>
      <c r="D726" s="358">
        <v>0</v>
      </c>
      <c r="E726" s="358">
        <v>0</v>
      </c>
      <c r="F726" s="358">
        <v>3224.4</v>
      </c>
      <c r="G726" s="358">
        <v>0</v>
      </c>
      <c r="H726" s="358">
        <v>0</v>
      </c>
      <c r="I726" s="358">
        <v>-385.47</v>
      </c>
      <c r="J726" s="358">
        <f t="shared" si="177"/>
        <v>2838.9300000000003</v>
      </c>
    </row>
    <row r="727" spans="1:10">
      <c r="A727" s="345" t="s">
        <v>753</v>
      </c>
      <c r="B727" s="358">
        <v>0</v>
      </c>
      <c r="C727" s="358">
        <v>0</v>
      </c>
      <c r="D727" s="358">
        <v>0</v>
      </c>
      <c r="E727" s="358">
        <v>0</v>
      </c>
      <c r="F727" s="358">
        <v>201.52</v>
      </c>
      <c r="G727" s="358">
        <v>0</v>
      </c>
      <c r="H727" s="358">
        <v>0</v>
      </c>
      <c r="I727" s="358">
        <v>135.37</v>
      </c>
      <c r="J727" s="358">
        <f t="shared" si="177"/>
        <v>336.89</v>
      </c>
    </row>
    <row r="728" spans="1:10">
      <c r="A728" s="369" t="s">
        <v>54</v>
      </c>
      <c r="B728" s="363">
        <f t="shared" ref="B728:J728" si="178">SUM(B722:B727)</f>
        <v>0</v>
      </c>
      <c r="C728" s="363">
        <f t="shared" si="178"/>
        <v>0</v>
      </c>
      <c r="D728" s="363">
        <f t="shared" si="178"/>
        <v>0</v>
      </c>
      <c r="E728" s="363">
        <f t="shared" si="178"/>
        <v>0</v>
      </c>
      <c r="F728" s="363">
        <f t="shared" si="178"/>
        <v>12238.41</v>
      </c>
      <c r="G728" s="363">
        <f t="shared" si="178"/>
        <v>0</v>
      </c>
      <c r="H728" s="363">
        <f t="shared" si="178"/>
        <v>16145.439999999999</v>
      </c>
      <c r="I728" s="363">
        <f t="shared" si="178"/>
        <v>473.01</v>
      </c>
      <c r="J728" s="363">
        <f t="shared" si="178"/>
        <v>28856.859999999997</v>
      </c>
    </row>
    <row r="729" spans="1:10">
      <c r="A729" s="368" t="s">
        <v>113</v>
      </c>
      <c r="B729" s="362"/>
      <c r="C729" s="362"/>
      <c r="D729" s="362"/>
      <c r="E729" s="362"/>
      <c r="F729" s="362"/>
      <c r="G729" s="362"/>
      <c r="H729" s="362"/>
      <c r="I729" s="362"/>
      <c r="J729" s="362"/>
    </row>
    <row r="730" spans="1:10">
      <c r="A730" s="345" t="s">
        <v>114</v>
      </c>
      <c r="B730" s="358">
        <v>0</v>
      </c>
      <c r="C730" s="358">
        <v>0</v>
      </c>
      <c r="D730" s="358">
        <v>0</v>
      </c>
      <c r="E730" s="358">
        <v>0</v>
      </c>
      <c r="F730" s="358">
        <v>32068.21</v>
      </c>
      <c r="G730" s="358">
        <v>0</v>
      </c>
      <c r="H730" s="358">
        <v>-945</v>
      </c>
      <c r="I730" s="358">
        <v>0</v>
      </c>
      <c r="J730" s="358">
        <f>SUM(B730:I730)</f>
        <v>31123.21</v>
      </c>
    </row>
    <row r="731" spans="1:10">
      <c r="A731" s="369" t="s">
        <v>115</v>
      </c>
      <c r="B731" s="363">
        <f t="shared" ref="B731:J731" si="179">SUM(B730)</f>
        <v>0</v>
      </c>
      <c r="C731" s="363">
        <f t="shared" si="179"/>
        <v>0</v>
      </c>
      <c r="D731" s="363">
        <f t="shared" si="179"/>
        <v>0</v>
      </c>
      <c r="E731" s="363">
        <f t="shared" si="179"/>
        <v>0</v>
      </c>
      <c r="F731" s="363">
        <f t="shared" si="179"/>
        <v>32068.21</v>
      </c>
      <c r="G731" s="363">
        <f t="shared" si="179"/>
        <v>0</v>
      </c>
      <c r="H731" s="363">
        <f t="shared" si="179"/>
        <v>-945</v>
      </c>
      <c r="I731" s="363">
        <f t="shared" si="179"/>
        <v>0</v>
      </c>
      <c r="J731" s="363">
        <f t="shared" si="179"/>
        <v>31123.21</v>
      </c>
    </row>
    <row r="732" spans="1:10">
      <c r="A732" s="368" t="s">
        <v>77</v>
      </c>
      <c r="B732" s="362"/>
      <c r="C732" s="362"/>
      <c r="D732" s="362"/>
      <c r="E732" s="362"/>
      <c r="F732" s="362"/>
      <c r="G732" s="362"/>
      <c r="H732" s="362"/>
      <c r="I732" s="362"/>
      <c r="J732" s="362"/>
    </row>
    <row r="733" spans="1:10">
      <c r="A733" s="345" t="s">
        <v>78</v>
      </c>
      <c r="B733" s="358">
        <v>0</v>
      </c>
      <c r="C733" s="358">
        <v>0</v>
      </c>
      <c r="D733" s="358">
        <v>0</v>
      </c>
      <c r="E733" s="358">
        <v>2462.6999999999998</v>
      </c>
      <c r="F733" s="358">
        <v>2618.73</v>
      </c>
      <c r="G733" s="358">
        <v>6714.5</v>
      </c>
      <c r="H733" s="358">
        <v>2553.9899999999998</v>
      </c>
      <c r="I733" s="358">
        <v>9933.6</v>
      </c>
      <c r="J733" s="358">
        <f>SUM(B733:I733)</f>
        <v>24283.52</v>
      </c>
    </row>
    <row r="734" spans="1:10">
      <c r="A734" s="369" t="s">
        <v>79</v>
      </c>
      <c r="B734" s="363">
        <f t="shared" ref="B734:J734" si="180">SUM(B733)</f>
        <v>0</v>
      </c>
      <c r="C734" s="363">
        <f t="shared" si="180"/>
        <v>0</v>
      </c>
      <c r="D734" s="363">
        <f t="shared" si="180"/>
        <v>0</v>
      </c>
      <c r="E734" s="363">
        <f t="shared" si="180"/>
        <v>2462.6999999999998</v>
      </c>
      <c r="F734" s="363">
        <f t="shared" si="180"/>
        <v>2618.73</v>
      </c>
      <c r="G734" s="363">
        <f t="shared" si="180"/>
        <v>6714.5</v>
      </c>
      <c r="H734" s="363">
        <f t="shared" si="180"/>
        <v>2553.9899999999998</v>
      </c>
      <c r="I734" s="363">
        <f t="shared" si="180"/>
        <v>9933.6</v>
      </c>
      <c r="J734" s="363">
        <f t="shared" si="180"/>
        <v>24283.52</v>
      </c>
    </row>
    <row r="735" spans="1:10">
      <c r="A735" s="368" t="s">
        <v>116</v>
      </c>
      <c r="B735" s="362"/>
      <c r="C735" s="362"/>
      <c r="D735" s="362"/>
      <c r="E735" s="362"/>
      <c r="F735" s="362"/>
      <c r="G735" s="362"/>
      <c r="H735" s="362"/>
      <c r="I735" s="362"/>
      <c r="J735" s="362"/>
    </row>
    <row r="736" spans="1:10">
      <c r="A736" s="345" t="s">
        <v>117</v>
      </c>
      <c r="B736" s="358">
        <v>0</v>
      </c>
      <c r="C736" s="358">
        <v>0</v>
      </c>
      <c r="D736" s="358">
        <v>0</v>
      </c>
      <c r="E736" s="358">
        <v>0</v>
      </c>
      <c r="F736" s="358">
        <v>0</v>
      </c>
      <c r="G736" s="358">
        <v>0</v>
      </c>
      <c r="H736" s="358">
        <v>402.84</v>
      </c>
      <c r="I736" s="358">
        <v>0</v>
      </c>
      <c r="J736" s="358">
        <f>SUM(B736:I736)</f>
        <v>402.84</v>
      </c>
    </row>
    <row r="737" spans="1:10">
      <c r="A737" s="345" t="s">
        <v>118</v>
      </c>
      <c r="B737" s="358">
        <v>0</v>
      </c>
      <c r="C737" s="358">
        <v>0</v>
      </c>
      <c r="D737" s="358">
        <v>0</v>
      </c>
      <c r="E737" s="358">
        <v>0</v>
      </c>
      <c r="F737" s="358">
        <v>24358.2</v>
      </c>
      <c r="G737" s="358">
        <v>0</v>
      </c>
      <c r="H737" s="358">
        <v>2061.44</v>
      </c>
      <c r="I737" s="358">
        <v>0</v>
      </c>
      <c r="J737" s="358">
        <f>SUM(B737:I737)</f>
        <v>26419.64</v>
      </c>
    </row>
    <row r="738" spans="1:10">
      <c r="A738" s="345" t="s">
        <v>764</v>
      </c>
      <c r="B738" s="358">
        <v>0</v>
      </c>
      <c r="C738" s="358">
        <v>0</v>
      </c>
      <c r="D738" s="358">
        <v>0</v>
      </c>
      <c r="E738" s="358">
        <v>0</v>
      </c>
      <c r="F738" s="358">
        <v>9.14</v>
      </c>
      <c r="G738" s="358">
        <v>0</v>
      </c>
      <c r="H738" s="358">
        <v>0</v>
      </c>
      <c r="I738" s="358">
        <v>0</v>
      </c>
      <c r="J738" s="358">
        <f>SUM(B738:I738)</f>
        <v>9.14</v>
      </c>
    </row>
    <row r="739" spans="1:10">
      <c r="A739" s="369" t="s">
        <v>119</v>
      </c>
      <c r="B739" s="363">
        <f t="shared" ref="B739:J739" si="181">SUM(B736:B738)</f>
        <v>0</v>
      </c>
      <c r="C739" s="363">
        <f t="shared" si="181"/>
        <v>0</v>
      </c>
      <c r="D739" s="363">
        <f t="shared" si="181"/>
        <v>0</v>
      </c>
      <c r="E739" s="363">
        <f t="shared" si="181"/>
        <v>0</v>
      </c>
      <c r="F739" s="363">
        <f t="shared" si="181"/>
        <v>24367.34</v>
      </c>
      <c r="G739" s="363">
        <f t="shared" si="181"/>
        <v>0</v>
      </c>
      <c r="H739" s="363">
        <f t="shared" si="181"/>
        <v>2464.2800000000002</v>
      </c>
      <c r="I739" s="363">
        <f t="shared" si="181"/>
        <v>0</v>
      </c>
      <c r="J739" s="363">
        <f t="shared" si="181"/>
        <v>26831.62</v>
      </c>
    </row>
    <row r="740" spans="1:10">
      <c r="A740" s="368" t="s">
        <v>120</v>
      </c>
      <c r="B740" s="362"/>
      <c r="C740" s="362"/>
      <c r="D740" s="362"/>
      <c r="E740" s="362"/>
      <c r="F740" s="362"/>
      <c r="G740" s="362"/>
      <c r="H740" s="362"/>
      <c r="I740" s="362"/>
      <c r="J740" s="362"/>
    </row>
    <row r="741" spans="1:10">
      <c r="A741" s="345" t="s">
        <v>121</v>
      </c>
      <c r="B741" s="358">
        <v>0</v>
      </c>
      <c r="C741" s="358">
        <v>0</v>
      </c>
      <c r="D741" s="358">
        <v>0</v>
      </c>
      <c r="E741" s="358">
        <v>0</v>
      </c>
      <c r="F741" s="358">
        <v>110.93</v>
      </c>
      <c r="G741" s="358">
        <v>0</v>
      </c>
      <c r="H741" s="358">
        <v>0</v>
      </c>
      <c r="I741" s="358">
        <v>0</v>
      </c>
      <c r="J741" s="358">
        <f>SUM(B741:I741)</f>
        <v>110.93</v>
      </c>
    </row>
    <row r="742" spans="1:10">
      <c r="A742" s="369" t="s">
        <v>122</v>
      </c>
      <c r="B742" s="363">
        <f t="shared" ref="B742:J742" si="182">SUM(B741)</f>
        <v>0</v>
      </c>
      <c r="C742" s="363">
        <f t="shared" si="182"/>
        <v>0</v>
      </c>
      <c r="D742" s="363">
        <f t="shared" si="182"/>
        <v>0</v>
      </c>
      <c r="E742" s="363">
        <f t="shared" si="182"/>
        <v>0</v>
      </c>
      <c r="F742" s="363">
        <f t="shared" si="182"/>
        <v>110.93</v>
      </c>
      <c r="G742" s="363">
        <f t="shared" si="182"/>
        <v>0</v>
      </c>
      <c r="H742" s="363">
        <f t="shared" si="182"/>
        <v>0</v>
      </c>
      <c r="I742" s="363">
        <f t="shared" si="182"/>
        <v>0</v>
      </c>
      <c r="J742" s="363">
        <f t="shared" si="182"/>
        <v>110.93</v>
      </c>
    </row>
    <row r="743" spans="1:10">
      <c r="A743" s="368" t="s">
        <v>123</v>
      </c>
      <c r="B743" s="362"/>
      <c r="C743" s="362"/>
      <c r="D743" s="362"/>
      <c r="E743" s="362"/>
      <c r="F743" s="362"/>
      <c r="G743" s="362"/>
      <c r="H743" s="362"/>
      <c r="I743" s="362"/>
      <c r="J743" s="362"/>
    </row>
    <row r="744" spans="1:10">
      <c r="A744" s="355" t="s">
        <v>124</v>
      </c>
      <c r="B744" s="362"/>
      <c r="C744" s="362"/>
      <c r="D744" s="362"/>
      <c r="E744" s="362"/>
      <c r="F744" s="362"/>
      <c r="G744" s="362"/>
      <c r="H744" s="362"/>
      <c r="I744" s="362"/>
      <c r="J744" s="362"/>
    </row>
    <row r="745" spans="1:10">
      <c r="A745" s="354" t="s">
        <v>125</v>
      </c>
      <c r="B745" s="358">
        <v>0</v>
      </c>
      <c r="C745" s="358">
        <v>0</v>
      </c>
      <c r="D745" s="358">
        <v>0</v>
      </c>
      <c r="E745" s="358">
        <v>0</v>
      </c>
      <c r="F745" s="358">
        <v>7156.13</v>
      </c>
      <c r="G745" s="358">
        <v>0</v>
      </c>
      <c r="H745" s="358">
        <v>2102.0700000000002</v>
      </c>
      <c r="I745" s="358">
        <v>0</v>
      </c>
      <c r="J745" s="358">
        <f>SUM(B745:I745)</f>
        <v>9258.2000000000007</v>
      </c>
    </row>
    <row r="746" spans="1:10">
      <c r="A746" s="354" t="s">
        <v>126</v>
      </c>
      <c r="B746" s="358">
        <v>0</v>
      </c>
      <c r="C746" s="358">
        <v>0</v>
      </c>
      <c r="D746" s="358">
        <v>0</v>
      </c>
      <c r="E746" s="358">
        <v>1328.57</v>
      </c>
      <c r="F746" s="358">
        <v>0</v>
      </c>
      <c r="G746" s="358">
        <v>0</v>
      </c>
      <c r="H746" s="358">
        <v>2077.17</v>
      </c>
      <c r="I746" s="358">
        <v>0</v>
      </c>
      <c r="J746" s="358">
        <f>SUM(B746:I746)</f>
        <v>3405.74</v>
      </c>
    </row>
    <row r="747" spans="1:10">
      <c r="A747" s="354" t="s">
        <v>127</v>
      </c>
      <c r="B747" s="358">
        <v>0</v>
      </c>
      <c r="C747" s="358">
        <v>0</v>
      </c>
      <c r="D747" s="358">
        <v>0</v>
      </c>
      <c r="E747" s="358">
        <v>0</v>
      </c>
      <c r="F747" s="358">
        <v>714.44</v>
      </c>
      <c r="G747" s="358">
        <v>0</v>
      </c>
      <c r="H747" s="358">
        <v>283.04000000000002</v>
      </c>
      <c r="I747" s="358">
        <v>0</v>
      </c>
      <c r="J747" s="358">
        <f>SUM(B747:I747)</f>
        <v>997.48</v>
      </c>
    </row>
    <row r="748" spans="1:10">
      <c r="A748" s="354" t="s">
        <v>128</v>
      </c>
      <c r="B748" s="358">
        <v>0</v>
      </c>
      <c r="C748" s="358">
        <v>0</v>
      </c>
      <c r="D748" s="358">
        <v>0</v>
      </c>
      <c r="E748" s="358">
        <v>0</v>
      </c>
      <c r="F748" s="358">
        <v>481.6</v>
      </c>
      <c r="G748" s="358">
        <v>0</v>
      </c>
      <c r="H748" s="358">
        <v>1007.84</v>
      </c>
      <c r="I748" s="358">
        <v>0</v>
      </c>
      <c r="J748" s="358">
        <f>SUM(B748:I748)</f>
        <v>1489.44</v>
      </c>
    </row>
    <row r="749" spans="1:10">
      <c r="A749" s="356" t="s">
        <v>130</v>
      </c>
      <c r="B749" s="363">
        <f t="shared" ref="B749:J749" si="183">SUM(B745:B748)</f>
        <v>0</v>
      </c>
      <c r="C749" s="363">
        <f t="shared" si="183"/>
        <v>0</v>
      </c>
      <c r="D749" s="363">
        <f t="shared" si="183"/>
        <v>0</v>
      </c>
      <c r="E749" s="363">
        <f t="shared" si="183"/>
        <v>1328.57</v>
      </c>
      <c r="F749" s="363">
        <f t="shared" si="183"/>
        <v>8352.17</v>
      </c>
      <c r="G749" s="363">
        <f t="shared" si="183"/>
        <v>0</v>
      </c>
      <c r="H749" s="363">
        <f t="shared" si="183"/>
        <v>5470.12</v>
      </c>
      <c r="I749" s="363">
        <f t="shared" si="183"/>
        <v>0</v>
      </c>
      <c r="J749" s="363">
        <f t="shared" si="183"/>
        <v>15150.86</v>
      </c>
    </row>
    <row r="750" spans="1:10">
      <c r="A750" s="369" t="s">
        <v>131</v>
      </c>
      <c r="B750" s="363">
        <f t="shared" ref="B750:J750" si="184">SUM(B749)</f>
        <v>0</v>
      </c>
      <c r="C750" s="363">
        <f t="shared" si="184"/>
        <v>0</v>
      </c>
      <c r="D750" s="363">
        <f t="shared" si="184"/>
        <v>0</v>
      </c>
      <c r="E750" s="363">
        <f t="shared" si="184"/>
        <v>1328.57</v>
      </c>
      <c r="F750" s="363">
        <f t="shared" si="184"/>
        <v>8352.17</v>
      </c>
      <c r="G750" s="363">
        <f t="shared" si="184"/>
        <v>0</v>
      </c>
      <c r="H750" s="363">
        <f t="shared" si="184"/>
        <v>5470.12</v>
      </c>
      <c r="I750" s="363">
        <f t="shared" si="184"/>
        <v>0</v>
      </c>
      <c r="J750" s="363">
        <f t="shared" si="184"/>
        <v>15150.86</v>
      </c>
    </row>
    <row r="751" spans="1:10">
      <c r="A751" s="368" t="s">
        <v>132</v>
      </c>
      <c r="B751" s="362"/>
      <c r="C751" s="362"/>
      <c r="D751" s="362"/>
      <c r="E751" s="362"/>
      <c r="F751" s="362"/>
      <c r="G751" s="362"/>
      <c r="H751" s="362"/>
      <c r="I751" s="362"/>
      <c r="J751" s="362"/>
    </row>
    <row r="752" spans="1:10">
      <c r="A752" s="355" t="s">
        <v>133</v>
      </c>
      <c r="B752" s="362"/>
      <c r="C752" s="362"/>
      <c r="D752" s="362"/>
      <c r="E752" s="362"/>
      <c r="F752" s="362"/>
      <c r="G752" s="362"/>
      <c r="H752" s="362"/>
      <c r="I752" s="362"/>
      <c r="J752" s="362"/>
    </row>
    <row r="753" spans="1:10">
      <c r="A753" s="354" t="s">
        <v>134</v>
      </c>
      <c r="B753" s="358">
        <v>0</v>
      </c>
      <c r="C753" s="358">
        <v>0</v>
      </c>
      <c r="D753" s="358">
        <v>0</v>
      </c>
      <c r="E753" s="358">
        <v>0</v>
      </c>
      <c r="F753" s="358">
        <v>0</v>
      </c>
      <c r="G753" s="358">
        <v>0</v>
      </c>
      <c r="H753" s="358">
        <v>11756.1</v>
      </c>
      <c r="I753" s="358">
        <v>0</v>
      </c>
      <c r="J753" s="358">
        <f>SUM(B753:I753)</f>
        <v>11756.1</v>
      </c>
    </row>
    <row r="754" spans="1:10">
      <c r="A754" s="354" t="s">
        <v>147</v>
      </c>
      <c r="B754" s="358">
        <v>0</v>
      </c>
      <c r="C754" s="358">
        <v>0</v>
      </c>
      <c r="D754" s="358">
        <v>0</v>
      </c>
      <c r="E754" s="358">
        <v>0</v>
      </c>
      <c r="F754" s="358">
        <v>0</v>
      </c>
      <c r="G754" s="358">
        <v>0</v>
      </c>
      <c r="H754" s="358">
        <v>4936.18</v>
      </c>
      <c r="I754" s="358">
        <v>0</v>
      </c>
      <c r="J754" s="358">
        <f>SUM(B754:I754)</f>
        <v>4936.18</v>
      </c>
    </row>
    <row r="755" spans="1:10">
      <c r="A755" s="356" t="s">
        <v>135</v>
      </c>
      <c r="B755" s="363">
        <f t="shared" ref="B755:J755" si="185">SUM(B753:B754)</f>
        <v>0</v>
      </c>
      <c r="C755" s="363">
        <f t="shared" si="185"/>
        <v>0</v>
      </c>
      <c r="D755" s="363">
        <f t="shared" si="185"/>
        <v>0</v>
      </c>
      <c r="E755" s="363">
        <f t="shared" si="185"/>
        <v>0</v>
      </c>
      <c r="F755" s="363">
        <f t="shared" si="185"/>
        <v>0</v>
      </c>
      <c r="G755" s="363">
        <f t="shared" si="185"/>
        <v>0</v>
      </c>
      <c r="H755" s="363">
        <f t="shared" si="185"/>
        <v>16692.28</v>
      </c>
      <c r="I755" s="363">
        <f t="shared" si="185"/>
        <v>0</v>
      </c>
      <c r="J755" s="363">
        <f t="shared" si="185"/>
        <v>16692.28</v>
      </c>
    </row>
    <row r="756" spans="1:10">
      <c r="A756" s="355" t="s">
        <v>177</v>
      </c>
      <c r="B756" s="362"/>
      <c r="C756" s="362"/>
      <c r="D756" s="362"/>
      <c r="E756" s="362"/>
      <c r="F756" s="362"/>
      <c r="G756" s="362"/>
      <c r="H756" s="362"/>
      <c r="I756" s="362"/>
      <c r="J756" s="362"/>
    </row>
    <row r="757" spans="1:10">
      <c r="A757" s="354" t="s">
        <v>178</v>
      </c>
      <c r="B757" s="358">
        <v>0</v>
      </c>
      <c r="C757" s="358">
        <v>0</v>
      </c>
      <c r="D757" s="358">
        <v>0</v>
      </c>
      <c r="E757" s="358">
        <v>38997</v>
      </c>
      <c r="F757" s="358">
        <v>55928.25</v>
      </c>
      <c r="G757" s="358">
        <v>21000</v>
      </c>
      <c r="H757" s="358">
        <v>151118.97</v>
      </c>
      <c r="I757" s="358">
        <v>35235.29</v>
      </c>
      <c r="J757" s="358">
        <f>SUM(B757:I757)</f>
        <v>302279.50999999995</v>
      </c>
    </row>
    <row r="758" spans="1:10">
      <c r="A758" s="354" t="s">
        <v>766</v>
      </c>
      <c r="B758" s="358">
        <v>0</v>
      </c>
      <c r="C758" s="358">
        <v>0</v>
      </c>
      <c r="D758" s="358">
        <v>0</v>
      </c>
      <c r="E758" s="358">
        <v>0</v>
      </c>
      <c r="F758" s="358">
        <v>1095.8499999999999</v>
      </c>
      <c r="G758" s="358">
        <v>0</v>
      </c>
      <c r="H758" s="358">
        <v>951.72</v>
      </c>
      <c r="I758" s="358">
        <v>2760.8</v>
      </c>
      <c r="J758" s="358">
        <f>SUM(B758:I758)</f>
        <v>4808.37</v>
      </c>
    </row>
    <row r="759" spans="1:10">
      <c r="A759" s="356" t="s">
        <v>179</v>
      </c>
      <c r="B759" s="363">
        <f t="shared" ref="B759:J759" si="186">SUM(B757:B758)</f>
        <v>0</v>
      </c>
      <c r="C759" s="363">
        <f t="shared" si="186"/>
        <v>0</v>
      </c>
      <c r="D759" s="363">
        <f t="shared" si="186"/>
        <v>0</v>
      </c>
      <c r="E759" s="363">
        <f t="shared" si="186"/>
        <v>38997</v>
      </c>
      <c r="F759" s="363">
        <f t="shared" si="186"/>
        <v>57024.1</v>
      </c>
      <c r="G759" s="363">
        <f t="shared" si="186"/>
        <v>21000</v>
      </c>
      <c r="H759" s="363">
        <f t="shared" si="186"/>
        <v>152070.69</v>
      </c>
      <c r="I759" s="363">
        <f t="shared" si="186"/>
        <v>37996.090000000004</v>
      </c>
      <c r="J759" s="363">
        <f t="shared" si="186"/>
        <v>307087.87999999995</v>
      </c>
    </row>
    <row r="760" spans="1:10">
      <c r="A760" s="355" t="s">
        <v>183</v>
      </c>
      <c r="B760" s="362"/>
      <c r="C760" s="362"/>
      <c r="D760" s="362"/>
      <c r="E760" s="362"/>
      <c r="F760" s="362"/>
      <c r="G760" s="362"/>
      <c r="H760" s="362"/>
      <c r="I760" s="362"/>
      <c r="J760" s="362"/>
    </row>
    <row r="761" spans="1:10">
      <c r="A761" s="354" t="s">
        <v>186</v>
      </c>
      <c r="B761" s="358">
        <v>0</v>
      </c>
      <c r="C761" s="358">
        <v>0</v>
      </c>
      <c r="D761" s="358">
        <v>0</v>
      </c>
      <c r="E761" s="358">
        <v>0</v>
      </c>
      <c r="F761" s="358">
        <v>171.36</v>
      </c>
      <c r="G761" s="358">
        <v>0</v>
      </c>
      <c r="H761" s="358">
        <v>0</v>
      </c>
      <c r="I761" s="358">
        <v>0</v>
      </c>
      <c r="J761" s="358">
        <f>SUM(B761:I761)</f>
        <v>171.36</v>
      </c>
    </row>
    <row r="762" spans="1:10">
      <c r="A762" s="356" t="s">
        <v>189</v>
      </c>
      <c r="B762" s="363">
        <f t="shared" ref="B762:J762" si="187">SUM(B761)</f>
        <v>0</v>
      </c>
      <c r="C762" s="363">
        <f t="shared" si="187"/>
        <v>0</v>
      </c>
      <c r="D762" s="363">
        <f t="shared" si="187"/>
        <v>0</v>
      </c>
      <c r="E762" s="363">
        <f t="shared" si="187"/>
        <v>0</v>
      </c>
      <c r="F762" s="363">
        <f t="shared" si="187"/>
        <v>171.36</v>
      </c>
      <c r="G762" s="363">
        <f t="shared" si="187"/>
        <v>0</v>
      </c>
      <c r="H762" s="363">
        <f t="shared" si="187"/>
        <v>0</v>
      </c>
      <c r="I762" s="363">
        <f t="shared" si="187"/>
        <v>0</v>
      </c>
      <c r="J762" s="363">
        <f t="shared" si="187"/>
        <v>171.36</v>
      </c>
    </row>
    <row r="763" spans="1:10">
      <c r="A763" s="369" t="s">
        <v>136</v>
      </c>
      <c r="B763" s="363">
        <f t="shared" ref="B763:J763" si="188">SUM(B755,B759,B762)</f>
        <v>0</v>
      </c>
      <c r="C763" s="363">
        <f t="shared" si="188"/>
        <v>0</v>
      </c>
      <c r="D763" s="363">
        <f t="shared" si="188"/>
        <v>0</v>
      </c>
      <c r="E763" s="363">
        <f t="shared" si="188"/>
        <v>38997</v>
      </c>
      <c r="F763" s="363">
        <f t="shared" si="188"/>
        <v>57195.46</v>
      </c>
      <c r="G763" s="363">
        <f t="shared" si="188"/>
        <v>21000</v>
      </c>
      <c r="H763" s="363">
        <f t="shared" si="188"/>
        <v>168762.97</v>
      </c>
      <c r="I763" s="363">
        <f t="shared" si="188"/>
        <v>37996.090000000004</v>
      </c>
      <c r="J763" s="363">
        <f t="shared" si="188"/>
        <v>323951.5199999999</v>
      </c>
    </row>
    <row r="764" spans="1:10">
      <c r="A764" s="368" t="s">
        <v>60</v>
      </c>
      <c r="B764" s="362"/>
      <c r="C764" s="362"/>
      <c r="D764" s="362"/>
      <c r="E764" s="362"/>
      <c r="F764" s="362"/>
      <c r="G764" s="362"/>
      <c r="H764" s="362"/>
      <c r="I764" s="362"/>
      <c r="J764" s="362"/>
    </row>
    <row r="765" spans="1:10">
      <c r="A765" s="355" t="s">
        <v>68</v>
      </c>
      <c r="B765" s="362"/>
      <c r="C765" s="362"/>
      <c r="D765" s="362"/>
      <c r="E765" s="362"/>
      <c r="F765" s="362"/>
      <c r="G765" s="362"/>
      <c r="H765" s="362"/>
      <c r="I765" s="362"/>
      <c r="J765" s="362"/>
    </row>
    <row r="766" spans="1:10">
      <c r="A766" s="354" t="s">
        <v>69</v>
      </c>
      <c r="B766" s="358">
        <v>0</v>
      </c>
      <c r="C766" s="358">
        <v>0</v>
      </c>
      <c r="D766" s="358">
        <v>0</v>
      </c>
      <c r="E766" s="358">
        <v>0</v>
      </c>
      <c r="F766" s="358">
        <v>35092.379999999997</v>
      </c>
      <c r="G766" s="358">
        <v>0</v>
      </c>
      <c r="H766" s="358">
        <v>11987.38</v>
      </c>
      <c r="I766" s="358">
        <v>0</v>
      </c>
      <c r="J766" s="358">
        <f>SUM(B766:I766)</f>
        <v>47079.759999999995</v>
      </c>
    </row>
    <row r="767" spans="1:10">
      <c r="A767" s="356" t="s">
        <v>70</v>
      </c>
      <c r="B767" s="363">
        <f t="shared" ref="B767:J767" si="189">SUM(B766)</f>
        <v>0</v>
      </c>
      <c r="C767" s="363">
        <f t="shared" si="189"/>
        <v>0</v>
      </c>
      <c r="D767" s="363">
        <f t="shared" si="189"/>
        <v>0</v>
      </c>
      <c r="E767" s="363">
        <f t="shared" si="189"/>
        <v>0</v>
      </c>
      <c r="F767" s="363">
        <f t="shared" si="189"/>
        <v>35092.379999999997</v>
      </c>
      <c r="G767" s="363">
        <f t="shared" si="189"/>
        <v>0</v>
      </c>
      <c r="H767" s="363">
        <f t="shared" si="189"/>
        <v>11987.38</v>
      </c>
      <c r="I767" s="363">
        <f t="shared" si="189"/>
        <v>0</v>
      </c>
      <c r="J767" s="363">
        <f t="shared" si="189"/>
        <v>47079.759999999995</v>
      </c>
    </row>
    <row r="768" spans="1:10">
      <c r="A768" s="355" t="s">
        <v>71</v>
      </c>
      <c r="B768" s="362"/>
      <c r="C768" s="362"/>
      <c r="D768" s="362"/>
      <c r="E768" s="362"/>
      <c r="F768" s="362"/>
      <c r="G768" s="362"/>
      <c r="H768" s="362"/>
      <c r="I768" s="362"/>
      <c r="J768" s="362"/>
    </row>
    <row r="769" spans="1:10">
      <c r="A769" s="354" t="s">
        <v>72</v>
      </c>
      <c r="B769" s="358">
        <v>0</v>
      </c>
      <c r="C769" s="358">
        <v>0</v>
      </c>
      <c r="D769" s="358">
        <v>0</v>
      </c>
      <c r="E769" s="358">
        <v>0</v>
      </c>
      <c r="F769" s="358">
        <v>177.05</v>
      </c>
      <c r="G769" s="358">
        <v>0</v>
      </c>
      <c r="H769" s="358">
        <v>195.29</v>
      </c>
      <c r="I769" s="358">
        <v>0</v>
      </c>
      <c r="J769" s="358">
        <f>SUM(B769:I769)</f>
        <v>372.34000000000003</v>
      </c>
    </row>
    <row r="770" spans="1:10">
      <c r="A770" s="354" t="s">
        <v>73</v>
      </c>
      <c r="B770" s="358">
        <v>0</v>
      </c>
      <c r="C770" s="358">
        <v>0</v>
      </c>
      <c r="D770" s="358">
        <v>0</v>
      </c>
      <c r="E770" s="358">
        <v>0</v>
      </c>
      <c r="F770" s="358">
        <v>318.45</v>
      </c>
      <c r="G770" s="358">
        <v>0</v>
      </c>
      <c r="H770" s="358">
        <v>295.92</v>
      </c>
      <c r="I770" s="358">
        <v>0</v>
      </c>
      <c r="J770" s="358">
        <f>SUM(B770:I770)</f>
        <v>614.37</v>
      </c>
    </row>
    <row r="771" spans="1:10">
      <c r="A771" s="354" t="s">
        <v>137</v>
      </c>
      <c r="B771" s="358">
        <v>0</v>
      </c>
      <c r="C771" s="358">
        <v>0</v>
      </c>
      <c r="D771" s="358">
        <v>0</v>
      </c>
      <c r="E771" s="358">
        <v>0</v>
      </c>
      <c r="F771" s="358">
        <v>0</v>
      </c>
      <c r="G771" s="358">
        <v>0</v>
      </c>
      <c r="H771" s="358">
        <v>167.55</v>
      </c>
      <c r="I771" s="358">
        <v>0</v>
      </c>
      <c r="J771" s="358">
        <f>SUM(B771:I771)</f>
        <v>167.55</v>
      </c>
    </row>
    <row r="772" spans="1:10">
      <c r="A772" s="354" t="s">
        <v>74</v>
      </c>
      <c r="B772" s="358">
        <v>0</v>
      </c>
      <c r="C772" s="358">
        <v>0</v>
      </c>
      <c r="D772" s="358">
        <v>0</v>
      </c>
      <c r="E772" s="358">
        <v>194.71</v>
      </c>
      <c r="F772" s="358">
        <v>1065.3499999999999</v>
      </c>
      <c r="G772" s="358">
        <v>184.52</v>
      </c>
      <c r="H772" s="358">
        <v>33891.06</v>
      </c>
      <c r="I772" s="358">
        <v>173.14</v>
      </c>
      <c r="J772" s="358">
        <f>SUM(B772:I772)</f>
        <v>35508.78</v>
      </c>
    </row>
    <row r="773" spans="1:10">
      <c r="A773" s="356" t="s">
        <v>75</v>
      </c>
      <c r="B773" s="363">
        <f t="shared" ref="B773:J773" si="190">SUM(B769:B772)</f>
        <v>0</v>
      </c>
      <c r="C773" s="363">
        <f t="shared" si="190"/>
        <v>0</v>
      </c>
      <c r="D773" s="363">
        <f t="shared" si="190"/>
        <v>0</v>
      </c>
      <c r="E773" s="363">
        <f t="shared" si="190"/>
        <v>194.71</v>
      </c>
      <c r="F773" s="363">
        <f t="shared" si="190"/>
        <v>1560.85</v>
      </c>
      <c r="G773" s="363">
        <f t="shared" si="190"/>
        <v>184.52</v>
      </c>
      <c r="H773" s="363">
        <f t="shared" si="190"/>
        <v>34549.82</v>
      </c>
      <c r="I773" s="363">
        <f t="shared" si="190"/>
        <v>173.14</v>
      </c>
      <c r="J773" s="363">
        <f t="shared" si="190"/>
        <v>36663.040000000001</v>
      </c>
    </row>
    <row r="774" spans="1:10">
      <c r="A774" s="355" t="s">
        <v>64</v>
      </c>
      <c r="B774" s="362"/>
      <c r="C774" s="362"/>
      <c r="D774" s="362"/>
      <c r="E774" s="362"/>
      <c r="F774" s="362"/>
      <c r="G774" s="362"/>
      <c r="H774" s="362"/>
      <c r="I774" s="362"/>
      <c r="J774" s="362"/>
    </row>
    <row r="775" spans="1:10">
      <c r="A775" s="354" t="s">
        <v>66</v>
      </c>
      <c r="B775" s="358">
        <v>0</v>
      </c>
      <c r="C775" s="358">
        <v>0</v>
      </c>
      <c r="D775" s="358">
        <v>0</v>
      </c>
      <c r="E775" s="358">
        <v>0</v>
      </c>
      <c r="F775" s="358">
        <v>453.7</v>
      </c>
      <c r="G775" s="358">
        <v>0</v>
      </c>
      <c r="H775" s="358">
        <v>223.94</v>
      </c>
      <c r="I775" s="358">
        <v>0</v>
      </c>
      <c r="J775" s="358">
        <f>SUM(B775:I775)</f>
        <v>677.64</v>
      </c>
    </row>
    <row r="776" spans="1:10">
      <c r="A776" s="354" t="s">
        <v>65</v>
      </c>
      <c r="B776" s="358">
        <v>0</v>
      </c>
      <c r="C776" s="358">
        <v>0</v>
      </c>
      <c r="D776" s="358">
        <v>0</v>
      </c>
      <c r="E776" s="358">
        <v>0</v>
      </c>
      <c r="F776" s="358">
        <v>1118.8800000000001</v>
      </c>
      <c r="G776" s="358">
        <v>0</v>
      </c>
      <c r="H776" s="358">
        <v>170.3</v>
      </c>
      <c r="I776" s="358">
        <v>0</v>
      </c>
      <c r="J776" s="358">
        <f>SUM(B776:I776)</f>
        <v>1289.18</v>
      </c>
    </row>
    <row r="777" spans="1:10">
      <c r="A777" s="356" t="s">
        <v>67</v>
      </c>
      <c r="B777" s="363">
        <f t="shared" ref="B777:J777" si="191">SUM(B775:B776)</f>
        <v>0</v>
      </c>
      <c r="C777" s="363">
        <f t="shared" si="191"/>
        <v>0</v>
      </c>
      <c r="D777" s="363">
        <f t="shared" si="191"/>
        <v>0</v>
      </c>
      <c r="E777" s="363">
        <f t="shared" si="191"/>
        <v>0</v>
      </c>
      <c r="F777" s="363">
        <f t="shared" si="191"/>
        <v>1572.5800000000002</v>
      </c>
      <c r="G777" s="363">
        <f t="shared" si="191"/>
        <v>0</v>
      </c>
      <c r="H777" s="363">
        <f t="shared" si="191"/>
        <v>394.24</v>
      </c>
      <c r="I777" s="363">
        <f t="shared" si="191"/>
        <v>0</v>
      </c>
      <c r="J777" s="363">
        <f t="shared" si="191"/>
        <v>1966.8200000000002</v>
      </c>
    </row>
    <row r="778" spans="1:10">
      <c r="A778" s="355" t="s">
        <v>61</v>
      </c>
      <c r="B778" s="362"/>
      <c r="C778" s="362"/>
      <c r="D778" s="362"/>
      <c r="E778" s="362"/>
      <c r="F778" s="362"/>
      <c r="G778" s="362"/>
      <c r="H778" s="362"/>
      <c r="I778" s="362"/>
      <c r="J778" s="362"/>
    </row>
    <row r="779" spans="1:10">
      <c r="A779" s="354" t="s">
        <v>190</v>
      </c>
      <c r="B779" s="358">
        <v>0</v>
      </c>
      <c r="C779" s="358">
        <v>0</v>
      </c>
      <c r="D779" s="358">
        <v>0</v>
      </c>
      <c r="E779" s="358">
        <v>0</v>
      </c>
      <c r="F779" s="358">
        <v>0</v>
      </c>
      <c r="G779" s="358">
        <v>180.3</v>
      </c>
      <c r="H779" s="358">
        <v>0</v>
      </c>
      <c r="I779" s="358">
        <v>0</v>
      </c>
      <c r="J779" s="358">
        <f>SUM(B779:I779)</f>
        <v>180.3</v>
      </c>
    </row>
    <row r="780" spans="1:10">
      <c r="A780" s="354" t="s">
        <v>62</v>
      </c>
      <c r="B780" s="358">
        <v>0</v>
      </c>
      <c r="C780" s="358">
        <v>0</v>
      </c>
      <c r="D780" s="358">
        <v>0</v>
      </c>
      <c r="E780" s="358">
        <v>61.8</v>
      </c>
      <c r="F780" s="358">
        <v>1343.29</v>
      </c>
      <c r="G780" s="358">
        <v>0</v>
      </c>
      <c r="H780" s="358">
        <v>0</v>
      </c>
      <c r="I780" s="358">
        <v>0</v>
      </c>
      <c r="J780" s="358">
        <f>SUM(B780:I780)</f>
        <v>1405.09</v>
      </c>
    </row>
    <row r="781" spans="1:10">
      <c r="A781" s="356" t="s">
        <v>63</v>
      </c>
      <c r="B781" s="363">
        <f t="shared" ref="B781:J781" si="192">SUM(B779:B780)</f>
        <v>0</v>
      </c>
      <c r="C781" s="363">
        <f t="shared" si="192"/>
        <v>0</v>
      </c>
      <c r="D781" s="363">
        <f t="shared" si="192"/>
        <v>0</v>
      </c>
      <c r="E781" s="363">
        <f t="shared" si="192"/>
        <v>61.8</v>
      </c>
      <c r="F781" s="363">
        <f t="shared" si="192"/>
        <v>1343.29</v>
      </c>
      <c r="G781" s="363">
        <f t="shared" si="192"/>
        <v>180.3</v>
      </c>
      <c r="H781" s="363">
        <f t="shared" si="192"/>
        <v>0</v>
      </c>
      <c r="I781" s="363">
        <f t="shared" si="192"/>
        <v>0</v>
      </c>
      <c r="J781" s="363">
        <f t="shared" si="192"/>
        <v>1585.3899999999999</v>
      </c>
    </row>
    <row r="782" spans="1:10">
      <c r="A782" s="369" t="s">
        <v>76</v>
      </c>
      <c r="B782" s="363">
        <f t="shared" ref="B782:J782" si="193">SUM(B767,B773,B777,B781)</f>
        <v>0</v>
      </c>
      <c r="C782" s="363">
        <f t="shared" si="193"/>
        <v>0</v>
      </c>
      <c r="D782" s="363">
        <f t="shared" si="193"/>
        <v>0</v>
      </c>
      <c r="E782" s="363">
        <f t="shared" si="193"/>
        <v>256.51</v>
      </c>
      <c r="F782" s="363">
        <f t="shared" si="193"/>
        <v>39569.1</v>
      </c>
      <c r="G782" s="363">
        <f t="shared" si="193"/>
        <v>364.82000000000005</v>
      </c>
      <c r="H782" s="363">
        <f t="shared" si="193"/>
        <v>46931.439999999995</v>
      </c>
      <c r="I782" s="363">
        <f t="shared" si="193"/>
        <v>173.14</v>
      </c>
      <c r="J782" s="363">
        <f t="shared" si="193"/>
        <v>87295.01</v>
      </c>
    </row>
    <row r="783" spans="1:10">
      <c r="A783" s="368" t="s">
        <v>162</v>
      </c>
      <c r="B783" s="362"/>
      <c r="C783" s="362"/>
      <c r="D783" s="362"/>
      <c r="E783" s="362"/>
      <c r="F783" s="362"/>
      <c r="G783" s="362"/>
      <c r="H783" s="362"/>
      <c r="I783" s="362"/>
      <c r="J783" s="362"/>
    </row>
    <row r="784" spans="1:10">
      <c r="A784" s="345" t="s">
        <v>163</v>
      </c>
      <c r="B784" s="358">
        <v>0</v>
      </c>
      <c r="C784" s="358">
        <v>0</v>
      </c>
      <c r="D784" s="358">
        <v>0</v>
      </c>
      <c r="E784" s="358">
        <v>26.85</v>
      </c>
      <c r="F784" s="358">
        <v>0</v>
      </c>
      <c r="G784" s="358">
        <v>668.12</v>
      </c>
      <c r="H784" s="358">
        <v>944.24</v>
      </c>
      <c r="I784" s="358">
        <v>0</v>
      </c>
      <c r="J784" s="358">
        <f>SUM(B784:I784)</f>
        <v>1639.21</v>
      </c>
    </row>
    <row r="785" spans="1:10">
      <c r="A785" s="345" t="s">
        <v>191</v>
      </c>
      <c r="B785" s="358">
        <v>0</v>
      </c>
      <c r="C785" s="358">
        <v>0</v>
      </c>
      <c r="D785" s="358">
        <v>0</v>
      </c>
      <c r="E785" s="358">
        <v>0</v>
      </c>
      <c r="F785" s="358">
        <v>0</v>
      </c>
      <c r="G785" s="358">
        <v>0</v>
      </c>
      <c r="H785" s="358">
        <v>959.36</v>
      </c>
      <c r="I785" s="358">
        <v>0</v>
      </c>
      <c r="J785" s="358">
        <f>SUM(B785:I785)</f>
        <v>959.36</v>
      </c>
    </row>
    <row r="786" spans="1:10">
      <c r="A786" s="369" t="s">
        <v>165</v>
      </c>
      <c r="B786" s="363">
        <f t="shared" ref="B786:J786" si="194">SUM(B784:B785)</f>
        <v>0</v>
      </c>
      <c r="C786" s="363">
        <f t="shared" si="194"/>
        <v>0</v>
      </c>
      <c r="D786" s="363">
        <f t="shared" si="194"/>
        <v>0</v>
      </c>
      <c r="E786" s="363">
        <f t="shared" si="194"/>
        <v>26.85</v>
      </c>
      <c r="F786" s="363">
        <f t="shared" si="194"/>
        <v>0</v>
      </c>
      <c r="G786" s="363">
        <f t="shared" si="194"/>
        <v>668.12</v>
      </c>
      <c r="H786" s="363">
        <f t="shared" si="194"/>
        <v>1903.6</v>
      </c>
      <c r="I786" s="363">
        <f t="shared" si="194"/>
        <v>0</v>
      </c>
      <c r="J786" s="363">
        <f t="shared" si="194"/>
        <v>2598.5700000000002</v>
      </c>
    </row>
    <row r="787" spans="1:10">
      <c r="A787" s="368" t="s">
        <v>55</v>
      </c>
      <c r="B787" s="362"/>
      <c r="C787" s="362"/>
      <c r="D787" s="362"/>
      <c r="E787" s="362"/>
      <c r="F787" s="362"/>
      <c r="G787" s="362"/>
      <c r="H787" s="362"/>
      <c r="I787" s="362"/>
      <c r="J787" s="362"/>
    </row>
    <row r="788" spans="1:10">
      <c r="A788" s="345" t="s">
        <v>56</v>
      </c>
      <c r="B788" s="358">
        <v>0</v>
      </c>
      <c r="C788" s="358">
        <v>0</v>
      </c>
      <c r="D788" s="358">
        <v>0</v>
      </c>
      <c r="E788" s="358">
        <v>0</v>
      </c>
      <c r="F788" s="358">
        <v>863.07</v>
      </c>
      <c r="G788" s="358">
        <v>0</v>
      </c>
      <c r="H788" s="358">
        <v>1612.95</v>
      </c>
      <c r="I788" s="358">
        <v>83.91</v>
      </c>
      <c r="J788" s="358">
        <f>SUM(B788:I788)</f>
        <v>2559.9299999999998</v>
      </c>
    </row>
    <row r="789" spans="1:10">
      <c r="A789" s="345" t="s">
        <v>58</v>
      </c>
      <c r="B789" s="358">
        <v>0</v>
      </c>
      <c r="C789" s="358">
        <v>0</v>
      </c>
      <c r="D789" s="358">
        <v>0</v>
      </c>
      <c r="E789" s="358">
        <v>0</v>
      </c>
      <c r="F789" s="358">
        <v>85.56</v>
      </c>
      <c r="G789" s="358">
        <v>0</v>
      </c>
      <c r="H789" s="358">
        <v>7.85</v>
      </c>
      <c r="I789" s="358">
        <v>0</v>
      </c>
      <c r="J789" s="358">
        <f>SUM(B789:I789)</f>
        <v>93.41</v>
      </c>
    </row>
    <row r="790" spans="1:10">
      <c r="A790" s="345" t="s">
        <v>57</v>
      </c>
      <c r="B790" s="358">
        <v>0</v>
      </c>
      <c r="C790" s="358">
        <v>0</v>
      </c>
      <c r="D790" s="358">
        <v>0</v>
      </c>
      <c r="E790" s="358">
        <v>0</v>
      </c>
      <c r="F790" s="358">
        <v>86.49</v>
      </c>
      <c r="G790" s="358">
        <v>0</v>
      </c>
      <c r="H790" s="358">
        <v>118.17</v>
      </c>
      <c r="I790" s="358">
        <v>0</v>
      </c>
      <c r="J790" s="358">
        <f>SUM(B790:I790)</f>
        <v>204.66</v>
      </c>
    </row>
    <row r="791" spans="1:10">
      <c r="A791" s="369" t="s">
        <v>59</v>
      </c>
      <c r="B791" s="363">
        <f t="shared" ref="B791:J791" si="195">SUM(B788:B790)</f>
        <v>0</v>
      </c>
      <c r="C791" s="363">
        <f t="shared" si="195"/>
        <v>0</v>
      </c>
      <c r="D791" s="363">
        <f t="shared" si="195"/>
        <v>0</v>
      </c>
      <c r="E791" s="363">
        <f t="shared" si="195"/>
        <v>0</v>
      </c>
      <c r="F791" s="363">
        <f t="shared" si="195"/>
        <v>1035.1200000000001</v>
      </c>
      <c r="G791" s="363">
        <f t="shared" si="195"/>
        <v>0</v>
      </c>
      <c r="H791" s="363">
        <f t="shared" si="195"/>
        <v>1738.97</v>
      </c>
      <c r="I791" s="363">
        <f t="shared" si="195"/>
        <v>83.91</v>
      </c>
      <c r="J791" s="363">
        <f t="shared" si="195"/>
        <v>2857.9999999999995</v>
      </c>
    </row>
    <row r="792" spans="1:10">
      <c r="A792" s="370" t="s">
        <v>181</v>
      </c>
      <c r="B792" s="363">
        <f t="shared" ref="B792:J792" si="196">SUM(B707,B720,B728,B731,B734,B739,B742,B750,B763,B782,B786,B791)</f>
        <v>0</v>
      </c>
      <c r="C792" s="363">
        <f t="shared" si="196"/>
        <v>0</v>
      </c>
      <c r="D792" s="363">
        <f t="shared" si="196"/>
        <v>0</v>
      </c>
      <c r="E792" s="363">
        <f t="shared" si="196"/>
        <v>43071.63</v>
      </c>
      <c r="F792" s="363">
        <f t="shared" si="196"/>
        <v>453270.99999999994</v>
      </c>
      <c r="G792" s="363">
        <f t="shared" si="196"/>
        <v>28747.439999999999</v>
      </c>
      <c r="H792" s="363">
        <f t="shared" si="196"/>
        <v>399668.68</v>
      </c>
      <c r="I792" s="363">
        <f t="shared" si="196"/>
        <v>58939.110000000008</v>
      </c>
      <c r="J792" s="363">
        <f t="shared" si="196"/>
        <v>983697.85999999987</v>
      </c>
    </row>
    <row r="793" spans="1:10">
      <c r="A793" s="353" t="s">
        <v>182</v>
      </c>
      <c r="B793" s="362"/>
      <c r="C793" s="362"/>
      <c r="D793" s="362"/>
      <c r="E793" s="362"/>
      <c r="F793" s="362"/>
      <c r="G793" s="362"/>
      <c r="H793" s="362"/>
      <c r="I793" s="362"/>
      <c r="J793" s="362"/>
    </row>
    <row r="794" spans="1:10">
      <c r="A794" s="368" t="s">
        <v>83</v>
      </c>
      <c r="B794" s="362"/>
      <c r="C794" s="362"/>
      <c r="D794" s="362"/>
      <c r="E794" s="362"/>
      <c r="F794" s="362"/>
      <c r="G794" s="362"/>
      <c r="H794" s="362"/>
      <c r="I794" s="362"/>
      <c r="J794" s="362"/>
    </row>
    <row r="795" spans="1:10">
      <c r="A795" s="345" t="s">
        <v>98</v>
      </c>
      <c r="B795" s="358">
        <v>0</v>
      </c>
      <c r="C795" s="358">
        <v>0</v>
      </c>
      <c r="D795" s="358">
        <v>0</v>
      </c>
      <c r="E795" s="358">
        <v>0</v>
      </c>
      <c r="F795" s="358">
        <v>0</v>
      </c>
      <c r="G795" s="358">
        <v>0</v>
      </c>
      <c r="H795" s="358">
        <v>197955.58</v>
      </c>
      <c r="I795" s="358">
        <v>0</v>
      </c>
      <c r="J795" s="358">
        <f>SUM(B795:I795)</f>
        <v>197955.58</v>
      </c>
    </row>
    <row r="796" spans="1:10">
      <c r="A796" s="345" t="s">
        <v>140</v>
      </c>
      <c r="B796" s="358">
        <v>0</v>
      </c>
      <c r="C796" s="358">
        <v>0</v>
      </c>
      <c r="D796" s="358">
        <v>0</v>
      </c>
      <c r="E796" s="358">
        <v>0</v>
      </c>
      <c r="F796" s="358">
        <v>0</v>
      </c>
      <c r="G796" s="358">
        <v>0</v>
      </c>
      <c r="H796" s="358">
        <v>-5366.68</v>
      </c>
      <c r="I796" s="358">
        <v>0</v>
      </c>
      <c r="J796" s="358">
        <f>SUM(B796:I796)</f>
        <v>-5366.68</v>
      </c>
    </row>
    <row r="797" spans="1:10">
      <c r="A797" s="345" t="s">
        <v>99</v>
      </c>
      <c r="B797" s="358">
        <v>0</v>
      </c>
      <c r="C797" s="358">
        <v>0</v>
      </c>
      <c r="D797" s="358">
        <v>0</v>
      </c>
      <c r="E797" s="358">
        <v>0</v>
      </c>
      <c r="F797" s="358">
        <v>0</v>
      </c>
      <c r="G797" s="358">
        <v>0</v>
      </c>
      <c r="H797" s="358">
        <v>-8640.2900000000009</v>
      </c>
      <c r="I797" s="358">
        <v>0</v>
      </c>
      <c r="J797" s="358">
        <f>SUM(B797:I797)</f>
        <v>-8640.2900000000009</v>
      </c>
    </row>
    <row r="798" spans="1:10">
      <c r="A798" s="355" t="s">
        <v>84</v>
      </c>
      <c r="B798" s="362"/>
      <c r="C798" s="362"/>
      <c r="D798" s="362"/>
      <c r="E798" s="362"/>
      <c r="F798" s="362"/>
      <c r="G798" s="362"/>
      <c r="H798" s="362"/>
      <c r="I798" s="362"/>
      <c r="J798" s="362"/>
    </row>
    <row r="799" spans="1:10">
      <c r="A799" s="354" t="s">
        <v>85</v>
      </c>
      <c r="B799" s="358">
        <v>0</v>
      </c>
      <c r="C799" s="358">
        <v>0</v>
      </c>
      <c r="D799" s="358">
        <v>0</v>
      </c>
      <c r="E799" s="358">
        <v>0</v>
      </c>
      <c r="F799" s="358">
        <v>0</v>
      </c>
      <c r="G799" s="358">
        <v>0</v>
      </c>
      <c r="H799" s="358">
        <v>663.16</v>
      </c>
      <c r="I799" s="358">
        <v>0</v>
      </c>
      <c r="J799" s="358">
        <f>SUM(B799:I799)</f>
        <v>663.16</v>
      </c>
    </row>
    <row r="800" spans="1:10">
      <c r="A800" s="354" t="s">
        <v>86</v>
      </c>
      <c r="B800" s="358">
        <v>0</v>
      </c>
      <c r="C800" s="358">
        <v>0</v>
      </c>
      <c r="D800" s="358">
        <v>0</v>
      </c>
      <c r="E800" s="358">
        <v>0</v>
      </c>
      <c r="F800" s="358">
        <v>0</v>
      </c>
      <c r="G800" s="358">
        <v>0</v>
      </c>
      <c r="H800" s="358">
        <v>6152.49</v>
      </c>
      <c r="I800" s="358">
        <v>0</v>
      </c>
      <c r="J800" s="358">
        <f>SUM(B800:I800)</f>
        <v>6152.49</v>
      </c>
    </row>
    <row r="801" spans="1:10">
      <c r="A801" s="354" t="s">
        <v>87</v>
      </c>
      <c r="B801" s="358">
        <v>0</v>
      </c>
      <c r="C801" s="358">
        <v>0</v>
      </c>
      <c r="D801" s="358">
        <v>0</v>
      </c>
      <c r="E801" s="358">
        <v>0</v>
      </c>
      <c r="F801" s="358">
        <v>0</v>
      </c>
      <c r="G801" s="358">
        <v>0</v>
      </c>
      <c r="H801" s="358">
        <v>330.38</v>
      </c>
      <c r="I801" s="358">
        <v>0</v>
      </c>
      <c r="J801" s="358">
        <f>SUM(B801:I801)</f>
        <v>330.38</v>
      </c>
    </row>
    <row r="802" spans="1:10">
      <c r="A802" s="356" t="s">
        <v>88</v>
      </c>
      <c r="B802" s="363">
        <f t="shared" ref="B802:J802" si="197">SUM(B799:B801)</f>
        <v>0</v>
      </c>
      <c r="C802" s="363">
        <f t="shared" si="197"/>
        <v>0</v>
      </c>
      <c r="D802" s="363">
        <f t="shared" si="197"/>
        <v>0</v>
      </c>
      <c r="E802" s="363">
        <f t="shared" si="197"/>
        <v>0</v>
      </c>
      <c r="F802" s="363">
        <f t="shared" si="197"/>
        <v>0</v>
      </c>
      <c r="G802" s="363">
        <f t="shared" si="197"/>
        <v>0</v>
      </c>
      <c r="H802" s="363">
        <f t="shared" si="197"/>
        <v>7146.03</v>
      </c>
      <c r="I802" s="363">
        <f t="shared" si="197"/>
        <v>0</v>
      </c>
      <c r="J802" s="363">
        <f t="shared" si="197"/>
        <v>7146.03</v>
      </c>
    </row>
    <row r="803" spans="1:10">
      <c r="A803" s="369" t="s">
        <v>89</v>
      </c>
      <c r="B803" s="363">
        <f t="shared" ref="B803:J803" si="198">SUM(B795:B797,B802)</f>
        <v>0</v>
      </c>
      <c r="C803" s="363">
        <f t="shared" si="198"/>
        <v>0</v>
      </c>
      <c r="D803" s="363">
        <f t="shared" si="198"/>
        <v>0</v>
      </c>
      <c r="E803" s="363">
        <f t="shared" si="198"/>
        <v>0</v>
      </c>
      <c r="F803" s="363">
        <f t="shared" si="198"/>
        <v>0</v>
      </c>
      <c r="G803" s="363">
        <f t="shared" si="198"/>
        <v>0</v>
      </c>
      <c r="H803" s="363">
        <f t="shared" si="198"/>
        <v>191094.63999999998</v>
      </c>
      <c r="I803" s="363">
        <f t="shared" si="198"/>
        <v>0</v>
      </c>
      <c r="J803" s="363">
        <f t="shared" si="198"/>
        <v>191094.63999999998</v>
      </c>
    </row>
    <row r="804" spans="1:10">
      <c r="A804" s="368" t="s">
        <v>80</v>
      </c>
      <c r="B804" s="362"/>
      <c r="C804" s="362"/>
      <c r="D804" s="362"/>
      <c r="E804" s="362"/>
      <c r="F804" s="362"/>
      <c r="G804" s="362"/>
      <c r="H804" s="362"/>
      <c r="I804" s="362"/>
      <c r="J804" s="362"/>
    </row>
    <row r="805" spans="1:10">
      <c r="A805" s="345" t="s">
        <v>102</v>
      </c>
      <c r="B805" s="358">
        <v>0</v>
      </c>
      <c r="C805" s="358">
        <v>0</v>
      </c>
      <c r="D805" s="358">
        <v>0</v>
      </c>
      <c r="E805" s="358">
        <v>0</v>
      </c>
      <c r="F805" s="358">
        <v>0</v>
      </c>
      <c r="G805" s="358">
        <v>0</v>
      </c>
      <c r="H805" s="358">
        <v>630.67999999999995</v>
      </c>
      <c r="I805" s="358">
        <v>0</v>
      </c>
      <c r="J805" s="358">
        <f t="shared" ref="J805:J813" si="199">SUM(B805:I805)</f>
        <v>630.67999999999995</v>
      </c>
    </row>
    <row r="806" spans="1:10">
      <c r="A806" s="345" t="s">
        <v>103</v>
      </c>
      <c r="B806" s="358">
        <v>0</v>
      </c>
      <c r="C806" s="358">
        <v>0</v>
      </c>
      <c r="D806" s="358">
        <v>0</v>
      </c>
      <c r="E806" s="358">
        <v>0</v>
      </c>
      <c r="F806" s="358">
        <v>0</v>
      </c>
      <c r="G806" s="358">
        <v>0</v>
      </c>
      <c r="H806" s="358">
        <v>-630.67999999999995</v>
      </c>
      <c r="I806" s="358">
        <v>0</v>
      </c>
      <c r="J806" s="358">
        <f t="shared" si="199"/>
        <v>-630.67999999999995</v>
      </c>
    </row>
    <row r="807" spans="1:10">
      <c r="A807" s="345" t="s">
        <v>104</v>
      </c>
      <c r="B807" s="358">
        <v>0</v>
      </c>
      <c r="C807" s="358">
        <v>0</v>
      </c>
      <c r="D807" s="358">
        <v>0</v>
      </c>
      <c r="E807" s="358">
        <v>0</v>
      </c>
      <c r="F807" s="358">
        <v>0</v>
      </c>
      <c r="G807" s="358">
        <v>0</v>
      </c>
      <c r="H807" s="358">
        <v>891.73</v>
      </c>
      <c r="I807" s="358">
        <v>0</v>
      </c>
      <c r="J807" s="358">
        <f t="shared" si="199"/>
        <v>891.73</v>
      </c>
    </row>
    <row r="808" spans="1:10">
      <c r="A808" s="345" t="s">
        <v>105</v>
      </c>
      <c r="B808" s="358">
        <v>0</v>
      </c>
      <c r="C808" s="358">
        <v>0</v>
      </c>
      <c r="D808" s="358">
        <v>0</v>
      </c>
      <c r="E808" s="358">
        <v>0</v>
      </c>
      <c r="F808" s="358">
        <v>0</v>
      </c>
      <c r="G808" s="358">
        <v>0</v>
      </c>
      <c r="H808" s="358">
        <v>-891.73</v>
      </c>
      <c r="I808" s="358">
        <v>0</v>
      </c>
      <c r="J808" s="358">
        <f t="shared" si="199"/>
        <v>-891.73</v>
      </c>
    </row>
    <row r="809" spans="1:10">
      <c r="A809" s="345" t="s">
        <v>106</v>
      </c>
      <c r="B809" s="358">
        <v>0</v>
      </c>
      <c r="C809" s="358">
        <v>0</v>
      </c>
      <c r="D809" s="358">
        <v>0</v>
      </c>
      <c r="E809" s="358">
        <v>0</v>
      </c>
      <c r="F809" s="358">
        <v>0</v>
      </c>
      <c r="G809" s="358">
        <v>0</v>
      </c>
      <c r="H809" s="358">
        <v>6959.18</v>
      </c>
      <c r="I809" s="358">
        <v>0</v>
      </c>
      <c r="J809" s="358">
        <f t="shared" si="199"/>
        <v>6959.18</v>
      </c>
    </row>
    <row r="810" spans="1:10">
      <c r="A810" s="345" t="s">
        <v>107</v>
      </c>
      <c r="B810" s="358">
        <v>0</v>
      </c>
      <c r="C810" s="358">
        <v>0</v>
      </c>
      <c r="D810" s="358">
        <v>0</v>
      </c>
      <c r="E810" s="358">
        <v>0</v>
      </c>
      <c r="F810" s="358">
        <v>0</v>
      </c>
      <c r="G810" s="358">
        <v>0</v>
      </c>
      <c r="H810" s="358">
        <v>-6959.18</v>
      </c>
      <c r="I810" s="358">
        <v>0</v>
      </c>
      <c r="J810" s="358">
        <f t="shared" si="199"/>
        <v>-6959.18</v>
      </c>
    </row>
    <row r="811" spans="1:10">
      <c r="A811" s="345" t="s">
        <v>108</v>
      </c>
      <c r="B811" s="358">
        <v>0</v>
      </c>
      <c r="C811" s="358">
        <v>0</v>
      </c>
      <c r="D811" s="358">
        <v>0</v>
      </c>
      <c r="E811" s="358">
        <v>0</v>
      </c>
      <c r="F811" s="358">
        <v>0</v>
      </c>
      <c r="G811" s="358">
        <v>0</v>
      </c>
      <c r="H811" s="358">
        <v>6206.58</v>
      </c>
      <c r="I811" s="358">
        <v>0</v>
      </c>
      <c r="J811" s="358">
        <f t="shared" si="199"/>
        <v>6206.58</v>
      </c>
    </row>
    <row r="812" spans="1:10">
      <c r="A812" s="345" t="s">
        <v>109</v>
      </c>
      <c r="B812" s="358">
        <v>0</v>
      </c>
      <c r="C812" s="358">
        <v>0</v>
      </c>
      <c r="D812" s="358">
        <v>0</v>
      </c>
      <c r="E812" s="358">
        <v>0</v>
      </c>
      <c r="F812" s="358">
        <v>0</v>
      </c>
      <c r="G812" s="358">
        <v>0</v>
      </c>
      <c r="H812" s="358">
        <v>-6206.58</v>
      </c>
      <c r="I812" s="358">
        <v>0</v>
      </c>
      <c r="J812" s="358">
        <f t="shared" si="199"/>
        <v>-6206.58</v>
      </c>
    </row>
    <row r="813" spans="1:10">
      <c r="A813" s="345" t="s">
        <v>566</v>
      </c>
      <c r="B813" s="358">
        <v>0</v>
      </c>
      <c r="C813" s="358">
        <v>0</v>
      </c>
      <c r="D813" s="358">
        <v>0</v>
      </c>
      <c r="E813" s="358">
        <v>0</v>
      </c>
      <c r="F813" s="358">
        <v>0</v>
      </c>
      <c r="G813" s="358">
        <v>0</v>
      </c>
      <c r="H813" s="358">
        <v>14292.16</v>
      </c>
      <c r="I813" s="358">
        <v>0</v>
      </c>
      <c r="J813" s="358">
        <f t="shared" si="199"/>
        <v>14292.16</v>
      </c>
    </row>
    <row r="814" spans="1:10">
      <c r="A814" s="369" t="s">
        <v>82</v>
      </c>
      <c r="B814" s="363">
        <f t="shared" ref="B814:J814" si="200">SUM(B805:B813)</f>
        <v>0</v>
      </c>
      <c r="C814" s="363">
        <f t="shared" si="200"/>
        <v>0</v>
      </c>
      <c r="D814" s="363">
        <f t="shared" si="200"/>
        <v>0</v>
      </c>
      <c r="E814" s="363">
        <f t="shared" si="200"/>
        <v>0</v>
      </c>
      <c r="F814" s="363">
        <f t="shared" si="200"/>
        <v>0</v>
      </c>
      <c r="G814" s="363">
        <f t="shared" si="200"/>
        <v>0</v>
      </c>
      <c r="H814" s="363">
        <f t="shared" si="200"/>
        <v>14292.16</v>
      </c>
      <c r="I814" s="363">
        <f t="shared" si="200"/>
        <v>0</v>
      </c>
      <c r="J814" s="363">
        <f t="shared" si="200"/>
        <v>14292.16</v>
      </c>
    </row>
    <row r="815" spans="1:10">
      <c r="A815" s="368" t="s">
        <v>51</v>
      </c>
      <c r="B815" s="362"/>
      <c r="C815" s="362"/>
      <c r="D815" s="362"/>
      <c r="E815" s="362"/>
      <c r="F815" s="362"/>
      <c r="G815" s="362"/>
      <c r="H815" s="362"/>
      <c r="I815" s="362"/>
      <c r="J815" s="362"/>
    </row>
    <row r="816" spans="1:10">
      <c r="A816" s="345" t="s">
        <v>110</v>
      </c>
      <c r="B816" s="358">
        <v>0</v>
      </c>
      <c r="C816" s="358">
        <v>0</v>
      </c>
      <c r="D816" s="358">
        <v>0</v>
      </c>
      <c r="E816" s="358">
        <v>0</v>
      </c>
      <c r="F816" s="358">
        <v>0</v>
      </c>
      <c r="G816" s="358">
        <v>0</v>
      </c>
      <c r="H816" s="358">
        <v>14596.23</v>
      </c>
      <c r="I816" s="358">
        <v>0</v>
      </c>
      <c r="J816" s="358">
        <f>SUM(B816:I816)</f>
        <v>14596.23</v>
      </c>
    </row>
    <row r="817" spans="1:10">
      <c r="A817" s="345" t="s">
        <v>111</v>
      </c>
      <c r="B817" s="358">
        <v>0</v>
      </c>
      <c r="C817" s="358">
        <v>0</v>
      </c>
      <c r="D817" s="358">
        <v>0</v>
      </c>
      <c r="E817" s="358">
        <v>0</v>
      </c>
      <c r="F817" s="358">
        <v>0</v>
      </c>
      <c r="G817" s="358">
        <v>0</v>
      </c>
      <c r="H817" s="358">
        <v>27444.75</v>
      </c>
      <c r="I817" s="358">
        <v>0</v>
      </c>
      <c r="J817" s="358">
        <f>SUM(B817:I817)</f>
        <v>27444.75</v>
      </c>
    </row>
    <row r="818" spans="1:10">
      <c r="A818" s="369" t="s">
        <v>54</v>
      </c>
      <c r="B818" s="363">
        <f t="shared" ref="B818:J818" si="201">SUM(B816:B817)</f>
        <v>0</v>
      </c>
      <c r="C818" s="363">
        <f t="shared" si="201"/>
        <v>0</v>
      </c>
      <c r="D818" s="363">
        <f t="shared" si="201"/>
        <v>0</v>
      </c>
      <c r="E818" s="363">
        <f t="shared" si="201"/>
        <v>0</v>
      </c>
      <c r="F818" s="363">
        <f t="shared" si="201"/>
        <v>0</v>
      </c>
      <c r="G818" s="363">
        <f t="shared" si="201"/>
        <v>0</v>
      </c>
      <c r="H818" s="363">
        <f t="shared" si="201"/>
        <v>42040.979999999996</v>
      </c>
      <c r="I818" s="363">
        <f t="shared" si="201"/>
        <v>0</v>
      </c>
      <c r="J818" s="363">
        <f t="shared" si="201"/>
        <v>42040.979999999996</v>
      </c>
    </row>
    <row r="819" spans="1:10">
      <c r="A819" s="368" t="s">
        <v>113</v>
      </c>
      <c r="B819" s="362"/>
      <c r="C819" s="362"/>
      <c r="D819" s="362"/>
      <c r="E819" s="362"/>
      <c r="F819" s="362"/>
      <c r="G819" s="362"/>
      <c r="H819" s="362"/>
      <c r="I819" s="362"/>
      <c r="J819" s="362"/>
    </row>
    <row r="820" spans="1:10">
      <c r="A820" s="345" t="s">
        <v>114</v>
      </c>
      <c r="B820" s="358">
        <v>0</v>
      </c>
      <c r="C820" s="358">
        <v>0</v>
      </c>
      <c r="D820" s="358">
        <v>0</v>
      </c>
      <c r="E820" s="358">
        <v>0</v>
      </c>
      <c r="F820" s="358">
        <v>0</v>
      </c>
      <c r="G820" s="358">
        <v>0</v>
      </c>
      <c r="H820" s="358">
        <v>11315</v>
      </c>
      <c r="I820" s="358">
        <v>0</v>
      </c>
      <c r="J820" s="358">
        <f>SUM(B820:I820)</f>
        <v>11315</v>
      </c>
    </row>
    <row r="821" spans="1:10">
      <c r="A821" s="369" t="s">
        <v>115</v>
      </c>
      <c r="B821" s="363">
        <f t="shared" ref="B821:J821" si="202">SUM(B820)</f>
        <v>0</v>
      </c>
      <c r="C821" s="363">
        <f t="shared" si="202"/>
        <v>0</v>
      </c>
      <c r="D821" s="363">
        <f t="shared" si="202"/>
        <v>0</v>
      </c>
      <c r="E821" s="363">
        <f t="shared" si="202"/>
        <v>0</v>
      </c>
      <c r="F821" s="363">
        <f t="shared" si="202"/>
        <v>0</v>
      </c>
      <c r="G821" s="363">
        <f t="shared" si="202"/>
        <v>0</v>
      </c>
      <c r="H821" s="363">
        <f t="shared" si="202"/>
        <v>11315</v>
      </c>
      <c r="I821" s="363">
        <f t="shared" si="202"/>
        <v>0</v>
      </c>
      <c r="J821" s="363">
        <f t="shared" si="202"/>
        <v>11315</v>
      </c>
    </row>
    <row r="822" spans="1:10">
      <c r="A822" s="368" t="s">
        <v>77</v>
      </c>
      <c r="B822" s="362"/>
      <c r="C822" s="362"/>
      <c r="D822" s="362"/>
      <c r="E822" s="362"/>
      <c r="F822" s="362"/>
      <c r="G822" s="362"/>
      <c r="H822" s="362"/>
      <c r="I822" s="362"/>
      <c r="J822" s="362"/>
    </row>
    <row r="823" spans="1:10">
      <c r="A823" s="345" t="s">
        <v>78</v>
      </c>
      <c r="B823" s="358">
        <v>0</v>
      </c>
      <c r="C823" s="358">
        <v>0</v>
      </c>
      <c r="D823" s="358">
        <v>0</v>
      </c>
      <c r="E823" s="358">
        <v>0</v>
      </c>
      <c r="F823" s="358">
        <v>0</v>
      </c>
      <c r="G823" s="358">
        <v>0</v>
      </c>
      <c r="H823" s="358">
        <v>227.42</v>
      </c>
      <c r="I823" s="358">
        <v>0</v>
      </c>
      <c r="J823" s="358">
        <f>SUM(B823:I823)</f>
        <v>227.42</v>
      </c>
    </row>
    <row r="824" spans="1:10">
      <c r="A824" s="369" t="s">
        <v>79</v>
      </c>
      <c r="B824" s="363">
        <f t="shared" ref="B824:J824" si="203">SUM(B823)</f>
        <v>0</v>
      </c>
      <c r="C824" s="363">
        <f t="shared" si="203"/>
        <v>0</v>
      </c>
      <c r="D824" s="363">
        <f t="shared" si="203"/>
        <v>0</v>
      </c>
      <c r="E824" s="363">
        <f t="shared" si="203"/>
        <v>0</v>
      </c>
      <c r="F824" s="363">
        <f t="shared" si="203"/>
        <v>0</v>
      </c>
      <c r="G824" s="363">
        <f t="shared" si="203"/>
        <v>0</v>
      </c>
      <c r="H824" s="363">
        <f t="shared" si="203"/>
        <v>227.42</v>
      </c>
      <c r="I824" s="363">
        <f t="shared" si="203"/>
        <v>0</v>
      </c>
      <c r="J824" s="363">
        <f t="shared" si="203"/>
        <v>227.42</v>
      </c>
    </row>
    <row r="825" spans="1:10">
      <c r="A825" s="368" t="s">
        <v>116</v>
      </c>
      <c r="B825" s="362"/>
      <c r="C825" s="362"/>
      <c r="D825" s="362"/>
      <c r="E825" s="362"/>
      <c r="F825" s="362"/>
      <c r="G825" s="362"/>
      <c r="H825" s="362"/>
      <c r="I825" s="362"/>
      <c r="J825" s="362"/>
    </row>
    <row r="826" spans="1:10">
      <c r="A826" s="345" t="s">
        <v>117</v>
      </c>
      <c r="B826" s="358">
        <v>0</v>
      </c>
      <c r="C826" s="358">
        <v>0</v>
      </c>
      <c r="D826" s="358">
        <v>0</v>
      </c>
      <c r="E826" s="358">
        <v>0</v>
      </c>
      <c r="F826" s="358">
        <v>0</v>
      </c>
      <c r="G826" s="358">
        <v>0</v>
      </c>
      <c r="H826" s="358">
        <v>807.35</v>
      </c>
      <c r="I826" s="358">
        <v>0</v>
      </c>
      <c r="J826" s="358">
        <f>SUM(B826:I826)</f>
        <v>807.35</v>
      </c>
    </row>
    <row r="827" spans="1:10">
      <c r="A827" s="369" t="s">
        <v>119</v>
      </c>
      <c r="B827" s="363">
        <f t="shared" ref="B827:J827" si="204">SUM(B826)</f>
        <v>0</v>
      </c>
      <c r="C827" s="363">
        <f t="shared" si="204"/>
        <v>0</v>
      </c>
      <c r="D827" s="363">
        <f t="shared" si="204"/>
        <v>0</v>
      </c>
      <c r="E827" s="363">
        <f t="shared" si="204"/>
        <v>0</v>
      </c>
      <c r="F827" s="363">
        <f t="shared" si="204"/>
        <v>0</v>
      </c>
      <c r="G827" s="363">
        <f t="shared" si="204"/>
        <v>0</v>
      </c>
      <c r="H827" s="363">
        <f t="shared" si="204"/>
        <v>807.35</v>
      </c>
      <c r="I827" s="363">
        <f t="shared" si="204"/>
        <v>0</v>
      </c>
      <c r="J827" s="363">
        <f t="shared" si="204"/>
        <v>807.35</v>
      </c>
    </row>
    <row r="828" spans="1:10">
      <c r="A828" s="368" t="s">
        <v>132</v>
      </c>
      <c r="B828" s="362"/>
      <c r="C828" s="362"/>
      <c r="D828" s="362"/>
      <c r="E828" s="362"/>
      <c r="F828" s="362"/>
      <c r="G828" s="362"/>
      <c r="H828" s="362"/>
      <c r="I828" s="362"/>
      <c r="J828" s="362"/>
    </row>
    <row r="829" spans="1:10">
      <c r="A829" s="355" t="s">
        <v>183</v>
      </c>
      <c r="B829" s="362"/>
      <c r="C829" s="362"/>
      <c r="D829" s="362"/>
      <c r="E829" s="362"/>
      <c r="F829" s="362"/>
      <c r="G829" s="362"/>
      <c r="H829" s="362"/>
      <c r="I829" s="362"/>
      <c r="J829" s="362"/>
    </row>
    <row r="830" spans="1:10">
      <c r="A830" s="354" t="s">
        <v>184</v>
      </c>
      <c r="B830" s="358">
        <v>0</v>
      </c>
      <c r="C830" s="358">
        <v>0</v>
      </c>
      <c r="D830" s="358">
        <v>0</v>
      </c>
      <c r="E830" s="358">
        <v>0</v>
      </c>
      <c r="F830" s="358">
        <v>17081.7</v>
      </c>
      <c r="G830" s="358">
        <v>33101.35</v>
      </c>
      <c r="H830" s="358">
        <v>35573.89</v>
      </c>
      <c r="I830" s="358">
        <v>8330.35</v>
      </c>
      <c r="J830" s="358">
        <f>SUM(B830:I830)</f>
        <v>94087.290000000008</v>
      </c>
    </row>
    <row r="831" spans="1:10">
      <c r="A831" s="354" t="s">
        <v>185</v>
      </c>
      <c r="B831" s="358">
        <v>0</v>
      </c>
      <c r="C831" s="358">
        <v>0</v>
      </c>
      <c r="D831" s="358">
        <v>0</v>
      </c>
      <c r="E831" s="358">
        <v>0</v>
      </c>
      <c r="F831" s="358">
        <v>624.58000000000004</v>
      </c>
      <c r="G831" s="358">
        <v>0</v>
      </c>
      <c r="H831" s="358">
        <v>99340.479999999996</v>
      </c>
      <c r="I831" s="358">
        <v>0</v>
      </c>
      <c r="J831" s="358">
        <f>SUM(B831:I831)</f>
        <v>99965.06</v>
      </c>
    </row>
    <row r="832" spans="1:10">
      <c r="A832" s="354" t="s">
        <v>186</v>
      </c>
      <c r="B832" s="358">
        <v>0</v>
      </c>
      <c r="C832" s="358">
        <v>0</v>
      </c>
      <c r="D832" s="358">
        <v>0</v>
      </c>
      <c r="E832" s="358">
        <v>24314.89</v>
      </c>
      <c r="F832" s="358">
        <v>111266.14</v>
      </c>
      <c r="G832" s="358">
        <v>14090</v>
      </c>
      <c r="H832" s="358">
        <v>35612.410000000003</v>
      </c>
      <c r="I832" s="358">
        <v>0</v>
      </c>
      <c r="J832" s="358">
        <f>SUM(B832:I832)</f>
        <v>185283.44</v>
      </c>
    </row>
    <row r="833" spans="1:10">
      <c r="A833" s="354" t="s">
        <v>187</v>
      </c>
      <c r="B833" s="358">
        <v>0</v>
      </c>
      <c r="C833" s="358">
        <v>0</v>
      </c>
      <c r="D833" s="358">
        <v>0</v>
      </c>
      <c r="E833" s="358">
        <v>0</v>
      </c>
      <c r="F833" s="358">
        <v>0</v>
      </c>
      <c r="G833" s="358">
        <v>0</v>
      </c>
      <c r="H833" s="358">
        <v>8162.27</v>
      </c>
      <c r="I833" s="358">
        <v>3975.26</v>
      </c>
      <c r="J833" s="358">
        <f>SUM(B833:I833)</f>
        <v>12137.53</v>
      </c>
    </row>
    <row r="834" spans="1:10">
      <c r="A834" s="356" t="s">
        <v>189</v>
      </c>
      <c r="B834" s="363">
        <f t="shared" ref="B834:J834" si="205">SUM(B830:B833)</f>
        <v>0</v>
      </c>
      <c r="C834" s="363">
        <f t="shared" si="205"/>
        <v>0</v>
      </c>
      <c r="D834" s="363">
        <f t="shared" si="205"/>
        <v>0</v>
      </c>
      <c r="E834" s="363">
        <f t="shared" si="205"/>
        <v>24314.89</v>
      </c>
      <c r="F834" s="363">
        <f t="shared" si="205"/>
        <v>128972.42</v>
      </c>
      <c r="G834" s="363">
        <f t="shared" si="205"/>
        <v>47191.35</v>
      </c>
      <c r="H834" s="363">
        <f t="shared" si="205"/>
        <v>178689.05</v>
      </c>
      <c r="I834" s="363">
        <f t="shared" si="205"/>
        <v>12305.61</v>
      </c>
      <c r="J834" s="363">
        <f t="shared" si="205"/>
        <v>391473.32000000007</v>
      </c>
    </row>
    <row r="835" spans="1:10">
      <c r="A835" s="369" t="s">
        <v>136</v>
      </c>
      <c r="B835" s="363">
        <f t="shared" ref="B835:J835" si="206">SUM(B834)</f>
        <v>0</v>
      </c>
      <c r="C835" s="363">
        <f t="shared" si="206"/>
        <v>0</v>
      </c>
      <c r="D835" s="363">
        <f t="shared" si="206"/>
        <v>0</v>
      </c>
      <c r="E835" s="363">
        <f t="shared" si="206"/>
        <v>24314.89</v>
      </c>
      <c r="F835" s="363">
        <f t="shared" si="206"/>
        <v>128972.42</v>
      </c>
      <c r="G835" s="363">
        <f t="shared" si="206"/>
        <v>47191.35</v>
      </c>
      <c r="H835" s="363">
        <f t="shared" si="206"/>
        <v>178689.05</v>
      </c>
      <c r="I835" s="363">
        <f t="shared" si="206"/>
        <v>12305.61</v>
      </c>
      <c r="J835" s="363">
        <f t="shared" si="206"/>
        <v>391473.32000000007</v>
      </c>
    </row>
    <row r="836" spans="1:10">
      <c r="A836" s="368" t="s">
        <v>60</v>
      </c>
      <c r="B836" s="362"/>
      <c r="C836" s="362"/>
      <c r="D836" s="362"/>
      <c r="E836" s="362"/>
      <c r="F836" s="362"/>
      <c r="G836" s="362"/>
      <c r="H836" s="362"/>
      <c r="I836" s="362"/>
      <c r="J836" s="362"/>
    </row>
    <row r="837" spans="1:10">
      <c r="A837" s="355" t="s">
        <v>68</v>
      </c>
      <c r="B837" s="362"/>
      <c r="C837" s="362"/>
      <c r="D837" s="362"/>
      <c r="E837" s="362"/>
      <c r="F837" s="362"/>
      <c r="G837" s="362"/>
      <c r="H837" s="362"/>
      <c r="I837" s="362"/>
      <c r="J837" s="362"/>
    </row>
    <row r="838" spans="1:10">
      <c r="A838" s="354" t="s">
        <v>69</v>
      </c>
      <c r="B838" s="358">
        <v>0</v>
      </c>
      <c r="C838" s="358">
        <v>0</v>
      </c>
      <c r="D838" s="358">
        <v>0</v>
      </c>
      <c r="E838" s="358">
        <v>0</v>
      </c>
      <c r="F838" s="358">
        <v>0</v>
      </c>
      <c r="G838" s="358">
        <v>0</v>
      </c>
      <c r="H838" s="358">
        <v>11987.38</v>
      </c>
      <c r="I838" s="358">
        <v>0</v>
      </c>
      <c r="J838" s="358">
        <f>SUM(B838:I838)</f>
        <v>11987.38</v>
      </c>
    </row>
    <row r="839" spans="1:10">
      <c r="A839" s="354" t="s">
        <v>148</v>
      </c>
      <c r="B839" s="358">
        <v>0</v>
      </c>
      <c r="C839" s="358">
        <v>0</v>
      </c>
      <c r="D839" s="358">
        <v>0</v>
      </c>
      <c r="E839" s="358">
        <v>0</v>
      </c>
      <c r="F839" s="358">
        <v>0</v>
      </c>
      <c r="G839" s="358">
        <v>0</v>
      </c>
      <c r="H839" s="358">
        <v>-116.43</v>
      </c>
      <c r="I839" s="358">
        <v>0</v>
      </c>
      <c r="J839" s="358">
        <f>SUM(B839:I839)</f>
        <v>-116.43</v>
      </c>
    </row>
    <row r="840" spans="1:10">
      <c r="A840" s="356" t="s">
        <v>70</v>
      </c>
      <c r="B840" s="363">
        <f t="shared" ref="B840:J840" si="207">SUM(B838:B839)</f>
        <v>0</v>
      </c>
      <c r="C840" s="363">
        <f t="shared" si="207"/>
        <v>0</v>
      </c>
      <c r="D840" s="363">
        <f t="shared" si="207"/>
        <v>0</v>
      </c>
      <c r="E840" s="363">
        <f t="shared" si="207"/>
        <v>0</v>
      </c>
      <c r="F840" s="363">
        <f t="shared" si="207"/>
        <v>0</v>
      </c>
      <c r="G840" s="363">
        <f t="shared" si="207"/>
        <v>0</v>
      </c>
      <c r="H840" s="363">
        <f t="shared" si="207"/>
        <v>11870.949999999999</v>
      </c>
      <c r="I840" s="363">
        <f t="shared" si="207"/>
        <v>0</v>
      </c>
      <c r="J840" s="363">
        <f t="shared" si="207"/>
        <v>11870.949999999999</v>
      </c>
    </row>
    <row r="841" spans="1:10">
      <c r="A841" s="355" t="s">
        <v>71</v>
      </c>
      <c r="B841" s="362"/>
      <c r="C841" s="362"/>
      <c r="D841" s="362"/>
      <c r="E841" s="362"/>
      <c r="F841" s="362"/>
      <c r="G841" s="362"/>
      <c r="H841" s="362"/>
      <c r="I841" s="362"/>
      <c r="J841" s="362"/>
    </row>
    <row r="842" spans="1:10">
      <c r="A842" s="354" t="s">
        <v>72</v>
      </c>
      <c r="B842" s="358">
        <v>0</v>
      </c>
      <c r="C842" s="358">
        <v>0</v>
      </c>
      <c r="D842" s="358">
        <v>0</v>
      </c>
      <c r="E842" s="358">
        <v>0</v>
      </c>
      <c r="F842" s="358">
        <v>0</v>
      </c>
      <c r="G842" s="358">
        <v>0</v>
      </c>
      <c r="H842" s="358">
        <v>195.29</v>
      </c>
      <c r="I842" s="358">
        <v>0</v>
      </c>
      <c r="J842" s="358">
        <f>SUM(B842:I842)</f>
        <v>195.29</v>
      </c>
    </row>
    <row r="843" spans="1:10">
      <c r="A843" s="354" t="s">
        <v>137</v>
      </c>
      <c r="B843" s="358">
        <v>0</v>
      </c>
      <c r="C843" s="358">
        <v>0</v>
      </c>
      <c r="D843" s="358">
        <v>0</v>
      </c>
      <c r="E843" s="358">
        <v>0</v>
      </c>
      <c r="F843" s="358">
        <v>0</v>
      </c>
      <c r="G843" s="358">
        <v>0</v>
      </c>
      <c r="H843" s="358">
        <v>167.55</v>
      </c>
      <c r="I843" s="358">
        <v>0</v>
      </c>
      <c r="J843" s="358">
        <f>SUM(B843:I843)</f>
        <v>167.55</v>
      </c>
    </row>
    <row r="844" spans="1:10">
      <c r="A844" s="354" t="s">
        <v>74</v>
      </c>
      <c r="B844" s="358">
        <v>0</v>
      </c>
      <c r="C844" s="358">
        <v>0</v>
      </c>
      <c r="D844" s="358">
        <v>0</v>
      </c>
      <c r="E844" s="358">
        <v>0</v>
      </c>
      <c r="F844" s="358">
        <v>0</v>
      </c>
      <c r="G844" s="358">
        <v>0</v>
      </c>
      <c r="H844" s="358">
        <v>2367.88</v>
      </c>
      <c r="I844" s="358">
        <v>0</v>
      </c>
      <c r="J844" s="358">
        <f>SUM(B844:I844)</f>
        <v>2367.88</v>
      </c>
    </row>
    <row r="845" spans="1:10">
      <c r="A845" s="356" t="s">
        <v>75</v>
      </c>
      <c r="B845" s="363">
        <f t="shared" ref="B845:J845" si="208">SUM(B842:B844)</f>
        <v>0</v>
      </c>
      <c r="C845" s="363">
        <f t="shared" si="208"/>
        <v>0</v>
      </c>
      <c r="D845" s="363">
        <f t="shared" si="208"/>
        <v>0</v>
      </c>
      <c r="E845" s="363">
        <f t="shared" si="208"/>
        <v>0</v>
      </c>
      <c r="F845" s="363">
        <f t="shared" si="208"/>
        <v>0</v>
      </c>
      <c r="G845" s="363">
        <f t="shared" si="208"/>
        <v>0</v>
      </c>
      <c r="H845" s="363">
        <f t="shared" si="208"/>
        <v>2730.7200000000003</v>
      </c>
      <c r="I845" s="363">
        <f t="shared" si="208"/>
        <v>0</v>
      </c>
      <c r="J845" s="363">
        <f t="shared" si="208"/>
        <v>2730.7200000000003</v>
      </c>
    </row>
    <row r="846" spans="1:10">
      <c r="A846" s="355" t="s">
        <v>64</v>
      </c>
      <c r="B846" s="362"/>
      <c r="C846" s="362"/>
      <c r="D846" s="362"/>
      <c r="E846" s="362"/>
      <c r="F846" s="362"/>
      <c r="G846" s="362"/>
      <c r="H846" s="362"/>
      <c r="I846" s="362"/>
      <c r="J846" s="362"/>
    </row>
    <row r="847" spans="1:10">
      <c r="A847" s="354" t="s">
        <v>66</v>
      </c>
      <c r="B847" s="358">
        <v>0</v>
      </c>
      <c r="C847" s="358">
        <v>0</v>
      </c>
      <c r="D847" s="358">
        <v>0</v>
      </c>
      <c r="E847" s="358">
        <v>0</v>
      </c>
      <c r="F847" s="358">
        <v>0</v>
      </c>
      <c r="G847" s="358">
        <v>0</v>
      </c>
      <c r="H847" s="358">
        <v>223.94</v>
      </c>
      <c r="I847" s="358">
        <v>0</v>
      </c>
      <c r="J847" s="358">
        <f>SUM(B847:I847)</f>
        <v>223.94</v>
      </c>
    </row>
    <row r="848" spans="1:10">
      <c r="A848" s="354" t="s">
        <v>65</v>
      </c>
      <c r="B848" s="358">
        <v>0</v>
      </c>
      <c r="C848" s="358">
        <v>0</v>
      </c>
      <c r="D848" s="358">
        <v>0</v>
      </c>
      <c r="E848" s="358">
        <v>0</v>
      </c>
      <c r="F848" s="358">
        <v>0</v>
      </c>
      <c r="G848" s="358">
        <v>0</v>
      </c>
      <c r="H848" s="358">
        <v>170.3</v>
      </c>
      <c r="I848" s="358">
        <v>0</v>
      </c>
      <c r="J848" s="358">
        <f>SUM(B848:I848)</f>
        <v>170.3</v>
      </c>
    </row>
    <row r="849" spans="1:10">
      <c r="A849" s="356" t="s">
        <v>67</v>
      </c>
      <c r="B849" s="363">
        <f t="shared" ref="B849:J849" si="209">SUM(B847:B848)</f>
        <v>0</v>
      </c>
      <c r="C849" s="363">
        <f t="shared" si="209"/>
        <v>0</v>
      </c>
      <c r="D849" s="363">
        <f t="shared" si="209"/>
        <v>0</v>
      </c>
      <c r="E849" s="363">
        <f t="shared" si="209"/>
        <v>0</v>
      </c>
      <c r="F849" s="363">
        <f t="shared" si="209"/>
        <v>0</v>
      </c>
      <c r="G849" s="363">
        <f t="shared" si="209"/>
        <v>0</v>
      </c>
      <c r="H849" s="363">
        <f t="shared" si="209"/>
        <v>394.24</v>
      </c>
      <c r="I849" s="363">
        <f t="shared" si="209"/>
        <v>0</v>
      </c>
      <c r="J849" s="363">
        <f t="shared" si="209"/>
        <v>394.24</v>
      </c>
    </row>
    <row r="850" spans="1:10">
      <c r="A850" s="355" t="s">
        <v>61</v>
      </c>
      <c r="B850" s="362"/>
      <c r="C850" s="362"/>
      <c r="D850" s="362"/>
      <c r="E850" s="362"/>
      <c r="F850" s="362"/>
      <c r="G850" s="362"/>
      <c r="H850" s="362"/>
      <c r="I850" s="362"/>
      <c r="J850" s="362"/>
    </row>
    <row r="851" spans="1:10">
      <c r="A851" s="354" t="s">
        <v>180</v>
      </c>
      <c r="B851" s="358">
        <v>0</v>
      </c>
      <c r="C851" s="358">
        <v>0</v>
      </c>
      <c r="D851" s="358">
        <v>0</v>
      </c>
      <c r="E851" s="358">
        <v>0</v>
      </c>
      <c r="F851" s="358">
        <v>0</v>
      </c>
      <c r="G851" s="358">
        <v>0</v>
      </c>
      <c r="H851" s="358">
        <v>423</v>
      </c>
      <c r="I851" s="358">
        <v>798.59</v>
      </c>
      <c r="J851" s="358">
        <f>SUM(B851:I851)</f>
        <v>1221.5900000000001</v>
      </c>
    </row>
    <row r="852" spans="1:10">
      <c r="A852" s="356" t="s">
        <v>63</v>
      </c>
      <c r="B852" s="363">
        <f t="shared" ref="B852:J852" si="210">SUM(B851)</f>
        <v>0</v>
      </c>
      <c r="C852" s="363">
        <f t="shared" si="210"/>
        <v>0</v>
      </c>
      <c r="D852" s="363">
        <f t="shared" si="210"/>
        <v>0</v>
      </c>
      <c r="E852" s="363">
        <f t="shared" si="210"/>
        <v>0</v>
      </c>
      <c r="F852" s="363">
        <f t="shared" si="210"/>
        <v>0</v>
      </c>
      <c r="G852" s="363">
        <f t="shared" si="210"/>
        <v>0</v>
      </c>
      <c r="H852" s="363">
        <f t="shared" si="210"/>
        <v>423</v>
      </c>
      <c r="I852" s="363">
        <f t="shared" si="210"/>
        <v>798.59</v>
      </c>
      <c r="J852" s="363">
        <f t="shared" si="210"/>
        <v>1221.5900000000001</v>
      </c>
    </row>
    <row r="853" spans="1:10">
      <c r="A853" s="369" t="s">
        <v>76</v>
      </c>
      <c r="B853" s="363">
        <f t="shared" ref="B853:J853" si="211">SUM(B840,B845,B849,B852)</f>
        <v>0</v>
      </c>
      <c r="C853" s="363">
        <f t="shared" si="211"/>
        <v>0</v>
      </c>
      <c r="D853" s="363">
        <f t="shared" si="211"/>
        <v>0</v>
      </c>
      <c r="E853" s="363">
        <f t="shared" si="211"/>
        <v>0</v>
      </c>
      <c r="F853" s="363">
        <f t="shared" si="211"/>
        <v>0</v>
      </c>
      <c r="G853" s="363">
        <f t="shared" si="211"/>
        <v>0</v>
      </c>
      <c r="H853" s="363">
        <f t="shared" si="211"/>
        <v>15418.909999999998</v>
      </c>
      <c r="I853" s="363">
        <f t="shared" si="211"/>
        <v>798.59</v>
      </c>
      <c r="J853" s="363">
        <f t="shared" si="211"/>
        <v>16217.499999999998</v>
      </c>
    </row>
    <row r="854" spans="1:10">
      <c r="A854" s="368" t="s">
        <v>162</v>
      </c>
      <c r="B854" s="362"/>
      <c r="C854" s="362"/>
      <c r="D854" s="362"/>
      <c r="E854" s="362"/>
      <c r="F854" s="362"/>
      <c r="G854" s="362"/>
      <c r="H854" s="362"/>
      <c r="I854" s="362"/>
      <c r="J854" s="362"/>
    </row>
    <row r="855" spans="1:10">
      <c r="A855" s="345" t="s">
        <v>163</v>
      </c>
      <c r="B855" s="358">
        <v>0</v>
      </c>
      <c r="C855" s="358">
        <v>0</v>
      </c>
      <c r="D855" s="358">
        <v>0</v>
      </c>
      <c r="E855" s="358">
        <v>0</v>
      </c>
      <c r="F855" s="358">
        <v>0</v>
      </c>
      <c r="G855" s="358">
        <v>0</v>
      </c>
      <c r="H855" s="358">
        <v>7366.96</v>
      </c>
      <c r="I855" s="358">
        <v>1504.68</v>
      </c>
      <c r="J855" s="358">
        <f>SUM(B855:I855)</f>
        <v>8871.64</v>
      </c>
    </row>
    <row r="856" spans="1:10">
      <c r="A856" s="345" t="s">
        <v>191</v>
      </c>
      <c r="B856" s="358">
        <v>0</v>
      </c>
      <c r="C856" s="358">
        <v>0</v>
      </c>
      <c r="D856" s="358">
        <v>0</v>
      </c>
      <c r="E856" s="358">
        <v>0</v>
      </c>
      <c r="F856" s="358">
        <v>0</v>
      </c>
      <c r="G856" s="358">
        <v>0</v>
      </c>
      <c r="H856" s="358">
        <v>165.64</v>
      </c>
      <c r="I856" s="358">
        <v>0</v>
      </c>
      <c r="J856" s="358">
        <f>SUM(B856:I856)</f>
        <v>165.64</v>
      </c>
    </row>
    <row r="857" spans="1:10">
      <c r="A857" s="369" t="s">
        <v>165</v>
      </c>
      <c r="B857" s="363">
        <f t="shared" ref="B857:J857" si="212">SUM(B855:B856)</f>
        <v>0</v>
      </c>
      <c r="C857" s="363">
        <f t="shared" si="212"/>
        <v>0</v>
      </c>
      <c r="D857" s="363">
        <f t="shared" si="212"/>
        <v>0</v>
      </c>
      <c r="E857" s="363">
        <f t="shared" si="212"/>
        <v>0</v>
      </c>
      <c r="F857" s="363">
        <f t="shared" si="212"/>
        <v>0</v>
      </c>
      <c r="G857" s="363">
        <f t="shared" si="212"/>
        <v>0</v>
      </c>
      <c r="H857" s="363">
        <f t="shared" si="212"/>
        <v>7532.6</v>
      </c>
      <c r="I857" s="363">
        <f t="shared" si="212"/>
        <v>1504.68</v>
      </c>
      <c r="J857" s="363">
        <f t="shared" si="212"/>
        <v>9037.2799999999988</v>
      </c>
    </row>
    <row r="858" spans="1:10">
      <c r="A858" s="368" t="s">
        <v>55</v>
      </c>
      <c r="B858" s="362"/>
      <c r="C858" s="362"/>
      <c r="D858" s="362"/>
      <c r="E858" s="362"/>
      <c r="F858" s="362"/>
      <c r="G858" s="362"/>
      <c r="H858" s="362"/>
      <c r="I858" s="362"/>
      <c r="J858" s="362"/>
    </row>
    <row r="859" spans="1:10">
      <c r="A859" s="345" t="s">
        <v>56</v>
      </c>
      <c r="B859" s="358">
        <v>0</v>
      </c>
      <c r="C859" s="358">
        <v>0</v>
      </c>
      <c r="D859" s="358">
        <v>0</v>
      </c>
      <c r="E859" s="358">
        <v>0</v>
      </c>
      <c r="F859" s="358">
        <v>0</v>
      </c>
      <c r="G859" s="358">
        <v>0</v>
      </c>
      <c r="H859" s="358">
        <v>1592.78</v>
      </c>
      <c r="I859" s="358">
        <v>0</v>
      </c>
      <c r="J859" s="358">
        <f>SUM(B859:I859)</f>
        <v>1592.78</v>
      </c>
    </row>
    <row r="860" spans="1:10">
      <c r="A860" s="345" t="s">
        <v>58</v>
      </c>
      <c r="B860" s="358">
        <v>0</v>
      </c>
      <c r="C860" s="358">
        <v>0</v>
      </c>
      <c r="D860" s="358">
        <v>0</v>
      </c>
      <c r="E860" s="358">
        <v>0</v>
      </c>
      <c r="F860" s="358">
        <v>0</v>
      </c>
      <c r="G860" s="358">
        <v>0</v>
      </c>
      <c r="H860" s="358">
        <v>7.85</v>
      </c>
      <c r="I860" s="358">
        <v>0</v>
      </c>
      <c r="J860" s="358">
        <f>SUM(B860:I860)</f>
        <v>7.85</v>
      </c>
    </row>
    <row r="861" spans="1:10">
      <c r="A861" s="345" t="s">
        <v>57</v>
      </c>
      <c r="B861" s="358">
        <v>0</v>
      </c>
      <c r="C861" s="358">
        <v>0</v>
      </c>
      <c r="D861" s="358">
        <v>0</v>
      </c>
      <c r="E861" s="358">
        <v>0</v>
      </c>
      <c r="F861" s="358">
        <v>0</v>
      </c>
      <c r="G861" s="358">
        <v>0</v>
      </c>
      <c r="H861" s="358">
        <v>118.17</v>
      </c>
      <c r="I861" s="358">
        <v>0</v>
      </c>
      <c r="J861" s="358">
        <f>SUM(B861:I861)</f>
        <v>118.17</v>
      </c>
    </row>
    <row r="862" spans="1:10">
      <c r="A862" s="369" t="s">
        <v>59</v>
      </c>
      <c r="B862" s="363">
        <f t="shared" ref="B862:J862" si="213">SUM(B859:B861)</f>
        <v>0</v>
      </c>
      <c r="C862" s="363">
        <f t="shared" si="213"/>
        <v>0</v>
      </c>
      <c r="D862" s="363">
        <f t="shared" si="213"/>
        <v>0</v>
      </c>
      <c r="E862" s="363">
        <f t="shared" si="213"/>
        <v>0</v>
      </c>
      <c r="F862" s="363">
        <f t="shared" si="213"/>
        <v>0</v>
      </c>
      <c r="G862" s="363">
        <f t="shared" si="213"/>
        <v>0</v>
      </c>
      <c r="H862" s="363">
        <f t="shared" si="213"/>
        <v>1718.8</v>
      </c>
      <c r="I862" s="363">
        <f t="shared" si="213"/>
        <v>0</v>
      </c>
      <c r="J862" s="363">
        <f t="shared" si="213"/>
        <v>1718.8</v>
      </c>
    </row>
    <row r="863" spans="1:10">
      <c r="A863" s="370" t="s">
        <v>192</v>
      </c>
      <c r="B863" s="363">
        <f t="shared" ref="B863:J863" si="214">SUM(B803,B814,B818,B821,B824,B827,B835,B853,B857,B862)</f>
        <v>0</v>
      </c>
      <c r="C863" s="363">
        <f t="shared" si="214"/>
        <v>0</v>
      </c>
      <c r="D863" s="363">
        <f t="shared" si="214"/>
        <v>0</v>
      </c>
      <c r="E863" s="363">
        <f t="shared" si="214"/>
        <v>24314.89</v>
      </c>
      <c r="F863" s="363">
        <f t="shared" si="214"/>
        <v>128972.42</v>
      </c>
      <c r="G863" s="363">
        <f t="shared" si="214"/>
        <v>47191.35</v>
      </c>
      <c r="H863" s="363">
        <f t="shared" si="214"/>
        <v>463136.90999999992</v>
      </c>
      <c r="I863" s="363">
        <f t="shared" si="214"/>
        <v>14608.880000000001</v>
      </c>
      <c r="J863" s="363">
        <f t="shared" si="214"/>
        <v>678224.45000000019</v>
      </c>
    </row>
    <row r="864" spans="1:10">
      <c r="A864" s="353" t="s">
        <v>193</v>
      </c>
      <c r="B864" s="362"/>
      <c r="C864" s="362"/>
      <c r="D864" s="362"/>
      <c r="E864" s="362"/>
      <c r="F864" s="362"/>
      <c r="G864" s="362"/>
      <c r="H864" s="362"/>
      <c r="I864" s="362"/>
      <c r="J864" s="362"/>
    </row>
    <row r="865" spans="1:10">
      <c r="A865" s="368" t="s">
        <v>83</v>
      </c>
      <c r="B865" s="362"/>
      <c r="C865" s="362"/>
      <c r="D865" s="362"/>
      <c r="E865" s="362"/>
      <c r="F865" s="362"/>
      <c r="G865" s="362"/>
      <c r="H865" s="362"/>
      <c r="I865" s="362"/>
      <c r="J865" s="362"/>
    </row>
    <row r="866" spans="1:10">
      <c r="A866" s="345" t="s">
        <v>98</v>
      </c>
      <c r="B866" s="358">
        <v>0</v>
      </c>
      <c r="C866" s="358">
        <v>0</v>
      </c>
      <c r="D866" s="358">
        <v>0</v>
      </c>
      <c r="E866" s="358">
        <v>0</v>
      </c>
      <c r="F866" s="358">
        <v>0</v>
      </c>
      <c r="G866" s="358">
        <v>0</v>
      </c>
      <c r="H866" s="358">
        <v>62805.56</v>
      </c>
      <c r="I866" s="358">
        <v>0</v>
      </c>
      <c r="J866" s="358">
        <f>SUM(B866:I866)</f>
        <v>62805.56</v>
      </c>
    </row>
    <row r="867" spans="1:10">
      <c r="A867" s="345" t="s">
        <v>99</v>
      </c>
      <c r="B867" s="358">
        <v>0</v>
      </c>
      <c r="C867" s="358">
        <v>0</v>
      </c>
      <c r="D867" s="358">
        <v>0</v>
      </c>
      <c r="E867" s="358">
        <v>0</v>
      </c>
      <c r="F867" s="358">
        <v>0</v>
      </c>
      <c r="G867" s="358">
        <v>0</v>
      </c>
      <c r="H867" s="358">
        <v>-422.24</v>
      </c>
      <c r="I867" s="358">
        <v>0</v>
      </c>
      <c r="J867" s="358">
        <f>SUM(B867:I867)</f>
        <v>-422.24</v>
      </c>
    </row>
    <row r="868" spans="1:10">
      <c r="A868" s="355" t="s">
        <v>84</v>
      </c>
      <c r="B868" s="362"/>
      <c r="C868" s="362"/>
      <c r="D868" s="362"/>
      <c r="E868" s="362"/>
      <c r="F868" s="362"/>
      <c r="G868" s="362"/>
      <c r="H868" s="362"/>
      <c r="I868" s="362"/>
      <c r="J868" s="362"/>
    </row>
    <row r="869" spans="1:10">
      <c r="A869" s="354" t="s">
        <v>85</v>
      </c>
      <c r="B869" s="358">
        <v>0</v>
      </c>
      <c r="C869" s="358">
        <v>0</v>
      </c>
      <c r="D869" s="358">
        <v>0</v>
      </c>
      <c r="E869" s="358">
        <v>0</v>
      </c>
      <c r="F869" s="358">
        <v>247.27</v>
      </c>
      <c r="G869" s="358">
        <v>0</v>
      </c>
      <c r="H869" s="358">
        <v>1404.04</v>
      </c>
      <c r="I869" s="358">
        <v>7814.93</v>
      </c>
      <c r="J869" s="358">
        <f>SUM(B869:I869)</f>
        <v>9466.24</v>
      </c>
    </row>
    <row r="870" spans="1:10">
      <c r="A870" s="354" t="s">
        <v>86</v>
      </c>
      <c r="B870" s="358">
        <v>0</v>
      </c>
      <c r="C870" s="358">
        <v>0</v>
      </c>
      <c r="D870" s="358">
        <v>0</v>
      </c>
      <c r="E870" s="358">
        <v>852.96</v>
      </c>
      <c r="F870" s="358">
        <v>5469.3</v>
      </c>
      <c r="G870" s="358">
        <v>383.28</v>
      </c>
      <c r="H870" s="358">
        <v>3374.42</v>
      </c>
      <c r="I870" s="358">
        <v>4043.14</v>
      </c>
      <c r="J870" s="358">
        <f>SUM(B870:I870)</f>
        <v>14123.099999999999</v>
      </c>
    </row>
    <row r="871" spans="1:10">
      <c r="A871" s="354" t="s">
        <v>101</v>
      </c>
      <c r="B871" s="358">
        <v>0</v>
      </c>
      <c r="C871" s="358">
        <v>0</v>
      </c>
      <c r="D871" s="358">
        <v>0</v>
      </c>
      <c r="E871" s="358">
        <v>0</v>
      </c>
      <c r="F871" s="358">
        <v>207.6</v>
      </c>
      <c r="G871" s="358">
        <v>0</v>
      </c>
      <c r="H871" s="358">
        <v>173.04</v>
      </c>
      <c r="I871" s="358">
        <v>0</v>
      </c>
      <c r="J871" s="358">
        <f>SUM(B871:I871)</f>
        <v>380.64</v>
      </c>
    </row>
    <row r="872" spans="1:10">
      <c r="A872" s="354" t="s">
        <v>87</v>
      </c>
      <c r="B872" s="358">
        <v>0</v>
      </c>
      <c r="C872" s="358">
        <v>0</v>
      </c>
      <c r="D872" s="358">
        <v>0</v>
      </c>
      <c r="E872" s="358">
        <v>0</v>
      </c>
      <c r="F872" s="358">
        <v>2884.48</v>
      </c>
      <c r="G872" s="358">
        <v>371.38</v>
      </c>
      <c r="H872" s="358">
        <v>1476.35</v>
      </c>
      <c r="I872" s="358">
        <v>665.01</v>
      </c>
      <c r="J872" s="358">
        <f>SUM(B872:I872)</f>
        <v>5397.22</v>
      </c>
    </row>
    <row r="873" spans="1:10">
      <c r="A873" s="354" t="s">
        <v>773</v>
      </c>
      <c r="B873" s="358">
        <v>0</v>
      </c>
      <c r="C873" s="358">
        <v>0</v>
      </c>
      <c r="D873" s="358">
        <v>0</v>
      </c>
      <c r="E873" s="358">
        <v>0</v>
      </c>
      <c r="F873" s="358">
        <v>0</v>
      </c>
      <c r="G873" s="358">
        <v>0</v>
      </c>
      <c r="H873" s="358">
        <v>110.73</v>
      </c>
      <c r="I873" s="358">
        <v>0</v>
      </c>
      <c r="J873" s="358">
        <f>SUM(B873:I873)</f>
        <v>110.73</v>
      </c>
    </row>
    <row r="874" spans="1:10">
      <c r="A874" s="356" t="s">
        <v>88</v>
      </c>
      <c r="B874" s="363">
        <f t="shared" ref="B874:J874" si="215">SUM(B869:B873)</f>
        <v>0</v>
      </c>
      <c r="C874" s="363">
        <f t="shared" si="215"/>
        <v>0</v>
      </c>
      <c r="D874" s="363">
        <f t="shared" si="215"/>
        <v>0</v>
      </c>
      <c r="E874" s="363">
        <f t="shared" si="215"/>
        <v>852.96</v>
      </c>
      <c r="F874" s="363">
        <f t="shared" si="215"/>
        <v>8808.6500000000015</v>
      </c>
      <c r="G874" s="363">
        <f t="shared" si="215"/>
        <v>754.66</v>
      </c>
      <c r="H874" s="363">
        <f t="shared" si="215"/>
        <v>6538.58</v>
      </c>
      <c r="I874" s="363">
        <f t="shared" si="215"/>
        <v>12523.08</v>
      </c>
      <c r="J874" s="363">
        <f t="shared" si="215"/>
        <v>29477.929999999997</v>
      </c>
    </row>
    <row r="875" spans="1:10">
      <c r="A875" s="369" t="s">
        <v>89</v>
      </c>
      <c r="B875" s="363">
        <f t="shared" ref="B875:J875" si="216">SUM(B866:B867,B874)</f>
        <v>0</v>
      </c>
      <c r="C875" s="363">
        <f t="shared" si="216"/>
        <v>0</v>
      </c>
      <c r="D875" s="363">
        <f t="shared" si="216"/>
        <v>0</v>
      </c>
      <c r="E875" s="363">
        <f t="shared" si="216"/>
        <v>852.96</v>
      </c>
      <c r="F875" s="363">
        <f t="shared" si="216"/>
        <v>8808.6500000000015</v>
      </c>
      <c r="G875" s="363">
        <f t="shared" si="216"/>
        <v>754.66</v>
      </c>
      <c r="H875" s="363">
        <f t="shared" si="216"/>
        <v>68921.899999999994</v>
      </c>
      <c r="I875" s="363">
        <f t="shared" si="216"/>
        <v>12523.08</v>
      </c>
      <c r="J875" s="363">
        <f t="shared" si="216"/>
        <v>91861.25</v>
      </c>
    </row>
    <row r="876" spans="1:10">
      <c r="A876" s="368" t="s">
        <v>80</v>
      </c>
      <c r="B876" s="362"/>
      <c r="C876" s="362"/>
      <c r="D876" s="362"/>
      <c r="E876" s="362"/>
      <c r="F876" s="362"/>
      <c r="G876" s="362"/>
      <c r="H876" s="362"/>
      <c r="I876" s="362"/>
      <c r="J876" s="362"/>
    </row>
    <row r="877" spans="1:10">
      <c r="A877" s="345" t="s">
        <v>102</v>
      </c>
      <c r="B877" s="358">
        <v>0</v>
      </c>
      <c r="C877" s="358">
        <v>0</v>
      </c>
      <c r="D877" s="358">
        <v>0</v>
      </c>
      <c r="E877" s="358">
        <v>0</v>
      </c>
      <c r="F877" s="358">
        <v>0</v>
      </c>
      <c r="G877" s="358">
        <v>0</v>
      </c>
      <c r="H877" s="358">
        <v>315.35000000000002</v>
      </c>
      <c r="I877" s="358">
        <v>0</v>
      </c>
      <c r="J877" s="358">
        <f t="shared" ref="J877:J883" si="217">SUM(B877:I877)</f>
        <v>315.35000000000002</v>
      </c>
    </row>
    <row r="878" spans="1:10">
      <c r="A878" s="345" t="s">
        <v>103</v>
      </c>
      <c r="B878" s="358">
        <v>0</v>
      </c>
      <c r="C878" s="358">
        <v>0</v>
      </c>
      <c r="D878" s="358">
        <v>0</v>
      </c>
      <c r="E878" s="358">
        <v>0</v>
      </c>
      <c r="F878" s="358">
        <v>0</v>
      </c>
      <c r="G878" s="358">
        <v>0</v>
      </c>
      <c r="H878" s="358">
        <v>-315.35000000000002</v>
      </c>
      <c r="I878" s="358">
        <v>0</v>
      </c>
      <c r="J878" s="358">
        <f t="shared" si="217"/>
        <v>-315.35000000000002</v>
      </c>
    </row>
    <row r="879" spans="1:10">
      <c r="A879" s="345" t="s">
        <v>106</v>
      </c>
      <c r="B879" s="358">
        <v>0</v>
      </c>
      <c r="C879" s="358">
        <v>0</v>
      </c>
      <c r="D879" s="358">
        <v>0</v>
      </c>
      <c r="E879" s="358">
        <v>0</v>
      </c>
      <c r="F879" s="358">
        <v>0</v>
      </c>
      <c r="G879" s="358">
        <v>0</v>
      </c>
      <c r="H879" s="358">
        <v>799.1</v>
      </c>
      <c r="I879" s="358">
        <v>0</v>
      </c>
      <c r="J879" s="358">
        <f t="shared" si="217"/>
        <v>799.1</v>
      </c>
    </row>
    <row r="880" spans="1:10">
      <c r="A880" s="345" t="s">
        <v>107</v>
      </c>
      <c r="B880" s="358">
        <v>0</v>
      </c>
      <c r="C880" s="358">
        <v>0</v>
      </c>
      <c r="D880" s="358">
        <v>0</v>
      </c>
      <c r="E880" s="358">
        <v>0</v>
      </c>
      <c r="F880" s="358">
        <v>0</v>
      </c>
      <c r="G880" s="358">
        <v>0</v>
      </c>
      <c r="H880" s="358">
        <v>-799.1</v>
      </c>
      <c r="I880" s="358">
        <v>0</v>
      </c>
      <c r="J880" s="358">
        <f t="shared" si="217"/>
        <v>-799.1</v>
      </c>
    </row>
    <row r="881" spans="1:10">
      <c r="A881" s="345" t="s">
        <v>108</v>
      </c>
      <c r="B881" s="358">
        <v>0</v>
      </c>
      <c r="C881" s="358">
        <v>0</v>
      </c>
      <c r="D881" s="358">
        <v>0</v>
      </c>
      <c r="E881" s="358">
        <v>0</v>
      </c>
      <c r="F881" s="358">
        <v>0</v>
      </c>
      <c r="G881" s="358">
        <v>0</v>
      </c>
      <c r="H881" s="358">
        <v>3174.73</v>
      </c>
      <c r="I881" s="358">
        <v>0</v>
      </c>
      <c r="J881" s="358">
        <f t="shared" si="217"/>
        <v>3174.73</v>
      </c>
    </row>
    <row r="882" spans="1:10">
      <c r="A882" s="345" t="s">
        <v>109</v>
      </c>
      <c r="B882" s="358">
        <v>0</v>
      </c>
      <c r="C882" s="358">
        <v>0</v>
      </c>
      <c r="D882" s="358">
        <v>0</v>
      </c>
      <c r="E882" s="358">
        <v>0</v>
      </c>
      <c r="F882" s="358">
        <v>0</v>
      </c>
      <c r="G882" s="358">
        <v>0</v>
      </c>
      <c r="H882" s="358">
        <v>-3174.73</v>
      </c>
      <c r="I882" s="358">
        <v>0</v>
      </c>
      <c r="J882" s="358">
        <f t="shared" si="217"/>
        <v>-3174.73</v>
      </c>
    </row>
    <row r="883" spans="1:10">
      <c r="A883" s="345" t="s">
        <v>566</v>
      </c>
      <c r="B883" s="358">
        <v>0</v>
      </c>
      <c r="C883" s="358">
        <v>0</v>
      </c>
      <c r="D883" s="358">
        <v>0</v>
      </c>
      <c r="E883" s="358">
        <v>0</v>
      </c>
      <c r="F883" s="358">
        <v>0</v>
      </c>
      <c r="G883" s="358">
        <v>0</v>
      </c>
      <c r="H883" s="358">
        <v>4163.95</v>
      </c>
      <c r="I883" s="358">
        <v>0</v>
      </c>
      <c r="J883" s="358">
        <f t="shared" si="217"/>
        <v>4163.95</v>
      </c>
    </row>
    <row r="884" spans="1:10">
      <c r="A884" s="369" t="s">
        <v>82</v>
      </c>
      <c r="B884" s="363">
        <f t="shared" ref="B884:J884" si="218">SUM(B877:B883)</f>
        <v>0</v>
      </c>
      <c r="C884" s="363">
        <f t="shared" si="218"/>
        <v>0</v>
      </c>
      <c r="D884" s="363">
        <f t="shared" si="218"/>
        <v>0</v>
      </c>
      <c r="E884" s="363">
        <f t="shared" si="218"/>
        <v>0</v>
      </c>
      <c r="F884" s="363">
        <f t="shared" si="218"/>
        <v>0</v>
      </c>
      <c r="G884" s="363">
        <f t="shared" si="218"/>
        <v>0</v>
      </c>
      <c r="H884" s="363">
        <f t="shared" si="218"/>
        <v>4163.95</v>
      </c>
      <c r="I884" s="363">
        <f t="shared" si="218"/>
        <v>0</v>
      </c>
      <c r="J884" s="363">
        <f t="shared" si="218"/>
        <v>4163.95</v>
      </c>
    </row>
    <row r="885" spans="1:10">
      <c r="A885" s="368" t="s">
        <v>51</v>
      </c>
      <c r="B885" s="362"/>
      <c r="C885" s="362"/>
      <c r="D885" s="362"/>
      <c r="E885" s="362"/>
      <c r="F885" s="362"/>
      <c r="G885" s="362"/>
      <c r="H885" s="362"/>
      <c r="I885" s="362"/>
      <c r="J885" s="362"/>
    </row>
    <row r="886" spans="1:10">
      <c r="A886" s="345" t="s">
        <v>110</v>
      </c>
      <c r="B886" s="358">
        <v>0</v>
      </c>
      <c r="C886" s="358">
        <v>0</v>
      </c>
      <c r="D886" s="358">
        <v>0</v>
      </c>
      <c r="E886" s="358">
        <v>0</v>
      </c>
      <c r="F886" s="358">
        <v>0</v>
      </c>
      <c r="G886" s="358">
        <v>0</v>
      </c>
      <c r="H886" s="358">
        <v>4617.57</v>
      </c>
      <c r="I886" s="358">
        <v>0</v>
      </c>
      <c r="J886" s="358">
        <f>SUM(B886:I886)</f>
        <v>4617.57</v>
      </c>
    </row>
    <row r="887" spans="1:10">
      <c r="A887" s="345" t="s">
        <v>52</v>
      </c>
      <c r="B887" s="358">
        <v>0</v>
      </c>
      <c r="C887" s="358">
        <v>0</v>
      </c>
      <c r="D887" s="358">
        <v>0</v>
      </c>
      <c r="E887" s="358">
        <v>0</v>
      </c>
      <c r="F887" s="358">
        <v>-366.72</v>
      </c>
      <c r="G887" s="358">
        <v>0</v>
      </c>
      <c r="H887" s="358">
        <v>0</v>
      </c>
      <c r="I887" s="358">
        <v>0</v>
      </c>
      <c r="J887" s="358">
        <f>SUM(B887:I887)</f>
        <v>-366.72</v>
      </c>
    </row>
    <row r="888" spans="1:10">
      <c r="A888" s="345" t="s">
        <v>111</v>
      </c>
      <c r="B888" s="358">
        <v>0</v>
      </c>
      <c r="C888" s="358">
        <v>0</v>
      </c>
      <c r="D888" s="358">
        <v>0</v>
      </c>
      <c r="E888" s="358">
        <v>0</v>
      </c>
      <c r="F888" s="358">
        <v>0</v>
      </c>
      <c r="G888" s="358">
        <v>0</v>
      </c>
      <c r="H888" s="358">
        <v>9130.5</v>
      </c>
      <c r="I888" s="358">
        <v>0</v>
      </c>
      <c r="J888" s="358">
        <f>SUM(B888:I888)</f>
        <v>9130.5</v>
      </c>
    </row>
    <row r="889" spans="1:10">
      <c r="A889" s="345" t="s">
        <v>751</v>
      </c>
      <c r="B889" s="358">
        <v>0</v>
      </c>
      <c r="C889" s="358">
        <v>0</v>
      </c>
      <c r="D889" s="358">
        <v>0</v>
      </c>
      <c r="E889" s="358">
        <v>0</v>
      </c>
      <c r="F889" s="358">
        <v>-307.55</v>
      </c>
      <c r="G889" s="358">
        <v>177.8</v>
      </c>
      <c r="H889" s="358">
        <v>0</v>
      </c>
      <c r="I889" s="358">
        <v>0</v>
      </c>
      <c r="J889" s="358">
        <f>SUM(B889:I889)</f>
        <v>-129.75</v>
      </c>
    </row>
    <row r="890" spans="1:10">
      <c r="A890" s="369" t="s">
        <v>54</v>
      </c>
      <c r="B890" s="363">
        <f t="shared" ref="B890:J890" si="219">SUM(B886:B889)</f>
        <v>0</v>
      </c>
      <c r="C890" s="363">
        <f t="shared" si="219"/>
        <v>0</v>
      </c>
      <c r="D890" s="363">
        <f t="shared" si="219"/>
        <v>0</v>
      </c>
      <c r="E890" s="363">
        <f t="shared" si="219"/>
        <v>0</v>
      </c>
      <c r="F890" s="363">
        <f t="shared" si="219"/>
        <v>-674.27</v>
      </c>
      <c r="G890" s="363">
        <f t="shared" si="219"/>
        <v>177.8</v>
      </c>
      <c r="H890" s="363">
        <f t="shared" si="219"/>
        <v>13748.07</v>
      </c>
      <c r="I890" s="363">
        <f t="shared" si="219"/>
        <v>0</v>
      </c>
      <c r="J890" s="363">
        <f t="shared" si="219"/>
        <v>13251.599999999999</v>
      </c>
    </row>
    <row r="891" spans="1:10">
      <c r="A891" s="368" t="s">
        <v>113</v>
      </c>
      <c r="B891" s="362"/>
      <c r="C891" s="362"/>
      <c r="D891" s="362"/>
      <c r="E891" s="362"/>
      <c r="F891" s="362"/>
      <c r="G891" s="362"/>
      <c r="H891" s="362"/>
      <c r="I891" s="362"/>
      <c r="J891" s="362"/>
    </row>
    <row r="892" spans="1:10">
      <c r="A892" s="345" t="s">
        <v>114</v>
      </c>
      <c r="B892" s="358">
        <v>0</v>
      </c>
      <c r="C892" s="358">
        <v>0</v>
      </c>
      <c r="D892" s="358">
        <v>0</v>
      </c>
      <c r="E892" s="358">
        <v>0</v>
      </c>
      <c r="F892" s="358">
        <v>0</v>
      </c>
      <c r="G892" s="358">
        <v>0</v>
      </c>
      <c r="H892" s="358">
        <v>1710</v>
      </c>
      <c r="I892" s="358">
        <v>0</v>
      </c>
      <c r="J892" s="358">
        <f>SUM(B892:I892)</f>
        <v>1710</v>
      </c>
    </row>
    <row r="893" spans="1:10">
      <c r="A893" s="369" t="s">
        <v>115</v>
      </c>
      <c r="B893" s="363">
        <f t="shared" ref="B893:J893" si="220">SUM(B892)</f>
        <v>0</v>
      </c>
      <c r="C893" s="363">
        <f t="shared" si="220"/>
        <v>0</v>
      </c>
      <c r="D893" s="363">
        <f t="shared" si="220"/>
        <v>0</v>
      </c>
      <c r="E893" s="363">
        <f t="shared" si="220"/>
        <v>0</v>
      </c>
      <c r="F893" s="363">
        <f t="shared" si="220"/>
        <v>0</v>
      </c>
      <c r="G893" s="363">
        <f t="shared" si="220"/>
        <v>0</v>
      </c>
      <c r="H893" s="363">
        <f t="shared" si="220"/>
        <v>1710</v>
      </c>
      <c r="I893" s="363">
        <f t="shared" si="220"/>
        <v>0</v>
      </c>
      <c r="J893" s="363">
        <f t="shared" si="220"/>
        <v>1710</v>
      </c>
    </row>
    <row r="894" spans="1:10">
      <c r="A894" s="368" t="s">
        <v>77</v>
      </c>
      <c r="B894" s="362"/>
      <c r="C894" s="362"/>
      <c r="D894" s="362"/>
      <c r="E894" s="362"/>
      <c r="F894" s="362"/>
      <c r="G894" s="362"/>
      <c r="H894" s="362"/>
      <c r="I894" s="362"/>
      <c r="J894" s="362"/>
    </row>
    <row r="895" spans="1:10">
      <c r="A895" s="345" t="s">
        <v>78</v>
      </c>
      <c r="B895" s="358">
        <v>0</v>
      </c>
      <c r="C895" s="358">
        <v>0</v>
      </c>
      <c r="D895" s="358">
        <v>0</v>
      </c>
      <c r="E895" s="358">
        <v>0</v>
      </c>
      <c r="F895" s="358">
        <v>0</v>
      </c>
      <c r="G895" s="358">
        <v>87.3</v>
      </c>
      <c r="H895" s="358">
        <v>113.73</v>
      </c>
      <c r="I895" s="358">
        <v>38.44</v>
      </c>
      <c r="J895" s="358">
        <f>SUM(B895:I895)</f>
        <v>239.47</v>
      </c>
    </row>
    <row r="896" spans="1:10">
      <c r="A896" s="369" t="s">
        <v>79</v>
      </c>
      <c r="B896" s="363">
        <f t="shared" ref="B896:J896" si="221">SUM(B895)</f>
        <v>0</v>
      </c>
      <c r="C896" s="363">
        <f t="shared" si="221"/>
        <v>0</v>
      </c>
      <c r="D896" s="363">
        <f t="shared" si="221"/>
        <v>0</v>
      </c>
      <c r="E896" s="363">
        <f t="shared" si="221"/>
        <v>0</v>
      </c>
      <c r="F896" s="363">
        <f t="shared" si="221"/>
        <v>0</v>
      </c>
      <c r="G896" s="363">
        <f t="shared" si="221"/>
        <v>87.3</v>
      </c>
      <c r="H896" s="363">
        <f t="shared" si="221"/>
        <v>113.73</v>
      </c>
      <c r="I896" s="363">
        <f t="shared" si="221"/>
        <v>38.44</v>
      </c>
      <c r="J896" s="363">
        <f t="shared" si="221"/>
        <v>239.47</v>
      </c>
    </row>
    <row r="897" spans="1:10">
      <c r="A897" s="368" t="s">
        <v>116</v>
      </c>
      <c r="B897" s="362"/>
      <c r="C897" s="362"/>
      <c r="D897" s="362"/>
      <c r="E897" s="362"/>
      <c r="F897" s="362"/>
      <c r="G897" s="362"/>
      <c r="H897" s="362"/>
      <c r="I897" s="362"/>
      <c r="J897" s="362"/>
    </row>
    <row r="898" spans="1:10">
      <c r="A898" s="345" t="s">
        <v>117</v>
      </c>
      <c r="B898" s="358">
        <v>0</v>
      </c>
      <c r="C898" s="358">
        <v>0</v>
      </c>
      <c r="D898" s="358">
        <v>0</v>
      </c>
      <c r="E898" s="358">
        <v>0</v>
      </c>
      <c r="F898" s="358">
        <v>0</v>
      </c>
      <c r="G898" s="358">
        <v>0</v>
      </c>
      <c r="H898" s="358">
        <v>15681.28</v>
      </c>
      <c r="I898" s="358">
        <v>0</v>
      </c>
      <c r="J898" s="358">
        <f>SUM(B898:I898)</f>
        <v>15681.28</v>
      </c>
    </row>
    <row r="899" spans="1:10">
      <c r="A899" s="345" t="s">
        <v>118</v>
      </c>
      <c r="B899" s="358">
        <v>0</v>
      </c>
      <c r="C899" s="358">
        <v>0</v>
      </c>
      <c r="D899" s="358">
        <v>0</v>
      </c>
      <c r="E899" s="358">
        <v>0</v>
      </c>
      <c r="F899" s="358">
        <v>6248</v>
      </c>
      <c r="G899" s="358">
        <v>0</v>
      </c>
      <c r="H899" s="358">
        <v>5945.94</v>
      </c>
      <c r="I899" s="358">
        <v>15161.2</v>
      </c>
      <c r="J899" s="358">
        <f>SUM(B899:I899)</f>
        <v>27355.14</v>
      </c>
    </row>
    <row r="900" spans="1:10">
      <c r="A900" s="369" t="s">
        <v>119</v>
      </c>
      <c r="B900" s="363">
        <f t="shared" ref="B900:J900" si="222">SUM(B898:B899)</f>
        <v>0</v>
      </c>
      <c r="C900" s="363">
        <f t="shared" si="222"/>
        <v>0</v>
      </c>
      <c r="D900" s="363">
        <f t="shared" si="222"/>
        <v>0</v>
      </c>
      <c r="E900" s="363">
        <f t="shared" si="222"/>
        <v>0</v>
      </c>
      <c r="F900" s="363">
        <f t="shared" si="222"/>
        <v>6248</v>
      </c>
      <c r="G900" s="363">
        <f t="shared" si="222"/>
        <v>0</v>
      </c>
      <c r="H900" s="363">
        <f t="shared" si="222"/>
        <v>21627.22</v>
      </c>
      <c r="I900" s="363">
        <f t="shared" si="222"/>
        <v>15161.2</v>
      </c>
      <c r="J900" s="363">
        <f t="shared" si="222"/>
        <v>43036.42</v>
      </c>
    </row>
    <row r="901" spans="1:10">
      <c r="A901" s="368" t="s">
        <v>120</v>
      </c>
      <c r="B901" s="362"/>
      <c r="C901" s="362"/>
      <c r="D901" s="362"/>
      <c r="E901" s="362"/>
      <c r="F901" s="362"/>
      <c r="G901" s="362"/>
      <c r="H901" s="362"/>
      <c r="I901" s="362"/>
      <c r="J901" s="362"/>
    </row>
    <row r="902" spans="1:10">
      <c r="A902" s="345" t="s">
        <v>121</v>
      </c>
      <c r="B902" s="358">
        <v>0</v>
      </c>
      <c r="C902" s="358">
        <v>0</v>
      </c>
      <c r="D902" s="358">
        <v>0</v>
      </c>
      <c r="E902" s="358">
        <v>0</v>
      </c>
      <c r="F902" s="358">
        <v>477.2</v>
      </c>
      <c r="G902" s="358">
        <v>0</v>
      </c>
      <c r="H902" s="358">
        <v>0</v>
      </c>
      <c r="I902" s="358">
        <v>0</v>
      </c>
      <c r="J902" s="358">
        <f>SUM(B902:I902)</f>
        <v>477.2</v>
      </c>
    </row>
    <row r="903" spans="1:10">
      <c r="A903" s="369" t="s">
        <v>122</v>
      </c>
      <c r="B903" s="363">
        <f t="shared" ref="B903:J903" si="223">SUM(B902)</f>
        <v>0</v>
      </c>
      <c r="C903" s="363">
        <f t="shared" si="223"/>
        <v>0</v>
      </c>
      <c r="D903" s="363">
        <f t="shared" si="223"/>
        <v>0</v>
      </c>
      <c r="E903" s="363">
        <f t="shared" si="223"/>
        <v>0</v>
      </c>
      <c r="F903" s="363">
        <f t="shared" si="223"/>
        <v>477.2</v>
      </c>
      <c r="G903" s="363">
        <f t="shared" si="223"/>
        <v>0</v>
      </c>
      <c r="H903" s="363">
        <f t="shared" si="223"/>
        <v>0</v>
      </c>
      <c r="I903" s="363">
        <f t="shared" si="223"/>
        <v>0</v>
      </c>
      <c r="J903" s="363">
        <f t="shared" si="223"/>
        <v>477.2</v>
      </c>
    </row>
    <row r="904" spans="1:10">
      <c r="A904" s="368" t="s">
        <v>123</v>
      </c>
      <c r="B904" s="362"/>
      <c r="C904" s="362"/>
      <c r="D904" s="362"/>
      <c r="E904" s="362"/>
      <c r="F904" s="362"/>
      <c r="G904" s="362"/>
      <c r="H904" s="362"/>
      <c r="I904" s="362"/>
      <c r="J904" s="362"/>
    </row>
    <row r="905" spans="1:10">
      <c r="A905" s="355" t="s">
        <v>124</v>
      </c>
      <c r="B905" s="362"/>
      <c r="C905" s="362"/>
      <c r="D905" s="362"/>
      <c r="E905" s="362"/>
      <c r="F905" s="362"/>
      <c r="G905" s="362"/>
      <c r="H905" s="362"/>
      <c r="I905" s="362"/>
      <c r="J905" s="362"/>
    </row>
    <row r="906" spans="1:10">
      <c r="A906" s="354" t="s">
        <v>126</v>
      </c>
      <c r="B906" s="358">
        <v>0</v>
      </c>
      <c r="C906" s="358">
        <v>0</v>
      </c>
      <c r="D906" s="358">
        <v>0</v>
      </c>
      <c r="E906" s="358">
        <v>0</v>
      </c>
      <c r="F906" s="358">
        <v>0</v>
      </c>
      <c r="G906" s="358">
        <v>0</v>
      </c>
      <c r="H906" s="358">
        <v>0</v>
      </c>
      <c r="I906" s="358">
        <v>513.57000000000005</v>
      </c>
      <c r="J906" s="358">
        <f>SUM(B906:I906)</f>
        <v>513.57000000000005</v>
      </c>
    </row>
    <row r="907" spans="1:10">
      <c r="A907" s="354" t="s">
        <v>128</v>
      </c>
      <c r="B907" s="358">
        <v>0</v>
      </c>
      <c r="C907" s="358">
        <v>0</v>
      </c>
      <c r="D907" s="358">
        <v>0</v>
      </c>
      <c r="E907" s="358">
        <v>0</v>
      </c>
      <c r="F907" s="358">
        <v>0</v>
      </c>
      <c r="G907" s="358">
        <v>0</v>
      </c>
      <c r="H907" s="358">
        <v>0</v>
      </c>
      <c r="I907" s="358">
        <v>98.78</v>
      </c>
      <c r="J907" s="358">
        <f>SUM(B907:I907)</f>
        <v>98.78</v>
      </c>
    </row>
    <row r="908" spans="1:10">
      <c r="A908" s="356" t="s">
        <v>130</v>
      </c>
      <c r="B908" s="363">
        <f t="shared" ref="B908:J908" si="224">SUM(B906:B907)</f>
        <v>0</v>
      </c>
      <c r="C908" s="363">
        <f t="shared" si="224"/>
        <v>0</v>
      </c>
      <c r="D908" s="363">
        <f t="shared" si="224"/>
        <v>0</v>
      </c>
      <c r="E908" s="363">
        <f t="shared" si="224"/>
        <v>0</v>
      </c>
      <c r="F908" s="363">
        <f t="shared" si="224"/>
        <v>0</v>
      </c>
      <c r="G908" s="363">
        <f t="shared" si="224"/>
        <v>0</v>
      </c>
      <c r="H908" s="363">
        <f t="shared" si="224"/>
        <v>0</v>
      </c>
      <c r="I908" s="363">
        <f t="shared" si="224"/>
        <v>612.35</v>
      </c>
      <c r="J908" s="363">
        <f t="shared" si="224"/>
        <v>612.35</v>
      </c>
    </row>
    <row r="909" spans="1:10">
      <c r="A909" s="369" t="s">
        <v>131</v>
      </c>
      <c r="B909" s="363">
        <f t="shared" ref="B909:J909" si="225">SUM(B908)</f>
        <v>0</v>
      </c>
      <c r="C909" s="363">
        <f t="shared" si="225"/>
        <v>0</v>
      </c>
      <c r="D909" s="363">
        <f t="shared" si="225"/>
        <v>0</v>
      </c>
      <c r="E909" s="363">
        <f t="shared" si="225"/>
        <v>0</v>
      </c>
      <c r="F909" s="363">
        <f t="shared" si="225"/>
        <v>0</v>
      </c>
      <c r="G909" s="363">
        <f t="shared" si="225"/>
        <v>0</v>
      </c>
      <c r="H909" s="363">
        <f t="shared" si="225"/>
        <v>0</v>
      </c>
      <c r="I909" s="363">
        <f t="shared" si="225"/>
        <v>612.35</v>
      </c>
      <c r="J909" s="363">
        <f t="shared" si="225"/>
        <v>612.35</v>
      </c>
    </row>
    <row r="910" spans="1:10">
      <c r="A910" s="368" t="s">
        <v>132</v>
      </c>
      <c r="B910" s="362"/>
      <c r="C910" s="362"/>
      <c r="D910" s="362"/>
      <c r="E910" s="362"/>
      <c r="F910" s="362"/>
      <c r="G910" s="362"/>
      <c r="H910" s="362"/>
      <c r="I910" s="362"/>
      <c r="J910" s="362"/>
    </row>
    <row r="911" spans="1:10">
      <c r="A911" s="355" t="s">
        <v>133</v>
      </c>
      <c r="B911" s="362"/>
      <c r="C911" s="362"/>
      <c r="D911" s="362"/>
      <c r="E911" s="362"/>
      <c r="F911" s="362"/>
      <c r="G911" s="362"/>
      <c r="H911" s="362"/>
      <c r="I911" s="362"/>
      <c r="J911" s="362"/>
    </row>
    <row r="912" spans="1:10">
      <c r="A912" s="354" t="s">
        <v>147</v>
      </c>
      <c r="B912" s="358">
        <v>0</v>
      </c>
      <c r="C912" s="358">
        <v>0</v>
      </c>
      <c r="D912" s="358">
        <v>0</v>
      </c>
      <c r="E912" s="358">
        <v>0</v>
      </c>
      <c r="F912" s="358">
        <v>0</v>
      </c>
      <c r="G912" s="358">
        <v>0</v>
      </c>
      <c r="H912" s="358">
        <v>3500</v>
      </c>
      <c r="I912" s="358">
        <v>0</v>
      </c>
      <c r="J912" s="358">
        <f>SUM(B912:I912)</f>
        <v>3500</v>
      </c>
    </row>
    <row r="913" spans="1:10">
      <c r="A913" s="356" t="s">
        <v>135</v>
      </c>
      <c r="B913" s="363">
        <f t="shared" ref="B913:J914" si="226">SUM(B912)</f>
        <v>0</v>
      </c>
      <c r="C913" s="363">
        <f t="shared" si="226"/>
        <v>0</v>
      </c>
      <c r="D913" s="363">
        <f t="shared" si="226"/>
        <v>0</v>
      </c>
      <c r="E913" s="363">
        <f t="shared" si="226"/>
        <v>0</v>
      </c>
      <c r="F913" s="363">
        <f t="shared" si="226"/>
        <v>0</v>
      </c>
      <c r="G913" s="363">
        <f t="shared" si="226"/>
        <v>0</v>
      </c>
      <c r="H913" s="363">
        <f t="shared" si="226"/>
        <v>3500</v>
      </c>
      <c r="I913" s="363">
        <f t="shared" si="226"/>
        <v>0</v>
      </c>
      <c r="J913" s="363">
        <f t="shared" si="226"/>
        <v>3500</v>
      </c>
    </row>
    <row r="914" spans="1:10">
      <c r="A914" s="369" t="s">
        <v>136</v>
      </c>
      <c r="B914" s="363">
        <f t="shared" si="226"/>
        <v>0</v>
      </c>
      <c r="C914" s="363">
        <f t="shared" si="226"/>
        <v>0</v>
      </c>
      <c r="D914" s="363">
        <f t="shared" si="226"/>
        <v>0</v>
      </c>
      <c r="E914" s="363">
        <f t="shared" si="226"/>
        <v>0</v>
      </c>
      <c r="F914" s="363">
        <f t="shared" si="226"/>
        <v>0</v>
      </c>
      <c r="G914" s="363">
        <f t="shared" si="226"/>
        <v>0</v>
      </c>
      <c r="H914" s="363">
        <f t="shared" si="226"/>
        <v>3500</v>
      </c>
      <c r="I914" s="363">
        <f t="shared" si="226"/>
        <v>0</v>
      </c>
      <c r="J914" s="363">
        <f t="shared" si="226"/>
        <v>3500</v>
      </c>
    </row>
    <row r="915" spans="1:10">
      <c r="A915" s="368" t="s">
        <v>60</v>
      </c>
      <c r="B915" s="362"/>
      <c r="C915" s="362"/>
      <c r="D915" s="362"/>
      <c r="E915" s="362"/>
      <c r="F915" s="362"/>
      <c r="G915" s="362"/>
      <c r="H915" s="362"/>
      <c r="I915" s="362"/>
      <c r="J915" s="362"/>
    </row>
    <row r="916" spans="1:10">
      <c r="A916" s="355" t="s">
        <v>68</v>
      </c>
      <c r="B916" s="362"/>
      <c r="C916" s="362"/>
      <c r="D916" s="362"/>
      <c r="E916" s="362"/>
      <c r="F916" s="362"/>
      <c r="G916" s="362"/>
      <c r="H916" s="362"/>
      <c r="I916" s="362"/>
      <c r="J916" s="362"/>
    </row>
    <row r="917" spans="1:10">
      <c r="A917" s="354" t="s">
        <v>69</v>
      </c>
      <c r="B917" s="358">
        <v>0</v>
      </c>
      <c r="C917" s="358">
        <v>0</v>
      </c>
      <c r="D917" s="358">
        <v>0</v>
      </c>
      <c r="E917" s="358">
        <v>0</v>
      </c>
      <c r="F917" s="358">
        <v>0</v>
      </c>
      <c r="G917" s="358">
        <v>0</v>
      </c>
      <c r="H917" s="358">
        <v>5993.68</v>
      </c>
      <c r="I917" s="358">
        <v>0</v>
      </c>
      <c r="J917" s="358">
        <f>SUM(B917:I917)</f>
        <v>5993.68</v>
      </c>
    </row>
    <row r="918" spans="1:10">
      <c r="A918" s="356" t="s">
        <v>70</v>
      </c>
      <c r="B918" s="363">
        <f t="shared" ref="B918:J918" si="227">SUM(B917)</f>
        <v>0</v>
      </c>
      <c r="C918" s="363">
        <f t="shared" si="227"/>
        <v>0</v>
      </c>
      <c r="D918" s="363">
        <f t="shared" si="227"/>
        <v>0</v>
      </c>
      <c r="E918" s="363">
        <f t="shared" si="227"/>
        <v>0</v>
      </c>
      <c r="F918" s="363">
        <f t="shared" si="227"/>
        <v>0</v>
      </c>
      <c r="G918" s="363">
        <f t="shared" si="227"/>
        <v>0</v>
      </c>
      <c r="H918" s="363">
        <f t="shared" si="227"/>
        <v>5993.68</v>
      </c>
      <c r="I918" s="363">
        <f t="shared" si="227"/>
        <v>0</v>
      </c>
      <c r="J918" s="363">
        <f t="shared" si="227"/>
        <v>5993.68</v>
      </c>
    </row>
    <row r="919" spans="1:10">
      <c r="A919" s="355" t="s">
        <v>71</v>
      </c>
      <c r="B919" s="362"/>
      <c r="C919" s="362"/>
      <c r="D919" s="362"/>
      <c r="E919" s="362"/>
      <c r="F919" s="362"/>
      <c r="G919" s="362"/>
      <c r="H919" s="362"/>
      <c r="I919" s="362"/>
      <c r="J919" s="362"/>
    </row>
    <row r="920" spans="1:10">
      <c r="A920" s="354" t="s">
        <v>72</v>
      </c>
      <c r="B920" s="358">
        <v>0</v>
      </c>
      <c r="C920" s="358">
        <v>0</v>
      </c>
      <c r="D920" s="358">
        <v>0</v>
      </c>
      <c r="E920" s="358">
        <v>0</v>
      </c>
      <c r="F920" s="358">
        <v>0</v>
      </c>
      <c r="G920" s="358">
        <v>0</v>
      </c>
      <c r="H920" s="358">
        <v>97.64</v>
      </c>
      <c r="I920" s="358">
        <v>0</v>
      </c>
      <c r="J920" s="358">
        <f>SUM(B920:I920)</f>
        <v>97.64</v>
      </c>
    </row>
    <row r="921" spans="1:10">
      <c r="A921" s="354" t="s">
        <v>137</v>
      </c>
      <c r="B921" s="358">
        <v>0</v>
      </c>
      <c r="C921" s="358">
        <v>0</v>
      </c>
      <c r="D921" s="358">
        <v>0</v>
      </c>
      <c r="E921" s="358">
        <v>0</v>
      </c>
      <c r="F921" s="358">
        <v>70.27</v>
      </c>
      <c r="G921" s="358">
        <v>0</v>
      </c>
      <c r="H921" s="358">
        <v>83.95</v>
      </c>
      <c r="I921" s="358">
        <v>0</v>
      </c>
      <c r="J921" s="358">
        <f>SUM(B921:I921)</f>
        <v>154.22</v>
      </c>
    </row>
    <row r="922" spans="1:10">
      <c r="A922" s="354" t="s">
        <v>74</v>
      </c>
      <c r="B922" s="358">
        <v>0</v>
      </c>
      <c r="C922" s="358">
        <v>0</v>
      </c>
      <c r="D922" s="358">
        <v>0</v>
      </c>
      <c r="E922" s="358">
        <v>0</v>
      </c>
      <c r="F922" s="358">
        <v>0</v>
      </c>
      <c r="G922" s="358">
        <v>0</v>
      </c>
      <c r="H922" s="358">
        <v>2573.02</v>
      </c>
      <c r="I922" s="358">
        <v>0</v>
      </c>
      <c r="J922" s="358">
        <f>SUM(B922:I922)</f>
        <v>2573.02</v>
      </c>
    </row>
    <row r="923" spans="1:10">
      <c r="A923" s="356" t="s">
        <v>75</v>
      </c>
      <c r="B923" s="363">
        <f t="shared" ref="B923:J923" si="228">SUM(B920:B922)</f>
        <v>0</v>
      </c>
      <c r="C923" s="363">
        <f t="shared" si="228"/>
        <v>0</v>
      </c>
      <c r="D923" s="363">
        <f t="shared" si="228"/>
        <v>0</v>
      </c>
      <c r="E923" s="363">
        <f t="shared" si="228"/>
        <v>0</v>
      </c>
      <c r="F923" s="363">
        <f t="shared" si="228"/>
        <v>70.27</v>
      </c>
      <c r="G923" s="363">
        <f t="shared" si="228"/>
        <v>0</v>
      </c>
      <c r="H923" s="363">
        <f t="shared" si="228"/>
        <v>2754.61</v>
      </c>
      <c r="I923" s="363">
        <f t="shared" si="228"/>
        <v>0</v>
      </c>
      <c r="J923" s="363">
        <f t="shared" si="228"/>
        <v>2824.88</v>
      </c>
    </row>
    <row r="924" spans="1:10">
      <c r="A924" s="355" t="s">
        <v>64</v>
      </c>
      <c r="B924" s="362"/>
      <c r="C924" s="362"/>
      <c r="D924" s="362"/>
      <c r="E924" s="362"/>
      <c r="F924" s="362"/>
      <c r="G924" s="362"/>
      <c r="H924" s="362"/>
      <c r="I924" s="362"/>
      <c r="J924" s="362"/>
    </row>
    <row r="925" spans="1:10">
      <c r="A925" s="354" t="s">
        <v>66</v>
      </c>
      <c r="B925" s="358">
        <v>0</v>
      </c>
      <c r="C925" s="358">
        <v>0</v>
      </c>
      <c r="D925" s="358">
        <v>0</v>
      </c>
      <c r="E925" s="358">
        <v>0</v>
      </c>
      <c r="F925" s="358">
        <v>136.41999999999999</v>
      </c>
      <c r="G925" s="358">
        <v>0</v>
      </c>
      <c r="H925" s="358">
        <v>751.42</v>
      </c>
      <c r="I925" s="358">
        <v>146.07</v>
      </c>
      <c r="J925" s="358">
        <f>SUM(B925:I925)</f>
        <v>1033.9099999999999</v>
      </c>
    </row>
    <row r="926" spans="1:10">
      <c r="A926" s="354" t="s">
        <v>65</v>
      </c>
      <c r="B926" s="358">
        <v>0</v>
      </c>
      <c r="C926" s="358">
        <v>0</v>
      </c>
      <c r="D926" s="358">
        <v>0</v>
      </c>
      <c r="E926" s="358">
        <v>0</v>
      </c>
      <c r="F926" s="358">
        <v>6048.23</v>
      </c>
      <c r="G926" s="358">
        <v>841.54</v>
      </c>
      <c r="H926" s="358">
        <v>2645.93</v>
      </c>
      <c r="I926" s="358">
        <v>1901.94</v>
      </c>
      <c r="J926" s="358">
        <f>SUM(B926:I926)</f>
        <v>11437.64</v>
      </c>
    </row>
    <row r="927" spans="1:10">
      <c r="A927" s="354" t="s">
        <v>671</v>
      </c>
      <c r="B927" s="358">
        <v>0</v>
      </c>
      <c r="C927" s="358">
        <v>0</v>
      </c>
      <c r="D927" s="358">
        <v>0</v>
      </c>
      <c r="E927" s="358">
        <v>0</v>
      </c>
      <c r="F927" s="358">
        <v>431.82</v>
      </c>
      <c r="G927" s="358">
        <v>0</v>
      </c>
      <c r="H927" s="358">
        <v>0</v>
      </c>
      <c r="I927" s="358">
        <v>9.61</v>
      </c>
      <c r="J927" s="358">
        <f>SUM(B927:I927)</f>
        <v>441.43</v>
      </c>
    </row>
    <row r="928" spans="1:10">
      <c r="A928" s="356" t="s">
        <v>67</v>
      </c>
      <c r="B928" s="363">
        <f t="shared" ref="B928:J928" si="229">SUM(B925:B927)</f>
        <v>0</v>
      </c>
      <c r="C928" s="363">
        <f t="shared" si="229"/>
        <v>0</v>
      </c>
      <c r="D928" s="363">
        <f t="shared" si="229"/>
        <v>0</v>
      </c>
      <c r="E928" s="363">
        <f t="shared" si="229"/>
        <v>0</v>
      </c>
      <c r="F928" s="363">
        <f t="shared" si="229"/>
        <v>6616.4699999999993</v>
      </c>
      <c r="G928" s="363">
        <f t="shared" si="229"/>
        <v>841.54</v>
      </c>
      <c r="H928" s="363">
        <f t="shared" si="229"/>
        <v>3397.35</v>
      </c>
      <c r="I928" s="363">
        <f t="shared" si="229"/>
        <v>2057.6200000000003</v>
      </c>
      <c r="J928" s="363">
        <f t="shared" si="229"/>
        <v>12912.98</v>
      </c>
    </row>
    <row r="929" spans="1:11">
      <c r="A929" s="355" t="s">
        <v>61</v>
      </c>
      <c r="B929" s="362"/>
      <c r="C929" s="362"/>
      <c r="D929" s="362"/>
      <c r="E929" s="362"/>
      <c r="F929" s="362"/>
      <c r="G929" s="362"/>
      <c r="H929" s="362"/>
      <c r="I929" s="362"/>
      <c r="J929" s="362"/>
    </row>
    <row r="930" spans="1:11">
      <c r="A930" s="354" t="s">
        <v>62</v>
      </c>
      <c r="B930" s="358">
        <v>0</v>
      </c>
      <c r="C930" s="358">
        <v>0</v>
      </c>
      <c r="D930" s="358">
        <v>0</v>
      </c>
      <c r="E930" s="358">
        <v>893.32</v>
      </c>
      <c r="F930" s="358">
        <v>0</v>
      </c>
      <c r="G930" s="358">
        <v>568.89</v>
      </c>
      <c r="H930" s="358">
        <v>0</v>
      </c>
      <c r="I930" s="358">
        <v>0</v>
      </c>
      <c r="J930" s="358">
        <f>SUM(B930:I930)</f>
        <v>1462.21</v>
      </c>
    </row>
    <row r="931" spans="1:11">
      <c r="A931" s="356" t="s">
        <v>63</v>
      </c>
      <c r="B931" s="363">
        <f t="shared" ref="B931:J931" si="230">SUM(B930)</f>
        <v>0</v>
      </c>
      <c r="C931" s="363">
        <f t="shared" si="230"/>
        <v>0</v>
      </c>
      <c r="D931" s="363">
        <f t="shared" si="230"/>
        <v>0</v>
      </c>
      <c r="E931" s="363">
        <f t="shared" si="230"/>
        <v>893.32</v>
      </c>
      <c r="F931" s="363">
        <f t="shared" si="230"/>
        <v>0</v>
      </c>
      <c r="G931" s="363">
        <f t="shared" si="230"/>
        <v>568.89</v>
      </c>
      <c r="H931" s="363">
        <f t="shared" si="230"/>
        <v>0</v>
      </c>
      <c r="I931" s="363">
        <f t="shared" si="230"/>
        <v>0</v>
      </c>
      <c r="J931" s="363">
        <f t="shared" si="230"/>
        <v>1462.21</v>
      </c>
    </row>
    <row r="932" spans="1:11">
      <c r="A932" s="369" t="s">
        <v>76</v>
      </c>
      <c r="B932" s="363">
        <f t="shared" ref="B932:J932" si="231">SUM(B918,B923,B928,B931)</f>
        <v>0</v>
      </c>
      <c r="C932" s="363">
        <f t="shared" si="231"/>
        <v>0</v>
      </c>
      <c r="D932" s="363">
        <f t="shared" si="231"/>
        <v>0</v>
      </c>
      <c r="E932" s="363">
        <f t="shared" si="231"/>
        <v>893.32</v>
      </c>
      <c r="F932" s="363">
        <f t="shared" si="231"/>
        <v>6686.74</v>
      </c>
      <c r="G932" s="363">
        <f t="shared" si="231"/>
        <v>1410.4299999999998</v>
      </c>
      <c r="H932" s="363">
        <f t="shared" si="231"/>
        <v>12145.640000000001</v>
      </c>
      <c r="I932" s="363">
        <f t="shared" si="231"/>
        <v>2057.6200000000003</v>
      </c>
      <c r="J932" s="363">
        <f t="shared" si="231"/>
        <v>23193.75</v>
      </c>
    </row>
    <row r="933" spans="1:11">
      <c r="A933" s="368" t="s">
        <v>162</v>
      </c>
      <c r="B933" s="362"/>
      <c r="C933" s="362"/>
      <c r="D933" s="362"/>
      <c r="E933" s="362"/>
      <c r="F933" s="362"/>
      <c r="G933" s="362"/>
      <c r="H933" s="362"/>
      <c r="I933" s="362"/>
      <c r="J933" s="362"/>
    </row>
    <row r="934" spans="1:11">
      <c r="A934" s="345" t="s">
        <v>163</v>
      </c>
      <c r="B934" s="358">
        <v>0</v>
      </c>
      <c r="C934" s="358">
        <v>0</v>
      </c>
      <c r="D934" s="358">
        <v>0</v>
      </c>
      <c r="E934" s="358">
        <v>0</v>
      </c>
      <c r="F934" s="358">
        <v>0</v>
      </c>
      <c r="G934" s="358">
        <v>0</v>
      </c>
      <c r="H934" s="358">
        <v>232.73</v>
      </c>
      <c r="I934" s="358">
        <v>0</v>
      </c>
      <c r="J934" s="358">
        <f>SUM(B934:I934)</f>
        <v>232.73</v>
      </c>
    </row>
    <row r="935" spans="1:11">
      <c r="A935" s="369" t="s">
        <v>165</v>
      </c>
      <c r="B935" s="363">
        <f t="shared" ref="B935:J935" si="232">SUM(B934)</f>
        <v>0</v>
      </c>
      <c r="C935" s="363">
        <f t="shared" si="232"/>
        <v>0</v>
      </c>
      <c r="D935" s="363">
        <f t="shared" si="232"/>
        <v>0</v>
      </c>
      <c r="E935" s="363">
        <f t="shared" si="232"/>
        <v>0</v>
      </c>
      <c r="F935" s="363">
        <f t="shared" si="232"/>
        <v>0</v>
      </c>
      <c r="G935" s="363">
        <f t="shared" si="232"/>
        <v>0</v>
      </c>
      <c r="H935" s="363">
        <f t="shared" si="232"/>
        <v>232.73</v>
      </c>
      <c r="I935" s="363">
        <f t="shared" si="232"/>
        <v>0</v>
      </c>
      <c r="J935" s="363">
        <f t="shared" si="232"/>
        <v>232.73</v>
      </c>
    </row>
    <row r="936" spans="1:11">
      <c r="A936" s="368" t="s">
        <v>55</v>
      </c>
      <c r="B936" s="362"/>
      <c r="C936" s="362"/>
      <c r="D936" s="362"/>
      <c r="E936" s="362"/>
      <c r="F936" s="362"/>
      <c r="G936" s="362"/>
      <c r="H936" s="362"/>
      <c r="I936" s="362"/>
      <c r="J936" s="362"/>
    </row>
    <row r="937" spans="1:11">
      <c r="A937" s="345" t="s">
        <v>56</v>
      </c>
      <c r="B937" s="358">
        <v>0</v>
      </c>
      <c r="C937" s="358">
        <v>0</v>
      </c>
      <c r="D937" s="358">
        <v>0</v>
      </c>
      <c r="E937" s="358">
        <v>0</v>
      </c>
      <c r="F937" s="358">
        <v>0</v>
      </c>
      <c r="G937" s="358">
        <v>0</v>
      </c>
      <c r="H937" s="358">
        <v>986.68</v>
      </c>
      <c r="I937" s="358">
        <v>0</v>
      </c>
      <c r="J937" s="358">
        <f>SUM(B937:I937)</f>
        <v>986.68</v>
      </c>
    </row>
    <row r="938" spans="1:11">
      <c r="A938" s="345" t="s">
        <v>58</v>
      </c>
      <c r="B938" s="358">
        <v>0</v>
      </c>
      <c r="C938" s="358">
        <v>0</v>
      </c>
      <c r="D938" s="358">
        <v>0</v>
      </c>
      <c r="E938" s="358">
        <v>0</v>
      </c>
      <c r="F938" s="358">
        <v>0</v>
      </c>
      <c r="G938" s="358">
        <v>0</v>
      </c>
      <c r="H938" s="358">
        <v>3.89</v>
      </c>
      <c r="I938" s="358">
        <v>0</v>
      </c>
      <c r="J938" s="358">
        <f>SUM(B938:I938)</f>
        <v>3.89</v>
      </c>
    </row>
    <row r="939" spans="1:11">
      <c r="A939" s="345" t="s">
        <v>57</v>
      </c>
      <c r="B939" s="358">
        <v>0</v>
      </c>
      <c r="C939" s="358">
        <v>0</v>
      </c>
      <c r="D939" s="358">
        <v>0</v>
      </c>
      <c r="E939" s="358">
        <v>0</v>
      </c>
      <c r="F939" s="358">
        <v>0</v>
      </c>
      <c r="G939" s="358">
        <v>0</v>
      </c>
      <c r="H939" s="358">
        <v>59.02</v>
      </c>
      <c r="I939" s="358">
        <v>0</v>
      </c>
      <c r="J939" s="358">
        <f>SUM(B939:I939)</f>
        <v>59.02</v>
      </c>
    </row>
    <row r="940" spans="1:11">
      <c r="A940" s="369" t="s">
        <v>59</v>
      </c>
      <c r="B940" s="363">
        <f t="shared" ref="B940:J940" si="233">SUM(B937:B939)</f>
        <v>0</v>
      </c>
      <c r="C940" s="363">
        <f t="shared" si="233"/>
        <v>0</v>
      </c>
      <c r="D940" s="363">
        <f t="shared" si="233"/>
        <v>0</v>
      </c>
      <c r="E940" s="363">
        <f t="shared" si="233"/>
        <v>0</v>
      </c>
      <c r="F940" s="363">
        <f t="shared" si="233"/>
        <v>0</v>
      </c>
      <c r="G940" s="363">
        <f t="shared" si="233"/>
        <v>0</v>
      </c>
      <c r="H940" s="363">
        <f t="shared" si="233"/>
        <v>1049.5899999999999</v>
      </c>
      <c r="I940" s="363">
        <f t="shared" si="233"/>
        <v>0</v>
      </c>
      <c r="J940" s="363">
        <f t="shared" si="233"/>
        <v>1049.5899999999999</v>
      </c>
    </row>
    <row r="941" spans="1:11">
      <c r="A941" s="370" t="s">
        <v>194</v>
      </c>
      <c r="B941" s="363">
        <f t="shared" ref="B941:J941" si="234">SUM(B875,B884,B890,B893,B896,B900,B903,B909,B914,B932,B935,B940)</f>
        <v>0</v>
      </c>
      <c r="C941" s="363">
        <f t="shared" si="234"/>
        <v>0</v>
      </c>
      <c r="D941" s="363">
        <f t="shared" si="234"/>
        <v>0</v>
      </c>
      <c r="E941" s="363">
        <f t="shared" si="234"/>
        <v>1746.2800000000002</v>
      </c>
      <c r="F941" s="363">
        <f t="shared" si="234"/>
        <v>21546.32</v>
      </c>
      <c r="G941" s="363">
        <f t="shared" si="234"/>
        <v>2430.1899999999996</v>
      </c>
      <c r="H941" s="363">
        <f t="shared" si="234"/>
        <v>127212.82999999997</v>
      </c>
      <c r="I941" s="363">
        <f t="shared" si="234"/>
        <v>30392.69</v>
      </c>
      <c r="J941" s="363">
        <f t="shared" si="234"/>
        <v>183328.31000000003</v>
      </c>
    </row>
    <row r="942" spans="1:11">
      <c r="A942" s="371" t="s">
        <v>198</v>
      </c>
      <c r="B942" s="363">
        <f t="shared" ref="B942:J942" si="235">SUM(B695,B792,B863,B941)</f>
        <v>0</v>
      </c>
      <c r="C942" s="363">
        <f t="shared" si="235"/>
        <v>0</v>
      </c>
      <c r="D942" s="363">
        <f t="shared" si="235"/>
        <v>0</v>
      </c>
      <c r="E942" s="363">
        <f t="shared" si="235"/>
        <v>128130.87000000001</v>
      </c>
      <c r="F942" s="363">
        <f t="shared" si="235"/>
        <v>1113905.1199999999</v>
      </c>
      <c r="G942" s="363">
        <f t="shared" si="235"/>
        <v>741036.54999999993</v>
      </c>
      <c r="H942" s="363">
        <f t="shared" si="235"/>
        <v>1411783.63</v>
      </c>
      <c r="I942" s="363">
        <f t="shared" si="235"/>
        <v>129771.13000000002</v>
      </c>
      <c r="J942" s="363">
        <f t="shared" si="235"/>
        <v>3524627.3000000003</v>
      </c>
      <c r="K942">
        <v>4.3</v>
      </c>
    </row>
    <row r="943" spans="1:11">
      <c r="A943" s="372" t="s">
        <v>199</v>
      </c>
      <c r="B943" s="363">
        <f t="shared" ref="B943:J943" si="236">SUM(B222,B405,B581,B942)</f>
        <v>0</v>
      </c>
      <c r="C943" s="363">
        <f t="shared" si="236"/>
        <v>0</v>
      </c>
      <c r="D943" s="363">
        <f t="shared" si="236"/>
        <v>0</v>
      </c>
      <c r="E943" s="363">
        <f t="shared" si="236"/>
        <v>418203.75999999995</v>
      </c>
      <c r="F943" s="363">
        <f t="shared" si="236"/>
        <v>4019084.6100000003</v>
      </c>
      <c r="G943" s="363">
        <f t="shared" si="236"/>
        <v>2094899.52</v>
      </c>
      <c r="H943" s="363">
        <f t="shared" si="236"/>
        <v>6004087.4100000001</v>
      </c>
      <c r="I943" s="363">
        <f t="shared" si="236"/>
        <v>1284484.1600000001</v>
      </c>
      <c r="J943" s="363">
        <f t="shared" si="236"/>
        <v>13820759.460000001</v>
      </c>
      <c r="K943">
        <v>4</v>
      </c>
    </row>
    <row r="944" spans="1:11">
      <c r="A944" s="351" t="s">
        <v>200</v>
      </c>
      <c r="B944" s="361">
        <f t="shared" ref="B944:J944" si="237">B177-B943</f>
        <v>0</v>
      </c>
      <c r="C944" s="361">
        <f t="shared" si="237"/>
        <v>0</v>
      </c>
      <c r="D944" s="361">
        <f t="shared" si="237"/>
        <v>0</v>
      </c>
      <c r="E944" s="361">
        <f t="shared" si="237"/>
        <v>-489480.19999999995</v>
      </c>
      <c r="F944" s="361">
        <f t="shared" si="237"/>
        <v>-4039550.64</v>
      </c>
      <c r="G944" s="361">
        <f t="shared" si="237"/>
        <v>-2122221.62</v>
      </c>
      <c r="H944" s="361">
        <f t="shared" si="237"/>
        <v>637340.49999999907</v>
      </c>
      <c r="I944" s="361">
        <f t="shared" si="237"/>
        <v>-1417526.34</v>
      </c>
      <c r="J944" s="361">
        <f t="shared" si="237"/>
        <v>-7431438.3000000017</v>
      </c>
      <c r="K944">
        <v>5</v>
      </c>
    </row>
    <row r="945" spans="1:11">
      <c r="A945" s="367" t="s">
        <v>774</v>
      </c>
      <c r="B945" s="362"/>
      <c r="C945" s="362"/>
      <c r="D945" s="362"/>
      <c r="E945" s="362"/>
      <c r="F945" s="362"/>
      <c r="G945" s="362"/>
      <c r="H945" s="362"/>
      <c r="I945" s="362"/>
      <c r="J945" s="362"/>
    </row>
    <row r="946" spans="1:11">
      <c r="A946" s="338" t="s">
        <v>775</v>
      </c>
      <c r="B946" s="357"/>
      <c r="C946" s="357"/>
      <c r="D946" s="357"/>
      <c r="E946" s="357"/>
      <c r="F946" s="357"/>
      <c r="G946" s="357"/>
      <c r="H946" s="357"/>
      <c r="I946" s="357"/>
      <c r="J946" s="357"/>
    </row>
    <row r="947" spans="1:11">
      <c r="A947" s="339" t="s">
        <v>776</v>
      </c>
      <c r="B947" s="357"/>
      <c r="C947" s="357"/>
      <c r="D947" s="357"/>
      <c r="E947" s="357"/>
      <c r="F947" s="357"/>
      <c r="G947" s="357"/>
      <c r="H947" s="357"/>
      <c r="I947" s="357"/>
      <c r="J947" s="357"/>
    </row>
    <row r="948" spans="1:11">
      <c r="A948" s="340" t="s">
        <v>777</v>
      </c>
      <c r="B948" s="358">
        <v>0</v>
      </c>
      <c r="C948" s="358">
        <v>0</v>
      </c>
      <c r="D948" s="358">
        <v>0</v>
      </c>
      <c r="E948" s="358">
        <v>0</v>
      </c>
      <c r="F948" s="358">
        <v>1.62</v>
      </c>
      <c r="G948" s="358">
        <v>0</v>
      </c>
      <c r="H948" s="358">
        <v>0</v>
      </c>
      <c r="I948" s="358">
        <v>0</v>
      </c>
      <c r="J948" s="358">
        <f>SUM(B948:I948)</f>
        <v>1.62</v>
      </c>
    </row>
    <row r="949" spans="1:11">
      <c r="A949" s="341" t="s">
        <v>778</v>
      </c>
      <c r="B949" s="359">
        <f t="shared" ref="B949:J950" si="238">SUM(B948)</f>
        <v>0</v>
      </c>
      <c r="C949" s="359">
        <f t="shared" si="238"/>
        <v>0</v>
      </c>
      <c r="D949" s="359">
        <f t="shared" si="238"/>
        <v>0</v>
      </c>
      <c r="E949" s="359">
        <f t="shared" si="238"/>
        <v>0</v>
      </c>
      <c r="F949" s="359">
        <f t="shared" si="238"/>
        <v>1.62</v>
      </c>
      <c r="G949" s="359">
        <f t="shared" si="238"/>
        <v>0</v>
      </c>
      <c r="H949" s="359">
        <f t="shared" si="238"/>
        <v>0</v>
      </c>
      <c r="I949" s="359">
        <f t="shared" si="238"/>
        <v>0</v>
      </c>
      <c r="J949" s="359">
        <f t="shared" si="238"/>
        <v>1.62</v>
      </c>
    </row>
    <row r="950" spans="1:11">
      <c r="A950" s="343" t="s">
        <v>779</v>
      </c>
      <c r="B950" s="359">
        <f t="shared" si="238"/>
        <v>0</v>
      </c>
      <c r="C950" s="359">
        <f t="shared" si="238"/>
        <v>0</v>
      </c>
      <c r="D950" s="359">
        <f t="shared" si="238"/>
        <v>0</v>
      </c>
      <c r="E950" s="359">
        <f t="shared" si="238"/>
        <v>0</v>
      </c>
      <c r="F950" s="359">
        <f t="shared" si="238"/>
        <v>1.62</v>
      </c>
      <c r="G950" s="359">
        <f t="shared" si="238"/>
        <v>0</v>
      </c>
      <c r="H950" s="359">
        <f t="shared" si="238"/>
        <v>0</v>
      </c>
      <c r="I950" s="359">
        <f t="shared" si="238"/>
        <v>0</v>
      </c>
      <c r="J950" s="359">
        <f t="shared" si="238"/>
        <v>1.62</v>
      </c>
    </row>
    <row r="951" spans="1:11">
      <c r="A951" s="374" t="s">
        <v>780</v>
      </c>
      <c r="B951" s="365">
        <f t="shared" ref="B951:J951" si="239">B950</f>
        <v>0</v>
      </c>
      <c r="C951" s="365">
        <f t="shared" si="239"/>
        <v>0</v>
      </c>
      <c r="D951" s="365">
        <f t="shared" si="239"/>
        <v>0</v>
      </c>
      <c r="E951" s="365">
        <f t="shared" si="239"/>
        <v>0</v>
      </c>
      <c r="F951" s="365">
        <f t="shared" si="239"/>
        <v>1.62</v>
      </c>
      <c r="G951" s="365">
        <f t="shared" si="239"/>
        <v>0</v>
      </c>
      <c r="H951" s="365">
        <f t="shared" si="239"/>
        <v>0</v>
      </c>
      <c r="I951" s="365">
        <f t="shared" si="239"/>
        <v>0</v>
      </c>
      <c r="J951" s="365">
        <f t="shared" si="239"/>
        <v>1.62</v>
      </c>
    </row>
    <row r="952" spans="1:11">
      <c r="A952" s="374" t="s">
        <v>201</v>
      </c>
      <c r="B952" s="365"/>
      <c r="C952" s="365"/>
      <c r="D952" s="365"/>
      <c r="E952" s="365"/>
      <c r="F952" s="365"/>
      <c r="G952" s="365"/>
      <c r="H952" s="365"/>
      <c r="I952" s="365"/>
      <c r="J952" s="365"/>
    </row>
    <row r="953" spans="1:11">
      <c r="A953" s="338" t="s">
        <v>202</v>
      </c>
      <c r="B953" s="357"/>
      <c r="C953" s="357"/>
      <c r="D953" s="357"/>
      <c r="E953" s="357"/>
      <c r="F953" s="357"/>
      <c r="G953" s="357"/>
      <c r="H953" s="357"/>
      <c r="I953" s="357"/>
      <c r="J953" s="357"/>
    </row>
    <row r="954" spans="1:11">
      <c r="A954" s="339" t="s">
        <v>203</v>
      </c>
      <c r="B954" s="357"/>
      <c r="C954" s="357"/>
      <c r="D954" s="357"/>
      <c r="E954" s="357"/>
      <c r="F954" s="357"/>
      <c r="G954" s="357"/>
      <c r="H954" s="357"/>
      <c r="I954" s="357"/>
      <c r="J954" s="357"/>
    </row>
    <row r="955" spans="1:11">
      <c r="A955" s="340" t="s">
        <v>204</v>
      </c>
      <c r="B955" s="358">
        <v>0</v>
      </c>
      <c r="C955" s="358">
        <v>0</v>
      </c>
      <c r="D955" s="358">
        <v>0</v>
      </c>
      <c r="E955" s="358">
        <v>44865.08</v>
      </c>
      <c r="F955" s="358">
        <v>0</v>
      </c>
      <c r="G955" s="358">
        <v>908.44</v>
      </c>
      <c r="H955" s="358">
        <v>468667.45</v>
      </c>
      <c r="I955" s="358">
        <v>0</v>
      </c>
      <c r="J955" s="358">
        <f>SUM(B955:I955)</f>
        <v>514440.97000000003</v>
      </c>
      <c r="K955">
        <v>6.4</v>
      </c>
    </row>
    <row r="956" spans="1:11">
      <c r="A956" s="350" t="s">
        <v>781</v>
      </c>
      <c r="B956" s="358">
        <v>0</v>
      </c>
      <c r="C956" s="358">
        <v>0</v>
      </c>
      <c r="D956" s="358">
        <v>0</v>
      </c>
      <c r="E956" s="358">
        <v>0</v>
      </c>
      <c r="F956" s="358">
        <v>0</v>
      </c>
      <c r="G956" s="358">
        <v>0</v>
      </c>
      <c r="H956" s="358">
        <v>-1.6</v>
      </c>
      <c r="I956" s="358">
        <v>0</v>
      </c>
      <c r="J956" s="358">
        <f>SUM(B956:I956)</f>
        <v>-1.6</v>
      </c>
      <c r="K956" s="67"/>
    </row>
    <row r="957" spans="1:11">
      <c r="A957" s="375" t="s">
        <v>205</v>
      </c>
      <c r="B957" s="360">
        <f t="shared" ref="B957:J957" si="240">SUM(B955:B956)</f>
        <v>0</v>
      </c>
      <c r="C957" s="360">
        <f t="shared" si="240"/>
        <v>0</v>
      </c>
      <c r="D957" s="360">
        <f t="shared" si="240"/>
        <v>0</v>
      </c>
      <c r="E957" s="360">
        <f t="shared" si="240"/>
        <v>44865.08</v>
      </c>
      <c r="F957" s="360">
        <f t="shared" si="240"/>
        <v>0</v>
      </c>
      <c r="G957" s="360">
        <f t="shared" si="240"/>
        <v>908.44</v>
      </c>
      <c r="H957" s="360">
        <f t="shared" si="240"/>
        <v>468665.85000000003</v>
      </c>
      <c r="I957" s="360">
        <f t="shared" si="240"/>
        <v>0</v>
      </c>
      <c r="J957" s="360">
        <f t="shared" si="240"/>
        <v>514439.37000000005</v>
      </c>
    </row>
    <row r="958" spans="1:11">
      <c r="A958" s="366" t="s">
        <v>206</v>
      </c>
      <c r="B958" s="360">
        <f t="shared" ref="B958:J958" si="241">SUM(B957)</f>
        <v>0</v>
      </c>
      <c r="C958" s="360">
        <f t="shared" si="241"/>
        <v>0</v>
      </c>
      <c r="D958" s="360">
        <f t="shared" si="241"/>
        <v>0</v>
      </c>
      <c r="E958" s="360">
        <f t="shared" si="241"/>
        <v>44865.08</v>
      </c>
      <c r="F958" s="360">
        <f t="shared" si="241"/>
        <v>0</v>
      </c>
      <c r="G958" s="360">
        <f t="shared" si="241"/>
        <v>908.44</v>
      </c>
      <c r="H958" s="360">
        <f t="shared" si="241"/>
        <v>468665.85000000003</v>
      </c>
      <c r="I958" s="360">
        <f t="shared" si="241"/>
        <v>0</v>
      </c>
      <c r="J958" s="360">
        <f t="shared" si="241"/>
        <v>514439.37000000005</v>
      </c>
    </row>
    <row r="959" spans="1:11">
      <c r="A959" s="338" t="s">
        <v>207</v>
      </c>
      <c r="B959" s="357"/>
      <c r="C959" s="357"/>
      <c r="D959" s="357"/>
      <c r="E959" s="357"/>
      <c r="F959" s="357"/>
      <c r="G959" s="357"/>
      <c r="H959" s="357"/>
      <c r="I959" s="357"/>
      <c r="J959" s="357"/>
    </row>
    <row r="960" spans="1:11">
      <c r="A960" s="342" t="s">
        <v>208</v>
      </c>
      <c r="B960" s="358">
        <v>0</v>
      </c>
      <c r="C960" s="358">
        <v>0</v>
      </c>
      <c r="D960" s="358">
        <v>0</v>
      </c>
      <c r="E960" s="358">
        <v>0</v>
      </c>
      <c r="F960" s="358">
        <v>-0.24</v>
      </c>
      <c r="G960" s="358">
        <v>0</v>
      </c>
      <c r="H960" s="358">
        <v>6.87</v>
      </c>
      <c r="I960" s="358">
        <v>-0.06</v>
      </c>
      <c r="J960" s="358">
        <f>SUM(B960:I960)</f>
        <v>6.57</v>
      </c>
      <c r="K960">
        <v>6.2</v>
      </c>
    </row>
    <row r="961" spans="1:11">
      <c r="A961" s="342" t="s">
        <v>209</v>
      </c>
      <c r="B961" s="358">
        <v>-23.88</v>
      </c>
      <c r="C961" s="358">
        <v>-9.56</v>
      </c>
      <c r="D961" s="358">
        <v>243.89</v>
      </c>
      <c r="E961" s="358">
        <v>27.58</v>
      </c>
      <c r="F961" s="358">
        <v>-26779.19</v>
      </c>
      <c r="G961" s="358">
        <v>25.46</v>
      </c>
      <c r="H961" s="358">
        <v>-42933.760000000002</v>
      </c>
      <c r="I961" s="358">
        <v>-20274.34</v>
      </c>
      <c r="J961" s="358">
        <f>SUM(B961:I961)</f>
        <v>-89723.8</v>
      </c>
      <c r="K961">
        <v>6.2</v>
      </c>
    </row>
    <row r="962" spans="1:11">
      <c r="A962" s="342" t="s">
        <v>210</v>
      </c>
      <c r="B962" s="358">
        <v>0</v>
      </c>
      <c r="C962" s="358">
        <v>0</v>
      </c>
      <c r="D962" s="358">
        <v>0</v>
      </c>
      <c r="E962" s="358">
        <v>0</v>
      </c>
      <c r="F962" s="358">
        <v>-2992.24</v>
      </c>
      <c r="G962" s="358">
        <v>0</v>
      </c>
      <c r="H962" s="358">
        <v>161.33000000000001</v>
      </c>
      <c r="I962" s="358">
        <v>0</v>
      </c>
      <c r="J962" s="358">
        <f>SUM(B962:I962)</f>
        <v>-2830.91</v>
      </c>
      <c r="K962">
        <v>6.2</v>
      </c>
    </row>
    <row r="963" spans="1:11">
      <c r="A963" s="339" t="s">
        <v>211</v>
      </c>
      <c r="B963" s="357"/>
      <c r="C963" s="357"/>
      <c r="D963" s="357"/>
      <c r="E963" s="357"/>
      <c r="F963" s="357"/>
      <c r="G963" s="357"/>
      <c r="H963" s="357"/>
      <c r="I963" s="357"/>
      <c r="J963" s="357"/>
    </row>
    <row r="964" spans="1:11">
      <c r="A964" s="340" t="s">
        <v>212</v>
      </c>
      <c r="B964" s="358">
        <v>0</v>
      </c>
      <c r="C964" s="358">
        <v>0</v>
      </c>
      <c r="D964" s="358">
        <v>0</v>
      </c>
      <c r="E964" s="358">
        <v>0</v>
      </c>
      <c r="F964" s="358">
        <v>0</v>
      </c>
      <c r="G964" s="358">
        <v>0</v>
      </c>
      <c r="H964" s="358">
        <v>45.51</v>
      </c>
      <c r="I964" s="358">
        <v>0</v>
      </c>
      <c r="J964" s="358">
        <f>SUM(B964:I964)</f>
        <v>45.51</v>
      </c>
      <c r="K964">
        <v>6.1</v>
      </c>
    </row>
    <row r="965" spans="1:11">
      <c r="A965" s="340" t="s">
        <v>213</v>
      </c>
      <c r="B965" s="358">
        <v>0</v>
      </c>
      <c r="C965" s="358">
        <v>0</v>
      </c>
      <c r="D965" s="358">
        <v>0</v>
      </c>
      <c r="E965" s="358">
        <v>0</v>
      </c>
      <c r="F965" s="358">
        <v>0</v>
      </c>
      <c r="G965" s="358">
        <v>0</v>
      </c>
      <c r="H965" s="358">
        <v>21.59</v>
      </c>
      <c r="I965" s="358">
        <v>151.5</v>
      </c>
      <c r="J965" s="358">
        <f>SUM(B965:I965)</f>
        <v>173.09</v>
      </c>
      <c r="K965">
        <v>6.1</v>
      </c>
    </row>
    <row r="966" spans="1:11">
      <c r="A966" s="340" t="s">
        <v>214</v>
      </c>
      <c r="B966" s="358">
        <v>18.73</v>
      </c>
      <c r="C966" s="358">
        <v>0</v>
      </c>
      <c r="D966" s="358">
        <v>185.54</v>
      </c>
      <c r="E966" s="358">
        <v>429.11</v>
      </c>
      <c r="F966" s="358">
        <v>1663.68</v>
      </c>
      <c r="G966" s="358">
        <v>1508.09</v>
      </c>
      <c r="H966" s="358">
        <v>12571.47</v>
      </c>
      <c r="I966" s="358">
        <v>3491.08</v>
      </c>
      <c r="J966" s="358">
        <f>SUM(B966:I966)</f>
        <v>19867.699999999997</v>
      </c>
      <c r="K966">
        <v>6.1</v>
      </c>
    </row>
    <row r="967" spans="1:11">
      <c r="A967" s="341" t="s">
        <v>215</v>
      </c>
      <c r="B967" s="359">
        <f t="shared" ref="B967:J967" si="242">SUM(B964:B966)</f>
        <v>18.73</v>
      </c>
      <c r="C967" s="359">
        <f t="shared" si="242"/>
        <v>0</v>
      </c>
      <c r="D967" s="359">
        <f t="shared" si="242"/>
        <v>185.54</v>
      </c>
      <c r="E967" s="359">
        <f t="shared" si="242"/>
        <v>429.11</v>
      </c>
      <c r="F967" s="359">
        <f t="shared" si="242"/>
        <v>1663.68</v>
      </c>
      <c r="G967" s="359">
        <f t="shared" si="242"/>
        <v>1508.09</v>
      </c>
      <c r="H967" s="359">
        <f t="shared" si="242"/>
        <v>12638.57</v>
      </c>
      <c r="I967" s="359">
        <f t="shared" si="242"/>
        <v>3642.58</v>
      </c>
      <c r="J967" s="359">
        <f t="shared" si="242"/>
        <v>20086.299999999996</v>
      </c>
    </row>
    <row r="968" spans="1:11">
      <c r="A968" s="342" t="s">
        <v>216</v>
      </c>
      <c r="B968" s="358">
        <v>0</v>
      </c>
      <c r="C968" s="358">
        <v>0</v>
      </c>
      <c r="D968" s="358">
        <v>0</v>
      </c>
      <c r="E968" s="358">
        <v>0</v>
      </c>
      <c r="F968" s="358">
        <v>15546.37</v>
      </c>
      <c r="G968" s="358">
        <v>0</v>
      </c>
      <c r="H968" s="358">
        <v>-10677.89</v>
      </c>
      <c r="I968" s="358">
        <v>3533.92</v>
      </c>
      <c r="J968" s="358">
        <f>SUM(B968:I968)</f>
        <v>8402.4000000000015</v>
      </c>
      <c r="K968">
        <v>6.1</v>
      </c>
    </row>
    <row r="969" spans="1:11">
      <c r="A969" s="343" t="s">
        <v>217</v>
      </c>
      <c r="B969" s="359">
        <f t="shared" ref="B969:I969" si="243">-1*(SUM(B960:B962,B967:B968))</f>
        <v>5.1499999999999986</v>
      </c>
      <c r="C969" s="359">
        <f t="shared" si="243"/>
        <v>9.56</v>
      </c>
      <c r="D969" s="359">
        <f t="shared" si="243"/>
        <v>-429.42999999999995</v>
      </c>
      <c r="E969" s="359">
        <f t="shared" si="243"/>
        <v>-456.69</v>
      </c>
      <c r="F969" s="359">
        <f t="shared" si="243"/>
        <v>12561.619999999997</v>
      </c>
      <c r="G969" s="359">
        <f t="shared" si="243"/>
        <v>-1533.55</v>
      </c>
      <c r="H969" s="359">
        <f t="shared" si="243"/>
        <v>40804.879999999997</v>
      </c>
      <c r="I969" s="359">
        <f t="shared" si="243"/>
        <v>13097.9</v>
      </c>
      <c r="J969" s="359">
        <f>-1*SUM(J960:J962,J967:J968)</f>
        <v>64059.439999999995</v>
      </c>
    </row>
    <row r="970" spans="1:11">
      <c r="A970" s="374" t="s">
        <v>218</v>
      </c>
      <c r="B970" s="365">
        <f t="shared" ref="B970:J970" si="244">B958+B969</f>
        <v>5.1499999999999986</v>
      </c>
      <c r="C970" s="365">
        <f t="shared" si="244"/>
        <v>9.56</v>
      </c>
      <c r="D970" s="365">
        <f t="shared" si="244"/>
        <v>-429.42999999999995</v>
      </c>
      <c r="E970" s="365">
        <f t="shared" si="244"/>
        <v>44408.39</v>
      </c>
      <c r="F970" s="365">
        <f t="shared" si="244"/>
        <v>12561.619999999997</v>
      </c>
      <c r="G970" s="365">
        <f t="shared" si="244"/>
        <v>-625.1099999999999</v>
      </c>
      <c r="H970" s="365">
        <f t="shared" si="244"/>
        <v>509470.73000000004</v>
      </c>
      <c r="I970" s="365">
        <f>I958+I969</f>
        <v>13097.9</v>
      </c>
      <c r="J970" s="365">
        <f t="shared" si="244"/>
        <v>578498.81000000006</v>
      </c>
      <c r="K970">
        <v>6</v>
      </c>
    </row>
    <row r="971" spans="1:11">
      <c r="A971" s="351" t="s">
        <v>219</v>
      </c>
      <c r="B971" s="361">
        <f t="shared" ref="B971:J971" si="245">B944+B970+B951</f>
        <v>5.1499999999999986</v>
      </c>
      <c r="C971" s="361">
        <f t="shared" si="245"/>
        <v>9.56</v>
      </c>
      <c r="D971" s="361">
        <f t="shared" si="245"/>
        <v>-429.42999999999995</v>
      </c>
      <c r="E971" s="361">
        <f t="shared" si="245"/>
        <v>-445071.80999999994</v>
      </c>
      <c r="F971" s="361">
        <f t="shared" si="245"/>
        <v>-4026987.4</v>
      </c>
      <c r="G971" s="361">
        <f t="shared" si="245"/>
        <v>-2122846.73</v>
      </c>
      <c r="H971" s="361">
        <f t="shared" si="245"/>
        <v>1146811.2299999991</v>
      </c>
      <c r="I971" s="361">
        <f t="shared" si="245"/>
        <v>-1404428.4400000002</v>
      </c>
      <c r="J971" s="361">
        <f t="shared" si="245"/>
        <v>-6852937.870000002</v>
      </c>
      <c r="K971">
        <v>7</v>
      </c>
    </row>
    <row r="972" spans="1:11">
      <c r="A972" s="337" t="s">
        <v>220</v>
      </c>
      <c r="B972" s="357"/>
      <c r="C972" s="357"/>
      <c r="D972" s="357"/>
      <c r="E972" s="357"/>
      <c r="F972" s="357"/>
      <c r="G972" s="357"/>
      <c r="H972" s="357"/>
      <c r="I972" s="357"/>
      <c r="J972" s="357"/>
    </row>
    <row r="973" spans="1:11">
      <c r="A973" s="338" t="s">
        <v>221</v>
      </c>
      <c r="B973" s="357"/>
      <c r="C973" s="357"/>
      <c r="D973" s="357"/>
      <c r="E973" s="357"/>
      <c r="F973" s="357"/>
      <c r="G973" s="357"/>
      <c r="H973" s="357"/>
      <c r="I973" s="357"/>
      <c r="J973" s="357"/>
    </row>
    <row r="974" spans="1:11">
      <c r="A974" s="342" t="s">
        <v>782</v>
      </c>
      <c r="B974" s="358">
        <v>0</v>
      </c>
      <c r="C974" s="358">
        <v>0</v>
      </c>
      <c r="D974" s="358">
        <v>0</v>
      </c>
      <c r="E974" s="358">
        <v>0</v>
      </c>
      <c r="F974" s="358">
        <v>0</v>
      </c>
      <c r="G974" s="358">
        <v>0</v>
      </c>
      <c r="H974" s="358">
        <v>0</v>
      </c>
      <c r="I974" s="358">
        <v>-970.16</v>
      </c>
      <c r="J974" s="358">
        <f>SUM(B974:I974)</f>
        <v>-970.16</v>
      </c>
    </row>
    <row r="975" spans="1:11">
      <c r="A975" s="342" t="s">
        <v>458</v>
      </c>
      <c r="B975" s="358">
        <v>0</v>
      </c>
      <c r="C975" s="358">
        <v>0</v>
      </c>
      <c r="D975" s="358">
        <v>0</v>
      </c>
      <c r="E975" s="358">
        <v>-100</v>
      </c>
      <c r="F975" s="358">
        <v>0</v>
      </c>
      <c r="G975" s="358">
        <v>-274</v>
      </c>
      <c r="H975" s="358">
        <v>200</v>
      </c>
      <c r="I975" s="358">
        <v>0</v>
      </c>
      <c r="J975" s="358">
        <f>SUM(B975:I975)</f>
        <v>-174</v>
      </c>
    </row>
    <row r="976" spans="1:11">
      <c r="A976" s="342" t="s">
        <v>222</v>
      </c>
      <c r="B976" s="358">
        <v>0</v>
      </c>
      <c r="C976" s="358">
        <v>0</v>
      </c>
      <c r="D976" s="358">
        <v>0</v>
      </c>
      <c r="E976" s="358">
        <v>0</v>
      </c>
      <c r="F976" s="358">
        <v>-72806.3</v>
      </c>
      <c r="G976" s="358">
        <v>-46812.07</v>
      </c>
      <c r="H976" s="358">
        <v>0</v>
      </c>
      <c r="I976" s="358">
        <v>60159.9</v>
      </c>
      <c r="J976" s="358">
        <f>SUM(B976:I976)</f>
        <v>-59458.469999999994</v>
      </c>
    </row>
    <row r="977" spans="1:11">
      <c r="A977" s="366" t="s">
        <v>223</v>
      </c>
      <c r="B977" s="360">
        <f t="shared" ref="B977:J977" si="246">SUM(B974:B976)</f>
        <v>0</v>
      </c>
      <c r="C977" s="360">
        <f t="shared" si="246"/>
        <v>0</v>
      </c>
      <c r="D977" s="360">
        <f t="shared" si="246"/>
        <v>0</v>
      </c>
      <c r="E977" s="360">
        <f t="shared" si="246"/>
        <v>-100</v>
      </c>
      <c r="F977" s="360">
        <f t="shared" si="246"/>
        <v>-72806.3</v>
      </c>
      <c r="G977" s="360">
        <f t="shared" si="246"/>
        <v>-47086.07</v>
      </c>
      <c r="H977" s="360">
        <f t="shared" si="246"/>
        <v>200</v>
      </c>
      <c r="I977" s="360">
        <f t="shared" si="246"/>
        <v>59189.74</v>
      </c>
      <c r="J977" s="360">
        <f t="shared" si="246"/>
        <v>-60602.62999999999</v>
      </c>
      <c r="K977">
        <v>8</v>
      </c>
    </row>
    <row r="978" spans="1:11">
      <c r="A978" s="347" t="s">
        <v>224</v>
      </c>
      <c r="B978" s="360">
        <f t="shared" ref="B978:J978" si="247">SUM(B977)</f>
        <v>0</v>
      </c>
      <c r="C978" s="360">
        <f t="shared" si="247"/>
        <v>0</v>
      </c>
      <c r="D978" s="360">
        <f t="shared" si="247"/>
        <v>0</v>
      </c>
      <c r="E978" s="360">
        <f t="shared" si="247"/>
        <v>-100</v>
      </c>
      <c r="F978" s="360">
        <f t="shared" si="247"/>
        <v>-72806.3</v>
      </c>
      <c r="G978" s="360">
        <f t="shared" si="247"/>
        <v>-47086.07</v>
      </c>
      <c r="H978" s="360">
        <f t="shared" si="247"/>
        <v>200</v>
      </c>
      <c r="I978" s="360">
        <f t="shared" si="247"/>
        <v>59189.74</v>
      </c>
      <c r="J978" s="360">
        <f t="shared" si="247"/>
        <v>-60602.62999999999</v>
      </c>
    </row>
    <row r="979" spans="1:11">
      <c r="A979" s="351" t="s">
        <v>28</v>
      </c>
      <c r="B979" s="361">
        <f t="shared" ref="B979:J979" si="248">B971+B978</f>
        <v>5.1499999999999986</v>
      </c>
      <c r="C979" s="361">
        <f t="shared" si="248"/>
        <v>9.56</v>
      </c>
      <c r="D979" s="361">
        <f t="shared" si="248"/>
        <v>-429.42999999999995</v>
      </c>
      <c r="E979" s="361">
        <f t="shared" si="248"/>
        <v>-445171.80999999994</v>
      </c>
      <c r="F979" s="361">
        <f t="shared" si="248"/>
        <v>-4099793.6999999997</v>
      </c>
      <c r="G979" s="361">
        <f t="shared" si="248"/>
        <v>-2169932.7999999998</v>
      </c>
      <c r="H979" s="361">
        <f t="shared" si="248"/>
        <v>1147011.2299999991</v>
      </c>
      <c r="I979" s="361">
        <f t="shared" si="248"/>
        <v>-1345238.7000000002</v>
      </c>
      <c r="J979" s="361">
        <f t="shared" si="248"/>
        <v>-6913540.5000000019</v>
      </c>
    </row>
    <row r="1047782" spans="11:11">
      <c r="K1047782" s="1"/>
    </row>
    <row r="1047802" spans="11:11">
      <c r="K1047802" s="85"/>
    </row>
    <row r="1047804" spans="11:11">
      <c r="K1047804" s="84"/>
    </row>
    <row r="1047812" spans="11:11">
      <c r="K1047812" s="61"/>
    </row>
    <row r="1047813" spans="11:11">
      <c r="K1047813" s="61"/>
    </row>
    <row r="1047814" spans="11:11">
      <c r="K1047814" s="61"/>
    </row>
    <row r="1047815" spans="11:11">
      <c r="K1047815" s="60"/>
    </row>
  </sheetData>
  <autoFilter ref="A8:L979" xr:uid="{00000000-0001-0000-0000-000000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43498-DE0D-4E33-8BA2-838BE5641403}">
  <sheetPr>
    <tabColor rgb="FFFFFF00"/>
  </sheetPr>
  <dimension ref="A1"/>
  <sheetViews>
    <sheetView topLeftCell="A13" workbookViewId="0"/>
  </sheetViews>
  <sheetFormatPr defaultColWidth="8.6640625" defaultRowHeight="11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AA9B5-B915-4145-BDF7-A27DE497CEA4}">
  <sheetPr>
    <tabColor rgb="FFFFFF00"/>
  </sheetPr>
  <dimension ref="B2:L27"/>
  <sheetViews>
    <sheetView workbookViewId="0"/>
  </sheetViews>
  <sheetFormatPr defaultColWidth="14.1640625" defaultRowHeight="14.25"/>
  <cols>
    <col min="1" max="1" width="14.1640625" style="52"/>
    <col min="2" max="2" width="32.83203125" style="52" customWidth="1"/>
    <col min="3" max="16384" width="14.1640625" style="52"/>
  </cols>
  <sheetData>
    <row r="2" spans="2:12">
      <c r="B2" s="286"/>
      <c r="C2" s="286"/>
      <c r="D2" s="286"/>
      <c r="E2" s="286"/>
      <c r="F2" s="286"/>
      <c r="G2" s="286"/>
      <c r="H2" s="286"/>
      <c r="I2" s="286"/>
      <c r="J2" s="286"/>
      <c r="K2" s="286"/>
      <c r="L2" s="286"/>
    </row>
    <row r="3" spans="2:12">
      <c r="B3" s="404"/>
      <c r="C3" s="404"/>
      <c r="D3" s="288" t="s">
        <v>673</v>
      </c>
      <c r="E3" s="403"/>
      <c r="F3" s="403" t="s">
        <v>675</v>
      </c>
      <c r="G3" s="403"/>
      <c r="H3" s="403" t="s">
        <v>676</v>
      </c>
      <c r="I3" s="403"/>
      <c r="J3" s="403" t="s">
        <v>677</v>
      </c>
      <c r="K3" s="403"/>
      <c r="L3" s="403" t="s">
        <v>678</v>
      </c>
    </row>
    <row r="4" spans="2:12" ht="15" thickBot="1">
      <c r="B4" s="404"/>
      <c r="C4" s="404"/>
      <c r="D4" s="289" t="s">
        <v>674</v>
      </c>
      <c r="E4" s="403"/>
      <c r="F4" s="402"/>
      <c r="G4" s="403"/>
      <c r="H4" s="402"/>
      <c r="I4" s="403"/>
      <c r="J4" s="402"/>
      <c r="K4" s="403"/>
      <c r="L4" s="402"/>
    </row>
    <row r="5" spans="2:12" ht="15" thickBot="1">
      <c r="B5" s="287"/>
      <c r="C5" s="287"/>
      <c r="D5" s="402" t="s">
        <v>679</v>
      </c>
      <c r="E5" s="402"/>
      <c r="F5" s="402"/>
      <c r="G5" s="402"/>
      <c r="H5" s="402"/>
      <c r="I5" s="402"/>
      <c r="J5" s="402"/>
      <c r="K5" s="402"/>
      <c r="L5" s="402"/>
    </row>
    <row r="6" spans="2:12">
      <c r="B6" s="287"/>
      <c r="C6" s="287"/>
      <c r="D6" s="288"/>
      <c r="E6" s="290"/>
      <c r="F6" s="290"/>
      <c r="G6" s="290"/>
      <c r="H6" s="290"/>
      <c r="I6" s="290"/>
      <c r="J6" s="290"/>
      <c r="K6" s="290"/>
      <c r="L6" s="290"/>
    </row>
    <row r="7" spans="2:12">
      <c r="B7" s="291" t="s">
        <v>680</v>
      </c>
      <c r="C7" s="287"/>
      <c r="D7" s="292">
        <v>16</v>
      </c>
      <c r="E7" s="292"/>
      <c r="F7" s="292">
        <v>-163</v>
      </c>
      <c r="G7" s="292"/>
      <c r="H7" s="293">
        <v>38957</v>
      </c>
      <c r="I7" s="292"/>
      <c r="J7" s="293">
        <v>-31471</v>
      </c>
      <c r="K7" s="292"/>
      <c r="L7" s="293">
        <v>7339</v>
      </c>
    </row>
    <row r="8" spans="2:12">
      <c r="B8" s="287"/>
      <c r="C8" s="287"/>
      <c r="D8" s="292"/>
      <c r="E8" s="292"/>
      <c r="F8" s="292"/>
      <c r="G8" s="292"/>
      <c r="H8" s="292"/>
      <c r="I8" s="292"/>
      <c r="J8" s="292"/>
      <c r="K8" s="292"/>
      <c r="L8" s="292"/>
    </row>
    <row r="9" spans="2:12">
      <c r="B9" s="287" t="s">
        <v>681</v>
      </c>
      <c r="C9" s="287"/>
      <c r="D9" s="292">
        <v>12</v>
      </c>
      <c r="E9" s="292"/>
      <c r="F9" s="292">
        <v>163</v>
      </c>
      <c r="G9" s="292"/>
      <c r="H9" s="293">
        <v>89852</v>
      </c>
      <c r="I9" s="292"/>
      <c r="J9" s="292"/>
      <c r="K9" s="292"/>
      <c r="L9" s="293">
        <f>SUM(D9:K9)</f>
        <v>90027</v>
      </c>
    </row>
    <row r="10" spans="2:12">
      <c r="B10" s="287" t="s">
        <v>682</v>
      </c>
      <c r="C10" s="287"/>
      <c r="D10" s="292" t="s">
        <v>470</v>
      </c>
      <c r="E10" s="292"/>
      <c r="F10" s="292"/>
      <c r="G10" s="292"/>
      <c r="H10" s="293">
        <v>1757</v>
      </c>
      <c r="I10" s="292"/>
      <c r="J10" s="292"/>
      <c r="K10" s="292"/>
      <c r="L10" s="293">
        <f>SUM(D10:K10)</f>
        <v>1757</v>
      </c>
    </row>
    <row r="11" spans="2:12" ht="15" thickBot="1">
      <c r="B11" s="287" t="s">
        <v>683</v>
      </c>
      <c r="C11" s="287"/>
      <c r="D11" s="294" t="s">
        <v>470</v>
      </c>
      <c r="E11" s="292"/>
      <c r="F11" s="294" t="s">
        <v>470</v>
      </c>
      <c r="G11" s="292"/>
      <c r="H11" s="294" t="s">
        <v>470</v>
      </c>
      <c r="I11" s="292"/>
      <c r="J11" s="295">
        <v>-13588</v>
      </c>
      <c r="K11" s="292"/>
      <c r="L11" s="295">
        <f>SUM(D11:K11)</f>
        <v>-13588</v>
      </c>
    </row>
    <row r="12" spans="2:12">
      <c r="B12" s="287"/>
      <c r="C12" s="287"/>
      <c r="D12" s="292"/>
      <c r="E12" s="292"/>
      <c r="F12" s="292"/>
      <c r="G12" s="292"/>
      <c r="H12" s="292"/>
      <c r="I12" s="292"/>
      <c r="J12" s="292"/>
      <c r="K12" s="292"/>
      <c r="L12" s="292"/>
    </row>
    <row r="13" spans="2:12">
      <c r="B13" s="291" t="s">
        <v>684</v>
      </c>
      <c r="C13" s="287"/>
      <c r="D13" s="296">
        <f>SUM(D7:D12)</f>
        <v>28</v>
      </c>
      <c r="E13" s="296"/>
      <c r="F13" s="296" t="s">
        <v>470</v>
      </c>
      <c r="G13" s="296"/>
      <c r="H13" s="296">
        <f>SUM(H7:H12)</f>
        <v>130566</v>
      </c>
      <c r="I13" s="296"/>
      <c r="J13" s="296">
        <f>SUM(J7:J12)</f>
        <v>-45059</v>
      </c>
      <c r="K13" s="296"/>
      <c r="L13" s="296">
        <f>SUM(L7:L12)</f>
        <v>85535</v>
      </c>
    </row>
    <row r="14" spans="2:12">
      <c r="B14" s="287"/>
      <c r="C14" s="287"/>
      <c r="D14" s="292"/>
      <c r="E14" s="292"/>
      <c r="F14" s="292"/>
      <c r="G14" s="292"/>
      <c r="H14" s="292"/>
      <c r="I14" s="292"/>
      <c r="J14" s="292"/>
      <c r="K14" s="292"/>
      <c r="L14" s="293">
        <f>SUM(D14:K14)</f>
        <v>0</v>
      </c>
    </row>
    <row r="15" spans="2:12">
      <c r="B15" s="287" t="s">
        <v>691</v>
      </c>
      <c r="C15" s="287"/>
      <c r="D15" s="292"/>
      <c r="E15" s="292"/>
      <c r="F15" s="313">
        <f>+'WRD Solo BS'!B146/1000-1</f>
        <v>22.171119999999998</v>
      </c>
      <c r="G15" s="292"/>
      <c r="H15" s="292"/>
      <c r="I15" s="292"/>
      <c r="J15" s="292"/>
      <c r="K15" s="292"/>
      <c r="L15" s="293">
        <f>SUM(D15:K15)</f>
        <v>22.171119999999998</v>
      </c>
    </row>
    <row r="16" spans="2:12">
      <c r="B16" s="287" t="s">
        <v>682</v>
      </c>
      <c r="C16" s="287"/>
      <c r="D16" s="292"/>
      <c r="E16" s="292"/>
      <c r="F16" s="292"/>
      <c r="G16" s="292"/>
      <c r="H16" s="293">
        <f>+'WRD Solo BS'!E147/1000-1</f>
        <v>823.74508000000003</v>
      </c>
      <c r="I16" s="292"/>
      <c r="J16" s="292"/>
      <c r="K16" s="292"/>
      <c r="L16" s="293">
        <f>SUM(D16:K16)</f>
        <v>823.74508000000003</v>
      </c>
    </row>
    <row r="17" spans="2:12" ht="15" thickBot="1">
      <c r="B17" s="287" t="s">
        <v>683</v>
      </c>
      <c r="C17" s="287"/>
      <c r="D17" s="294" t="s">
        <v>470</v>
      </c>
      <c r="E17" s="292"/>
      <c r="F17" s="294" t="s">
        <v>470</v>
      </c>
      <c r="G17" s="292"/>
      <c r="H17" s="294" t="s">
        <v>470</v>
      </c>
      <c r="I17" s="292"/>
      <c r="J17" s="297">
        <f>+'P&amp;L ILS'!G31</f>
        <v>-17338</v>
      </c>
      <c r="K17" s="292"/>
      <c r="L17" s="299">
        <f>+J17</f>
        <v>-17338</v>
      </c>
    </row>
    <row r="18" spans="2:12">
      <c r="B18" s="287"/>
      <c r="C18" s="287"/>
      <c r="D18" s="292"/>
      <c r="E18" s="292"/>
      <c r="F18" s="292"/>
      <c r="G18" s="292"/>
      <c r="H18" s="292"/>
      <c r="I18" s="292"/>
      <c r="J18" s="292"/>
      <c r="K18" s="292"/>
      <c r="L18" s="292"/>
    </row>
    <row r="19" spans="2:12" ht="15" thickBot="1">
      <c r="B19" s="291" t="s">
        <v>685</v>
      </c>
      <c r="C19" s="287"/>
      <c r="D19" s="298">
        <f>SUM(D13:D17)</f>
        <v>28</v>
      </c>
      <c r="E19" s="292"/>
      <c r="F19" s="298">
        <f>SUM(F13:F17)</f>
        <v>22.171119999999998</v>
      </c>
      <c r="G19" s="292"/>
      <c r="H19" s="298">
        <f>SUM(H13:H17)</f>
        <v>131389.74507999999</v>
      </c>
      <c r="I19" s="292"/>
      <c r="J19" s="298">
        <f>SUM(J13:J18)</f>
        <v>-62397</v>
      </c>
      <c r="K19" s="292"/>
      <c r="L19" s="298">
        <f>SUM(L13:L18)</f>
        <v>69042.916199999992</v>
      </c>
    </row>
    <row r="20" spans="2:12" ht="15" thickTop="1">
      <c r="B20" s="286"/>
      <c r="C20" s="286"/>
      <c r="D20" s="286"/>
      <c r="E20" s="286"/>
      <c r="F20" s="286"/>
      <c r="G20" s="286"/>
      <c r="H20" s="286"/>
      <c r="I20" s="286"/>
      <c r="J20" s="286"/>
      <c r="K20" s="286"/>
      <c r="L20" s="286"/>
    </row>
    <row r="21" spans="2:12">
      <c r="B21" s="286"/>
      <c r="C21" s="286"/>
      <c r="D21" s="286"/>
      <c r="E21" s="286"/>
      <c r="F21" s="286"/>
      <c r="G21" s="286"/>
      <c r="H21" s="286"/>
      <c r="I21" s="286"/>
      <c r="J21" s="286"/>
      <c r="K21" s="286"/>
      <c r="L21" s="293">
        <f>+'BS ILS'!E51/1000-L19</f>
        <v>0.27307000002474524</v>
      </c>
    </row>
    <row r="22" spans="2:12">
      <c r="B22" s="286"/>
      <c r="C22" s="286"/>
      <c r="D22" s="286"/>
      <c r="E22" s="286"/>
      <c r="F22" s="286"/>
      <c r="G22" s="286"/>
      <c r="H22" s="286"/>
      <c r="I22" s="286"/>
      <c r="J22" s="286"/>
      <c r="K22" s="286"/>
      <c r="L22" s="286"/>
    </row>
    <row r="23" spans="2:12">
      <c r="B23" s="286"/>
      <c r="C23" s="286"/>
      <c r="D23" s="286"/>
      <c r="E23" s="286"/>
      <c r="F23" s="286"/>
      <c r="G23" s="286"/>
      <c r="H23" s="286"/>
      <c r="I23" s="286"/>
      <c r="J23" s="286"/>
      <c r="K23" s="286"/>
      <c r="L23" s="286"/>
    </row>
    <row r="24" spans="2:12">
      <c r="B24" s="286"/>
      <c r="C24" s="286"/>
      <c r="D24" s="286"/>
      <c r="E24" s="286"/>
      <c r="F24" s="286"/>
      <c r="G24" s="286"/>
      <c r="H24" s="286"/>
      <c r="I24" s="286"/>
      <c r="J24" s="286"/>
      <c r="K24" s="286"/>
      <c r="L24" s="286"/>
    </row>
    <row r="25" spans="2:12">
      <c r="B25" s="286"/>
      <c r="C25" s="286"/>
      <c r="D25" s="286"/>
      <c r="E25" s="286"/>
      <c r="F25" s="286"/>
      <c r="G25" s="286"/>
      <c r="H25" s="286"/>
      <c r="I25" s="286"/>
      <c r="J25" s="286"/>
      <c r="K25" s="286"/>
      <c r="L25" s="286"/>
    </row>
    <row r="26" spans="2:12">
      <c r="B26" s="286"/>
      <c r="C26" s="286"/>
      <c r="D26" s="286"/>
      <c r="E26" s="286"/>
      <c r="F26" s="286"/>
      <c r="G26" s="286"/>
      <c r="H26" s="286"/>
      <c r="I26" s="286"/>
      <c r="J26" s="286"/>
      <c r="K26" s="286"/>
      <c r="L26" s="286"/>
    </row>
    <row r="27" spans="2:12">
      <c r="B27" s="286"/>
      <c r="C27" s="286"/>
      <c r="D27" s="286"/>
      <c r="E27" s="286"/>
      <c r="F27" s="286"/>
      <c r="G27" s="286"/>
      <c r="H27" s="286"/>
      <c r="I27" s="286"/>
      <c r="J27" s="286"/>
      <c r="K27" s="286"/>
      <c r="L27" s="286"/>
    </row>
  </sheetData>
  <mergeCells count="11">
    <mergeCell ref="B3:B4"/>
    <mergeCell ref="C3:C4"/>
    <mergeCell ref="E3:E4"/>
    <mergeCell ref="K3:K4"/>
    <mergeCell ref="L3:L4"/>
    <mergeCell ref="D5:L5"/>
    <mergeCell ref="F3:F4"/>
    <mergeCell ref="G3:G4"/>
    <mergeCell ref="H3:H4"/>
    <mergeCell ref="I3:I4"/>
    <mergeCell ref="J3:J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89CDA-BD7E-4B24-88DE-7D7C8DCA1321}">
  <sheetPr>
    <tabColor rgb="FFFFFF00"/>
  </sheetPr>
  <dimension ref="A1:N465"/>
  <sheetViews>
    <sheetView workbookViewId="0"/>
  </sheetViews>
  <sheetFormatPr defaultColWidth="8.6640625" defaultRowHeight="14.25"/>
  <cols>
    <col min="2" max="2" width="6" bestFit="1" customWidth="1"/>
    <col min="3" max="3" width="45.6640625" style="8" bestFit="1" customWidth="1"/>
    <col min="5" max="5" width="15" bestFit="1" customWidth="1"/>
    <col min="6" max="7" width="10.1640625" bestFit="1" customWidth="1"/>
    <col min="8" max="9" width="15" bestFit="1" customWidth="1"/>
  </cols>
  <sheetData>
    <row r="1" spans="1:14" ht="18">
      <c r="C1" s="11" t="s">
        <v>456</v>
      </c>
    </row>
    <row r="2" spans="1:14" ht="15">
      <c r="C2" s="9" t="s">
        <v>457</v>
      </c>
    </row>
    <row r="5" spans="1:14">
      <c r="B5" t="s">
        <v>226</v>
      </c>
      <c r="E5" s="34" t="s">
        <v>233</v>
      </c>
    </row>
    <row r="6" spans="1:14" ht="15.75" thickBot="1">
      <c r="E6" s="33">
        <v>2023</v>
      </c>
      <c r="G6" s="55" t="s">
        <v>500</v>
      </c>
      <c r="I6" s="15" t="s">
        <v>505</v>
      </c>
      <c r="J6" s="14"/>
      <c r="K6" s="14"/>
      <c r="L6" s="14"/>
      <c r="M6" s="14"/>
      <c r="N6" s="14"/>
    </row>
    <row r="7" spans="1:14" ht="15">
      <c r="E7" s="13"/>
      <c r="G7" s="13"/>
      <c r="H7" s="14"/>
      <c r="I7" s="14"/>
      <c r="J7" s="14"/>
      <c r="K7" s="14"/>
      <c r="L7" s="14"/>
      <c r="M7" s="14"/>
      <c r="N7" s="14"/>
    </row>
    <row r="8" spans="1:14" ht="15">
      <c r="B8">
        <v>1</v>
      </c>
      <c r="C8" s="9" t="s">
        <v>225</v>
      </c>
      <c r="E8" s="14">
        <f>+SUMIF('WRD Solo P&amp;L'!$C$7:$C$674,B8,'WRD Solo P&amp;L'!$B$7:$B$674)</f>
        <v>22654854.499999996</v>
      </c>
      <c r="G8" s="14">
        <f>+ROUND(E8/1000,0)</f>
        <v>22655</v>
      </c>
      <c r="H8" s="14"/>
      <c r="I8" s="14">
        <f>+'NOTES-Conso'!B50</f>
        <v>9</v>
      </c>
      <c r="J8" s="14"/>
      <c r="K8" s="14"/>
      <c r="L8" s="14"/>
      <c r="M8" s="14"/>
      <c r="N8" s="14"/>
    </row>
    <row r="9" spans="1:14" ht="15">
      <c r="C9" s="9"/>
      <c r="E9" s="14"/>
      <c r="G9" s="14"/>
      <c r="H9" s="14"/>
      <c r="I9" s="14"/>
      <c r="J9" s="14"/>
      <c r="K9" s="14"/>
      <c r="L9" s="14"/>
      <c r="M9" s="14"/>
      <c r="N9" s="14"/>
    </row>
    <row r="10" spans="1:14" ht="15">
      <c r="B10">
        <v>2</v>
      </c>
      <c r="C10" s="9" t="s">
        <v>227</v>
      </c>
      <c r="E10" s="17">
        <f>+SUMIF('WRD Solo P&amp;L'!$C$7:$C$674,B10,'WRD Solo P&amp;L'!$B$7:$B$674)</f>
        <v>-5998216.2199999997</v>
      </c>
      <c r="G10" s="14">
        <f>+ROUND(E10/1000,0)</f>
        <v>-5998</v>
      </c>
      <c r="H10" s="14"/>
      <c r="I10" s="14">
        <f>+'NOTES-Conso'!B59</f>
        <v>10</v>
      </c>
      <c r="J10" s="14"/>
      <c r="K10" s="14"/>
      <c r="L10" s="14"/>
      <c r="M10" s="14"/>
      <c r="N10" s="14"/>
    </row>
    <row r="11" spans="1:14" ht="15">
      <c r="C11" s="9"/>
      <c r="E11" s="14"/>
      <c r="G11" s="14"/>
      <c r="H11" s="14"/>
      <c r="I11" s="14"/>
      <c r="J11" s="14"/>
      <c r="K11" s="14"/>
      <c r="L11" s="14"/>
      <c r="M11" s="14"/>
      <c r="N11" s="14"/>
    </row>
    <row r="12" spans="1:14" ht="15">
      <c r="B12">
        <v>3</v>
      </c>
      <c r="C12" s="9" t="s">
        <v>228</v>
      </c>
      <c r="E12" s="15">
        <f>+E8+E10</f>
        <v>16656638.279999997</v>
      </c>
      <c r="G12" s="15">
        <f>+G8+G10</f>
        <v>16657</v>
      </c>
      <c r="H12" s="14"/>
      <c r="I12" s="14"/>
      <c r="J12" s="14"/>
      <c r="K12" s="14"/>
      <c r="L12" s="14"/>
      <c r="M12" s="14"/>
      <c r="N12" s="14"/>
    </row>
    <row r="13" spans="1:14">
      <c r="A13" s="86"/>
      <c r="E13" s="14"/>
      <c r="G13" s="14"/>
      <c r="H13" s="14"/>
      <c r="I13" s="14"/>
      <c r="J13" s="14"/>
      <c r="K13" s="14"/>
      <c r="L13" s="14"/>
      <c r="M13" s="14"/>
      <c r="N13" s="14"/>
    </row>
    <row r="14" spans="1:14" ht="15">
      <c r="A14" s="86"/>
      <c r="C14" s="9" t="s">
        <v>236</v>
      </c>
      <c r="E14" s="18"/>
      <c r="G14" s="18"/>
      <c r="H14" s="14"/>
      <c r="I14" s="14"/>
      <c r="J14" s="14"/>
      <c r="K14" s="14"/>
      <c r="L14" s="14"/>
      <c r="M14" s="14"/>
      <c r="N14" s="14"/>
    </row>
    <row r="15" spans="1:14" ht="15">
      <c r="A15" s="86" t="s">
        <v>150</v>
      </c>
      <c r="B15">
        <v>4.0999999999999996</v>
      </c>
      <c r="C15" s="9" t="s">
        <v>96</v>
      </c>
      <c r="E15" s="19">
        <f>+SUMIF('WRD Solo P&amp;L'!$C$7:$C$674,B15,'WRD Solo P&amp;L'!$B$7:$B$674)+'WRD Solo P&amp;L'!E680</f>
        <v>19092520.765809909</v>
      </c>
      <c r="G15" s="14">
        <f>+ROUND(E15/1000,0)</f>
        <v>19093</v>
      </c>
      <c r="H15" s="14"/>
      <c r="I15" s="14"/>
      <c r="J15" s="14"/>
      <c r="K15" s="14"/>
      <c r="L15" s="14"/>
      <c r="M15" s="14"/>
      <c r="N15" s="14"/>
    </row>
    <row r="16" spans="1:14" ht="15">
      <c r="A16" s="86" t="s">
        <v>174</v>
      </c>
      <c r="B16">
        <v>4.2</v>
      </c>
      <c r="C16" s="9" t="s">
        <v>151</v>
      </c>
      <c r="E16" s="19">
        <f>+SUMIF('WRD Solo P&amp;L'!$C$7:$C$674,B16,'WRD Solo P&amp;L'!$B$7:$B$674)+'WRD Solo P&amp;L'!E681</f>
        <v>13490587.599513801</v>
      </c>
      <c r="G16" s="14">
        <f>+ROUND(E16/1000,0)</f>
        <v>13491</v>
      </c>
      <c r="H16" s="14"/>
      <c r="I16" s="14"/>
      <c r="J16" s="14"/>
      <c r="K16" s="14"/>
      <c r="L16" s="14"/>
      <c r="M16" s="14"/>
      <c r="N16" s="14"/>
    </row>
    <row r="17" spans="1:14" ht="15">
      <c r="A17" s="86" t="s">
        <v>198</v>
      </c>
      <c r="B17">
        <v>4.3</v>
      </c>
      <c r="C17" s="9" t="s">
        <v>175</v>
      </c>
      <c r="E17" s="17">
        <f>+SUMIF('WRD Solo P&amp;L'!$C$7:$C$674,B17,'WRD Solo P&amp;L'!$B$7:$B$674)+'WRD Solo P&amp;L'!E682</f>
        <v>12234312.304676291</v>
      </c>
      <c r="G17" s="17">
        <f>+ROUND(E17/1000,0)</f>
        <v>12234</v>
      </c>
      <c r="H17" s="14"/>
      <c r="I17" s="14"/>
      <c r="J17" s="14"/>
      <c r="K17" s="14"/>
      <c r="L17" s="14"/>
      <c r="M17" s="14"/>
      <c r="N17" s="14"/>
    </row>
    <row r="18" spans="1:14" ht="15">
      <c r="A18" s="86"/>
      <c r="C18" s="9"/>
      <c r="E18" s="14"/>
      <c r="G18" s="14"/>
      <c r="H18" s="14"/>
      <c r="I18" s="14"/>
      <c r="J18" s="14"/>
      <c r="K18" s="14"/>
      <c r="L18" s="14"/>
      <c r="M18" s="14"/>
      <c r="N18" s="14"/>
    </row>
    <row r="19" spans="1:14" ht="15">
      <c r="A19" s="86" t="s">
        <v>199</v>
      </c>
      <c r="B19">
        <v>4</v>
      </c>
      <c r="C19" s="9" t="s">
        <v>569</v>
      </c>
      <c r="E19" s="16">
        <f>+SUMIF('WRD Solo P&amp;L'!$C$7:$C$674,B19,'WRD Solo P&amp;L'!$B$7:$B$674)+'WRD Solo P&amp;L'!B676</f>
        <v>44817420.670000002</v>
      </c>
      <c r="G19" s="16">
        <f>+SUM(G15:G17)</f>
        <v>44818</v>
      </c>
      <c r="H19" s="56">
        <f>+E19-E17-E16-E15</f>
        <v>0</v>
      </c>
      <c r="I19" s="14"/>
      <c r="J19" s="14"/>
      <c r="K19" s="14"/>
      <c r="L19" s="14"/>
      <c r="M19" s="14"/>
      <c r="N19" s="14"/>
    </row>
    <row r="20" spans="1:14">
      <c r="E20" s="14"/>
      <c r="G20" s="14"/>
      <c r="H20" s="14"/>
      <c r="I20" s="14"/>
      <c r="J20" s="14"/>
      <c r="K20" s="14"/>
      <c r="L20" s="14"/>
      <c r="M20" s="14"/>
      <c r="N20" s="14"/>
    </row>
    <row r="21" spans="1:14" ht="15.75" thickBot="1">
      <c r="C21" s="9" t="s">
        <v>503</v>
      </c>
      <c r="E21" s="57">
        <f>+E12-E19</f>
        <v>-28160782.390000004</v>
      </c>
      <c r="G21" s="57">
        <f>+G12-G19</f>
        <v>-28161</v>
      </c>
      <c r="H21" s="14"/>
      <c r="I21" s="14"/>
      <c r="J21" s="14"/>
      <c r="K21" s="14"/>
      <c r="L21" s="14"/>
      <c r="M21" s="14"/>
      <c r="N21" s="14"/>
    </row>
    <row r="22" spans="1:14">
      <c r="E22" s="14"/>
      <c r="G22" s="14"/>
      <c r="H22" s="14"/>
      <c r="I22" s="14"/>
      <c r="J22" s="14"/>
      <c r="K22" s="14"/>
      <c r="L22" s="14"/>
      <c r="M22" s="14"/>
      <c r="N22" s="14"/>
    </row>
    <row r="23" spans="1:14" ht="15">
      <c r="B23">
        <v>5</v>
      </c>
      <c r="C23" s="9" t="s">
        <v>200</v>
      </c>
      <c r="E23" s="15">
        <f>+E12-E19</f>
        <v>-28160782.390000004</v>
      </c>
      <c r="G23" s="15">
        <f>+G12-G19</f>
        <v>-28161</v>
      </c>
      <c r="H23" s="14"/>
      <c r="I23" s="14"/>
      <c r="J23" s="14"/>
      <c r="K23" s="14"/>
      <c r="L23" s="14"/>
      <c r="M23" s="14"/>
      <c r="N23" s="14"/>
    </row>
    <row r="24" spans="1:14">
      <c r="E24" s="14"/>
      <c r="G24" s="14"/>
      <c r="H24" s="14"/>
      <c r="I24" s="14"/>
      <c r="J24" s="14"/>
      <c r="K24" s="14"/>
      <c r="L24" s="14"/>
      <c r="M24" s="14"/>
      <c r="N24" s="14"/>
    </row>
    <row r="25" spans="1:14">
      <c r="B25">
        <v>6</v>
      </c>
      <c r="C25" s="8" t="s">
        <v>504</v>
      </c>
      <c r="E25" s="17">
        <f>+SUMIF('WRD Solo P&amp;L'!$C$7:$C$674,B25,'WRD Solo P&amp;L'!$B$7:$B$674)</f>
        <v>10822974.109999999</v>
      </c>
      <c r="G25" s="17">
        <f>+ROUND(E25/1000,0)</f>
        <v>10823</v>
      </c>
      <c r="I25" s="14">
        <f>+'NOTES-Conso'!B67</f>
        <v>11</v>
      </c>
      <c r="J25" s="14"/>
      <c r="K25" s="14"/>
      <c r="L25" s="14"/>
      <c r="M25" s="14"/>
      <c r="N25" s="14"/>
    </row>
    <row r="26" spans="1:14" ht="15">
      <c r="C26" s="9"/>
      <c r="E26" s="14"/>
      <c r="G26" s="14"/>
      <c r="H26" s="14"/>
      <c r="I26" s="14"/>
      <c r="J26" s="14"/>
      <c r="K26" s="14"/>
      <c r="L26" s="14"/>
      <c r="M26" s="14"/>
      <c r="N26" s="14"/>
    </row>
    <row r="27" spans="1:14" ht="15">
      <c r="B27">
        <v>7</v>
      </c>
      <c r="C27" s="9" t="s">
        <v>237</v>
      </c>
      <c r="E27" s="15">
        <f>+E25+E23</f>
        <v>-17337808.280000005</v>
      </c>
      <c r="G27" s="15">
        <f>+G25+G23</f>
        <v>-17338</v>
      </c>
      <c r="H27" s="14"/>
      <c r="I27" s="14"/>
      <c r="J27" s="14"/>
      <c r="K27" s="14"/>
      <c r="L27" s="14"/>
      <c r="M27" s="14"/>
      <c r="N27" s="14"/>
    </row>
    <row r="28" spans="1:14">
      <c r="E28" s="19"/>
      <c r="G28" s="19"/>
      <c r="H28" s="14"/>
      <c r="I28" s="14"/>
      <c r="J28" s="14"/>
      <c r="K28" s="14"/>
      <c r="L28" s="14"/>
      <c r="M28" s="14"/>
      <c r="N28" s="14"/>
    </row>
    <row r="29" spans="1:14">
      <c r="B29">
        <v>8</v>
      </c>
      <c r="C29" s="8" t="s">
        <v>220</v>
      </c>
      <c r="E29" s="17">
        <f>+SUMIF('WRD Solo P&amp;L'!$C$7:$C$674,B29,'WRD Solo P&amp;L'!$B$7:$B$674)</f>
        <v>0</v>
      </c>
      <c r="G29" s="17">
        <f>+ROUND(E29/1000,0)</f>
        <v>0</v>
      </c>
      <c r="H29" s="14"/>
      <c r="I29" s="14"/>
      <c r="J29" s="14"/>
      <c r="K29" s="14"/>
      <c r="L29" s="14"/>
      <c r="M29" s="14"/>
      <c r="N29" s="14"/>
    </row>
    <row r="30" spans="1:14">
      <c r="E30" s="14"/>
      <c r="G30" s="14"/>
      <c r="H30" s="14"/>
      <c r="I30" s="14"/>
      <c r="J30" s="14"/>
      <c r="K30" s="14"/>
      <c r="L30" s="14"/>
      <c r="M30" s="14"/>
      <c r="N30" s="14"/>
    </row>
    <row r="31" spans="1:14" ht="15">
      <c r="C31" s="8" t="s">
        <v>238</v>
      </c>
      <c r="E31" s="15">
        <f>+E27+E29</f>
        <v>-17337808.280000005</v>
      </c>
      <c r="G31" s="15">
        <f>+G27+G29</f>
        <v>-17338</v>
      </c>
      <c r="H31" s="14"/>
      <c r="I31" s="14"/>
      <c r="J31" s="14"/>
      <c r="K31" s="14"/>
      <c r="L31" s="14"/>
      <c r="M31" s="14"/>
      <c r="N31" s="14"/>
    </row>
    <row r="32" spans="1:14" ht="15">
      <c r="E32" s="14"/>
      <c r="G32" s="13"/>
      <c r="H32" s="14"/>
      <c r="I32" s="14"/>
      <c r="J32" s="14"/>
      <c r="K32" s="14"/>
      <c r="L32" s="14"/>
      <c r="M32" s="14"/>
      <c r="N32" s="14"/>
    </row>
    <row r="33" spans="5:14">
      <c r="E33" s="14"/>
      <c r="G33" s="14"/>
      <c r="H33" s="14"/>
      <c r="I33" s="14"/>
      <c r="J33" s="14"/>
      <c r="K33" s="14"/>
      <c r="L33" s="14"/>
      <c r="M33" s="14"/>
      <c r="N33" s="14"/>
    </row>
    <row r="34" spans="5:14">
      <c r="E34" s="14"/>
      <c r="G34" s="14"/>
      <c r="H34" s="14"/>
      <c r="I34" s="14"/>
      <c r="J34" s="14"/>
      <c r="K34" s="14"/>
      <c r="L34" s="14"/>
      <c r="M34" s="14"/>
      <c r="N34" s="14"/>
    </row>
    <row r="35" spans="5:14">
      <c r="E35" s="14"/>
      <c r="G35" s="14"/>
      <c r="H35" s="14"/>
      <c r="I35" s="14"/>
      <c r="J35" s="14"/>
      <c r="K35" s="14"/>
      <c r="L35" s="14"/>
      <c r="M35" s="14"/>
      <c r="N35" s="14"/>
    </row>
    <row r="36" spans="5:14">
      <c r="E36" s="14"/>
      <c r="G36" s="14"/>
      <c r="H36" s="14"/>
      <c r="I36" s="14"/>
      <c r="J36" s="14"/>
      <c r="K36" s="14"/>
      <c r="L36" s="14"/>
      <c r="M36" s="14"/>
      <c r="N36" s="14"/>
    </row>
    <row r="37" spans="5:14">
      <c r="E37" s="14"/>
      <c r="G37" s="14"/>
      <c r="H37" s="14"/>
      <c r="I37" s="14"/>
      <c r="J37" s="14"/>
      <c r="K37" s="14"/>
      <c r="L37" s="14"/>
      <c r="M37" s="14"/>
      <c r="N37" s="14"/>
    </row>
    <row r="38" spans="5:14">
      <c r="E38" s="14"/>
      <c r="G38" s="14"/>
      <c r="H38" s="14"/>
      <c r="I38" s="14"/>
      <c r="J38" s="14"/>
      <c r="K38" s="14"/>
      <c r="L38" s="14"/>
      <c r="M38" s="14"/>
      <c r="N38" s="14"/>
    </row>
    <row r="39" spans="5:14">
      <c r="E39" s="14"/>
      <c r="G39" s="14"/>
      <c r="H39" s="14"/>
      <c r="I39" s="14"/>
      <c r="J39" s="14"/>
      <c r="K39" s="14"/>
      <c r="L39" s="14"/>
      <c r="M39" s="14"/>
      <c r="N39" s="14"/>
    </row>
    <row r="40" spans="5:14">
      <c r="E40" s="14"/>
      <c r="G40" s="14"/>
      <c r="H40" s="14"/>
      <c r="I40" s="14"/>
      <c r="J40" s="14"/>
      <c r="K40" s="14"/>
      <c r="L40" s="14"/>
      <c r="M40" s="14"/>
      <c r="N40" s="14"/>
    </row>
    <row r="41" spans="5:14">
      <c r="E41" s="14"/>
      <c r="G41" s="14"/>
      <c r="H41" s="14"/>
      <c r="I41" s="14"/>
      <c r="J41" s="14"/>
      <c r="K41" s="14"/>
      <c r="L41" s="14"/>
      <c r="M41" s="14"/>
      <c r="N41" s="14"/>
    </row>
    <row r="42" spans="5:14">
      <c r="E42" s="14"/>
      <c r="G42" s="14"/>
      <c r="H42" s="14"/>
      <c r="I42" s="14"/>
      <c r="J42" s="14"/>
      <c r="K42" s="14"/>
      <c r="L42" s="14"/>
      <c r="M42" s="14"/>
      <c r="N42" s="14"/>
    </row>
    <row r="43" spans="5:14">
      <c r="E43" s="14"/>
      <c r="G43" s="14"/>
      <c r="H43" s="14"/>
      <c r="I43" s="14"/>
      <c r="J43" s="14"/>
      <c r="K43" s="14"/>
      <c r="L43" s="14"/>
      <c r="M43" s="14"/>
      <c r="N43" s="14"/>
    </row>
    <row r="44" spans="5:14">
      <c r="E44" s="14"/>
      <c r="G44" s="14"/>
      <c r="H44" s="14"/>
      <c r="I44" s="14"/>
      <c r="J44" s="14"/>
      <c r="K44" s="14"/>
      <c r="L44" s="14"/>
      <c r="M44" s="14"/>
      <c r="N44" s="14"/>
    </row>
    <row r="45" spans="5:14">
      <c r="E45" s="14"/>
      <c r="G45" s="14"/>
      <c r="H45" s="14"/>
      <c r="I45" s="14"/>
      <c r="J45" s="14"/>
      <c r="K45" s="14"/>
      <c r="L45" s="14"/>
      <c r="M45" s="14"/>
      <c r="N45" s="14"/>
    </row>
    <row r="46" spans="5:14">
      <c r="E46" s="14"/>
      <c r="G46" s="14"/>
      <c r="H46" s="14"/>
      <c r="I46" s="14"/>
      <c r="J46" s="14"/>
      <c r="K46" s="14"/>
      <c r="L46" s="14"/>
      <c r="M46" s="14"/>
      <c r="N46" s="14"/>
    </row>
    <row r="47" spans="5:14">
      <c r="E47" s="14"/>
      <c r="G47" s="14"/>
      <c r="H47" s="14"/>
      <c r="I47" s="14"/>
      <c r="J47" s="14"/>
      <c r="K47" s="14"/>
      <c r="L47" s="14"/>
      <c r="M47" s="14"/>
      <c r="N47" s="14"/>
    </row>
    <row r="48" spans="5:14">
      <c r="E48" s="14"/>
      <c r="G48" s="14"/>
      <c r="H48" s="14"/>
      <c r="I48" s="14"/>
      <c r="J48" s="14"/>
      <c r="K48" s="14"/>
      <c r="L48" s="14"/>
      <c r="M48" s="14"/>
      <c r="N48" s="14"/>
    </row>
    <row r="49" spans="5:14">
      <c r="E49" s="14"/>
      <c r="G49" s="14"/>
      <c r="H49" s="14"/>
      <c r="I49" s="14"/>
      <c r="J49" s="14"/>
      <c r="K49" s="14"/>
      <c r="L49" s="14"/>
      <c r="M49" s="14"/>
      <c r="N49" s="14"/>
    </row>
    <row r="50" spans="5:14">
      <c r="E50" s="14"/>
      <c r="G50" s="14"/>
      <c r="H50" s="14"/>
      <c r="I50" s="14"/>
      <c r="J50" s="14"/>
      <c r="K50" s="14"/>
      <c r="L50" s="14"/>
      <c r="M50" s="14"/>
      <c r="N50" s="14"/>
    </row>
    <row r="51" spans="5:14">
      <c r="E51" s="14"/>
      <c r="G51" s="14"/>
      <c r="H51" s="14"/>
      <c r="I51" s="14"/>
      <c r="J51" s="14"/>
      <c r="K51" s="14"/>
      <c r="L51" s="14"/>
      <c r="M51" s="14"/>
      <c r="N51" s="14"/>
    </row>
    <row r="52" spans="5:14">
      <c r="E52" s="14"/>
      <c r="G52" s="14"/>
      <c r="H52" s="14"/>
      <c r="I52" s="14"/>
      <c r="J52" s="14"/>
      <c r="K52" s="14"/>
      <c r="L52" s="14"/>
      <c r="M52" s="14"/>
      <c r="N52" s="14"/>
    </row>
    <row r="53" spans="5:14">
      <c r="E53" s="14"/>
      <c r="G53" s="14"/>
      <c r="H53" s="14"/>
      <c r="I53" s="14"/>
      <c r="J53" s="14"/>
      <c r="K53" s="14"/>
      <c r="L53" s="14"/>
      <c r="M53" s="14"/>
      <c r="N53" s="14"/>
    </row>
    <row r="54" spans="5:14">
      <c r="E54" s="14"/>
      <c r="G54" s="14"/>
      <c r="H54" s="14"/>
      <c r="I54" s="14"/>
      <c r="J54" s="14"/>
      <c r="K54" s="14"/>
      <c r="L54" s="14"/>
      <c r="M54" s="14"/>
      <c r="N54" s="14"/>
    </row>
    <row r="55" spans="5:14">
      <c r="E55" s="14"/>
      <c r="G55" s="14"/>
      <c r="H55" s="14"/>
      <c r="I55" s="14"/>
      <c r="J55" s="14"/>
      <c r="K55" s="14"/>
      <c r="L55" s="14"/>
      <c r="M55" s="14"/>
      <c r="N55" s="14"/>
    </row>
    <row r="56" spans="5:14">
      <c r="E56" s="14"/>
      <c r="G56" s="14"/>
      <c r="H56" s="14"/>
      <c r="I56" s="14"/>
      <c r="J56" s="14"/>
      <c r="K56" s="14"/>
      <c r="L56" s="14"/>
      <c r="M56" s="14"/>
      <c r="N56" s="14"/>
    </row>
    <row r="57" spans="5:14">
      <c r="E57" s="14"/>
      <c r="G57" s="14"/>
      <c r="H57" s="14"/>
      <c r="I57" s="14"/>
      <c r="J57" s="14"/>
      <c r="K57" s="14"/>
      <c r="L57" s="14"/>
      <c r="M57" s="14"/>
      <c r="N57" s="14"/>
    </row>
    <row r="58" spans="5:14">
      <c r="E58" s="14"/>
      <c r="G58" s="14"/>
      <c r="H58" s="14"/>
      <c r="I58" s="14"/>
      <c r="J58" s="14"/>
      <c r="K58" s="14"/>
      <c r="L58" s="14"/>
      <c r="M58" s="14"/>
      <c r="N58" s="14"/>
    </row>
    <row r="59" spans="5:14">
      <c r="E59" s="14"/>
      <c r="G59" s="14"/>
      <c r="H59" s="14"/>
      <c r="I59" s="14"/>
      <c r="J59" s="14"/>
      <c r="K59" s="14"/>
      <c r="L59" s="14"/>
      <c r="M59" s="14"/>
      <c r="N59" s="14"/>
    </row>
    <row r="60" spans="5:14">
      <c r="E60" s="14"/>
      <c r="G60" s="14"/>
      <c r="H60" s="14"/>
      <c r="I60" s="14"/>
      <c r="J60" s="14"/>
      <c r="K60" s="14"/>
      <c r="L60" s="14"/>
      <c r="M60" s="14"/>
      <c r="N60" s="14"/>
    </row>
    <row r="61" spans="5:14">
      <c r="E61" s="14"/>
      <c r="G61" s="14"/>
      <c r="H61" s="14"/>
      <c r="I61" s="14"/>
      <c r="J61" s="14"/>
      <c r="K61" s="14"/>
      <c r="L61" s="14"/>
      <c r="M61" s="14"/>
      <c r="N61" s="14"/>
    </row>
    <row r="62" spans="5:14">
      <c r="E62" s="14"/>
      <c r="G62" s="14"/>
      <c r="H62" s="14"/>
      <c r="I62" s="14"/>
      <c r="J62" s="14"/>
      <c r="K62" s="14"/>
      <c r="L62" s="14"/>
      <c r="M62" s="14"/>
      <c r="N62" s="14"/>
    </row>
    <row r="63" spans="5:14">
      <c r="E63" s="14"/>
      <c r="G63" s="14"/>
      <c r="H63" s="14"/>
      <c r="I63" s="14"/>
      <c r="J63" s="14"/>
      <c r="K63" s="14"/>
      <c r="L63" s="14"/>
      <c r="M63" s="14"/>
      <c r="N63" s="14"/>
    </row>
    <row r="64" spans="5:14">
      <c r="E64" s="14"/>
      <c r="G64" s="14"/>
      <c r="H64" s="14"/>
      <c r="I64" s="14"/>
      <c r="J64" s="14"/>
      <c r="K64" s="14"/>
      <c r="L64" s="14"/>
      <c r="M64" s="14"/>
      <c r="N64" s="14"/>
    </row>
    <row r="65" spans="5:14">
      <c r="E65" s="14"/>
      <c r="G65" s="14"/>
      <c r="H65" s="14"/>
      <c r="I65" s="14"/>
      <c r="J65" s="14"/>
      <c r="K65" s="14"/>
      <c r="L65" s="14"/>
      <c r="M65" s="14"/>
      <c r="N65" s="14"/>
    </row>
    <row r="66" spans="5:14">
      <c r="E66" s="14"/>
      <c r="G66" s="14"/>
      <c r="H66" s="14"/>
      <c r="I66" s="14"/>
      <c r="J66" s="14"/>
      <c r="K66" s="14"/>
      <c r="L66" s="14"/>
      <c r="M66" s="14"/>
      <c r="N66" s="14"/>
    </row>
    <row r="67" spans="5:14">
      <c r="E67" s="14"/>
      <c r="G67" s="14"/>
      <c r="H67" s="14"/>
      <c r="I67" s="14"/>
      <c r="J67" s="14"/>
      <c r="K67" s="14"/>
      <c r="L67" s="14"/>
      <c r="M67" s="14"/>
      <c r="N67" s="14"/>
    </row>
    <row r="68" spans="5:14">
      <c r="E68" s="14"/>
      <c r="G68" s="14"/>
      <c r="H68" s="14"/>
      <c r="I68" s="14"/>
      <c r="J68" s="14"/>
      <c r="K68" s="14"/>
      <c r="L68" s="14"/>
      <c r="M68" s="14"/>
      <c r="N68" s="14"/>
    </row>
    <row r="69" spans="5:14">
      <c r="E69" s="14"/>
      <c r="G69" s="14"/>
      <c r="H69" s="14"/>
      <c r="I69" s="14"/>
      <c r="J69" s="14"/>
      <c r="K69" s="14"/>
      <c r="L69" s="14"/>
      <c r="M69" s="14"/>
      <c r="N69" s="14"/>
    </row>
    <row r="70" spans="5:14">
      <c r="E70" s="14"/>
      <c r="G70" s="14"/>
      <c r="H70" s="14"/>
      <c r="I70" s="14"/>
      <c r="J70" s="14"/>
      <c r="K70" s="14"/>
      <c r="L70" s="14"/>
      <c r="M70" s="14"/>
      <c r="N70" s="14"/>
    </row>
    <row r="71" spans="5:14">
      <c r="E71" s="14"/>
      <c r="G71" s="14"/>
      <c r="H71" s="14"/>
      <c r="I71" s="14"/>
      <c r="J71" s="14"/>
      <c r="K71" s="14"/>
      <c r="L71" s="14"/>
      <c r="M71" s="14"/>
      <c r="N71" s="14"/>
    </row>
    <row r="72" spans="5:14">
      <c r="E72" s="14"/>
      <c r="G72" s="14"/>
      <c r="H72" s="14"/>
      <c r="I72" s="14"/>
      <c r="J72" s="14"/>
      <c r="K72" s="14"/>
      <c r="L72" s="14"/>
      <c r="M72" s="14"/>
      <c r="N72" s="14"/>
    </row>
    <row r="73" spans="5:14">
      <c r="E73" s="14"/>
      <c r="G73" s="14"/>
      <c r="H73" s="14"/>
      <c r="I73" s="14"/>
      <c r="J73" s="14"/>
      <c r="K73" s="14"/>
      <c r="L73" s="14"/>
      <c r="M73" s="14"/>
      <c r="N73" s="14"/>
    </row>
    <row r="74" spans="5:14">
      <c r="E74" s="14"/>
      <c r="G74" s="14"/>
      <c r="H74" s="14"/>
      <c r="I74" s="14"/>
      <c r="J74" s="14"/>
      <c r="K74" s="14"/>
      <c r="L74" s="14"/>
      <c r="M74" s="14"/>
      <c r="N74" s="14"/>
    </row>
    <row r="75" spans="5:14">
      <c r="E75" s="14"/>
      <c r="G75" s="14"/>
      <c r="H75" s="14"/>
      <c r="I75" s="14"/>
      <c r="J75" s="14"/>
      <c r="K75" s="14"/>
      <c r="L75" s="14"/>
      <c r="M75" s="14"/>
      <c r="N75" s="14"/>
    </row>
    <row r="76" spans="5:14">
      <c r="E76" s="14"/>
      <c r="G76" s="14"/>
      <c r="H76" s="14"/>
      <c r="I76" s="14"/>
      <c r="J76" s="14"/>
      <c r="K76" s="14"/>
      <c r="L76" s="14"/>
      <c r="M76" s="14"/>
      <c r="N76" s="14"/>
    </row>
    <row r="77" spans="5:14">
      <c r="E77" s="14"/>
      <c r="G77" s="14"/>
      <c r="H77" s="14"/>
      <c r="I77" s="14"/>
      <c r="J77" s="14"/>
      <c r="K77" s="14"/>
      <c r="L77" s="14"/>
      <c r="M77" s="14"/>
      <c r="N77" s="14"/>
    </row>
    <row r="78" spans="5:14">
      <c r="E78" s="14"/>
      <c r="G78" s="14"/>
      <c r="H78" s="14"/>
      <c r="I78" s="14"/>
      <c r="J78" s="14"/>
      <c r="K78" s="14"/>
      <c r="L78" s="14"/>
      <c r="M78" s="14"/>
      <c r="N78" s="14"/>
    </row>
    <row r="79" spans="5:14">
      <c r="E79" s="14"/>
      <c r="G79" s="14"/>
      <c r="H79" s="14"/>
      <c r="I79" s="14"/>
      <c r="J79" s="14"/>
      <c r="K79" s="14"/>
      <c r="L79" s="14"/>
      <c r="M79" s="14"/>
      <c r="N79" s="14"/>
    </row>
    <row r="80" spans="5:14">
      <c r="E80" s="14"/>
      <c r="G80" s="14"/>
      <c r="H80" s="14"/>
      <c r="I80" s="14"/>
      <c r="J80" s="14"/>
      <c r="K80" s="14"/>
      <c r="L80" s="14"/>
      <c r="M80" s="14"/>
      <c r="N80" s="14"/>
    </row>
    <row r="81" spans="5:14">
      <c r="E81" s="14"/>
      <c r="G81" s="14"/>
      <c r="H81" s="14"/>
      <c r="I81" s="14"/>
      <c r="J81" s="14"/>
      <c r="K81" s="14"/>
      <c r="L81" s="14"/>
      <c r="M81" s="14"/>
      <c r="N81" s="14"/>
    </row>
    <row r="82" spans="5:14">
      <c r="E82" s="14"/>
      <c r="G82" s="14"/>
      <c r="H82" s="14"/>
      <c r="I82" s="14"/>
      <c r="J82" s="14"/>
      <c r="K82" s="14"/>
      <c r="L82" s="14"/>
      <c r="M82" s="14"/>
      <c r="N82" s="14"/>
    </row>
    <row r="83" spans="5:14">
      <c r="E83" s="14"/>
      <c r="G83" s="14"/>
      <c r="H83" s="14"/>
      <c r="I83" s="14"/>
      <c r="J83" s="14"/>
      <c r="K83" s="14"/>
      <c r="L83" s="14"/>
      <c r="M83" s="14"/>
      <c r="N83" s="14"/>
    </row>
    <row r="84" spans="5:14">
      <c r="E84" s="14"/>
      <c r="G84" s="14"/>
      <c r="H84" s="14"/>
      <c r="I84" s="14"/>
      <c r="J84" s="14"/>
      <c r="K84" s="14"/>
      <c r="L84" s="14"/>
      <c r="M84" s="14"/>
      <c r="N84" s="14"/>
    </row>
    <row r="85" spans="5:14">
      <c r="E85" s="14"/>
      <c r="G85" s="14"/>
      <c r="H85" s="14"/>
      <c r="I85" s="14"/>
      <c r="J85" s="14"/>
      <c r="K85" s="14"/>
      <c r="L85" s="14"/>
      <c r="M85" s="14"/>
      <c r="N85" s="14"/>
    </row>
    <row r="86" spans="5:14">
      <c r="E86" s="14"/>
      <c r="G86" s="14"/>
      <c r="H86" s="14"/>
      <c r="I86" s="14"/>
      <c r="J86" s="14"/>
      <c r="K86" s="14"/>
      <c r="L86" s="14"/>
      <c r="M86" s="14"/>
      <c r="N86" s="14"/>
    </row>
    <row r="87" spans="5:14">
      <c r="E87" s="14"/>
      <c r="G87" s="14"/>
      <c r="H87" s="14"/>
      <c r="I87" s="14"/>
      <c r="J87" s="14"/>
      <c r="K87" s="14"/>
      <c r="L87" s="14"/>
      <c r="M87" s="14"/>
      <c r="N87" s="14"/>
    </row>
    <row r="88" spans="5:14">
      <c r="E88" s="14"/>
      <c r="G88" s="14"/>
      <c r="H88" s="14"/>
      <c r="I88" s="14"/>
      <c r="J88" s="14"/>
      <c r="K88" s="14"/>
      <c r="L88" s="14"/>
      <c r="M88" s="14"/>
      <c r="N88" s="14"/>
    </row>
    <row r="89" spans="5:14">
      <c r="E89" s="14"/>
      <c r="G89" s="14"/>
      <c r="H89" s="14"/>
      <c r="I89" s="14"/>
      <c r="J89" s="14"/>
      <c r="K89" s="14"/>
      <c r="L89" s="14"/>
      <c r="M89" s="14"/>
      <c r="N89" s="14"/>
    </row>
    <row r="90" spans="5:14">
      <c r="E90" s="14"/>
      <c r="G90" s="14"/>
      <c r="H90" s="14"/>
      <c r="I90" s="14"/>
      <c r="J90" s="14"/>
      <c r="K90" s="14"/>
      <c r="L90" s="14"/>
      <c r="M90" s="14"/>
      <c r="N90" s="14"/>
    </row>
    <row r="91" spans="5:14">
      <c r="E91" s="14"/>
      <c r="G91" s="14"/>
      <c r="H91" s="14"/>
      <c r="I91" s="14"/>
      <c r="J91" s="14"/>
      <c r="K91" s="14"/>
      <c r="L91" s="14"/>
      <c r="M91" s="14"/>
      <c r="N91" s="14"/>
    </row>
    <row r="92" spans="5:14">
      <c r="E92" s="14"/>
      <c r="G92" s="14"/>
      <c r="H92" s="14"/>
      <c r="I92" s="14"/>
      <c r="J92" s="14"/>
      <c r="K92" s="14"/>
      <c r="L92" s="14"/>
      <c r="M92" s="14"/>
      <c r="N92" s="14"/>
    </row>
    <row r="93" spans="5:14">
      <c r="E93" s="14"/>
      <c r="G93" s="14"/>
      <c r="H93" s="14"/>
      <c r="I93" s="14"/>
      <c r="J93" s="14"/>
      <c r="K93" s="14"/>
      <c r="L93" s="14"/>
      <c r="M93" s="14"/>
      <c r="N93" s="14"/>
    </row>
    <row r="94" spans="5:14">
      <c r="E94" s="14"/>
      <c r="G94" s="14"/>
      <c r="H94" s="14"/>
      <c r="I94" s="14"/>
      <c r="J94" s="14"/>
      <c r="K94" s="14"/>
      <c r="L94" s="14"/>
      <c r="M94" s="14"/>
      <c r="N94" s="14"/>
    </row>
    <row r="95" spans="5:14">
      <c r="E95" s="14"/>
      <c r="G95" s="14"/>
      <c r="H95" s="14"/>
      <c r="I95" s="14"/>
      <c r="J95" s="14"/>
      <c r="K95" s="14"/>
      <c r="L95" s="14"/>
      <c r="M95" s="14"/>
      <c r="N95" s="14"/>
    </row>
    <row r="96" spans="5:14">
      <c r="E96" s="14"/>
      <c r="G96" s="14"/>
      <c r="H96" s="14"/>
      <c r="I96" s="14"/>
      <c r="J96" s="14"/>
      <c r="K96" s="14"/>
      <c r="L96" s="14"/>
      <c r="M96" s="14"/>
      <c r="N96" s="14"/>
    </row>
    <row r="97" spans="5:14">
      <c r="E97" s="14"/>
      <c r="G97" s="14"/>
      <c r="H97" s="14"/>
      <c r="I97" s="14"/>
      <c r="J97" s="14"/>
      <c r="K97" s="14"/>
      <c r="L97" s="14"/>
      <c r="M97" s="14"/>
      <c r="N97" s="14"/>
    </row>
    <row r="98" spans="5:14">
      <c r="E98" s="14"/>
      <c r="G98" s="14"/>
      <c r="H98" s="14"/>
      <c r="I98" s="14"/>
      <c r="J98" s="14"/>
      <c r="K98" s="14"/>
      <c r="L98" s="14"/>
      <c r="M98" s="14"/>
      <c r="N98" s="14"/>
    </row>
    <row r="99" spans="5:14">
      <c r="E99" s="14"/>
      <c r="G99" s="14"/>
      <c r="H99" s="14"/>
      <c r="I99" s="14"/>
      <c r="J99" s="14"/>
      <c r="K99" s="14"/>
      <c r="L99" s="14"/>
      <c r="M99" s="14"/>
      <c r="N99" s="14"/>
    </row>
    <row r="100" spans="5:14">
      <c r="E100" s="14"/>
      <c r="G100" s="14"/>
      <c r="H100" s="14"/>
      <c r="I100" s="14"/>
      <c r="J100" s="14"/>
      <c r="K100" s="14"/>
      <c r="L100" s="14"/>
      <c r="M100" s="14"/>
      <c r="N100" s="14"/>
    </row>
    <row r="101" spans="5:14">
      <c r="E101" s="14"/>
      <c r="G101" s="14"/>
      <c r="H101" s="14"/>
      <c r="I101" s="14"/>
      <c r="J101" s="14"/>
      <c r="K101" s="14"/>
      <c r="L101" s="14"/>
      <c r="M101" s="14"/>
      <c r="N101" s="14"/>
    </row>
    <row r="102" spans="5:14">
      <c r="E102" s="14"/>
      <c r="G102" s="14"/>
      <c r="H102" s="14"/>
      <c r="I102" s="14"/>
      <c r="J102" s="14"/>
      <c r="K102" s="14"/>
      <c r="L102" s="14"/>
      <c r="M102" s="14"/>
      <c r="N102" s="14"/>
    </row>
    <row r="103" spans="5:14">
      <c r="E103" s="14"/>
      <c r="G103" s="14"/>
      <c r="H103" s="14"/>
      <c r="I103" s="14"/>
      <c r="J103" s="14"/>
      <c r="K103" s="14"/>
      <c r="L103" s="14"/>
      <c r="M103" s="14"/>
      <c r="N103" s="14"/>
    </row>
    <row r="104" spans="5:14">
      <c r="E104" s="14"/>
      <c r="G104" s="14"/>
      <c r="H104" s="14"/>
      <c r="I104" s="14"/>
      <c r="J104" s="14"/>
      <c r="K104" s="14"/>
      <c r="L104" s="14"/>
      <c r="M104" s="14"/>
      <c r="N104" s="14"/>
    </row>
    <row r="105" spans="5:14">
      <c r="E105" s="14"/>
      <c r="G105" s="14"/>
      <c r="H105" s="14"/>
      <c r="I105" s="14"/>
      <c r="J105" s="14"/>
      <c r="K105" s="14"/>
      <c r="L105" s="14"/>
      <c r="M105" s="14"/>
      <c r="N105" s="14"/>
    </row>
    <row r="106" spans="5:14">
      <c r="E106" s="14"/>
      <c r="G106" s="14"/>
      <c r="H106" s="14"/>
      <c r="I106" s="14"/>
      <c r="J106" s="14"/>
      <c r="K106" s="14"/>
      <c r="L106" s="14"/>
      <c r="M106" s="14"/>
      <c r="N106" s="14"/>
    </row>
    <row r="107" spans="5:14">
      <c r="E107" s="14"/>
      <c r="G107" s="14"/>
      <c r="H107" s="14"/>
      <c r="I107" s="14"/>
      <c r="J107" s="14"/>
      <c r="K107" s="14"/>
      <c r="L107" s="14"/>
      <c r="M107" s="14"/>
      <c r="N107" s="14"/>
    </row>
    <row r="108" spans="5:14">
      <c r="E108" s="14"/>
      <c r="G108" s="14"/>
      <c r="H108" s="14"/>
      <c r="I108" s="14"/>
      <c r="J108" s="14"/>
      <c r="K108" s="14"/>
      <c r="L108" s="14"/>
      <c r="M108" s="14"/>
      <c r="N108" s="14"/>
    </row>
    <row r="109" spans="5:14">
      <c r="E109" s="14"/>
      <c r="G109" s="14"/>
      <c r="H109" s="14"/>
      <c r="I109" s="14"/>
      <c r="J109" s="14"/>
      <c r="K109" s="14"/>
      <c r="L109" s="14"/>
      <c r="M109" s="14"/>
      <c r="N109" s="14"/>
    </row>
    <row r="110" spans="5:14">
      <c r="E110" s="14"/>
      <c r="G110" s="14"/>
      <c r="H110" s="14"/>
      <c r="I110" s="14"/>
      <c r="J110" s="14"/>
      <c r="K110" s="14"/>
      <c r="L110" s="14"/>
      <c r="M110" s="14"/>
      <c r="N110" s="14"/>
    </row>
    <row r="111" spans="5:14">
      <c r="E111" s="14"/>
      <c r="G111" s="14"/>
      <c r="H111" s="14"/>
      <c r="I111" s="14"/>
      <c r="J111" s="14"/>
      <c r="K111" s="14"/>
      <c r="L111" s="14"/>
      <c r="M111" s="14"/>
      <c r="N111" s="14"/>
    </row>
    <row r="112" spans="5:14">
      <c r="E112" s="14"/>
      <c r="G112" s="14"/>
      <c r="H112" s="14"/>
      <c r="I112" s="14"/>
      <c r="J112" s="14"/>
      <c r="K112" s="14"/>
      <c r="L112" s="14"/>
      <c r="M112" s="14"/>
      <c r="N112" s="14"/>
    </row>
    <row r="113" spans="5:14">
      <c r="E113" s="14"/>
      <c r="G113" s="14"/>
      <c r="H113" s="14"/>
      <c r="I113" s="14"/>
      <c r="J113" s="14"/>
      <c r="K113" s="14"/>
      <c r="L113" s="14"/>
      <c r="M113" s="14"/>
      <c r="N113" s="14"/>
    </row>
    <row r="114" spans="5:14">
      <c r="E114" s="14"/>
      <c r="G114" s="14"/>
      <c r="H114" s="14"/>
      <c r="I114" s="14"/>
      <c r="J114" s="14"/>
      <c r="K114" s="14"/>
      <c r="L114" s="14"/>
      <c r="M114" s="14"/>
      <c r="N114" s="14"/>
    </row>
    <row r="115" spans="5:14">
      <c r="E115" s="14"/>
      <c r="G115" s="14"/>
      <c r="H115" s="14"/>
      <c r="I115" s="14"/>
      <c r="J115" s="14"/>
      <c r="K115" s="14"/>
      <c r="L115" s="14"/>
      <c r="M115" s="14"/>
      <c r="N115" s="14"/>
    </row>
    <row r="116" spans="5:14">
      <c r="E116" s="14"/>
      <c r="G116" s="14"/>
      <c r="H116" s="14"/>
      <c r="I116" s="14"/>
      <c r="J116" s="14"/>
      <c r="K116" s="14"/>
      <c r="L116" s="14"/>
      <c r="M116" s="14"/>
      <c r="N116" s="14"/>
    </row>
    <row r="117" spans="5:14">
      <c r="E117" s="14"/>
      <c r="G117" s="14"/>
      <c r="H117" s="14"/>
      <c r="I117" s="14"/>
      <c r="J117" s="14"/>
      <c r="K117" s="14"/>
      <c r="L117" s="14"/>
      <c r="M117" s="14"/>
      <c r="N117" s="14"/>
    </row>
    <row r="118" spans="5:14">
      <c r="E118" s="14"/>
      <c r="G118" s="14"/>
      <c r="H118" s="14"/>
      <c r="I118" s="14"/>
      <c r="J118" s="14"/>
      <c r="K118" s="14"/>
      <c r="L118" s="14"/>
      <c r="M118" s="14"/>
      <c r="N118" s="14"/>
    </row>
    <row r="119" spans="5:14">
      <c r="E119" s="14"/>
      <c r="G119" s="14"/>
      <c r="H119" s="14"/>
      <c r="I119" s="14"/>
      <c r="J119" s="14"/>
      <c r="K119" s="14"/>
      <c r="L119" s="14"/>
      <c r="M119" s="14"/>
      <c r="N119" s="14"/>
    </row>
    <row r="120" spans="5:14">
      <c r="E120" s="14"/>
      <c r="G120" s="14"/>
      <c r="H120" s="14"/>
      <c r="I120" s="14"/>
      <c r="J120" s="14"/>
      <c r="K120" s="14"/>
      <c r="L120" s="14"/>
      <c r="M120" s="14"/>
      <c r="N120" s="14"/>
    </row>
    <row r="121" spans="5:14">
      <c r="E121" s="14"/>
      <c r="G121" s="14"/>
      <c r="H121" s="14"/>
      <c r="I121" s="14"/>
      <c r="J121" s="14"/>
      <c r="K121" s="14"/>
      <c r="L121" s="14"/>
      <c r="M121" s="14"/>
      <c r="N121" s="14"/>
    </row>
    <row r="122" spans="5:14">
      <c r="E122" s="14"/>
      <c r="G122" s="14"/>
      <c r="H122" s="14"/>
      <c r="I122" s="14"/>
      <c r="J122" s="14"/>
      <c r="K122" s="14"/>
      <c r="L122" s="14"/>
      <c r="M122" s="14"/>
      <c r="N122" s="14"/>
    </row>
    <row r="123" spans="5:14">
      <c r="E123" s="14"/>
      <c r="G123" s="14"/>
      <c r="H123" s="14"/>
      <c r="I123" s="14"/>
      <c r="J123" s="14"/>
      <c r="K123" s="14"/>
      <c r="L123" s="14"/>
      <c r="M123" s="14"/>
      <c r="N123" s="14"/>
    </row>
    <row r="124" spans="5:14">
      <c r="E124" s="14"/>
      <c r="G124" s="14"/>
      <c r="H124" s="14"/>
      <c r="I124" s="14"/>
      <c r="J124" s="14"/>
      <c r="K124" s="14"/>
      <c r="L124" s="14"/>
      <c r="M124" s="14"/>
      <c r="N124" s="14"/>
    </row>
    <row r="125" spans="5:14">
      <c r="E125" s="14"/>
      <c r="G125" s="14"/>
      <c r="H125" s="14"/>
      <c r="I125" s="14"/>
      <c r="J125" s="14"/>
      <c r="K125" s="14"/>
      <c r="L125" s="14"/>
      <c r="M125" s="14"/>
      <c r="N125" s="14"/>
    </row>
    <row r="126" spans="5:14">
      <c r="E126" s="14"/>
      <c r="G126" s="14"/>
      <c r="H126" s="14"/>
      <c r="I126" s="14"/>
      <c r="J126" s="14"/>
      <c r="K126" s="14"/>
      <c r="L126" s="14"/>
      <c r="M126" s="14"/>
      <c r="N126" s="14"/>
    </row>
    <row r="127" spans="5:14">
      <c r="E127" s="14"/>
      <c r="G127" s="14"/>
      <c r="H127" s="14"/>
      <c r="I127" s="14"/>
      <c r="J127" s="14"/>
      <c r="K127" s="14"/>
      <c r="L127" s="14"/>
      <c r="M127" s="14"/>
      <c r="N127" s="14"/>
    </row>
    <row r="128" spans="5:14">
      <c r="E128" s="14"/>
      <c r="G128" s="14"/>
      <c r="H128" s="14"/>
      <c r="I128" s="14"/>
      <c r="J128" s="14"/>
      <c r="K128" s="14"/>
      <c r="L128" s="14"/>
      <c r="M128" s="14"/>
      <c r="N128" s="14"/>
    </row>
    <row r="129" spans="5:14">
      <c r="E129" s="14"/>
      <c r="G129" s="14"/>
      <c r="H129" s="14"/>
      <c r="I129" s="14"/>
      <c r="J129" s="14"/>
      <c r="K129" s="14"/>
      <c r="L129" s="14"/>
      <c r="M129" s="14"/>
      <c r="N129" s="14"/>
    </row>
    <row r="130" spans="5:14">
      <c r="E130" s="14"/>
      <c r="G130" s="14"/>
      <c r="H130" s="14"/>
      <c r="I130" s="14"/>
      <c r="J130" s="14"/>
      <c r="K130" s="14"/>
      <c r="L130" s="14"/>
      <c r="M130" s="14"/>
      <c r="N130" s="14"/>
    </row>
    <row r="131" spans="5:14">
      <c r="E131" s="14"/>
      <c r="G131" s="14"/>
      <c r="H131" s="14"/>
      <c r="I131" s="14"/>
      <c r="J131" s="14"/>
      <c r="K131" s="14"/>
      <c r="L131" s="14"/>
      <c r="M131" s="14"/>
      <c r="N131" s="14"/>
    </row>
    <row r="132" spans="5:14">
      <c r="E132" s="14"/>
      <c r="G132" s="14"/>
      <c r="H132" s="14"/>
      <c r="I132" s="14"/>
      <c r="J132" s="14"/>
      <c r="K132" s="14"/>
      <c r="L132" s="14"/>
      <c r="M132" s="14"/>
      <c r="N132" s="14"/>
    </row>
    <row r="133" spans="5:14">
      <c r="E133" s="14"/>
      <c r="G133" s="14"/>
      <c r="H133" s="14"/>
      <c r="I133" s="14"/>
      <c r="J133" s="14"/>
      <c r="K133" s="14"/>
      <c r="L133" s="14"/>
      <c r="M133" s="14"/>
      <c r="N133" s="14"/>
    </row>
    <row r="134" spans="5:14">
      <c r="E134" s="14"/>
      <c r="G134" s="14"/>
      <c r="H134" s="14"/>
      <c r="I134" s="14"/>
      <c r="J134" s="14"/>
      <c r="K134" s="14"/>
      <c r="L134" s="14"/>
      <c r="M134" s="14"/>
      <c r="N134" s="14"/>
    </row>
    <row r="135" spans="5:14">
      <c r="E135" s="14"/>
      <c r="G135" s="14"/>
      <c r="H135" s="14"/>
      <c r="I135" s="14"/>
      <c r="J135" s="14"/>
      <c r="K135" s="14"/>
      <c r="L135" s="14"/>
      <c r="M135" s="14"/>
      <c r="N135" s="14"/>
    </row>
    <row r="136" spans="5:14">
      <c r="E136" s="14"/>
      <c r="G136" s="14"/>
      <c r="H136" s="14"/>
      <c r="I136" s="14"/>
      <c r="J136" s="14"/>
      <c r="K136" s="14"/>
      <c r="L136" s="14"/>
      <c r="M136" s="14"/>
      <c r="N136" s="14"/>
    </row>
    <row r="137" spans="5:14">
      <c r="E137" s="14"/>
      <c r="G137" s="14"/>
      <c r="H137" s="14"/>
      <c r="I137" s="14"/>
      <c r="J137" s="14"/>
      <c r="K137" s="14"/>
      <c r="L137" s="14"/>
      <c r="M137" s="14"/>
      <c r="N137" s="14"/>
    </row>
    <row r="138" spans="5:14">
      <c r="E138" s="14"/>
      <c r="G138" s="14"/>
      <c r="H138" s="14"/>
      <c r="I138" s="14"/>
      <c r="J138" s="14"/>
      <c r="K138" s="14"/>
      <c r="L138" s="14"/>
      <c r="M138" s="14"/>
      <c r="N138" s="14"/>
    </row>
    <row r="139" spans="5:14">
      <c r="E139" s="14"/>
      <c r="G139" s="14"/>
      <c r="H139" s="14"/>
      <c r="I139" s="14"/>
      <c r="J139" s="14"/>
      <c r="K139" s="14"/>
      <c r="L139" s="14"/>
      <c r="M139" s="14"/>
      <c r="N139" s="14"/>
    </row>
    <row r="140" spans="5:14">
      <c r="E140" s="14"/>
      <c r="G140" s="14"/>
      <c r="H140" s="14"/>
      <c r="I140" s="14"/>
      <c r="J140" s="14"/>
      <c r="K140" s="14"/>
      <c r="L140" s="14"/>
      <c r="M140" s="14"/>
      <c r="N140" s="14"/>
    </row>
    <row r="141" spans="5:14">
      <c r="E141" s="14"/>
      <c r="G141" s="14"/>
      <c r="H141" s="14"/>
      <c r="I141" s="14"/>
      <c r="J141" s="14"/>
      <c r="K141" s="14"/>
      <c r="L141" s="14"/>
      <c r="M141" s="14"/>
      <c r="N141" s="14"/>
    </row>
    <row r="142" spans="5:14">
      <c r="E142" s="14"/>
      <c r="G142" s="14"/>
      <c r="H142" s="14"/>
      <c r="I142" s="14"/>
      <c r="J142" s="14"/>
      <c r="K142" s="14"/>
      <c r="L142" s="14"/>
      <c r="M142" s="14"/>
      <c r="N142" s="14"/>
    </row>
    <row r="143" spans="5:14">
      <c r="E143" s="14"/>
      <c r="G143" s="14"/>
      <c r="H143" s="14"/>
      <c r="I143" s="14"/>
      <c r="J143" s="14"/>
      <c r="K143" s="14"/>
      <c r="L143" s="14"/>
      <c r="M143" s="14"/>
      <c r="N143" s="14"/>
    </row>
    <row r="144" spans="5:14">
      <c r="E144" s="14"/>
      <c r="G144" s="14"/>
      <c r="H144" s="14"/>
      <c r="I144" s="14"/>
      <c r="J144" s="14"/>
      <c r="K144" s="14"/>
      <c r="L144" s="14"/>
      <c r="M144" s="14"/>
      <c r="N144" s="14"/>
    </row>
    <row r="145" spans="5:14">
      <c r="E145" s="14"/>
      <c r="G145" s="14"/>
      <c r="H145" s="14"/>
      <c r="I145" s="14"/>
      <c r="J145" s="14"/>
      <c r="K145" s="14"/>
      <c r="L145" s="14"/>
      <c r="M145" s="14"/>
      <c r="N145" s="14"/>
    </row>
    <row r="146" spans="5:14">
      <c r="E146" s="14"/>
      <c r="G146" s="14"/>
      <c r="H146" s="14"/>
      <c r="I146" s="14"/>
      <c r="J146" s="14"/>
      <c r="K146" s="14"/>
      <c r="L146" s="14"/>
      <c r="M146" s="14"/>
      <c r="N146" s="14"/>
    </row>
    <row r="147" spans="5:14">
      <c r="E147" s="14"/>
      <c r="G147" s="14"/>
      <c r="H147" s="14"/>
      <c r="I147" s="14"/>
      <c r="J147" s="14"/>
      <c r="K147" s="14"/>
      <c r="L147" s="14"/>
      <c r="M147" s="14"/>
      <c r="N147" s="14"/>
    </row>
    <row r="148" spans="5:14">
      <c r="E148" s="14"/>
      <c r="G148" s="14"/>
      <c r="H148" s="14"/>
      <c r="I148" s="14"/>
      <c r="J148" s="14"/>
      <c r="K148" s="14"/>
      <c r="L148" s="14"/>
      <c r="M148" s="14"/>
      <c r="N148" s="14"/>
    </row>
    <row r="149" spans="5:14">
      <c r="E149" s="14"/>
      <c r="G149" s="14"/>
      <c r="H149" s="14"/>
      <c r="I149" s="14"/>
      <c r="J149" s="14"/>
      <c r="K149" s="14"/>
      <c r="L149" s="14"/>
      <c r="M149" s="14"/>
      <c r="N149" s="14"/>
    </row>
    <row r="150" spans="5:14">
      <c r="E150" s="14"/>
      <c r="G150" s="14"/>
      <c r="H150" s="14"/>
      <c r="I150" s="14"/>
      <c r="J150" s="14"/>
      <c r="K150" s="14"/>
      <c r="L150" s="14"/>
      <c r="M150" s="14"/>
      <c r="N150" s="14"/>
    </row>
    <row r="151" spans="5:14">
      <c r="E151" s="14"/>
      <c r="G151" s="14"/>
      <c r="H151" s="14"/>
      <c r="I151" s="14"/>
      <c r="J151" s="14"/>
      <c r="K151" s="14"/>
      <c r="L151" s="14"/>
      <c r="M151" s="14"/>
      <c r="N151" s="14"/>
    </row>
    <row r="152" spans="5:14">
      <c r="E152" s="14"/>
      <c r="G152" s="14"/>
      <c r="H152" s="14"/>
      <c r="I152" s="14"/>
      <c r="J152" s="14"/>
      <c r="K152" s="14"/>
      <c r="L152" s="14"/>
      <c r="M152" s="14"/>
      <c r="N152" s="14"/>
    </row>
    <row r="153" spans="5:14">
      <c r="E153" s="14"/>
      <c r="G153" s="14"/>
      <c r="H153" s="14"/>
      <c r="I153" s="14"/>
      <c r="J153" s="14"/>
      <c r="K153" s="14"/>
      <c r="L153" s="14"/>
      <c r="M153" s="14"/>
      <c r="N153" s="14"/>
    </row>
    <row r="154" spans="5:14">
      <c r="E154" s="14"/>
      <c r="G154" s="14"/>
      <c r="H154" s="14"/>
      <c r="I154" s="14"/>
      <c r="J154" s="14"/>
      <c r="K154" s="14"/>
      <c r="L154" s="14"/>
      <c r="M154" s="14"/>
      <c r="N154" s="14"/>
    </row>
    <row r="155" spans="5:14">
      <c r="E155" s="14"/>
      <c r="G155" s="14"/>
      <c r="H155" s="14"/>
      <c r="I155" s="14"/>
      <c r="J155" s="14"/>
      <c r="K155" s="14"/>
      <c r="L155" s="14"/>
      <c r="M155" s="14"/>
      <c r="N155" s="14"/>
    </row>
    <row r="156" spans="5:14">
      <c r="E156" s="14"/>
      <c r="G156" s="14"/>
      <c r="H156" s="14"/>
      <c r="I156" s="14"/>
      <c r="J156" s="14"/>
      <c r="K156" s="14"/>
      <c r="L156" s="14"/>
      <c r="M156" s="14"/>
      <c r="N156" s="14"/>
    </row>
    <row r="157" spans="5:14">
      <c r="E157" s="14"/>
      <c r="G157" s="14"/>
      <c r="H157" s="14"/>
      <c r="I157" s="14"/>
      <c r="J157" s="14"/>
      <c r="K157" s="14"/>
      <c r="L157" s="14"/>
      <c r="M157" s="14"/>
      <c r="N157" s="14"/>
    </row>
    <row r="158" spans="5:14">
      <c r="E158" s="14"/>
      <c r="G158" s="14"/>
      <c r="H158" s="14"/>
      <c r="I158" s="14"/>
      <c r="J158" s="14"/>
      <c r="K158" s="14"/>
      <c r="L158" s="14"/>
      <c r="M158" s="14"/>
      <c r="N158" s="14"/>
    </row>
    <row r="159" spans="5:14">
      <c r="E159" s="14"/>
      <c r="G159" s="14"/>
      <c r="H159" s="14"/>
      <c r="I159" s="14"/>
      <c r="J159" s="14"/>
      <c r="K159" s="14"/>
      <c r="L159" s="14"/>
      <c r="M159" s="14"/>
      <c r="N159" s="14"/>
    </row>
    <row r="160" spans="5:14">
      <c r="E160" s="14"/>
      <c r="G160" s="14"/>
      <c r="H160" s="14"/>
      <c r="I160" s="14"/>
      <c r="J160" s="14"/>
      <c r="K160" s="14"/>
      <c r="L160" s="14"/>
      <c r="M160" s="14"/>
      <c r="N160" s="14"/>
    </row>
    <row r="161" spans="5:14">
      <c r="E161" s="14"/>
      <c r="G161" s="14"/>
      <c r="H161" s="14"/>
      <c r="I161" s="14"/>
      <c r="J161" s="14"/>
      <c r="K161" s="14"/>
      <c r="L161" s="14"/>
      <c r="M161" s="14"/>
      <c r="N161" s="14"/>
    </row>
    <row r="162" spans="5:14">
      <c r="E162" s="14"/>
      <c r="G162" s="14"/>
      <c r="H162" s="14"/>
      <c r="I162" s="14"/>
      <c r="J162" s="14"/>
      <c r="K162" s="14"/>
      <c r="L162" s="14"/>
      <c r="M162" s="14"/>
      <c r="N162" s="14"/>
    </row>
    <row r="163" spans="5:14">
      <c r="E163" s="14"/>
      <c r="G163" s="14"/>
      <c r="H163" s="14"/>
      <c r="I163" s="14"/>
      <c r="J163" s="14"/>
      <c r="K163" s="14"/>
      <c r="L163" s="14"/>
      <c r="M163" s="14"/>
      <c r="N163" s="14"/>
    </row>
    <row r="164" spans="5:14">
      <c r="E164" s="14"/>
      <c r="G164" s="14"/>
      <c r="H164" s="14"/>
      <c r="I164" s="14"/>
      <c r="J164" s="14"/>
      <c r="K164" s="14"/>
      <c r="L164" s="14"/>
      <c r="M164" s="14"/>
      <c r="N164" s="14"/>
    </row>
    <row r="165" spans="5:14">
      <c r="E165" s="14"/>
      <c r="G165" s="14"/>
      <c r="H165" s="14"/>
      <c r="I165" s="14"/>
      <c r="J165" s="14"/>
      <c r="K165" s="14"/>
      <c r="L165" s="14"/>
      <c r="M165" s="14"/>
      <c r="N165" s="14"/>
    </row>
    <row r="166" spans="5:14">
      <c r="E166" s="14"/>
      <c r="G166" s="14"/>
      <c r="H166" s="14"/>
      <c r="I166" s="14"/>
      <c r="J166" s="14"/>
      <c r="K166" s="14"/>
      <c r="L166" s="14"/>
      <c r="M166" s="14"/>
      <c r="N166" s="14"/>
    </row>
    <row r="167" spans="5:14">
      <c r="E167" s="14"/>
      <c r="G167" s="14"/>
      <c r="H167" s="14"/>
      <c r="I167" s="14"/>
      <c r="J167" s="14"/>
      <c r="K167" s="14"/>
      <c r="L167" s="14"/>
      <c r="M167" s="14"/>
      <c r="N167" s="14"/>
    </row>
    <row r="168" spans="5:14">
      <c r="E168" s="14"/>
      <c r="G168" s="14"/>
      <c r="H168" s="14"/>
      <c r="I168" s="14"/>
      <c r="J168" s="14"/>
      <c r="K168" s="14"/>
      <c r="L168" s="14"/>
      <c r="M168" s="14"/>
      <c r="N168" s="14"/>
    </row>
    <row r="169" spans="5:14">
      <c r="E169" s="14"/>
      <c r="G169" s="14"/>
      <c r="H169" s="14"/>
      <c r="I169" s="14"/>
      <c r="J169" s="14"/>
      <c r="K169" s="14"/>
      <c r="L169" s="14"/>
      <c r="M169" s="14"/>
      <c r="N169" s="14"/>
    </row>
    <row r="170" spans="5:14">
      <c r="E170" s="14"/>
      <c r="G170" s="14"/>
      <c r="H170" s="14"/>
      <c r="I170" s="14"/>
      <c r="J170" s="14"/>
      <c r="K170" s="14"/>
      <c r="L170" s="14"/>
      <c r="M170" s="14"/>
      <c r="N170" s="14"/>
    </row>
    <row r="171" spans="5:14">
      <c r="E171" s="14"/>
      <c r="G171" s="14"/>
      <c r="H171" s="14"/>
      <c r="I171" s="14"/>
      <c r="J171" s="14"/>
      <c r="K171" s="14"/>
      <c r="L171" s="14"/>
      <c r="M171" s="14"/>
      <c r="N171" s="14"/>
    </row>
    <row r="172" spans="5:14">
      <c r="E172" s="14"/>
      <c r="G172" s="14"/>
      <c r="H172" s="14"/>
      <c r="I172" s="14"/>
      <c r="J172" s="14"/>
      <c r="K172" s="14"/>
      <c r="L172" s="14"/>
      <c r="M172" s="14"/>
      <c r="N172" s="14"/>
    </row>
    <row r="173" spans="5:14">
      <c r="E173" s="14"/>
      <c r="G173" s="14"/>
      <c r="H173" s="14"/>
      <c r="I173" s="14"/>
      <c r="J173" s="14"/>
      <c r="K173" s="14"/>
      <c r="L173" s="14"/>
      <c r="M173" s="14"/>
      <c r="N173" s="14"/>
    </row>
    <row r="174" spans="5:14">
      <c r="E174" s="14"/>
      <c r="G174" s="14"/>
      <c r="H174" s="14"/>
      <c r="I174" s="14"/>
      <c r="J174" s="14"/>
      <c r="K174" s="14"/>
      <c r="L174" s="14"/>
      <c r="M174" s="14"/>
      <c r="N174" s="14"/>
    </row>
    <row r="175" spans="5:14">
      <c r="E175" s="14"/>
      <c r="G175" s="14"/>
      <c r="H175" s="14"/>
      <c r="I175" s="14"/>
      <c r="J175" s="14"/>
      <c r="K175" s="14"/>
      <c r="L175" s="14"/>
      <c r="M175" s="14"/>
      <c r="N175" s="14"/>
    </row>
    <row r="176" spans="5:14">
      <c r="E176" s="14"/>
      <c r="G176" s="14"/>
      <c r="H176" s="14"/>
      <c r="I176" s="14"/>
      <c r="J176" s="14"/>
      <c r="K176" s="14"/>
      <c r="L176" s="14"/>
      <c r="M176" s="14"/>
      <c r="N176" s="14"/>
    </row>
    <row r="177" spans="5:14">
      <c r="E177" s="14"/>
      <c r="G177" s="14"/>
      <c r="H177" s="14"/>
      <c r="I177" s="14"/>
      <c r="J177" s="14"/>
      <c r="K177" s="14"/>
      <c r="L177" s="14"/>
      <c r="M177" s="14"/>
      <c r="N177" s="14"/>
    </row>
    <row r="178" spans="5:14">
      <c r="E178" s="14"/>
      <c r="G178" s="14"/>
      <c r="H178" s="14"/>
      <c r="I178" s="14"/>
      <c r="J178" s="14"/>
      <c r="K178" s="14"/>
      <c r="L178" s="14"/>
      <c r="M178" s="14"/>
      <c r="N178" s="14"/>
    </row>
    <row r="179" spans="5:14">
      <c r="E179" s="14"/>
      <c r="G179" s="14"/>
      <c r="H179" s="14"/>
      <c r="I179" s="14"/>
      <c r="J179" s="14"/>
      <c r="K179" s="14"/>
      <c r="L179" s="14"/>
      <c r="M179" s="14"/>
      <c r="N179" s="14"/>
    </row>
    <row r="180" spans="5:14">
      <c r="E180" s="14"/>
      <c r="G180" s="14"/>
      <c r="H180" s="14"/>
      <c r="I180" s="14"/>
      <c r="J180" s="14"/>
      <c r="K180" s="14"/>
      <c r="L180" s="14"/>
      <c r="M180" s="14"/>
      <c r="N180" s="14"/>
    </row>
    <row r="181" spans="5:14">
      <c r="E181" s="14"/>
      <c r="G181" s="14"/>
      <c r="H181" s="14"/>
      <c r="I181" s="14"/>
      <c r="J181" s="14"/>
      <c r="K181" s="14"/>
      <c r="L181" s="14"/>
      <c r="M181" s="14"/>
      <c r="N181" s="14"/>
    </row>
    <row r="182" spans="5:14">
      <c r="E182" s="14"/>
      <c r="G182" s="14"/>
      <c r="H182" s="14"/>
      <c r="I182" s="14"/>
      <c r="J182" s="14"/>
      <c r="K182" s="14"/>
      <c r="L182" s="14"/>
      <c r="M182" s="14"/>
      <c r="N182" s="14"/>
    </row>
    <row r="183" spans="5:14">
      <c r="E183" s="14"/>
      <c r="G183" s="14"/>
      <c r="H183" s="14"/>
      <c r="I183" s="14"/>
      <c r="J183" s="14"/>
      <c r="K183" s="14"/>
      <c r="L183" s="14"/>
      <c r="M183" s="14"/>
      <c r="N183" s="14"/>
    </row>
    <row r="184" spans="5:14">
      <c r="E184" s="14"/>
      <c r="G184" s="14"/>
      <c r="H184" s="14"/>
      <c r="I184" s="14"/>
      <c r="J184" s="14"/>
      <c r="K184" s="14"/>
      <c r="L184" s="14"/>
      <c r="M184" s="14"/>
      <c r="N184" s="14"/>
    </row>
    <row r="185" spans="5:14">
      <c r="E185" s="14"/>
      <c r="G185" s="14"/>
      <c r="H185" s="14"/>
      <c r="I185" s="14"/>
      <c r="J185" s="14"/>
      <c r="K185" s="14"/>
      <c r="L185" s="14"/>
      <c r="M185" s="14"/>
      <c r="N185" s="14"/>
    </row>
    <row r="186" spans="5:14">
      <c r="E186" s="14"/>
      <c r="G186" s="14"/>
      <c r="H186" s="14"/>
      <c r="I186" s="14"/>
      <c r="J186" s="14"/>
      <c r="K186" s="14"/>
      <c r="L186" s="14"/>
      <c r="M186" s="14"/>
      <c r="N186" s="14"/>
    </row>
    <row r="187" spans="5:14">
      <c r="E187" s="14"/>
      <c r="G187" s="14"/>
      <c r="H187" s="14"/>
      <c r="I187" s="14"/>
      <c r="J187" s="14"/>
      <c r="K187" s="14"/>
      <c r="L187" s="14"/>
      <c r="M187" s="14"/>
      <c r="N187" s="14"/>
    </row>
    <row r="188" spans="5:14">
      <c r="E188" s="14"/>
      <c r="G188" s="14"/>
      <c r="H188" s="14"/>
      <c r="I188" s="14"/>
      <c r="J188" s="14"/>
      <c r="K188" s="14"/>
      <c r="L188" s="14"/>
      <c r="M188" s="14"/>
      <c r="N188" s="14"/>
    </row>
    <row r="189" spans="5:14">
      <c r="E189" s="14"/>
      <c r="G189" s="14"/>
      <c r="H189" s="14"/>
      <c r="I189" s="14"/>
      <c r="J189" s="14"/>
      <c r="K189" s="14"/>
      <c r="L189" s="14"/>
      <c r="M189" s="14"/>
      <c r="N189" s="14"/>
    </row>
    <row r="190" spans="5:14">
      <c r="E190" s="14"/>
      <c r="G190" s="14"/>
      <c r="H190" s="14"/>
      <c r="I190" s="14"/>
      <c r="J190" s="14"/>
      <c r="K190" s="14"/>
      <c r="L190" s="14"/>
      <c r="M190" s="14"/>
      <c r="N190" s="14"/>
    </row>
    <row r="191" spans="5:14">
      <c r="E191" s="14"/>
      <c r="G191" s="14"/>
      <c r="H191" s="14"/>
      <c r="I191" s="14"/>
      <c r="J191" s="14"/>
      <c r="K191" s="14"/>
      <c r="L191" s="14"/>
      <c r="M191" s="14"/>
      <c r="N191" s="14"/>
    </row>
    <row r="192" spans="5:14">
      <c r="E192" s="14"/>
      <c r="G192" s="14"/>
      <c r="H192" s="14"/>
      <c r="I192" s="14"/>
      <c r="J192" s="14"/>
      <c r="K192" s="14"/>
      <c r="L192" s="14"/>
      <c r="M192" s="14"/>
      <c r="N192" s="14"/>
    </row>
    <row r="193" spans="5:14">
      <c r="E193" s="14"/>
      <c r="G193" s="14"/>
      <c r="H193" s="14"/>
      <c r="I193" s="14"/>
      <c r="J193" s="14"/>
      <c r="K193" s="14"/>
      <c r="L193" s="14"/>
      <c r="M193" s="14"/>
      <c r="N193" s="14"/>
    </row>
    <row r="194" spans="5:14">
      <c r="E194" s="14"/>
      <c r="G194" s="14"/>
      <c r="H194" s="14"/>
      <c r="I194" s="14"/>
      <c r="J194" s="14"/>
      <c r="K194" s="14"/>
      <c r="L194" s="14"/>
      <c r="M194" s="14"/>
      <c r="N194" s="14"/>
    </row>
    <row r="195" spans="5:14">
      <c r="E195" s="14"/>
      <c r="G195" s="14"/>
      <c r="H195" s="14"/>
      <c r="I195" s="14"/>
      <c r="J195" s="14"/>
      <c r="K195" s="14"/>
      <c r="L195" s="14"/>
      <c r="M195" s="14"/>
      <c r="N195" s="14"/>
    </row>
    <row r="196" spans="5:14">
      <c r="E196" s="14"/>
      <c r="G196" s="14"/>
      <c r="H196" s="14"/>
      <c r="I196" s="14"/>
      <c r="J196" s="14"/>
      <c r="K196" s="14"/>
      <c r="L196" s="14"/>
      <c r="M196" s="14"/>
      <c r="N196" s="14"/>
    </row>
    <row r="197" spans="5:14">
      <c r="E197" s="14"/>
      <c r="G197" s="14"/>
      <c r="H197" s="14"/>
      <c r="I197" s="14"/>
      <c r="J197" s="14"/>
      <c r="K197" s="14"/>
      <c r="L197" s="14"/>
      <c r="M197" s="14"/>
      <c r="N197" s="14"/>
    </row>
    <row r="198" spans="5:14">
      <c r="E198" s="14"/>
      <c r="G198" s="14"/>
      <c r="H198" s="14"/>
      <c r="I198" s="14"/>
      <c r="J198" s="14"/>
      <c r="K198" s="14"/>
      <c r="L198" s="14"/>
      <c r="M198" s="14"/>
      <c r="N198" s="14"/>
    </row>
    <row r="199" spans="5:14">
      <c r="E199" s="14"/>
      <c r="G199" s="14"/>
      <c r="H199" s="14"/>
      <c r="I199" s="14"/>
      <c r="J199" s="14"/>
      <c r="K199" s="14"/>
      <c r="L199" s="14"/>
      <c r="M199" s="14"/>
      <c r="N199" s="14"/>
    </row>
    <row r="200" spans="5:14">
      <c r="E200" s="14"/>
      <c r="G200" s="14"/>
      <c r="H200" s="14"/>
      <c r="I200" s="14"/>
      <c r="J200" s="14"/>
      <c r="K200" s="14"/>
      <c r="L200" s="14"/>
      <c r="M200" s="14"/>
      <c r="N200" s="14"/>
    </row>
    <row r="201" spans="5:14">
      <c r="E201" s="14"/>
      <c r="G201" s="14"/>
      <c r="H201" s="14"/>
      <c r="I201" s="14"/>
      <c r="J201" s="14"/>
      <c r="K201" s="14"/>
      <c r="L201" s="14"/>
      <c r="M201" s="14"/>
      <c r="N201" s="14"/>
    </row>
    <row r="202" spans="5:14">
      <c r="E202" s="14"/>
      <c r="G202" s="14"/>
      <c r="H202" s="14"/>
      <c r="I202" s="14"/>
      <c r="J202" s="14"/>
      <c r="K202" s="14"/>
      <c r="L202" s="14"/>
      <c r="M202" s="14"/>
      <c r="N202" s="14"/>
    </row>
    <row r="203" spans="5:14">
      <c r="E203" s="14"/>
      <c r="G203" s="14"/>
      <c r="H203" s="14"/>
      <c r="I203" s="14"/>
      <c r="J203" s="14"/>
      <c r="K203" s="14"/>
      <c r="L203" s="14"/>
      <c r="M203" s="14"/>
      <c r="N203" s="14"/>
    </row>
    <row r="204" spans="5:14">
      <c r="E204" s="14"/>
      <c r="G204" s="14"/>
      <c r="H204" s="14"/>
      <c r="I204" s="14"/>
      <c r="J204" s="14"/>
      <c r="K204" s="14"/>
      <c r="L204" s="14"/>
      <c r="M204" s="14"/>
      <c r="N204" s="14"/>
    </row>
    <row r="205" spans="5:14">
      <c r="E205" s="14"/>
      <c r="G205" s="14"/>
      <c r="H205" s="14"/>
      <c r="I205" s="14"/>
      <c r="J205" s="14"/>
      <c r="K205" s="14"/>
      <c r="L205" s="14"/>
      <c r="M205" s="14"/>
      <c r="N205" s="14"/>
    </row>
    <row r="206" spans="5:14">
      <c r="E206" s="14"/>
      <c r="G206" s="14"/>
      <c r="H206" s="14"/>
      <c r="I206" s="14"/>
      <c r="J206" s="14"/>
      <c r="K206" s="14"/>
      <c r="L206" s="14"/>
      <c r="M206" s="14"/>
      <c r="N206" s="14"/>
    </row>
    <row r="207" spans="5:14">
      <c r="E207" s="14"/>
      <c r="G207" s="14"/>
      <c r="H207" s="14"/>
      <c r="I207" s="14"/>
      <c r="J207" s="14"/>
      <c r="K207" s="14"/>
      <c r="L207" s="14"/>
      <c r="M207" s="14"/>
      <c r="N207" s="14"/>
    </row>
    <row r="208" spans="5:14">
      <c r="E208" s="14"/>
      <c r="G208" s="14"/>
      <c r="H208" s="14"/>
      <c r="I208" s="14"/>
      <c r="J208" s="14"/>
      <c r="K208" s="14"/>
      <c r="L208" s="14"/>
      <c r="M208" s="14"/>
      <c r="N208" s="14"/>
    </row>
    <row r="209" spans="5:14">
      <c r="E209" s="14"/>
      <c r="G209" s="14"/>
      <c r="H209" s="14"/>
      <c r="I209" s="14"/>
      <c r="J209" s="14"/>
      <c r="K209" s="14"/>
      <c r="L209" s="14"/>
      <c r="M209" s="14"/>
      <c r="N209" s="14"/>
    </row>
    <row r="210" spans="5:14">
      <c r="E210" s="14"/>
      <c r="G210" s="14"/>
      <c r="H210" s="14"/>
      <c r="I210" s="14"/>
      <c r="J210" s="14"/>
      <c r="K210" s="14"/>
      <c r="L210" s="14"/>
      <c r="M210" s="14"/>
      <c r="N210" s="14"/>
    </row>
    <row r="211" spans="5:14">
      <c r="E211" s="14"/>
      <c r="G211" s="14"/>
      <c r="H211" s="14"/>
      <c r="I211" s="14"/>
      <c r="J211" s="14"/>
      <c r="K211" s="14"/>
      <c r="L211" s="14"/>
      <c r="M211" s="14"/>
      <c r="N211" s="14"/>
    </row>
    <row r="212" spans="5:14">
      <c r="E212" s="14"/>
      <c r="G212" s="14"/>
      <c r="H212" s="14"/>
      <c r="I212" s="14"/>
      <c r="J212" s="14"/>
      <c r="K212" s="14"/>
      <c r="L212" s="14"/>
      <c r="M212" s="14"/>
      <c r="N212" s="14"/>
    </row>
    <row r="213" spans="5:14">
      <c r="E213" s="14"/>
      <c r="G213" s="14"/>
      <c r="H213" s="14"/>
      <c r="I213" s="14"/>
      <c r="J213" s="14"/>
      <c r="K213" s="14"/>
      <c r="L213" s="14"/>
      <c r="M213" s="14"/>
      <c r="N213" s="14"/>
    </row>
    <row r="214" spans="5:14">
      <c r="E214" s="14"/>
      <c r="G214" s="14"/>
      <c r="H214" s="14"/>
      <c r="I214" s="14"/>
      <c r="J214" s="14"/>
      <c r="K214" s="14"/>
      <c r="L214" s="14"/>
      <c r="M214" s="14"/>
      <c r="N214" s="14"/>
    </row>
    <row r="215" spans="5:14">
      <c r="E215" s="14"/>
      <c r="G215" s="14"/>
      <c r="H215" s="14"/>
      <c r="I215" s="14"/>
      <c r="J215" s="14"/>
      <c r="K215" s="14"/>
      <c r="L215" s="14"/>
      <c r="M215" s="14"/>
      <c r="N215" s="14"/>
    </row>
    <row r="216" spans="5:14">
      <c r="E216" s="14"/>
      <c r="G216" s="14"/>
      <c r="H216" s="14"/>
      <c r="I216" s="14"/>
      <c r="J216" s="14"/>
      <c r="K216" s="14"/>
      <c r="L216" s="14"/>
      <c r="M216" s="14"/>
      <c r="N216" s="14"/>
    </row>
    <row r="217" spans="5:14">
      <c r="E217" s="14"/>
      <c r="G217" s="14"/>
      <c r="H217" s="14"/>
      <c r="I217" s="14"/>
      <c r="J217" s="14"/>
      <c r="K217" s="14"/>
      <c r="L217" s="14"/>
      <c r="M217" s="14"/>
      <c r="N217" s="14"/>
    </row>
    <row r="218" spans="5:14">
      <c r="E218" s="14"/>
      <c r="G218" s="14"/>
      <c r="H218" s="14"/>
      <c r="I218" s="14"/>
      <c r="J218" s="14"/>
      <c r="K218" s="14"/>
      <c r="L218" s="14"/>
      <c r="M218" s="14"/>
      <c r="N218" s="14"/>
    </row>
    <row r="219" spans="5:14">
      <c r="E219" s="14"/>
      <c r="G219" s="14"/>
      <c r="H219" s="14"/>
      <c r="I219" s="14"/>
      <c r="J219" s="14"/>
      <c r="K219" s="14"/>
      <c r="L219" s="14"/>
      <c r="M219" s="14"/>
      <c r="N219" s="14"/>
    </row>
    <row r="220" spans="5:14">
      <c r="E220" s="14"/>
      <c r="G220" s="14"/>
      <c r="H220" s="14"/>
      <c r="I220" s="14"/>
      <c r="J220" s="14"/>
      <c r="K220" s="14"/>
      <c r="L220" s="14"/>
      <c r="M220" s="14"/>
      <c r="N220" s="14"/>
    </row>
    <row r="221" spans="5:14">
      <c r="E221" s="14"/>
      <c r="G221" s="14"/>
      <c r="H221" s="14"/>
      <c r="I221" s="14"/>
      <c r="J221" s="14"/>
      <c r="K221" s="14"/>
      <c r="L221" s="14"/>
      <c r="M221" s="14"/>
      <c r="N221" s="14"/>
    </row>
    <row r="222" spans="5:14">
      <c r="E222" s="14"/>
      <c r="G222" s="14"/>
      <c r="H222" s="14"/>
      <c r="I222" s="14"/>
      <c r="J222" s="14"/>
      <c r="K222" s="14"/>
      <c r="L222" s="14"/>
      <c r="M222" s="14"/>
      <c r="N222" s="14"/>
    </row>
    <row r="223" spans="5:14">
      <c r="E223" s="14"/>
      <c r="G223" s="14"/>
      <c r="H223" s="14"/>
      <c r="I223" s="14"/>
      <c r="J223" s="14"/>
      <c r="K223" s="14"/>
      <c r="L223" s="14"/>
      <c r="M223" s="14"/>
      <c r="N223" s="14"/>
    </row>
    <row r="224" spans="5:14">
      <c r="E224" s="14"/>
      <c r="G224" s="14"/>
      <c r="H224" s="14"/>
      <c r="I224" s="14"/>
      <c r="J224" s="14"/>
      <c r="K224" s="14"/>
      <c r="L224" s="14"/>
      <c r="M224" s="14"/>
      <c r="N224" s="14"/>
    </row>
    <row r="225" spans="5:14">
      <c r="E225" s="14"/>
      <c r="G225" s="14"/>
      <c r="H225" s="14"/>
      <c r="I225" s="14"/>
      <c r="J225" s="14"/>
      <c r="K225" s="14"/>
      <c r="L225" s="14"/>
      <c r="M225" s="14"/>
      <c r="N225" s="14"/>
    </row>
    <row r="226" spans="5:14">
      <c r="E226" s="14"/>
      <c r="G226" s="14"/>
      <c r="H226" s="14"/>
      <c r="I226" s="14"/>
      <c r="J226" s="14"/>
      <c r="K226" s="14"/>
      <c r="L226" s="14"/>
      <c r="M226" s="14"/>
      <c r="N226" s="14"/>
    </row>
    <row r="227" spans="5:14">
      <c r="E227" s="14"/>
      <c r="G227" s="14"/>
      <c r="H227" s="14"/>
      <c r="I227" s="14"/>
      <c r="J227" s="14"/>
      <c r="K227" s="14"/>
      <c r="L227" s="14"/>
      <c r="M227" s="14"/>
      <c r="N227" s="14"/>
    </row>
    <row r="228" spans="5:14">
      <c r="E228" s="14"/>
      <c r="G228" s="14"/>
      <c r="H228" s="14"/>
      <c r="I228" s="14"/>
      <c r="J228" s="14"/>
      <c r="K228" s="14"/>
      <c r="L228" s="14"/>
      <c r="M228" s="14"/>
      <c r="N228" s="14"/>
    </row>
    <row r="229" spans="5:14">
      <c r="E229" s="14"/>
      <c r="G229" s="14"/>
      <c r="H229" s="14"/>
      <c r="I229" s="14"/>
      <c r="J229" s="14"/>
      <c r="K229" s="14"/>
      <c r="L229" s="14"/>
      <c r="M229" s="14"/>
      <c r="N229" s="14"/>
    </row>
    <row r="230" spans="5:14">
      <c r="E230" s="14"/>
      <c r="G230" s="14"/>
      <c r="H230" s="14"/>
      <c r="I230" s="14"/>
      <c r="J230" s="14"/>
      <c r="K230" s="14"/>
      <c r="L230" s="14"/>
      <c r="M230" s="14"/>
      <c r="N230" s="14"/>
    </row>
    <row r="231" spans="5:14">
      <c r="E231" s="14"/>
      <c r="G231" s="14"/>
      <c r="H231" s="14"/>
      <c r="I231" s="14"/>
      <c r="J231" s="14"/>
      <c r="K231" s="14"/>
      <c r="L231" s="14"/>
      <c r="M231" s="14"/>
      <c r="N231" s="14"/>
    </row>
    <row r="232" spans="5:14">
      <c r="E232" s="14"/>
      <c r="G232" s="14"/>
      <c r="H232" s="14"/>
      <c r="I232" s="14"/>
      <c r="J232" s="14"/>
      <c r="K232" s="14"/>
      <c r="L232" s="14"/>
      <c r="M232" s="14"/>
      <c r="N232" s="14"/>
    </row>
    <row r="233" spans="5:14">
      <c r="E233" s="14"/>
      <c r="G233" s="14"/>
      <c r="H233" s="14"/>
      <c r="I233" s="14"/>
      <c r="J233" s="14"/>
      <c r="K233" s="14"/>
      <c r="L233" s="14"/>
      <c r="M233" s="14"/>
      <c r="N233" s="14"/>
    </row>
    <row r="234" spans="5:14">
      <c r="E234" s="14"/>
      <c r="G234" s="14"/>
      <c r="H234" s="14"/>
      <c r="I234" s="14"/>
      <c r="J234" s="14"/>
      <c r="K234" s="14"/>
      <c r="L234" s="14"/>
      <c r="M234" s="14"/>
      <c r="N234" s="14"/>
    </row>
    <row r="235" spans="5:14">
      <c r="E235" s="14"/>
      <c r="G235" s="14"/>
      <c r="H235" s="14"/>
      <c r="I235" s="14"/>
      <c r="J235" s="14"/>
      <c r="K235" s="14"/>
      <c r="L235" s="14"/>
      <c r="M235" s="14"/>
      <c r="N235" s="14"/>
    </row>
    <row r="236" spans="5:14">
      <c r="E236" s="14"/>
      <c r="G236" s="14"/>
      <c r="H236" s="14"/>
      <c r="I236" s="14"/>
      <c r="J236" s="14"/>
      <c r="K236" s="14"/>
      <c r="L236" s="14"/>
      <c r="M236" s="14"/>
      <c r="N236" s="14"/>
    </row>
    <row r="237" spans="5:14">
      <c r="E237" s="14"/>
      <c r="G237" s="14"/>
      <c r="H237" s="14"/>
      <c r="I237" s="14"/>
      <c r="J237" s="14"/>
      <c r="K237" s="14"/>
      <c r="L237" s="14"/>
      <c r="M237" s="14"/>
      <c r="N237" s="14"/>
    </row>
    <row r="238" spans="5:14">
      <c r="E238" s="14"/>
      <c r="G238" s="14"/>
      <c r="H238" s="14"/>
      <c r="I238" s="14"/>
      <c r="J238" s="14"/>
      <c r="K238" s="14"/>
      <c r="L238" s="14"/>
      <c r="M238" s="14"/>
      <c r="N238" s="14"/>
    </row>
    <row r="239" spans="5:14">
      <c r="E239" s="14"/>
      <c r="G239" s="14"/>
      <c r="H239" s="14"/>
      <c r="I239" s="14"/>
      <c r="J239" s="14"/>
      <c r="K239" s="14"/>
      <c r="L239" s="14"/>
      <c r="M239" s="14"/>
      <c r="N239" s="14"/>
    </row>
    <row r="240" spans="5:14">
      <c r="E240" s="14"/>
      <c r="G240" s="14"/>
      <c r="H240" s="14"/>
      <c r="I240" s="14"/>
      <c r="J240" s="14"/>
      <c r="K240" s="14"/>
      <c r="L240" s="14"/>
      <c r="M240" s="14"/>
      <c r="N240" s="14"/>
    </row>
    <row r="241" spans="5:14">
      <c r="E241" s="14"/>
      <c r="G241" s="14"/>
      <c r="H241" s="14"/>
      <c r="I241" s="14"/>
      <c r="J241" s="14"/>
      <c r="K241" s="14"/>
      <c r="L241" s="14"/>
      <c r="M241" s="14"/>
      <c r="N241" s="14"/>
    </row>
    <row r="242" spans="5:14">
      <c r="E242" s="14"/>
      <c r="G242" s="14"/>
      <c r="H242" s="14"/>
      <c r="I242" s="14"/>
      <c r="J242" s="14"/>
      <c r="K242" s="14"/>
      <c r="L242" s="14"/>
      <c r="M242" s="14"/>
      <c r="N242" s="14"/>
    </row>
    <row r="243" spans="5:14">
      <c r="E243" s="14"/>
      <c r="G243" s="14"/>
      <c r="H243" s="14"/>
      <c r="I243" s="14"/>
      <c r="J243" s="14"/>
      <c r="K243" s="14"/>
      <c r="L243" s="14"/>
      <c r="M243" s="14"/>
      <c r="N243" s="14"/>
    </row>
    <row r="244" spans="5:14">
      <c r="E244" s="14"/>
      <c r="G244" s="14"/>
      <c r="H244" s="14"/>
      <c r="I244" s="14"/>
      <c r="J244" s="14"/>
      <c r="K244" s="14"/>
      <c r="L244" s="14"/>
      <c r="M244" s="14"/>
      <c r="N244" s="14"/>
    </row>
    <row r="245" spans="5:14">
      <c r="E245" s="14"/>
      <c r="G245" s="14"/>
      <c r="H245" s="14"/>
      <c r="I245" s="14"/>
      <c r="J245" s="14"/>
      <c r="K245" s="14"/>
      <c r="L245" s="14"/>
      <c r="M245" s="14"/>
      <c r="N245" s="14"/>
    </row>
    <row r="246" spans="5:14">
      <c r="E246" s="14"/>
      <c r="G246" s="14"/>
      <c r="H246" s="14"/>
      <c r="I246" s="14"/>
      <c r="J246" s="14"/>
      <c r="K246" s="14"/>
      <c r="L246" s="14"/>
      <c r="M246" s="14"/>
      <c r="N246" s="14"/>
    </row>
    <row r="247" spans="5:14">
      <c r="E247" s="14"/>
      <c r="G247" s="14"/>
      <c r="H247" s="14"/>
      <c r="I247" s="14"/>
      <c r="J247" s="14"/>
      <c r="K247" s="14"/>
      <c r="L247" s="14"/>
      <c r="M247" s="14"/>
      <c r="N247" s="14"/>
    </row>
    <row r="248" spans="5:14">
      <c r="E248" s="14"/>
      <c r="G248" s="14"/>
      <c r="H248" s="14"/>
      <c r="I248" s="14"/>
      <c r="J248" s="14"/>
      <c r="K248" s="14"/>
      <c r="L248" s="14"/>
      <c r="M248" s="14"/>
      <c r="N248" s="14"/>
    </row>
    <row r="249" spans="5:14">
      <c r="E249" s="14"/>
      <c r="G249" s="14"/>
      <c r="H249" s="14"/>
      <c r="I249" s="14"/>
      <c r="J249" s="14"/>
      <c r="K249" s="14"/>
      <c r="L249" s="14"/>
      <c r="M249" s="14"/>
      <c r="N249" s="14"/>
    </row>
    <row r="250" spans="5:14">
      <c r="E250" s="14"/>
      <c r="G250" s="14"/>
      <c r="H250" s="14"/>
      <c r="I250" s="14"/>
      <c r="J250" s="14"/>
      <c r="K250" s="14"/>
      <c r="L250" s="14"/>
      <c r="M250" s="14"/>
      <c r="N250" s="14"/>
    </row>
    <row r="251" spans="5:14">
      <c r="E251" s="14"/>
      <c r="G251" s="14"/>
      <c r="H251" s="14"/>
      <c r="I251" s="14"/>
      <c r="J251" s="14"/>
      <c r="K251" s="14"/>
      <c r="L251" s="14"/>
      <c r="M251" s="14"/>
      <c r="N251" s="14"/>
    </row>
    <row r="252" spans="5:14">
      <c r="E252" s="14"/>
      <c r="G252" s="14"/>
      <c r="H252" s="14"/>
      <c r="I252" s="14"/>
      <c r="J252" s="14"/>
      <c r="K252" s="14"/>
      <c r="L252" s="14"/>
      <c r="M252" s="14"/>
      <c r="N252" s="14"/>
    </row>
    <row r="253" spans="5:14">
      <c r="E253" s="14"/>
      <c r="G253" s="14"/>
      <c r="H253" s="14"/>
      <c r="I253" s="14"/>
      <c r="J253" s="14"/>
      <c r="K253" s="14"/>
      <c r="L253" s="14"/>
      <c r="M253" s="14"/>
      <c r="N253" s="14"/>
    </row>
    <row r="254" spans="5:14">
      <c r="E254" s="14"/>
      <c r="G254" s="14"/>
      <c r="H254" s="14"/>
      <c r="I254" s="14"/>
      <c r="J254" s="14"/>
      <c r="K254" s="14"/>
      <c r="L254" s="14"/>
      <c r="M254" s="14"/>
      <c r="N254" s="14"/>
    </row>
    <row r="255" spans="5:14">
      <c r="E255" s="14"/>
      <c r="G255" s="14"/>
      <c r="H255" s="14"/>
      <c r="I255" s="14"/>
      <c r="J255" s="14"/>
      <c r="K255" s="14"/>
      <c r="L255" s="14"/>
      <c r="M255" s="14"/>
      <c r="N255" s="14"/>
    </row>
    <row r="256" spans="5:14">
      <c r="E256" s="14"/>
      <c r="G256" s="14"/>
      <c r="H256" s="14"/>
      <c r="I256" s="14"/>
      <c r="J256" s="14"/>
      <c r="K256" s="14"/>
      <c r="L256" s="14"/>
      <c r="M256" s="14"/>
      <c r="N256" s="14"/>
    </row>
    <row r="257" spans="5:14">
      <c r="E257" s="14"/>
      <c r="G257" s="14"/>
      <c r="H257" s="14"/>
      <c r="I257" s="14"/>
      <c r="J257" s="14"/>
      <c r="K257" s="14"/>
      <c r="L257" s="14"/>
      <c r="M257" s="14"/>
      <c r="N257" s="14"/>
    </row>
    <row r="258" spans="5:14">
      <c r="E258" s="14"/>
      <c r="G258" s="14"/>
      <c r="H258" s="14"/>
      <c r="I258" s="14"/>
      <c r="J258" s="14"/>
      <c r="K258" s="14"/>
      <c r="L258" s="14"/>
      <c r="M258" s="14"/>
      <c r="N258" s="14"/>
    </row>
    <row r="259" spans="5:14">
      <c r="E259" s="14"/>
      <c r="G259" s="14"/>
      <c r="H259" s="14"/>
      <c r="I259" s="14"/>
      <c r="J259" s="14"/>
      <c r="K259" s="14"/>
      <c r="L259" s="14"/>
      <c r="M259" s="14"/>
      <c r="N259" s="14"/>
    </row>
    <row r="260" spans="5:14">
      <c r="E260" s="14"/>
      <c r="G260" s="14"/>
      <c r="H260" s="14"/>
      <c r="I260" s="14"/>
      <c r="J260" s="14"/>
      <c r="K260" s="14"/>
      <c r="L260" s="14"/>
      <c r="M260" s="14"/>
      <c r="N260" s="14"/>
    </row>
    <row r="261" spans="5:14">
      <c r="E261" s="14"/>
      <c r="G261" s="14"/>
      <c r="H261" s="14"/>
      <c r="I261" s="14"/>
      <c r="J261" s="14"/>
      <c r="K261" s="14"/>
      <c r="L261" s="14"/>
      <c r="M261" s="14"/>
      <c r="N261" s="14"/>
    </row>
    <row r="262" spans="5:14">
      <c r="E262" s="14"/>
      <c r="G262" s="14"/>
      <c r="H262" s="14"/>
      <c r="I262" s="14"/>
      <c r="J262" s="14"/>
      <c r="K262" s="14"/>
      <c r="L262" s="14"/>
      <c r="M262" s="14"/>
      <c r="N262" s="14"/>
    </row>
    <row r="263" spans="5:14">
      <c r="E263" s="14"/>
      <c r="G263" s="14"/>
      <c r="H263" s="14"/>
      <c r="I263" s="14"/>
      <c r="J263" s="14"/>
      <c r="K263" s="14"/>
      <c r="L263" s="14"/>
      <c r="M263" s="14"/>
      <c r="N263" s="14"/>
    </row>
    <row r="264" spans="5:14">
      <c r="E264" s="14"/>
      <c r="G264" s="14"/>
      <c r="H264" s="14"/>
      <c r="I264" s="14"/>
      <c r="J264" s="14"/>
      <c r="K264" s="14"/>
      <c r="L264" s="14"/>
      <c r="M264" s="14"/>
      <c r="N264" s="14"/>
    </row>
    <row r="265" spans="5:14">
      <c r="E265" s="14"/>
      <c r="G265" s="14"/>
      <c r="H265" s="14"/>
      <c r="I265" s="14"/>
      <c r="J265" s="14"/>
      <c r="K265" s="14"/>
      <c r="L265" s="14"/>
      <c r="M265" s="14"/>
      <c r="N265" s="14"/>
    </row>
    <row r="266" spans="5:14">
      <c r="E266" s="14"/>
      <c r="G266" s="14"/>
      <c r="H266" s="14"/>
      <c r="I266" s="14"/>
      <c r="J266" s="14"/>
      <c r="K266" s="14"/>
      <c r="L266" s="14"/>
      <c r="M266" s="14"/>
      <c r="N266" s="14"/>
    </row>
    <row r="267" spans="5:14">
      <c r="E267" s="14"/>
      <c r="G267" s="14"/>
      <c r="H267" s="14"/>
      <c r="I267" s="14"/>
      <c r="J267" s="14"/>
      <c r="K267" s="14"/>
      <c r="L267" s="14"/>
      <c r="M267" s="14"/>
      <c r="N267" s="14"/>
    </row>
    <row r="268" spans="5:14">
      <c r="E268" s="14"/>
      <c r="G268" s="14"/>
      <c r="H268" s="14"/>
      <c r="I268" s="14"/>
      <c r="J268" s="14"/>
      <c r="K268" s="14"/>
      <c r="L268" s="14"/>
      <c r="M268" s="14"/>
      <c r="N268" s="14"/>
    </row>
    <row r="269" spans="5:14">
      <c r="E269" s="14"/>
      <c r="G269" s="14"/>
      <c r="H269" s="14"/>
      <c r="I269" s="14"/>
      <c r="J269" s="14"/>
      <c r="K269" s="14"/>
      <c r="L269" s="14"/>
      <c r="M269" s="14"/>
      <c r="N269" s="14"/>
    </row>
    <row r="270" spans="5:14">
      <c r="E270" s="14"/>
      <c r="G270" s="14"/>
      <c r="H270" s="14"/>
      <c r="I270" s="14"/>
      <c r="J270" s="14"/>
      <c r="K270" s="14"/>
      <c r="L270" s="14"/>
      <c r="M270" s="14"/>
      <c r="N270" s="14"/>
    </row>
    <row r="271" spans="5:14">
      <c r="E271" s="14"/>
      <c r="G271" s="14"/>
      <c r="H271" s="14"/>
      <c r="I271" s="14"/>
      <c r="J271" s="14"/>
      <c r="K271" s="14"/>
      <c r="L271" s="14"/>
      <c r="M271" s="14"/>
      <c r="N271" s="14"/>
    </row>
    <row r="272" spans="5:14">
      <c r="E272" s="14"/>
      <c r="G272" s="14"/>
      <c r="H272" s="14"/>
      <c r="I272" s="14"/>
      <c r="J272" s="14"/>
      <c r="K272" s="14"/>
      <c r="L272" s="14"/>
      <c r="M272" s="14"/>
      <c r="N272" s="14"/>
    </row>
    <row r="273" spans="5:14">
      <c r="E273" s="14"/>
      <c r="G273" s="14"/>
      <c r="H273" s="14"/>
      <c r="I273" s="14"/>
      <c r="J273" s="14"/>
      <c r="K273" s="14"/>
      <c r="L273" s="14"/>
      <c r="M273" s="14"/>
      <c r="N273" s="14"/>
    </row>
    <row r="274" spans="5:14">
      <c r="E274" s="14"/>
      <c r="G274" s="14"/>
      <c r="H274" s="14"/>
      <c r="I274" s="14"/>
      <c r="J274" s="14"/>
      <c r="K274" s="14"/>
      <c r="L274" s="14"/>
      <c r="M274" s="14"/>
      <c r="N274" s="14"/>
    </row>
    <row r="275" spans="5:14">
      <c r="E275" s="14"/>
      <c r="G275" s="14"/>
      <c r="H275" s="14"/>
      <c r="I275" s="14"/>
      <c r="J275" s="14"/>
      <c r="K275" s="14"/>
      <c r="L275" s="14"/>
      <c r="M275" s="14"/>
      <c r="N275" s="14"/>
    </row>
    <row r="276" spans="5:14">
      <c r="E276" s="14"/>
      <c r="G276" s="14"/>
      <c r="H276" s="14"/>
      <c r="I276" s="14"/>
      <c r="J276" s="14"/>
      <c r="K276" s="14"/>
      <c r="L276" s="14"/>
      <c r="M276" s="14"/>
      <c r="N276" s="14"/>
    </row>
    <row r="277" spans="5:14">
      <c r="E277" s="14"/>
      <c r="G277" s="14"/>
      <c r="H277" s="14"/>
      <c r="I277" s="14"/>
      <c r="J277" s="14"/>
      <c r="K277" s="14"/>
      <c r="L277" s="14"/>
      <c r="M277" s="14"/>
      <c r="N277" s="14"/>
    </row>
    <row r="278" spans="5:14">
      <c r="E278" s="14"/>
      <c r="G278" s="14"/>
      <c r="H278" s="14"/>
      <c r="I278" s="14"/>
      <c r="J278" s="14"/>
      <c r="K278" s="14"/>
      <c r="L278" s="14"/>
      <c r="M278" s="14"/>
      <c r="N278" s="14"/>
    </row>
    <row r="279" spans="5:14">
      <c r="E279" s="14"/>
      <c r="G279" s="14"/>
      <c r="H279" s="14"/>
      <c r="I279" s="14"/>
      <c r="J279" s="14"/>
      <c r="K279" s="14"/>
      <c r="L279" s="14"/>
      <c r="M279" s="14"/>
      <c r="N279" s="14"/>
    </row>
    <row r="280" spans="5:14">
      <c r="E280" s="14"/>
      <c r="G280" s="14"/>
      <c r="H280" s="14"/>
      <c r="I280" s="14"/>
      <c r="J280" s="14"/>
      <c r="K280" s="14"/>
      <c r="L280" s="14"/>
      <c r="M280" s="14"/>
      <c r="N280" s="14"/>
    </row>
    <row r="281" spans="5:14">
      <c r="E281" s="14"/>
      <c r="G281" s="14"/>
      <c r="H281" s="14"/>
      <c r="I281" s="14"/>
      <c r="J281" s="14"/>
      <c r="K281" s="14"/>
      <c r="L281" s="14"/>
      <c r="M281" s="14"/>
      <c r="N281" s="14"/>
    </row>
    <row r="282" spans="5:14">
      <c r="E282" s="14"/>
      <c r="G282" s="14"/>
      <c r="H282" s="14"/>
      <c r="I282" s="14"/>
      <c r="J282" s="14"/>
      <c r="K282" s="14"/>
      <c r="L282" s="14"/>
      <c r="M282" s="14"/>
      <c r="N282" s="14"/>
    </row>
    <row r="283" spans="5:14">
      <c r="E283" s="14"/>
      <c r="G283" s="14"/>
      <c r="H283" s="14"/>
      <c r="I283" s="14"/>
      <c r="J283" s="14"/>
      <c r="K283" s="14"/>
      <c r="L283" s="14"/>
      <c r="M283" s="14"/>
      <c r="N283" s="14"/>
    </row>
    <row r="284" spans="5:14">
      <c r="E284" s="14"/>
      <c r="G284" s="14"/>
      <c r="H284" s="14"/>
      <c r="I284" s="14"/>
      <c r="J284" s="14"/>
      <c r="K284" s="14"/>
      <c r="L284" s="14"/>
      <c r="M284" s="14"/>
      <c r="N284" s="14"/>
    </row>
    <row r="285" spans="5:14">
      <c r="E285" s="14"/>
      <c r="G285" s="14"/>
      <c r="H285" s="14"/>
      <c r="I285" s="14"/>
      <c r="J285" s="14"/>
      <c r="K285" s="14"/>
      <c r="L285" s="14"/>
      <c r="M285" s="14"/>
      <c r="N285" s="14"/>
    </row>
    <row r="286" spans="5:14">
      <c r="E286" s="14"/>
      <c r="G286" s="14"/>
      <c r="H286" s="14"/>
      <c r="I286" s="14"/>
      <c r="J286" s="14"/>
      <c r="K286" s="14"/>
      <c r="L286" s="14"/>
      <c r="M286" s="14"/>
      <c r="N286" s="14"/>
    </row>
    <row r="287" spans="5:14">
      <c r="E287" s="14"/>
      <c r="G287" s="14"/>
      <c r="H287" s="14"/>
      <c r="I287" s="14"/>
      <c r="J287" s="14"/>
      <c r="K287" s="14"/>
      <c r="L287" s="14"/>
      <c r="M287" s="14"/>
      <c r="N287" s="14"/>
    </row>
    <row r="288" spans="5:14">
      <c r="E288" s="14"/>
      <c r="G288" s="14"/>
      <c r="H288" s="14"/>
      <c r="I288" s="14"/>
      <c r="J288" s="14"/>
      <c r="K288" s="14"/>
      <c r="L288" s="14"/>
      <c r="M288" s="14"/>
      <c r="N288" s="14"/>
    </row>
    <row r="289" spans="5:14">
      <c r="E289" s="14"/>
      <c r="G289" s="14"/>
      <c r="H289" s="14"/>
      <c r="I289" s="14"/>
      <c r="J289" s="14"/>
      <c r="K289" s="14"/>
      <c r="L289" s="14"/>
      <c r="M289" s="14"/>
      <c r="N289" s="14"/>
    </row>
    <row r="290" spans="5:14">
      <c r="E290" s="14"/>
      <c r="G290" s="14"/>
      <c r="H290" s="14"/>
      <c r="I290" s="14"/>
      <c r="J290" s="14"/>
      <c r="K290" s="14"/>
      <c r="L290" s="14"/>
      <c r="M290" s="14"/>
      <c r="N290" s="14"/>
    </row>
    <row r="291" spans="5:14">
      <c r="E291" s="14"/>
      <c r="G291" s="14"/>
      <c r="H291" s="14"/>
      <c r="I291" s="14"/>
      <c r="J291" s="14"/>
      <c r="K291" s="14"/>
      <c r="L291" s="14"/>
      <c r="M291" s="14"/>
      <c r="N291" s="14"/>
    </row>
    <row r="292" spans="5:14">
      <c r="E292" s="14"/>
      <c r="G292" s="14"/>
      <c r="H292" s="14"/>
      <c r="I292" s="14"/>
      <c r="J292" s="14"/>
      <c r="K292" s="14"/>
      <c r="L292" s="14"/>
      <c r="M292" s="14"/>
      <c r="N292" s="14"/>
    </row>
    <row r="293" spans="5:14">
      <c r="E293" s="14"/>
      <c r="G293" s="14"/>
      <c r="H293" s="14"/>
      <c r="I293" s="14"/>
      <c r="J293" s="14"/>
      <c r="K293" s="14"/>
      <c r="L293" s="14"/>
      <c r="M293" s="14"/>
      <c r="N293" s="14"/>
    </row>
    <row r="294" spans="5:14">
      <c r="E294" s="14"/>
      <c r="G294" s="14"/>
      <c r="H294" s="14"/>
      <c r="I294" s="14"/>
      <c r="J294" s="14"/>
      <c r="K294" s="14"/>
      <c r="L294" s="14"/>
      <c r="M294" s="14"/>
      <c r="N294" s="14"/>
    </row>
    <row r="295" spans="5:14">
      <c r="E295" s="14"/>
      <c r="G295" s="14"/>
      <c r="H295" s="14"/>
      <c r="I295" s="14"/>
      <c r="J295" s="14"/>
      <c r="K295" s="14"/>
      <c r="L295" s="14"/>
      <c r="M295" s="14"/>
      <c r="N295" s="14"/>
    </row>
    <row r="296" spans="5:14">
      <c r="E296" s="14"/>
      <c r="G296" s="14"/>
      <c r="H296" s="14"/>
      <c r="I296" s="14"/>
      <c r="J296" s="14"/>
      <c r="K296" s="14"/>
      <c r="L296" s="14"/>
      <c r="M296" s="14"/>
      <c r="N296" s="14"/>
    </row>
    <row r="297" spans="5:14">
      <c r="E297" s="14"/>
      <c r="G297" s="14"/>
      <c r="H297" s="14"/>
      <c r="I297" s="14"/>
      <c r="J297" s="14"/>
      <c r="K297" s="14"/>
      <c r="L297" s="14"/>
      <c r="M297" s="14"/>
      <c r="N297" s="14"/>
    </row>
    <row r="298" spans="5:14">
      <c r="E298" s="14"/>
      <c r="G298" s="14"/>
      <c r="H298" s="14"/>
      <c r="I298" s="14"/>
      <c r="J298" s="14"/>
      <c r="K298" s="14"/>
      <c r="L298" s="14"/>
      <c r="M298" s="14"/>
      <c r="N298" s="14"/>
    </row>
    <row r="299" spans="5:14">
      <c r="E299" s="14"/>
      <c r="G299" s="14"/>
      <c r="H299" s="14"/>
      <c r="I299" s="14"/>
      <c r="J299" s="14"/>
      <c r="K299" s="14"/>
      <c r="L299" s="14"/>
      <c r="M299" s="14"/>
      <c r="N299" s="14"/>
    </row>
    <row r="300" spans="5:14">
      <c r="E300" s="14"/>
      <c r="G300" s="14"/>
      <c r="H300" s="14"/>
      <c r="I300" s="14"/>
      <c r="J300" s="14"/>
      <c r="K300" s="14"/>
      <c r="L300" s="14"/>
      <c r="M300" s="14"/>
      <c r="N300" s="14"/>
    </row>
    <row r="301" spans="5:14">
      <c r="E301" s="14"/>
      <c r="G301" s="14"/>
      <c r="H301" s="14"/>
      <c r="I301" s="14"/>
      <c r="J301" s="14"/>
      <c r="K301" s="14"/>
      <c r="L301" s="14"/>
      <c r="M301" s="14"/>
      <c r="N301" s="14"/>
    </row>
    <row r="302" spans="5:14">
      <c r="E302" s="14"/>
      <c r="G302" s="14"/>
      <c r="H302" s="14"/>
      <c r="I302" s="14"/>
      <c r="J302" s="14"/>
      <c r="K302" s="14"/>
      <c r="L302" s="14"/>
      <c r="M302" s="14"/>
      <c r="N302" s="14"/>
    </row>
    <row r="303" spans="5:14">
      <c r="E303" s="14"/>
      <c r="G303" s="14"/>
      <c r="H303" s="14"/>
      <c r="I303" s="14"/>
      <c r="J303" s="14"/>
      <c r="K303" s="14"/>
      <c r="L303" s="14"/>
      <c r="M303" s="14"/>
      <c r="N303" s="14"/>
    </row>
    <row r="304" spans="5:14">
      <c r="E304" s="14"/>
      <c r="G304" s="14"/>
      <c r="H304" s="14"/>
      <c r="I304" s="14"/>
      <c r="J304" s="14"/>
      <c r="K304" s="14"/>
      <c r="L304" s="14"/>
      <c r="M304" s="14"/>
      <c r="N304" s="14"/>
    </row>
    <row r="305" spans="5:14">
      <c r="E305" s="14"/>
      <c r="G305" s="14"/>
      <c r="H305" s="14"/>
      <c r="I305" s="14"/>
      <c r="J305" s="14"/>
      <c r="K305" s="14"/>
      <c r="L305" s="14"/>
      <c r="M305" s="14"/>
      <c r="N305" s="14"/>
    </row>
    <row r="306" spans="5:14">
      <c r="E306" s="14"/>
      <c r="G306" s="14"/>
      <c r="H306" s="14"/>
      <c r="I306" s="14"/>
      <c r="J306" s="14"/>
      <c r="K306" s="14"/>
      <c r="L306" s="14"/>
      <c r="M306" s="14"/>
      <c r="N306" s="14"/>
    </row>
    <row r="307" spans="5:14">
      <c r="E307" s="14"/>
      <c r="G307" s="14"/>
      <c r="H307" s="14"/>
      <c r="I307" s="14"/>
      <c r="J307" s="14"/>
      <c r="K307" s="14"/>
      <c r="L307" s="14"/>
      <c r="M307" s="14"/>
      <c r="N307" s="14"/>
    </row>
    <row r="308" spans="5:14">
      <c r="E308" s="14"/>
      <c r="G308" s="14"/>
      <c r="H308" s="14"/>
      <c r="I308" s="14"/>
      <c r="J308" s="14"/>
      <c r="K308" s="14"/>
      <c r="L308" s="14"/>
      <c r="M308" s="14"/>
      <c r="N308" s="14"/>
    </row>
    <row r="309" spans="5:14">
      <c r="E309" s="14"/>
      <c r="G309" s="14"/>
      <c r="H309" s="14"/>
      <c r="I309" s="14"/>
      <c r="J309" s="14"/>
      <c r="K309" s="14"/>
      <c r="L309" s="14"/>
      <c r="M309" s="14"/>
      <c r="N309" s="14"/>
    </row>
    <row r="310" spans="5:14">
      <c r="E310" s="14"/>
      <c r="G310" s="14"/>
      <c r="H310" s="14"/>
      <c r="I310" s="14"/>
      <c r="J310" s="14"/>
      <c r="K310" s="14"/>
      <c r="L310" s="14"/>
      <c r="M310" s="14"/>
      <c r="N310" s="14"/>
    </row>
    <row r="311" spans="5:14">
      <c r="E311" s="14"/>
      <c r="G311" s="14"/>
      <c r="H311" s="14"/>
      <c r="I311" s="14"/>
      <c r="J311" s="14"/>
      <c r="K311" s="14"/>
      <c r="L311" s="14"/>
      <c r="M311" s="14"/>
      <c r="N311" s="14"/>
    </row>
    <row r="312" spans="5:14">
      <c r="E312" s="14"/>
      <c r="G312" s="14"/>
      <c r="H312" s="14"/>
      <c r="I312" s="14"/>
      <c r="J312" s="14"/>
      <c r="K312" s="14"/>
      <c r="L312" s="14"/>
      <c r="M312" s="14"/>
      <c r="N312" s="14"/>
    </row>
    <row r="313" spans="5:14">
      <c r="E313" s="14"/>
      <c r="G313" s="14"/>
      <c r="H313" s="14"/>
      <c r="I313" s="14"/>
      <c r="J313" s="14"/>
      <c r="K313" s="14"/>
      <c r="L313" s="14"/>
      <c r="M313" s="14"/>
      <c r="N313" s="14"/>
    </row>
    <row r="314" spans="5:14">
      <c r="E314" s="14"/>
      <c r="G314" s="14"/>
      <c r="H314" s="14"/>
      <c r="I314" s="14"/>
      <c r="J314" s="14"/>
      <c r="K314" s="14"/>
      <c r="L314" s="14"/>
      <c r="M314" s="14"/>
      <c r="N314" s="14"/>
    </row>
    <row r="315" spans="5:14">
      <c r="E315" s="14"/>
      <c r="G315" s="14"/>
      <c r="H315" s="14"/>
      <c r="I315" s="14"/>
      <c r="J315" s="14"/>
      <c r="K315" s="14"/>
      <c r="L315" s="14"/>
      <c r="M315" s="14"/>
      <c r="N315" s="14"/>
    </row>
    <row r="316" spans="5:14">
      <c r="E316" s="14"/>
      <c r="G316" s="14"/>
      <c r="H316" s="14"/>
      <c r="I316" s="14"/>
      <c r="J316" s="14"/>
      <c r="K316" s="14"/>
      <c r="L316" s="14"/>
      <c r="M316" s="14"/>
      <c r="N316" s="14"/>
    </row>
    <row r="317" spans="5:14">
      <c r="E317" s="14"/>
      <c r="G317" s="14"/>
      <c r="H317" s="14"/>
      <c r="I317" s="14"/>
      <c r="J317" s="14"/>
      <c r="K317" s="14"/>
      <c r="L317" s="14"/>
      <c r="M317" s="14"/>
      <c r="N317" s="14"/>
    </row>
    <row r="318" spans="5:14">
      <c r="E318" s="14"/>
      <c r="G318" s="14"/>
      <c r="H318" s="14"/>
      <c r="I318" s="14"/>
      <c r="J318" s="14"/>
      <c r="K318" s="14"/>
      <c r="L318" s="14"/>
      <c r="M318" s="14"/>
      <c r="N318" s="14"/>
    </row>
    <row r="319" spans="5:14">
      <c r="E319" s="14"/>
      <c r="G319" s="14"/>
      <c r="H319" s="14"/>
      <c r="I319" s="14"/>
      <c r="J319" s="14"/>
      <c r="K319" s="14"/>
      <c r="L319" s="14"/>
      <c r="M319" s="14"/>
      <c r="N319" s="14"/>
    </row>
    <row r="320" spans="5:14">
      <c r="E320" s="14"/>
      <c r="G320" s="14"/>
      <c r="H320" s="14"/>
      <c r="I320" s="14"/>
      <c r="J320" s="14"/>
      <c r="K320" s="14"/>
      <c r="L320" s="14"/>
      <c r="M320" s="14"/>
      <c r="N320" s="14"/>
    </row>
    <row r="321" spans="5:14">
      <c r="E321" s="14"/>
      <c r="G321" s="14"/>
      <c r="H321" s="14"/>
      <c r="I321" s="14"/>
      <c r="J321" s="14"/>
      <c r="K321" s="14"/>
      <c r="L321" s="14"/>
      <c r="M321" s="14"/>
      <c r="N321" s="14"/>
    </row>
    <row r="322" spans="5:14">
      <c r="E322" s="14"/>
      <c r="G322" s="14"/>
      <c r="H322" s="14"/>
      <c r="I322" s="14"/>
      <c r="J322" s="14"/>
      <c r="K322" s="14"/>
      <c r="L322" s="14"/>
      <c r="M322" s="14"/>
      <c r="N322" s="14"/>
    </row>
    <row r="323" spans="5:14">
      <c r="E323" s="14"/>
      <c r="G323" s="14"/>
      <c r="H323" s="14"/>
      <c r="I323" s="14"/>
      <c r="J323" s="14"/>
      <c r="K323" s="14"/>
      <c r="L323" s="14"/>
      <c r="M323" s="14"/>
      <c r="N323" s="14"/>
    </row>
    <row r="324" spans="5:14">
      <c r="E324" s="14"/>
      <c r="G324" s="14"/>
      <c r="H324" s="14"/>
      <c r="I324" s="14"/>
      <c r="J324" s="14"/>
      <c r="K324" s="14"/>
      <c r="L324" s="14"/>
      <c r="M324" s="14"/>
      <c r="N324" s="14"/>
    </row>
    <row r="325" spans="5:14">
      <c r="E325" s="14"/>
      <c r="G325" s="14"/>
      <c r="H325" s="14"/>
      <c r="I325" s="14"/>
      <c r="J325" s="14"/>
      <c r="K325" s="14"/>
      <c r="L325" s="14"/>
      <c r="M325" s="14"/>
      <c r="N325" s="14"/>
    </row>
    <row r="326" spans="5:14">
      <c r="E326" s="14"/>
      <c r="G326" s="14"/>
      <c r="H326" s="14"/>
      <c r="I326" s="14"/>
      <c r="J326" s="14"/>
      <c r="K326" s="14"/>
      <c r="L326" s="14"/>
      <c r="M326" s="14"/>
      <c r="N326" s="14"/>
    </row>
    <row r="327" spans="5:14">
      <c r="E327" s="14"/>
      <c r="G327" s="14"/>
      <c r="H327" s="14"/>
      <c r="I327" s="14"/>
      <c r="J327" s="14"/>
      <c r="K327" s="14"/>
      <c r="L327" s="14"/>
      <c r="M327" s="14"/>
      <c r="N327" s="14"/>
    </row>
    <row r="328" spans="5:14">
      <c r="E328" s="14"/>
      <c r="G328" s="14"/>
      <c r="H328" s="14"/>
      <c r="I328" s="14"/>
      <c r="J328" s="14"/>
      <c r="K328" s="14"/>
      <c r="L328" s="14"/>
      <c r="M328" s="14"/>
      <c r="N328" s="14"/>
    </row>
    <row r="329" spans="5:14">
      <c r="E329" s="14"/>
      <c r="G329" s="14"/>
      <c r="H329" s="14"/>
      <c r="I329" s="14"/>
      <c r="J329" s="14"/>
      <c r="K329" s="14"/>
      <c r="L329" s="14"/>
      <c r="M329" s="14"/>
      <c r="N329" s="14"/>
    </row>
    <row r="330" spans="5:14">
      <c r="E330" s="14"/>
      <c r="G330" s="14"/>
      <c r="H330" s="14"/>
      <c r="I330" s="14"/>
      <c r="J330" s="14"/>
      <c r="K330" s="14"/>
      <c r="L330" s="14"/>
      <c r="M330" s="14"/>
      <c r="N330" s="14"/>
    </row>
    <row r="331" spans="5:14">
      <c r="E331" s="14"/>
      <c r="G331" s="14"/>
      <c r="H331" s="14"/>
      <c r="I331" s="14"/>
      <c r="J331" s="14"/>
      <c r="K331" s="14"/>
      <c r="L331" s="14"/>
      <c r="M331" s="14"/>
      <c r="N331" s="14"/>
    </row>
    <row r="332" spans="5:14">
      <c r="E332" s="14"/>
      <c r="G332" s="14"/>
      <c r="H332" s="14"/>
      <c r="I332" s="14"/>
      <c r="J332" s="14"/>
      <c r="K332" s="14"/>
      <c r="L332" s="14"/>
      <c r="M332" s="14"/>
      <c r="N332" s="14"/>
    </row>
    <row r="333" spans="5:14">
      <c r="E333" s="14"/>
      <c r="G333" s="14"/>
      <c r="H333" s="14"/>
      <c r="I333" s="14"/>
      <c r="J333" s="14"/>
      <c r="K333" s="14"/>
      <c r="L333" s="14"/>
      <c r="M333" s="14"/>
      <c r="N333" s="14"/>
    </row>
    <row r="334" spans="5:14">
      <c r="E334" s="14"/>
      <c r="G334" s="14"/>
      <c r="H334" s="14"/>
      <c r="I334" s="14"/>
      <c r="J334" s="14"/>
      <c r="K334" s="14"/>
      <c r="L334" s="14"/>
      <c r="M334" s="14"/>
      <c r="N334" s="14"/>
    </row>
    <row r="335" spans="5:14">
      <c r="E335" s="14"/>
      <c r="G335" s="14"/>
      <c r="H335" s="14"/>
      <c r="I335" s="14"/>
      <c r="J335" s="14"/>
      <c r="K335" s="14"/>
      <c r="L335" s="14"/>
      <c r="M335" s="14"/>
      <c r="N335" s="14"/>
    </row>
    <row r="336" spans="5:14">
      <c r="E336" s="14"/>
      <c r="G336" s="14"/>
      <c r="H336" s="14"/>
      <c r="I336" s="14"/>
      <c r="J336" s="14"/>
      <c r="K336" s="14"/>
      <c r="L336" s="14"/>
      <c r="M336" s="14"/>
      <c r="N336" s="14"/>
    </row>
    <row r="337" spans="5:14">
      <c r="E337" s="14"/>
      <c r="G337" s="14"/>
      <c r="H337" s="14"/>
      <c r="I337" s="14"/>
      <c r="J337" s="14"/>
      <c r="K337" s="14"/>
      <c r="L337" s="14"/>
      <c r="M337" s="14"/>
      <c r="N337" s="14"/>
    </row>
    <row r="338" spans="5:14">
      <c r="E338" s="14"/>
      <c r="G338" s="14"/>
      <c r="H338" s="14"/>
      <c r="I338" s="14"/>
      <c r="J338" s="14"/>
      <c r="K338" s="14"/>
      <c r="L338" s="14"/>
      <c r="M338" s="14"/>
      <c r="N338" s="14"/>
    </row>
    <row r="339" spans="5:14">
      <c r="E339" s="14"/>
      <c r="G339" s="14"/>
      <c r="H339" s="14"/>
      <c r="I339" s="14"/>
      <c r="J339" s="14"/>
      <c r="K339" s="14"/>
      <c r="L339" s="14"/>
      <c r="M339" s="14"/>
      <c r="N339" s="14"/>
    </row>
    <row r="340" spans="5:14">
      <c r="E340" s="14"/>
      <c r="G340" s="14"/>
      <c r="H340" s="14"/>
      <c r="I340" s="14"/>
      <c r="J340" s="14"/>
      <c r="K340" s="14"/>
      <c r="L340" s="14"/>
      <c r="M340" s="14"/>
      <c r="N340" s="14"/>
    </row>
    <row r="341" spans="5:14">
      <c r="E341" s="14"/>
      <c r="G341" s="14"/>
      <c r="H341" s="14"/>
      <c r="I341" s="14"/>
      <c r="J341" s="14"/>
      <c r="K341" s="14"/>
      <c r="L341" s="14"/>
      <c r="M341" s="14"/>
      <c r="N341" s="14"/>
    </row>
    <row r="342" spans="5:14">
      <c r="E342" s="14"/>
      <c r="G342" s="14"/>
      <c r="H342" s="14"/>
      <c r="I342" s="14"/>
      <c r="J342" s="14"/>
      <c r="K342" s="14"/>
      <c r="L342" s="14"/>
      <c r="M342" s="14"/>
      <c r="N342" s="14"/>
    </row>
    <row r="343" spans="5:14">
      <c r="E343" s="14"/>
      <c r="G343" s="14"/>
      <c r="H343" s="14"/>
      <c r="I343" s="14"/>
      <c r="J343" s="14"/>
      <c r="K343" s="14"/>
      <c r="L343" s="14"/>
      <c r="M343" s="14"/>
      <c r="N343" s="14"/>
    </row>
    <row r="344" spans="5:14">
      <c r="E344" s="14"/>
      <c r="G344" s="14"/>
      <c r="H344" s="14"/>
      <c r="I344" s="14"/>
      <c r="J344" s="14"/>
      <c r="K344" s="14"/>
      <c r="L344" s="14"/>
      <c r="M344" s="14"/>
      <c r="N344" s="14"/>
    </row>
    <row r="345" spans="5:14">
      <c r="E345" s="14"/>
      <c r="G345" s="14"/>
      <c r="H345" s="14"/>
      <c r="I345" s="14"/>
      <c r="J345" s="14"/>
      <c r="K345" s="14"/>
      <c r="L345" s="14"/>
      <c r="M345" s="14"/>
      <c r="N345" s="14"/>
    </row>
    <row r="346" spans="5:14">
      <c r="E346" s="14"/>
      <c r="G346" s="14"/>
      <c r="H346" s="14"/>
      <c r="I346" s="14"/>
      <c r="J346" s="14"/>
      <c r="K346" s="14"/>
      <c r="L346" s="14"/>
      <c r="M346" s="14"/>
      <c r="N346" s="14"/>
    </row>
    <row r="347" spans="5:14">
      <c r="E347" s="14"/>
      <c r="G347" s="14"/>
      <c r="H347" s="14"/>
      <c r="I347" s="14"/>
      <c r="J347" s="14"/>
      <c r="K347" s="14"/>
      <c r="L347" s="14"/>
      <c r="M347" s="14"/>
      <c r="N347" s="14"/>
    </row>
    <row r="348" spans="5:14">
      <c r="E348" s="14"/>
      <c r="G348" s="14"/>
      <c r="H348" s="14"/>
      <c r="I348" s="14"/>
      <c r="J348" s="14"/>
      <c r="K348" s="14"/>
      <c r="L348" s="14"/>
      <c r="M348" s="14"/>
      <c r="N348" s="14"/>
    </row>
    <row r="349" spans="5:14">
      <c r="E349" s="14"/>
      <c r="G349" s="14"/>
      <c r="H349" s="14"/>
      <c r="I349" s="14"/>
      <c r="J349" s="14"/>
      <c r="K349" s="14"/>
      <c r="L349" s="14"/>
      <c r="M349" s="14"/>
      <c r="N349" s="14"/>
    </row>
    <row r="350" spans="5:14">
      <c r="E350" s="14"/>
      <c r="G350" s="14"/>
      <c r="H350" s="14"/>
      <c r="I350" s="14"/>
      <c r="J350" s="14"/>
      <c r="K350" s="14"/>
      <c r="L350" s="14"/>
      <c r="M350" s="14"/>
      <c r="N350" s="14"/>
    </row>
    <row r="351" spans="5:14">
      <c r="E351" s="14"/>
      <c r="G351" s="14"/>
      <c r="H351" s="14"/>
      <c r="I351" s="14"/>
      <c r="J351" s="14"/>
      <c r="K351" s="14"/>
      <c r="L351" s="14"/>
      <c r="M351" s="14"/>
      <c r="N351" s="14"/>
    </row>
    <row r="352" spans="5:14">
      <c r="E352" s="14"/>
      <c r="G352" s="14"/>
      <c r="H352" s="14"/>
      <c r="I352" s="14"/>
      <c r="J352" s="14"/>
      <c r="K352" s="14"/>
      <c r="L352" s="14"/>
      <c r="M352" s="14"/>
      <c r="N352" s="14"/>
    </row>
    <row r="353" spans="5:14">
      <c r="E353" s="14"/>
      <c r="G353" s="14"/>
      <c r="H353" s="14"/>
      <c r="I353" s="14"/>
      <c r="J353" s="14"/>
      <c r="K353" s="14"/>
      <c r="L353" s="14"/>
      <c r="M353" s="14"/>
      <c r="N353" s="14"/>
    </row>
    <row r="354" spans="5:14">
      <c r="E354" s="14"/>
      <c r="G354" s="14"/>
      <c r="H354" s="14"/>
      <c r="I354" s="14"/>
      <c r="J354" s="14"/>
      <c r="K354" s="14"/>
      <c r="L354" s="14"/>
      <c r="M354" s="14"/>
      <c r="N354" s="14"/>
    </row>
    <row r="355" spans="5:14">
      <c r="E355" s="14"/>
      <c r="G355" s="14"/>
      <c r="H355" s="14"/>
      <c r="I355" s="14"/>
      <c r="J355" s="14"/>
      <c r="K355" s="14"/>
      <c r="L355" s="14"/>
      <c r="M355" s="14"/>
      <c r="N355" s="14"/>
    </row>
    <row r="356" spans="5:14">
      <c r="E356" s="14"/>
      <c r="G356" s="14"/>
      <c r="H356" s="14"/>
      <c r="I356" s="14"/>
      <c r="J356" s="14"/>
      <c r="K356" s="14"/>
      <c r="L356" s="14"/>
      <c r="M356" s="14"/>
      <c r="N356" s="14"/>
    </row>
    <row r="357" spans="5:14">
      <c r="E357" s="14"/>
      <c r="G357" s="14"/>
      <c r="H357" s="14"/>
      <c r="I357" s="14"/>
      <c r="J357" s="14"/>
      <c r="K357" s="14"/>
      <c r="L357" s="14"/>
      <c r="M357" s="14"/>
      <c r="N357" s="14"/>
    </row>
    <row r="358" spans="5:14">
      <c r="E358" s="14"/>
      <c r="G358" s="14"/>
      <c r="H358" s="14"/>
      <c r="I358" s="14"/>
      <c r="J358" s="14"/>
      <c r="K358" s="14"/>
      <c r="L358" s="14"/>
      <c r="M358" s="14"/>
      <c r="N358" s="14"/>
    </row>
    <row r="359" spans="5:14">
      <c r="E359" s="14"/>
      <c r="G359" s="14"/>
      <c r="H359" s="14"/>
      <c r="I359" s="14"/>
      <c r="J359" s="14"/>
      <c r="K359" s="14"/>
      <c r="L359" s="14"/>
      <c r="M359" s="14"/>
      <c r="N359" s="14"/>
    </row>
    <row r="360" spans="5:14">
      <c r="E360" s="14"/>
      <c r="G360" s="14"/>
      <c r="H360" s="14"/>
      <c r="I360" s="14"/>
      <c r="J360" s="14"/>
      <c r="K360" s="14"/>
      <c r="L360" s="14"/>
      <c r="M360" s="14"/>
      <c r="N360" s="14"/>
    </row>
    <row r="361" spans="5:14">
      <c r="E361" s="14"/>
      <c r="G361" s="14"/>
      <c r="H361" s="14"/>
      <c r="I361" s="14"/>
      <c r="J361" s="14"/>
      <c r="K361" s="14"/>
      <c r="L361" s="14"/>
      <c r="M361" s="14"/>
      <c r="N361" s="14"/>
    </row>
    <row r="362" spans="5:14">
      <c r="E362" s="14"/>
      <c r="G362" s="14"/>
      <c r="H362" s="14"/>
      <c r="I362" s="14"/>
      <c r="J362" s="14"/>
      <c r="K362" s="14"/>
      <c r="L362" s="14"/>
      <c r="M362" s="14"/>
      <c r="N362" s="14"/>
    </row>
    <row r="363" spans="5:14">
      <c r="E363" s="14"/>
      <c r="G363" s="14"/>
      <c r="H363" s="14"/>
      <c r="I363" s="14"/>
      <c r="J363" s="14"/>
      <c r="K363" s="14"/>
      <c r="L363" s="14"/>
      <c r="M363" s="14"/>
      <c r="N363" s="14"/>
    </row>
    <row r="364" spans="5:14">
      <c r="E364" s="14"/>
      <c r="G364" s="14"/>
      <c r="H364" s="14"/>
      <c r="I364" s="14"/>
      <c r="J364" s="14"/>
      <c r="K364" s="14"/>
      <c r="L364" s="14"/>
      <c r="M364" s="14"/>
      <c r="N364" s="14"/>
    </row>
    <row r="365" spans="5:14">
      <c r="E365" s="14"/>
      <c r="G365" s="14"/>
      <c r="H365" s="14"/>
      <c r="I365" s="14"/>
      <c r="J365" s="14"/>
      <c r="K365" s="14"/>
      <c r="L365" s="14"/>
      <c r="M365" s="14"/>
      <c r="N365" s="14"/>
    </row>
    <row r="366" spans="5:14">
      <c r="E366" s="14"/>
      <c r="G366" s="14"/>
      <c r="H366" s="14"/>
      <c r="I366" s="14"/>
      <c r="J366" s="14"/>
      <c r="K366" s="14"/>
      <c r="L366" s="14"/>
      <c r="M366" s="14"/>
      <c r="N366" s="14"/>
    </row>
    <row r="367" spans="5:14">
      <c r="E367" s="14"/>
      <c r="G367" s="14"/>
      <c r="H367" s="14"/>
      <c r="I367" s="14"/>
      <c r="J367" s="14"/>
      <c r="K367" s="14"/>
      <c r="L367" s="14"/>
      <c r="M367" s="14"/>
      <c r="N367" s="14"/>
    </row>
    <row r="368" spans="5:14">
      <c r="E368" s="14"/>
      <c r="G368" s="14"/>
      <c r="H368" s="14"/>
      <c r="I368" s="14"/>
      <c r="J368" s="14"/>
      <c r="K368" s="14"/>
      <c r="L368" s="14"/>
      <c r="M368" s="14"/>
      <c r="N368" s="14"/>
    </row>
    <row r="369" spans="5:14">
      <c r="E369" s="14"/>
      <c r="G369" s="14"/>
      <c r="H369" s="14"/>
      <c r="I369" s="14"/>
      <c r="J369" s="14"/>
      <c r="K369" s="14"/>
      <c r="L369" s="14"/>
      <c r="M369" s="14"/>
      <c r="N369" s="14"/>
    </row>
    <row r="370" spans="5:14">
      <c r="E370" s="14"/>
      <c r="G370" s="14"/>
      <c r="H370" s="14"/>
      <c r="I370" s="14"/>
      <c r="J370" s="14"/>
      <c r="K370" s="14"/>
      <c r="L370" s="14"/>
      <c r="M370" s="14"/>
      <c r="N370" s="14"/>
    </row>
    <row r="371" spans="5:14">
      <c r="E371" s="14"/>
      <c r="G371" s="14"/>
      <c r="H371" s="14"/>
      <c r="I371" s="14"/>
      <c r="J371" s="14"/>
      <c r="K371" s="14"/>
      <c r="L371" s="14"/>
      <c r="M371" s="14"/>
      <c r="N371" s="14"/>
    </row>
    <row r="372" spans="5:14">
      <c r="E372" s="14"/>
      <c r="G372" s="14"/>
      <c r="H372" s="14"/>
      <c r="I372" s="14"/>
      <c r="J372" s="14"/>
      <c r="K372" s="14"/>
      <c r="L372" s="14"/>
      <c r="M372" s="14"/>
      <c r="N372" s="14"/>
    </row>
    <row r="373" spans="5:14">
      <c r="E373" s="14"/>
      <c r="G373" s="14"/>
      <c r="H373" s="14"/>
      <c r="I373" s="14"/>
      <c r="J373" s="14"/>
      <c r="K373" s="14"/>
      <c r="L373" s="14"/>
      <c r="M373" s="14"/>
      <c r="N373" s="14"/>
    </row>
    <row r="374" spans="5:14">
      <c r="E374" s="14"/>
      <c r="G374" s="14"/>
      <c r="H374" s="14"/>
      <c r="I374" s="14"/>
      <c r="J374" s="14"/>
      <c r="K374" s="14"/>
      <c r="L374" s="14"/>
      <c r="M374" s="14"/>
      <c r="N374" s="14"/>
    </row>
    <row r="375" spans="5:14">
      <c r="E375" s="14"/>
      <c r="G375" s="14"/>
      <c r="H375" s="14"/>
      <c r="I375" s="14"/>
      <c r="J375" s="14"/>
      <c r="K375" s="14"/>
      <c r="L375" s="14"/>
      <c r="M375" s="14"/>
      <c r="N375" s="14"/>
    </row>
    <row r="376" spans="5:14">
      <c r="E376" s="14"/>
      <c r="G376" s="14"/>
      <c r="H376" s="14"/>
      <c r="I376" s="14"/>
      <c r="J376" s="14"/>
      <c r="K376" s="14"/>
      <c r="L376" s="14"/>
      <c r="M376" s="14"/>
      <c r="N376" s="14"/>
    </row>
    <row r="377" spans="5:14">
      <c r="E377" s="14"/>
      <c r="G377" s="14"/>
      <c r="H377" s="14"/>
      <c r="I377" s="14"/>
      <c r="J377" s="14"/>
      <c r="K377" s="14"/>
      <c r="L377" s="14"/>
      <c r="M377" s="14"/>
      <c r="N377" s="14"/>
    </row>
    <row r="378" spans="5:14">
      <c r="E378" s="14"/>
      <c r="G378" s="14"/>
      <c r="H378" s="14"/>
      <c r="I378" s="14"/>
      <c r="J378" s="14"/>
      <c r="K378" s="14"/>
      <c r="L378" s="14"/>
      <c r="M378" s="14"/>
      <c r="N378" s="14"/>
    </row>
    <row r="379" spans="5:14">
      <c r="E379" s="14"/>
      <c r="G379" s="14"/>
      <c r="H379" s="14"/>
      <c r="I379" s="14"/>
      <c r="J379" s="14"/>
      <c r="K379" s="14"/>
      <c r="L379" s="14"/>
      <c r="M379" s="14"/>
      <c r="N379" s="14"/>
    </row>
    <row r="380" spans="5:14">
      <c r="E380" s="14"/>
      <c r="G380" s="14"/>
      <c r="H380" s="14"/>
      <c r="I380" s="14"/>
      <c r="J380" s="14"/>
      <c r="K380" s="14"/>
      <c r="L380" s="14"/>
      <c r="M380" s="14"/>
      <c r="N380" s="14"/>
    </row>
    <row r="381" spans="5:14">
      <c r="E381" s="14"/>
      <c r="G381" s="14"/>
      <c r="H381" s="14"/>
      <c r="I381" s="14"/>
      <c r="J381" s="14"/>
      <c r="K381" s="14"/>
      <c r="L381" s="14"/>
      <c r="M381" s="14"/>
      <c r="N381" s="14"/>
    </row>
    <row r="382" spans="5:14">
      <c r="E382" s="14"/>
      <c r="G382" s="14"/>
      <c r="H382" s="14"/>
      <c r="I382" s="14"/>
      <c r="J382" s="14"/>
      <c r="K382" s="14"/>
      <c r="L382" s="14"/>
      <c r="M382" s="14"/>
      <c r="N382" s="14"/>
    </row>
    <row r="383" spans="5:14">
      <c r="E383" s="14"/>
      <c r="G383" s="14"/>
      <c r="H383" s="14"/>
      <c r="I383" s="14"/>
      <c r="J383" s="14"/>
      <c r="K383" s="14"/>
      <c r="L383" s="14"/>
      <c r="M383" s="14"/>
      <c r="N383" s="14"/>
    </row>
    <row r="384" spans="5:14">
      <c r="E384" s="14"/>
      <c r="G384" s="14"/>
      <c r="H384" s="14"/>
      <c r="I384" s="14"/>
      <c r="J384" s="14"/>
      <c r="K384" s="14"/>
      <c r="L384" s="14"/>
      <c r="M384" s="14"/>
      <c r="N384" s="14"/>
    </row>
    <row r="385" spans="5:14">
      <c r="E385" s="14"/>
      <c r="G385" s="14"/>
      <c r="H385" s="14"/>
      <c r="I385" s="14"/>
      <c r="J385" s="14"/>
      <c r="K385" s="14"/>
      <c r="L385" s="14"/>
      <c r="M385" s="14"/>
      <c r="N385" s="14"/>
    </row>
    <row r="386" spans="5:14">
      <c r="E386" s="14"/>
      <c r="G386" s="14"/>
      <c r="H386" s="14"/>
      <c r="I386" s="14"/>
      <c r="J386" s="14"/>
      <c r="K386" s="14"/>
      <c r="L386" s="14"/>
      <c r="M386" s="14"/>
      <c r="N386" s="14"/>
    </row>
    <row r="387" spans="5:14">
      <c r="E387" s="14"/>
      <c r="G387" s="14"/>
      <c r="H387" s="14"/>
      <c r="I387" s="14"/>
      <c r="J387" s="14"/>
      <c r="K387" s="14"/>
      <c r="L387" s="14"/>
      <c r="M387" s="14"/>
      <c r="N387" s="14"/>
    </row>
    <row r="388" spans="5:14">
      <c r="E388" s="14"/>
      <c r="G388" s="14"/>
      <c r="H388" s="14"/>
      <c r="I388" s="14"/>
      <c r="J388" s="14"/>
      <c r="K388" s="14"/>
      <c r="L388" s="14"/>
      <c r="M388" s="14"/>
      <c r="N388" s="14"/>
    </row>
    <row r="389" spans="5:14">
      <c r="E389" s="14"/>
      <c r="G389" s="14"/>
      <c r="H389" s="14"/>
      <c r="I389" s="14"/>
      <c r="J389" s="14"/>
      <c r="K389" s="14"/>
      <c r="L389" s="14"/>
      <c r="M389" s="14"/>
      <c r="N389" s="14"/>
    </row>
    <row r="390" spans="5:14">
      <c r="E390" s="14"/>
      <c r="G390" s="14"/>
      <c r="H390" s="14"/>
      <c r="I390" s="14"/>
      <c r="J390" s="14"/>
      <c r="K390" s="14"/>
      <c r="L390" s="14"/>
      <c r="M390" s="14"/>
      <c r="N390" s="14"/>
    </row>
    <row r="391" spans="5:14">
      <c r="E391" s="14"/>
      <c r="G391" s="14"/>
      <c r="H391" s="14"/>
      <c r="I391" s="14"/>
      <c r="J391" s="14"/>
      <c r="K391" s="14"/>
      <c r="L391" s="14"/>
      <c r="M391" s="14"/>
      <c r="N391" s="14"/>
    </row>
    <row r="392" spans="5:14">
      <c r="E392" s="14"/>
      <c r="G392" s="14"/>
      <c r="H392" s="14"/>
      <c r="I392" s="14"/>
      <c r="J392" s="14"/>
      <c r="K392" s="14"/>
      <c r="L392" s="14"/>
      <c r="M392" s="14"/>
      <c r="N392" s="14"/>
    </row>
    <row r="393" spans="5:14">
      <c r="E393" s="14"/>
      <c r="G393" s="14"/>
      <c r="H393" s="14"/>
      <c r="I393" s="14"/>
      <c r="J393" s="14"/>
      <c r="K393" s="14"/>
      <c r="L393" s="14"/>
      <c r="M393" s="14"/>
      <c r="N393" s="14"/>
    </row>
    <row r="394" spans="5:14">
      <c r="E394" s="14"/>
      <c r="G394" s="14"/>
      <c r="H394" s="14"/>
      <c r="I394" s="14"/>
      <c r="J394" s="14"/>
      <c r="K394" s="14"/>
      <c r="L394" s="14"/>
      <c r="M394" s="14"/>
      <c r="N394" s="14"/>
    </row>
    <row r="395" spans="5:14">
      <c r="E395" s="14"/>
      <c r="G395" s="14"/>
      <c r="H395" s="14"/>
      <c r="I395" s="14"/>
      <c r="J395" s="14"/>
      <c r="K395" s="14"/>
      <c r="L395" s="14"/>
      <c r="M395" s="14"/>
      <c r="N395" s="14"/>
    </row>
    <row r="396" spans="5:14">
      <c r="E396" s="14"/>
      <c r="G396" s="14"/>
      <c r="H396" s="14"/>
      <c r="I396" s="14"/>
      <c r="J396" s="14"/>
      <c r="K396" s="14"/>
      <c r="L396" s="14"/>
      <c r="M396" s="14"/>
      <c r="N396" s="14"/>
    </row>
    <row r="397" spans="5:14">
      <c r="E397" s="14"/>
      <c r="G397" s="14"/>
      <c r="H397" s="14"/>
      <c r="I397" s="14"/>
      <c r="J397" s="14"/>
      <c r="K397" s="14"/>
      <c r="L397" s="14"/>
      <c r="M397" s="14"/>
      <c r="N397" s="14"/>
    </row>
    <row r="398" spans="5:14">
      <c r="E398" s="14"/>
      <c r="G398" s="14"/>
      <c r="H398" s="14"/>
      <c r="I398" s="14"/>
      <c r="J398" s="14"/>
      <c r="K398" s="14"/>
      <c r="L398" s="14"/>
      <c r="M398" s="14"/>
      <c r="N398" s="14"/>
    </row>
    <row r="399" spans="5:14">
      <c r="E399" s="14"/>
      <c r="G399" s="14"/>
      <c r="H399" s="14"/>
      <c r="I399" s="14"/>
      <c r="J399" s="14"/>
      <c r="K399" s="14"/>
      <c r="L399" s="14"/>
      <c r="M399" s="14"/>
      <c r="N399" s="14"/>
    </row>
    <row r="400" spans="5:14">
      <c r="E400" s="14"/>
      <c r="G400" s="14"/>
      <c r="H400" s="14"/>
      <c r="I400" s="14"/>
      <c r="J400" s="14"/>
      <c r="K400" s="14"/>
      <c r="L400" s="14"/>
      <c r="M400" s="14"/>
      <c r="N400" s="14"/>
    </row>
    <row r="401" spans="5:14">
      <c r="E401" s="14"/>
      <c r="G401" s="14"/>
      <c r="H401" s="14"/>
      <c r="I401" s="14"/>
      <c r="J401" s="14"/>
      <c r="K401" s="14"/>
      <c r="L401" s="14"/>
      <c r="M401" s="14"/>
      <c r="N401" s="14"/>
    </row>
    <row r="402" spans="5:14">
      <c r="E402" s="14"/>
      <c r="G402" s="14"/>
      <c r="H402" s="14"/>
      <c r="I402" s="14"/>
      <c r="J402" s="14"/>
      <c r="K402" s="14"/>
      <c r="L402" s="14"/>
      <c r="M402" s="14"/>
      <c r="N402" s="14"/>
    </row>
    <row r="403" spans="5:14">
      <c r="E403" s="14"/>
      <c r="G403" s="14"/>
      <c r="H403" s="14"/>
      <c r="I403" s="14"/>
      <c r="J403" s="14"/>
      <c r="K403" s="14"/>
      <c r="L403" s="14"/>
      <c r="M403" s="14"/>
      <c r="N403" s="14"/>
    </row>
    <row r="404" spans="5:14">
      <c r="E404" s="14"/>
      <c r="G404" s="14"/>
      <c r="H404" s="14"/>
      <c r="I404" s="14"/>
      <c r="J404" s="14"/>
      <c r="K404" s="14"/>
      <c r="L404" s="14"/>
      <c r="M404" s="14"/>
      <c r="N404" s="14"/>
    </row>
    <row r="405" spans="5:14">
      <c r="E405" s="14"/>
      <c r="G405" s="14"/>
      <c r="H405" s="14"/>
      <c r="I405" s="14"/>
      <c r="J405" s="14"/>
      <c r="K405" s="14"/>
      <c r="L405" s="14"/>
      <c r="M405" s="14"/>
      <c r="N405" s="14"/>
    </row>
    <row r="406" spans="5:14">
      <c r="E406" s="14"/>
      <c r="G406" s="14"/>
      <c r="H406" s="14"/>
      <c r="I406" s="14"/>
      <c r="J406" s="14"/>
      <c r="K406" s="14"/>
      <c r="L406" s="14"/>
      <c r="M406" s="14"/>
      <c r="N406" s="14"/>
    </row>
    <row r="407" spans="5:14">
      <c r="E407" s="14"/>
      <c r="G407" s="14"/>
      <c r="H407" s="14"/>
      <c r="I407" s="14"/>
      <c r="J407" s="14"/>
      <c r="K407" s="14"/>
      <c r="L407" s="14"/>
      <c r="M407" s="14"/>
      <c r="N407" s="14"/>
    </row>
    <row r="408" spans="5:14">
      <c r="E408" s="14"/>
      <c r="G408" s="14"/>
      <c r="H408" s="14"/>
      <c r="I408" s="14"/>
      <c r="J408" s="14"/>
      <c r="K408" s="14"/>
      <c r="L408" s="14"/>
      <c r="M408" s="14"/>
      <c r="N408" s="14"/>
    </row>
    <row r="409" spans="5:14">
      <c r="E409" s="14"/>
      <c r="G409" s="14"/>
      <c r="H409" s="14"/>
      <c r="I409" s="14"/>
      <c r="J409" s="14"/>
      <c r="K409" s="14"/>
      <c r="L409" s="14"/>
      <c r="M409" s="14"/>
      <c r="N409" s="14"/>
    </row>
    <row r="410" spans="5:14">
      <c r="E410" s="14"/>
      <c r="G410" s="14"/>
      <c r="H410" s="14"/>
      <c r="I410" s="14"/>
      <c r="J410" s="14"/>
      <c r="K410" s="14"/>
      <c r="L410" s="14"/>
      <c r="M410" s="14"/>
      <c r="N410" s="14"/>
    </row>
    <row r="411" spans="5:14">
      <c r="E411" s="14"/>
      <c r="G411" s="14"/>
      <c r="H411" s="14"/>
      <c r="I411" s="14"/>
      <c r="J411" s="14"/>
      <c r="K411" s="14"/>
      <c r="L411" s="14"/>
      <c r="M411" s="14"/>
      <c r="N411" s="14"/>
    </row>
    <row r="412" spans="5:14">
      <c r="E412" s="14"/>
      <c r="G412" s="14"/>
      <c r="H412" s="14"/>
      <c r="I412" s="14"/>
      <c r="J412" s="14"/>
      <c r="K412" s="14"/>
      <c r="L412" s="14"/>
      <c r="M412" s="14"/>
      <c r="N412" s="14"/>
    </row>
    <row r="413" spans="5:14">
      <c r="E413" s="14"/>
      <c r="G413" s="14"/>
      <c r="H413" s="14"/>
      <c r="I413" s="14"/>
      <c r="J413" s="14"/>
      <c r="K413" s="14"/>
      <c r="L413" s="14"/>
      <c r="M413" s="14"/>
      <c r="N413" s="14"/>
    </row>
    <row r="414" spans="5:14">
      <c r="E414" s="14"/>
      <c r="G414" s="14"/>
      <c r="H414" s="14"/>
      <c r="I414" s="14"/>
      <c r="J414" s="14"/>
      <c r="K414" s="14"/>
      <c r="L414" s="14"/>
      <c r="M414" s="14"/>
      <c r="N414" s="14"/>
    </row>
    <row r="415" spans="5:14">
      <c r="E415" s="14"/>
      <c r="G415" s="14"/>
      <c r="H415" s="14"/>
      <c r="I415" s="14"/>
      <c r="J415" s="14"/>
      <c r="K415" s="14"/>
      <c r="L415" s="14"/>
      <c r="M415" s="14"/>
      <c r="N415" s="14"/>
    </row>
    <row r="416" spans="5:14">
      <c r="E416" s="14"/>
      <c r="G416" s="14"/>
      <c r="H416" s="14"/>
      <c r="I416" s="14"/>
      <c r="J416" s="14"/>
      <c r="K416" s="14"/>
      <c r="L416" s="14"/>
      <c r="M416" s="14"/>
      <c r="N416" s="14"/>
    </row>
    <row r="417" spans="5:14">
      <c r="E417" s="14"/>
      <c r="G417" s="14"/>
      <c r="H417" s="14"/>
      <c r="I417" s="14"/>
      <c r="J417" s="14"/>
      <c r="K417" s="14"/>
      <c r="L417" s="14"/>
      <c r="M417" s="14"/>
      <c r="N417" s="14"/>
    </row>
    <row r="418" spans="5:14">
      <c r="E418" s="14"/>
      <c r="G418" s="14"/>
      <c r="H418" s="14"/>
      <c r="I418" s="14"/>
      <c r="J418" s="14"/>
      <c r="K418" s="14"/>
      <c r="L418" s="14"/>
      <c r="M418" s="14"/>
      <c r="N418" s="14"/>
    </row>
    <row r="419" spans="5:14">
      <c r="E419" s="14"/>
      <c r="G419" s="14"/>
      <c r="H419" s="14"/>
      <c r="I419" s="14"/>
      <c r="J419" s="14"/>
      <c r="K419" s="14"/>
      <c r="L419" s="14"/>
      <c r="M419" s="14"/>
      <c r="N419" s="14"/>
    </row>
    <row r="420" spans="5:14">
      <c r="E420" s="14"/>
      <c r="G420" s="14"/>
      <c r="H420" s="14"/>
      <c r="I420" s="14"/>
      <c r="J420" s="14"/>
      <c r="K420" s="14"/>
      <c r="L420" s="14"/>
      <c r="M420" s="14"/>
      <c r="N420" s="14"/>
    </row>
    <row r="421" spans="5:14">
      <c r="E421" s="14"/>
      <c r="G421" s="14"/>
      <c r="H421" s="14"/>
      <c r="I421" s="14"/>
      <c r="J421" s="14"/>
      <c r="K421" s="14"/>
      <c r="L421" s="14"/>
      <c r="M421" s="14"/>
      <c r="N421" s="14"/>
    </row>
    <row r="422" spans="5:14">
      <c r="E422" s="14"/>
      <c r="G422" s="14"/>
      <c r="H422" s="14"/>
      <c r="I422" s="14"/>
      <c r="J422" s="14"/>
      <c r="K422" s="14"/>
      <c r="L422" s="14"/>
      <c r="M422" s="14"/>
      <c r="N422" s="14"/>
    </row>
    <row r="423" spans="5:14">
      <c r="E423" s="14"/>
      <c r="G423" s="14"/>
      <c r="H423" s="14"/>
      <c r="I423" s="14"/>
      <c r="J423" s="14"/>
      <c r="K423" s="14"/>
      <c r="L423" s="14"/>
      <c r="M423" s="14"/>
      <c r="N423" s="14"/>
    </row>
    <row r="424" spans="5:14">
      <c r="E424" s="14"/>
      <c r="G424" s="14"/>
      <c r="H424" s="14"/>
      <c r="I424" s="14"/>
      <c r="J424" s="14"/>
      <c r="K424" s="14"/>
      <c r="L424" s="14"/>
      <c r="M424" s="14"/>
      <c r="N424" s="14"/>
    </row>
    <row r="425" spans="5:14">
      <c r="E425" s="14"/>
      <c r="G425" s="14"/>
      <c r="H425" s="14"/>
      <c r="I425" s="14"/>
      <c r="J425" s="14"/>
      <c r="K425" s="14"/>
      <c r="L425" s="14"/>
      <c r="M425" s="14"/>
      <c r="N425" s="14"/>
    </row>
    <row r="426" spans="5:14">
      <c r="E426" s="14"/>
      <c r="G426" s="14"/>
      <c r="H426" s="14"/>
      <c r="I426" s="14"/>
      <c r="J426" s="14"/>
      <c r="K426" s="14"/>
      <c r="L426" s="14"/>
      <c r="M426" s="14"/>
      <c r="N426" s="14"/>
    </row>
    <row r="427" spans="5:14">
      <c r="E427" s="14"/>
      <c r="G427" s="14"/>
      <c r="H427" s="14"/>
      <c r="I427" s="14"/>
      <c r="J427" s="14"/>
      <c r="K427" s="14"/>
      <c r="L427" s="14"/>
      <c r="M427" s="14"/>
      <c r="N427" s="14"/>
    </row>
    <row r="428" spans="5:14">
      <c r="E428" s="14"/>
      <c r="G428" s="14"/>
      <c r="H428" s="14"/>
      <c r="I428" s="14"/>
      <c r="J428" s="14"/>
      <c r="K428" s="14"/>
      <c r="L428" s="14"/>
      <c r="M428" s="14"/>
      <c r="N428" s="14"/>
    </row>
    <row r="429" spans="5:14">
      <c r="E429" s="14"/>
      <c r="G429" s="14"/>
      <c r="H429" s="14"/>
      <c r="I429" s="14"/>
      <c r="J429" s="14"/>
      <c r="K429" s="14"/>
      <c r="L429" s="14"/>
      <c r="M429" s="14"/>
      <c r="N429" s="14"/>
    </row>
    <row r="430" spans="5:14">
      <c r="E430" s="14"/>
      <c r="G430" s="14"/>
      <c r="H430" s="14"/>
      <c r="I430" s="14"/>
      <c r="J430" s="14"/>
      <c r="K430" s="14"/>
      <c r="L430" s="14"/>
      <c r="M430" s="14"/>
      <c r="N430" s="14"/>
    </row>
    <row r="431" spans="5:14">
      <c r="E431" s="14"/>
      <c r="G431" s="14"/>
      <c r="H431" s="14"/>
      <c r="I431" s="14"/>
      <c r="J431" s="14"/>
      <c r="K431" s="14"/>
      <c r="L431" s="14"/>
      <c r="M431" s="14"/>
      <c r="N431" s="14"/>
    </row>
    <row r="432" spans="5:14">
      <c r="E432" s="14"/>
      <c r="G432" s="14"/>
      <c r="H432" s="14"/>
      <c r="I432" s="14"/>
      <c r="J432" s="14"/>
      <c r="K432" s="14"/>
      <c r="L432" s="14"/>
      <c r="M432" s="14"/>
      <c r="N432" s="14"/>
    </row>
    <row r="433" spans="5:14">
      <c r="E433" s="14"/>
      <c r="G433" s="14"/>
      <c r="H433" s="14"/>
      <c r="I433" s="14"/>
      <c r="J433" s="14"/>
      <c r="K433" s="14"/>
      <c r="L433" s="14"/>
      <c r="M433" s="14"/>
      <c r="N433" s="14"/>
    </row>
    <row r="434" spans="5:14">
      <c r="E434" s="14"/>
      <c r="G434" s="14"/>
      <c r="H434" s="14"/>
      <c r="I434" s="14"/>
      <c r="J434" s="14"/>
      <c r="K434" s="14"/>
      <c r="L434" s="14"/>
      <c r="M434" s="14"/>
      <c r="N434" s="14"/>
    </row>
    <row r="435" spans="5:14">
      <c r="E435" s="14"/>
      <c r="G435" s="14"/>
      <c r="H435" s="14"/>
      <c r="I435" s="14"/>
      <c r="J435" s="14"/>
      <c r="K435" s="14"/>
      <c r="L435" s="14"/>
      <c r="M435" s="14"/>
      <c r="N435" s="14"/>
    </row>
    <row r="436" spans="5:14">
      <c r="E436" s="14"/>
      <c r="G436" s="14"/>
      <c r="H436" s="14"/>
      <c r="I436" s="14"/>
      <c r="J436" s="14"/>
      <c r="K436" s="14"/>
      <c r="L436" s="14"/>
      <c r="M436" s="14"/>
      <c r="N436" s="14"/>
    </row>
    <row r="437" spans="5:14">
      <c r="E437" s="14"/>
      <c r="G437" s="14"/>
      <c r="H437" s="14"/>
      <c r="I437" s="14"/>
      <c r="J437" s="14"/>
      <c r="K437" s="14"/>
      <c r="L437" s="14"/>
      <c r="M437" s="14"/>
      <c r="N437" s="14"/>
    </row>
    <row r="438" spans="5:14">
      <c r="E438" s="14"/>
      <c r="G438" s="14"/>
      <c r="H438" s="14"/>
      <c r="I438" s="14"/>
      <c r="J438" s="14"/>
      <c r="K438" s="14"/>
      <c r="L438" s="14"/>
      <c r="M438" s="14"/>
      <c r="N438" s="14"/>
    </row>
    <row r="439" spans="5:14">
      <c r="E439" s="14"/>
      <c r="G439" s="14"/>
      <c r="H439" s="14"/>
      <c r="I439" s="14"/>
      <c r="J439" s="14"/>
      <c r="K439" s="14"/>
      <c r="L439" s="14"/>
      <c r="M439" s="14"/>
      <c r="N439" s="14"/>
    </row>
    <row r="440" spans="5:14">
      <c r="E440" s="14"/>
      <c r="G440" s="14"/>
      <c r="H440" s="14"/>
      <c r="I440" s="14"/>
      <c r="J440" s="14"/>
      <c r="K440" s="14"/>
      <c r="L440" s="14"/>
      <c r="M440" s="14"/>
      <c r="N440" s="14"/>
    </row>
    <row r="441" spans="5:14">
      <c r="E441" s="14"/>
      <c r="G441" s="14"/>
      <c r="H441" s="14"/>
      <c r="I441" s="14"/>
      <c r="J441" s="14"/>
      <c r="K441" s="14"/>
      <c r="L441" s="14"/>
      <c r="M441" s="14"/>
      <c r="N441" s="14"/>
    </row>
    <row r="442" spans="5:14">
      <c r="E442" s="14"/>
      <c r="G442" s="14"/>
      <c r="H442" s="14"/>
      <c r="I442" s="14"/>
      <c r="J442" s="14"/>
      <c r="K442" s="14"/>
      <c r="L442" s="14"/>
      <c r="M442" s="14"/>
      <c r="N442" s="14"/>
    </row>
    <row r="443" spans="5:14">
      <c r="E443" s="14"/>
      <c r="G443" s="14"/>
      <c r="H443" s="14"/>
      <c r="I443" s="14"/>
      <c r="J443" s="14"/>
      <c r="K443" s="14"/>
      <c r="L443" s="14"/>
      <c r="M443" s="14"/>
      <c r="N443" s="14"/>
    </row>
    <row r="444" spans="5:14">
      <c r="E444" s="14"/>
      <c r="G444" s="14"/>
      <c r="H444" s="14"/>
      <c r="I444" s="14"/>
      <c r="J444" s="14"/>
      <c r="K444" s="14"/>
      <c r="L444" s="14"/>
      <c r="M444" s="14"/>
      <c r="N444" s="14"/>
    </row>
    <row r="445" spans="5:14">
      <c r="E445" s="14"/>
      <c r="G445" s="14"/>
      <c r="H445" s="14"/>
      <c r="I445" s="14"/>
      <c r="J445" s="14"/>
      <c r="K445" s="14"/>
      <c r="L445" s="14"/>
      <c r="M445" s="14"/>
      <c r="N445" s="14"/>
    </row>
    <row r="446" spans="5:14">
      <c r="E446" s="14"/>
      <c r="G446" s="14"/>
      <c r="H446" s="14"/>
      <c r="I446" s="14"/>
      <c r="J446" s="14"/>
      <c r="K446" s="14"/>
      <c r="L446" s="14"/>
      <c r="M446" s="14"/>
      <c r="N446" s="14"/>
    </row>
    <row r="447" spans="5:14">
      <c r="E447" s="14"/>
      <c r="G447" s="14"/>
      <c r="H447" s="14"/>
      <c r="I447" s="14"/>
      <c r="J447" s="14"/>
      <c r="K447" s="14"/>
      <c r="L447" s="14"/>
      <c r="M447" s="14"/>
      <c r="N447" s="14"/>
    </row>
    <row r="448" spans="5:14">
      <c r="E448" s="14"/>
      <c r="G448" s="14"/>
      <c r="H448" s="14"/>
      <c r="I448" s="14"/>
      <c r="J448" s="14"/>
      <c r="K448" s="14"/>
      <c r="L448" s="14"/>
      <c r="M448" s="14"/>
      <c r="N448" s="14"/>
    </row>
    <row r="449" spans="5:14">
      <c r="E449" s="14"/>
      <c r="G449" s="14"/>
      <c r="H449" s="14"/>
      <c r="I449" s="14"/>
      <c r="J449" s="14"/>
      <c r="K449" s="14"/>
      <c r="L449" s="14"/>
      <c r="M449" s="14"/>
      <c r="N449" s="14"/>
    </row>
    <row r="450" spans="5:14">
      <c r="E450" s="14"/>
      <c r="G450" s="14"/>
      <c r="H450" s="14"/>
      <c r="I450" s="14"/>
      <c r="J450" s="14"/>
      <c r="K450" s="14"/>
      <c r="L450" s="14"/>
      <c r="M450" s="14"/>
      <c r="N450" s="14"/>
    </row>
    <row r="451" spans="5:14">
      <c r="E451" s="14"/>
      <c r="G451" s="14"/>
      <c r="H451" s="14"/>
      <c r="I451" s="14"/>
      <c r="J451" s="14"/>
      <c r="K451" s="14"/>
      <c r="L451" s="14"/>
      <c r="M451" s="14"/>
      <c r="N451" s="14"/>
    </row>
    <row r="452" spans="5:14">
      <c r="E452" s="14"/>
      <c r="G452" s="14"/>
      <c r="H452" s="14"/>
      <c r="I452" s="14"/>
      <c r="J452" s="14"/>
      <c r="K452" s="14"/>
      <c r="L452" s="14"/>
      <c r="M452" s="14"/>
      <c r="N452" s="14"/>
    </row>
    <row r="453" spans="5:14">
      <c r="E453" s="14"/>
      <c r="G453" s="14"/>
      <c r="H453" s="14"/>
      <c r="I453" s="14"/>
      <c r="J453" s="14"/>
      <c r="K453" s="14"/>
      <c r="L453" s="14"/>
      <c r="M453" s="14"/>
      <c r="N453" s="14"/>
    </row>
    <row r="454" spans="5:14">
      <c r="E454" s="14"/>
      <c r="G454" s="14"/>
      <c r="H454" s="14"/>
      <c r="I454" s="14"/>
      <c r="J454" s="14"/>
      <c r="K454" s="14"/>
      <c r="L454" s="14"/>
      <c r="M454" s="14"/>
      <c r="N454" s="14"/>
    </row>
    <row r="455" spans="5:14">
      <c r="E455" s="14"/>
      <c r="G455" s="14"/>
      <c r="H455" s="14"/>
      <c r="I455" s="14"/>
      <c r="J455" s="14"/>
      <c r="K455" s="14"/>
      <c r="L455" s="14"/>
      <c r="M455" s="14"/>
      <c r="N455" s="14"/>
    </row>
    <row r="456" spans="5:14">
      <c r="E456" s="14"/>
      <c r="G456" s="14"/>
      <c r="H456" s="14"/>
      <c r="I456" s="14"/>
      <c r="J456" s="14"/>
      <c r="K456" s="14"/>
      <c r="L456" s="14"/>
      <c r="M456" s="14"/>
      <c r="N456" s="14"/>
    </row>
    <row r="457" spans="5:14">
      <c r="E457" s="14"/>
      <c r="G457" s="14"/>
      <c r="H457" s="14"/>
      <c r="I457" s="14"/>
      <c r="J457" s="14"/>
      <c r="K457" s="14"/>
      <c r="L457" s="14"/>
      <c r="M457" s="14"/>
      <c r="N457" s="14"/>
    </row>
    <row r="458" spans="5:14">
      <c r="E458" s="14"/>
      <c r="G458" s="14"/>
      <c r="H458" s="14"/>
      <c r="I458" s="14"/>
      <c r="J458" s="14"/>
      <c r="K458" s="14"/>
      <c r="L458" s="14"/>
      <c r="M458" s="14"/>
      <c r="N458" s="14"/>
    </row>
    <row r="459" spans="5:14">
      <c r="E459" s="14"/>
      <c r="G459" s="14"/>
      <c r="H459" s="14"/>
      <c r="I459" s="14"/>
      <c r="J459" s="14"/>
      <c r="K459" s="14"/>
      <c r="L459" s="14"/>
      <c r="M459" s="14"/>
      <c r="N459" s="14"/>
    </row>
    <row r="460" spans="5:14">
      <c r="E460" s="14"/>
      <c r="G460" s="14"/>
      <c r="H460" s="14"/>
      <c r="I460" s="14"/>
      <c r="J460" s="14"/>
      <c r="K460" s="14"/>
      <c r="L460" s="14"/>
      <c r="M460" s="14"/>
      <c r="N460" s="14"/>
    </row>
    <row r="461" spans="5:14">
      <c r="E461" s="14"/>
      <c r="G461" s="14"/>
      <c r="H461" s="14"/>
      <c r="I461" s="14"/>
      <c r="J461" s="14"/>
      <c r="K461" s="14"/>
      <c r="L461" s="14"/>
      <c r="M461" s="14"/>
      <c r="N461" s="14"/>
    </row>
    <row r="462" spans="5:14">
      <c r="E462" s="14"/>
      <c r="G462" s="14"/>
      <c r="H462" s="14"/>
      <c r="I462" s="14"/>
      <c r="J462" s="14"/>
      <c r="K462" s="14"/>
      <c r="L462" s="14"/>
      <c r="M462" s="14"/>
      <c r="N462" s="14"/>
    </row>
    <row r="463" spans="5:14">
      <c r="E463" s="14"/>
      <c r="G463" s="14"/>
      <c r="H463" s="14"/>
      <c r="I463" s="14"/>
      <c r="J463" s="14"/>
      <c r="K463" s="14"/>
      <c r="L463" s="14"/>
      <c r="M463" s="14"/>
      <c r="N463" s="14"/>
    </row>
    <row r="464" spans="5:14">
      <c r="E464" s="14"/>
      <c r="G464" s="14"/>
      <c r="H464" s="14"/>
      <c r="I464" s="14"/>
      <c r="J464" s="14"/>
      <c r="K464" s="14"/>
      <c r="L464" s="14"/>
      <c r="M464" s="14"/>
      <c r="N464" s="14"/>
    </row>
    <row r="465" spans="5:14">
      <c r="E465" s="14"/>
      <c r="G465" s="14"/>
      <c r="H465" s="14"/>
      <c r="I465" s="14"/>
      <c r="J465" s="14"/>
      <c r="K465" s="14"/>
      <c r="L465" s="14"/>
      <c r="M465" s="14"/>
      <c r="N465" s="14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06785-470D-4B54-B413-79CB2754979C}">
  <sheetPr>
    <tabColor rgb="FFFFFF00"/>
  </sheetPr>
  <dimension ref="B1:R71"/>
  <sheetViews>
    <sheetView workbookViewId="0">
      <selection activeCell="E35" sqref="E35"/>
    </sheetView>
  </sheetViews>
  <sheetFormatPr defaultColWidth="8.6640625" defaultRowHeight="11.25"/>
  <cols>
    <col min="2" max="2" width="8.5" bestFit="1" customWidth="1"/>
    <col min="3" max="3" width="44.1640625" customWidth="1"/>
    <col min="4" max="4" width="13.1640625" customWidth="1"/>
    <col min="5" max="5" width="17.5" bestFit="1" customWidth="1"/>
    <col min="6" max="6" width="7" bestFit="1" customWidth="1"/>
    <col min="7" max="7" width="16.33203125" bestFit="1" customWidth="1"/>
    <col min="8" max="8" width="10.1640625" bestFit="1" customWidth="1"/>
    <col min="9" max="9" width="11.5" bestFit="1" customWidth="1"/>
  </cols>
  <sheetData>
    <row r="1" spans="2:18" ht="18">
      <c r="C1" s="11" t="s">
        <v>456</v>
      </c>
    </row>
    <row r="2" spans="2:18" ht="15">
      <c r="C2" s="9" t="s">
        <v>457</v>
      </c>
    </row>
    <row r="5" spans="2:18" ht="12.75">
      <c r="E5" s="34" t="s">
        <v>233</v>
      </c>
    </row>
    <row r="6" spans="2:18" ht="15.75" thickBot="1">
      <c r="E6" s="33" t="s">
        <v>712</v>
      </c>
      <c r="G6" s="55" t="s">
        <v>500</v>
      </c>
      <c r="I6" s="15" t="s">
        <v>505</v>
      </c>
    </row>
    <row r="7" spans="2:18" ht="15">
      <c r="B7" s="96" t="s">
        <v>226</v>
      </c>
      <c r="G7" s="13"/>
      <c r="H7" s="14"/>
    </row>
    <row r="8" spans="2:18" ht="14.25">
      <c r="C8" s="35" t="s">
        <v>431</v>
      </c>
      <c r="G8" s="14">
        <f>+E8/1000</f>
        <v>0</v>
      </c>
      <c r="H8" s="14"/>
    </row>
    <row r="9" spans="2:18" ht="14.25">
      <c r="C9" s="35"/>
      <c r="D9" s="36"/>
      <c r="E9" s="36"/>
      <c r="G9" s="14"/>
      <c r="H9" s="14"/>
      <c r="I9" s="36"/>
      <c r="J9" s="36"/>
      <c r="K9" s="36"/>
      <c r="L9" s="35"/>
      <c r="M9" s="35"/>
      <c r="N9" s="35"/>
      <c r="O9" s="35"/>
      <c r="P9" s="35"/>
      <c r="Q9" s="35"/>
      <c r="R9" s="35"/>
    </row>
    <row r="10" spans="2:18" ht="14.25">
      <c r="C10" s="35" t="s">
        <v>436</v>
      </c>
      <c r="D10" s="36"/>
      <c r="E10" s="14"/>
      <c r="G10" s="14">
        <f>+E10/1000</f>
        <v>0</v>
      </c>
      <c r="H10" s="14"/>
      <c r="I10" s="36"/>
      <c r="J10" s="36"/>
      <c r="K10" s="36"/>
      <c r="L10" s="35"/>
      <c r="M10" s="35"/>
      <c r="N10" s="35"/>
      <c r="O10" s="35"/>
      <c r="P10" s="35"/>
      <c r="Q10" s="35"/>
      <c r="R10" s="35"/>
    </row>
    <row r="11" spans="2:18" ht="14.25">
      <c r="B11">
        <v>10</v>
      </c>
      <c r="C11" s="35" t="s">
        <v>432</v>
      </c>
      <c r="E11" s="19">
        <f>+SUMIF('WRD Solo BS'!$C$7:$C$154,B11,'WRD Solo BS'!$B$7:$B$154)</f>
        <v>22763396.929999996</v>
      </c>
      <c r="G11" s="106">
        <f>+ROUND((E11/1000),0)+1</f>
        <v>22764</v>
      </c>
      <c r="H11" s="14"/>
      <c r="I11" s="36"/>
      <c r="J11" s="36"/>
      <c r="K11" s="36"/>
      <c r="L11" s="35"/>
      <c r="M11" s="35"/>
      <c r="N11" s="35"/>
      <c r="O11" s="35"/>
      <c r="P11" s="35"/>
      <c r="Q11" s="35"/>
      <c r="R11" s="35"/>
    </row>
    <row r="12" spans="2:18" ht="14.25">
      <c r="B12">
        <v>11</v>
      </c>
      <c r="C12" s="35" t="s">
        <v>433</v>
      </c>
      <c r="E12" s="19">
        <f>+SUMIF('WRD Solo BS'!$C$7:$C$154,B12,'WRD Solo BS'!$B$7:$B$154)</f>
        <v>39137418.579999998</v>
      </c>
      <c r="G12" s="106">
        <f>+ROUND((E12/1000),0)+1</f>
        <v>39138</v>
      </c>
      <c r="H12" s="14"/>
      <c r="I12" s="36"/>
      <c r="J12" s="36"/>
      <c r="K12" s="36"/>
      <c r="L12" s="35"/>
      <c r="M12" s="35"/>
      <c r="N12" s="35"/>
      <c r="O12" s="35"/>
      <c r="P12" s="35"/>
      <c r="Q12" s="35"/>
      <c r="R12" s="35"/>
    </row>
    <row r="13" spans="2:18" ht="14.25">
      <c r="B13">
        <v>12</v>
      </c>
      <c r="C13" s="35" t="s">
        <v>434</v>
      </c>
      <c r="E13" s="19">
        <f>+SUMIF('WRD Solo BS'!$C$7:$C$154,B13,'WRD Solo BS'!$B$7:$B$154)</f>
        <v>6718863.4899999993</v>
      </c>
      <c r="G13" s="106">
        <f>+ROUND((E13/1000),0)-1</f>
        <v>6718</v>
      </c>
      <c r="H13" s="14"/>
      <c r="I13" s="36">
        <f>+'NOTES-Conso'!B5</f>
        <v>3</v>
      </c>
      <c r="J13" s="36"/>
      <c r="K13" s="36"/>
      <c r="L13" s="35"/>
      <c r="M13" s="35"/>
      <c r="N13" s="35"/>
      <c r="O13" s="35"/>
      <c r="P13" s="35"/>
      <c r="Q13" s="35"/>
      <c r="R13" s="35"/>
    </row>
    <row r="14" spans="2:18" ht="14.25">
      <c r="B14">
        <v>13</v>
      </c>
      <c r="C14" s="35" t="s">
        <v>435</v>
      </c>
      <c r="E14" s="19">
        <f>+SUMIF('WRD Solo BS'!$C$7:$C$154,B14,'WRD Solo BS'!$B$7:$B$154)</f>
        <v>1047905.92</v>
      </c>
      <c r="G14" s="106">
        <f>+ROUND((E14/1000),0)-1</f>
        <v>1047</v>
      </c>
      <c r="H14" s="14"/>
      <c r="I14" s="36"/>
      <c r="J14" s="36"/>
      <c r="K14" s="36"/>
      <c r="L14" s="35"/>
      <c r="M14" s="35"/>
      <c r="N14" s="35"/>
      <c r="O14" s="35"/>
      <c r="P14" s="35"/>
      <c r="Q14" s="35"/>
      <c r="R14" s="35"/>
    </row>
    <row r="15" spans="2:18" ht="14.25">
      <c r="B15">
        <v>13.5</v>
      </c>
      <c r="C15" s="35" t="s">
        <v>672</v>
      </c>
      <c r="E15" s="17">
        <f>+SUMIF('WRD Solo BS'!$C$7:$C$154,B15,'WRD Solo BS'!$B$7:$B$154)</f>
        <v>16483007.860000001</v>
      </c>
      <c r="G15" s="107">
        <f>+'NOTES-Solo'!E69</f>
        <v>3620</v>
      </c>
      <c r="H15" s="14"/>
      <c r="I15" s="36">
        <f>+'NOTES-Conso'!B10</f>
        <v>4</v>
      </c>
      <c r="J15" s="36"/>
      <c r="K15" s="36"/>
      <c r="L15" s="35"/>
      <c r="M15" s="35"/>
      <c r="N15" s="35"/>
      <c r="O15" s="35"/>
      <c r="P15" s="35"/>
      <c r="Q15" s="35"/>
      <c r="R15" s="35"/>
    </row>
    <row r="16" spans="2:18" ht="14.25">
      <c r="C16" s="35"/>
      <c r="D16" s="36"/>
      <c r="E16" s="36"/>
      <c r="G16" s="36">
        <f>+E16/1000</f>
        <v>0</v>
      </c>
      <c r="H16" s="14"/>
      <c r="I16" s="36"/>
      <c r="J16" s="36"/>
      <c r="K16" s="36"/>
      <c r="L16" s="35"/>
      <c r="M16" s="35"/>
      <c r="N16" s="35"/>
      <c r="O16" s="35"/>
      <c r="P16" s="35"/>
      <c r="Q16" s="35"/>
      <c r="R16" s="35"/>
    </row>
    <row r="17" spans="2:18" ht="14.25">
      <c r="C17" s="45" t="s">
        <v>437</v>
      </c>
      <c r="D17" s="36"/>
      <c r="E17" s="44">
        <f>+SUM(E11:E15)</f>
        <v>86150592.779999986</v>
      </c>
      <c r="G17" s="44">
        <f>+SUM(G11:G15)</f>
        <v>73287</v>
      </c>
      <c r="H17" s="14"/>
      <c r="I17" s="36"/>
      <c r="J17" s="36"/>
      <c r="K17" s="36"/>
      <c r="L17" s="35"/>
      <c r="M17" s="35"/>
      <c r="N17" s="35"/>
      <c r="O17" s="35"/>
      <c r="P17" s="35"/>
      <c r="Q17" s="35"/>
      <c r="R17" s="35"/>
    </row>
    <row r="18" spans="2:18" ht="14.25">
      <c r="C18" s="35"/>
      <c r="D18" s="36"/>
      <c r="E18" s="36"/>
      <c r="G18" s="36">
        <f>+E18/1000</f>
        <v>0</v>
      </c>
      <c r="H18" s="14"/>
      <c r="I18" s="36"/>
      <c r="J18" s="36"/>
      <c r="K18" s="36"/>
      <c r="L18" s="35"/>
      <c r="M18" s="35"/>
      <c r="N18" s="35"/>
      <c r="O18" s="35"/>
      <c r="P18" s="35"/>
      <c r="Q18" s="35"/>
      <c r="R18" s="35"/>
    </row>
    <row r="19" spans="2:18" ht="14.25">
      <c r="C19" s="35"/>
      <c r="D19" s="36"/>
      <c r="E19" s="36"/>
      <c r="G19" s="36"/>
      <c r="H19" s="14"/>
      <c r="I19" s="36"/>
      <c r="J19" s="36"/>
      <c r="K19" s="36"/>
      <c r="L19" s="35"/>
      <c r="M19" s="35"/>
      <c r="N19" s="35"/>
      <c r="O19" s="35"/>
      <c r="P19" s="35"/>
      <c r="Q19" s="35"/>
      <c r="R19" s="35"/>
    </row>
    <row r="20" spans="2:18" ht="14.25">
      <c r="C20" s="35" t="s">
        <v>438</v>
      </c>
      <c r="D20" s="36"/>
      <c r="E20" s="36"/>
      <c r="G20" s="36"/>
      <c r="H20" s="14"/>
      <c r="I20" s="36"/>
      <c r="J20" s="36"/>
      <c r="K20" s="36"/>
      <c r="L20" s="35"/>
      <c r="M20" s="35"/>
      <c r="N20" s="35"/>
      <c r="O20" s="35"/>
      <c r="P20" s="35"/>
      <c r="Q20" s="35"/>
      <c r="R20" s="35"/>
    </row>
    <row r="21" spans="2:18" ht="14.25">
      <c r="B21">
        <v>14</v>
      </c>
      <c r="C21" s="35" t="s">
        <v>439</v>
      </c>
      <c r="D21" s="36"/>
      <c r="E21" s="19">
        <f>+SUMIF('WRD Solo BS'!$C$7:$C$154,B21,'WRD Solo BS'!$B$7:$B$154)</f>
        <v>0</v>
      </c>
      <c r="G21" s="178">
        <f>+ROUND((E21/1000),0)</f>
        <v>0</v>
      </c>
      <c r="H21" s="14"/>
      <c r="I21" s="36"/>
      <c r="J21" s="36"/>
      <c r="K21" s="36"/>
      <c r="L21" s="35"/>
      <c r="M21" s="35"/>
      <c r="N21" s="35"/>
      <c r="O21" s="35"/>
      <c r="P21" s="35"/>
      <c r="Q21" s="35"/>
      <c r="R21" s="35"/>
    </row>
    <row r="22" spans="2:18" ht="14.25">
      <c r="B22">
        <v>15</v>
      </c>
      <c r="C22" s="35" t="s">
        <v>442</v>
      </c>
      <c r="D22" s="36"/>
      <c r="E22" s="17">
        <f>+SUMIF('WRD Solo BS'!$C$7:$C$154,B22,'WRD Solo BS'!$B$7:$B$154)</f>
        <v>183362.47999999998</v>
      </c>
      <c r="G22" s="107">
        <f>+ROUND((E22/1000),0)</f>
        <v>183</v>
      </c>
      <c r="H22" s="14"/>
      <c r="I22" s="36">
        <f>+'NOTES-Solo'!B15</f>
        <v>5</v>
      </c>
      <c r="J22" s="36"/>
      <c r="K22" s="36"/>
      <c r="L22" s="35"/>
      <c r="M22" s="35"/>
      <c r="N22" s="35"/>
      <c r="O22" s="35"/>
      <c r="P22" s="35"/>
      <c r="Q22" s="35"/>
      <c r="R22" s="35"/>
    </row>
    <row r="23" spans="2:18" ht="14.25">
      <c r="C23" s="35"/>
      <c r="D23" s="36"/>
      <c r="E23" s="36"/>
      <c r="G23" s="36"/>
      <c r="H23" s="14"/>
      <c r="I23" s="36"/>
      <c r="J23" s="36"/>
      <c r="K23" s="36"/>
      <c r="L23" s="35"/>
      <c r="M23" s="35"/>
      <c r="N23" s="35"/>
      <c r="O23" s="35"/>
      <c r="P23" s="35"/>
      <c r="Q23" s="35"/>
      <c r="R23" s="35"/>
    </row>
    <row r="24" spans="2:18" ht="14.25">
      <c r="C24" s="35"/>
      <c r="D24" s="36"/>
      <c r="E24" s="36"/>
      <c r="G24" s="36"/>
      <c r="H24" s="14"/>
      <c r="I24" s="36"/>
      <c r="J24" s="36"/>
      <c r="K24" s="36"/>
      <c r="L24" s="35"/>
      <c r="M24" s="35"/>
      <c r="N24" s="35"/>
      <c r="O24" s="35"/>
      <c r="P24" s="35"/>
      <c r="Q24" s="35"/>
      <c r="R24" s="35"/>
    </row>
    <row r="25" spans="2:18" ht="14.25">
      <c r="C25" s="45" t="s">
        <v>440</v>
      </c>
      <c r="D25" s="36"/>
      <c r="E25" s="44">
        <f>+E21+E22</f>
        <v>183362.47999999998</v>
      </c>
      <c r="G25" s="44">
        <f>+ROUND(E25/1000,0)</f>
        <v>183</v>
      </c>
      <c r="H25" s="14"/>
      <c r="I25" s="36"/>
      <c r="J25" s="36"/>
      <c r="K25" s="36"/>
      <c r="L25" s="35"/>
      <c r="M25" s="35"/>
      <c r="N25" s="35"/>
      <c r="O25" s="35"/>
      <c r="P25" s="35"/>
      <c r="Q25" s="35"/>
      <c r="R25" s="35"/>
    </row>
    <row r="26" spans="2:18" ht="14.25">
      <c r="C26" s="35"/>
      <c r="D26" s="36"/>
      <c r="E26" s="36"/>
      <c r="G26" s="36"/>
      <c r="H26" s="14"/>
      <c r="I26" s="36"/>
      <c r="J26" s="36"/>
      <c r="K26" s="36"/>
      <c r="L26" s="35"/>
      <c r="M26" s="35"/>
      <c r="N26" s="35"/>
      <c r="O26" s="35"/>
      <c r="P26" s="35"/>
      <c r="Q26" s="35"/>
      <c r="R26" s="35"/>
    </row>
    <row r="27" spans="2:18" ht="14.25">
      <c r="C27" s="35"/>
      <c r="D27" s="36"/>
      <c r="E27" s="36"/>
      <c r="G27" s="36"/>
      <c r="H27" s="14"/>
      <c r="I27" s="36"/>
      <c r="J27" s="36"/>
      <c r="K27" s="36"/>
      <c r="L27" s="35"/>
      <c r="M27" s="35"/>
      <c r="N27" s="35"/>
      <c r="O27" s="35"/>
      <c r="P27" s="35"/>
      <c r="Q27" s="35"/>
      <c r="R27" s="35"/>
    </row>
    <row r="28" spans="2:18" ht="15" thickBot="1">
      <c r="C28" s="91" t="s">
        <v>441</v>
      </c>
      <c r="D28" s="36"/>
      <c r="E28" s="90">
        <f>+E25+E17</f>
        <v>86333955.25999999</v>
      </c>
      <c r="G28" s="90">
        <f>+G25+G17</f>
        <v>73470</v>
      </c>
      <c r="H28" s="14"/>
      <c r="I28" s="36"/>
      <c r="J28" s="36"/>
      <c r="K28" s="36"/>
      <c r="L28" s="35"/>
      <c r="M28" s="35"/>
      <c r="N28" s="35"/>
      <c r="O28" s="35"/>
      <c r="P28" s="35"/>
      <c r="Q28" s="35"/>
      <c r="R28" s="35"/>
    </row>
    <row r="29" spans="2:18" ht="15" thickTop="1">
      <c r="C29" s="35"/>
      <c r="D29" s="36"/>
      <c r="E29" s="36"/>
      <c r="G29" s="36"/>
      <c r="H29" s="14"/>
      <c r="I29" s="36"/>
      <c r="J29" s="36"/>
      <c r="K29" s="36"/>
      <c r="L29" s="35"/>
      <c r="M29" s="35"/>
      <c r="N29" s="35"/>
      <c r="O29" s="35"/>
      <c r="P29" s="35"/>
      <c r="Q29" s="35"/>
      <c r="R29" s="35"/>
    </row>
    <row r="30" spans="2:18" ht="14.25">
      <c r="C30" s="35"/>
      <c r="D30" s="36"/>
      <c r="E30" s="36"/>
      <c r="G30" s="36">
        <f>+E30/1000</f>
        <v>0</v>
      </c>
      <c r="H30" s="14"/>
      <c r="I30" s="36"/>
      <c r="J30" s="36"/>
      <c r="K30" s="36"/>
      <c r="L30" s="35"/>
      <c r="M30" s="35"/>
      <c r="N30" s="35"/>
      <c r="O30" s="35"/>
      <c r="P30" s="35"/>
      <c r="Q30" s="35"/>
      <c r="R30" s="35"/>
    </row>
    <row r="31" spans="2:18" ht="14.25">
      <c r="C31" s="35" t="s">
        <v>443</v>
      </c>
      <c r="D31" s="36"/>
      <c r="E31" s="36"/>
      <c r="G31" s="36"/>
      <c r="H31" s="14"/>
      <c r="I31" s="36"/>
      <c r="J31" s="36"/>
      <c r="K31" s="36"/>
      <c r="L31" s="35"/>
      <c r="M31" s="35"/>
      <c r="N31" s="35"/>
      <c r="O31" s="35"/>
      <c r="P31" s="35"/>
      <c r="Q31" s="35"/>
      <c r="R31" s="35"/>
    </row>
    <row r="32" spans="2:18" ht="14.25">
      <c r="C32" s="35"/>
      <c r="D32" s="36"/>
      <c r="E32" s="36"/>
      <c r="G32" s="36"/>
      <c r="H32" s="14"/>
      <c r="I32" s="36"/>
      <c r="J32" s="36"/>
      <c r="K32" s="36"/>
      <c r="L32" s="35"/>
      <c r="M32" s="35"/>
      <c r="N32" s="35"/>
      <c r="O32" s="35"/>
      <c r="P32" s="35"/>
      <c r="Q32" s="35"/>
      <c r="R32" s="35"/>
    </row>
    <row r="33" spans="2:18" ht="18">
      <c r="C33" s="11" t="s">
        <v>444</v>
      </c>
      <c r="D33" s="36"/>
      <c r="E33" s="36"/>
      <c r="G33" s="36"/>
      <c r="H33" s="14"/>
      <c r="I33" s="36"/>
      <c r="J33" s="36"/>
      <c r="K33" s="36"/>
      <c r="L33" s="35"/>
      <c r="M33" s="35"/>
      <c r="N33" s="35"/>
      <c r="O33" s="35"/>
      <c r="P33" s="35"/>
      <c r="Q33" s="35"/>
      <c r="R33" s="35"/>
    </row>
    <row r="34" spans="2:18" ht="18">
      <c r="C34" s="11"/>
      <c r="D34" s="36"/>
      <c r="E34" s="36"/>
      <c r="G34" s="36"/>
      <c r="H34" s="14"/>
      <c r="I34" s="36"/>
      <c r="J34" s="36"/>
      <c r="K34" s="36"/>
      <c r="L34" s="35"/>
      <c r="M34" s="35"/>
      <c r="N34" s="35"/>
      <c r="O34" s="35"/>
      <c r="P34" s="35"/>
      <c r="Q34" s="35"/>
      <c r="R34" s="35"/>
    </row>
    <row r="35" spans="2:18" ht="14.25">
      <c r="B35">
        <v>16</v>
      </c>
      <c r="C35" s="35" t="s">
        <v>445</v>
      </c>
      <c r="D35" s="36"/>
      <c r="E35" s="19">
        <f>+SUMIF('WRD Solo BS'!$C$7:$C$154,B35,'WRD Solo BS'!$B$7:$B$154)</f>
        <v>510409.23000000004</v>
      </c>
      <c r="G35" s="178">
        <f>+ROUND((E35/1000),0)</f>
        <v>510</v>
      </c>
      <c r="H35" s="14"/>
      <c r="I35" s="36"/>
      <c r="J35" s="36"/>
      <c r="K35" s="36"/>
      <c r="L35" s="35"/>
      <c r="M35" s="35"/>
      <c r="N35" s="35"/>
      <c r="O35" s="35"/>
      <c r="P35" s="35"/>
      <c r="Q35" s="35"/>
      <c r="R35" s="35"/>
    </row>
    <row r="36" spans="2:18" ht="14.25">
      <c r="B36">
        <v>16.100000000000001</v>
      </c>
      <c r="C36" s="35" t="s">
        <v>692</v>
      </c>
      <c r="E36" s="19">
        <f>+SUMIF('WRD Solo BS'!$C$7:$C$154,B36,'WRD Solo BS'!$B$7:$B$154)/1000</f>
        <v>13044.606609999999</v>
      </c>
      <c r="G36" s="178">
        <f>-'NOTES-Solo'!E76</f>
        <v>181.51692000000003</v>
      </c>
      <c r="I36" s="14">
        <f>+'NOTES-Conso'!B27</f>
        <v>6</v>
      </c>
      <c r="J36" s="36"/>
      <c r="K36" s="36"/>
      <c r="L36" s="35"/>
      <c r="M36" s="35"/>
      <c r="N36" s="35"/>
      <c r="O36" s="35"/>
      <c r="P36" s="35"/>
      <c r="Q36" s="35"/>
      <c r="R36" s="35"/>
    </row>
    <row r="37" spans="2:18" ht="14.25">
      <c r="B37">
        <v>17</v>
      </c>
      <c r="C37" s="35" t="s">
        <v>446</v>
      </c>
      <c r="D37" s="36"/>
      <c r="E37" s="17">
        <f>+SUMIF('WRD Solo BS'!$C$7:$C$154,B37,'WRD Solo BS'!$B$7:$B$154)</f>
        <v>2278915.2199999997</v>
      </c>
      <c r="G37" s="107">
        <f>+ROUND((E37/1000),0)</f>
        <v>2279</v>
      </c>
      <c r="H37" s="14"/>
      <c r="I37" s="36"/>
      <c r="J37" s="36"/>
      <c r="K37" s="36"/>
      <c r="L37" s="35"/>
      <c r="M37" s="35"/>
      <c r="N37" s="35"/>
      <c r="O37" s="35"/>
      <c r="P37" s="35"/>
      <c r="Q37" s="35"/>
      <c r="R37" s="35"/>
    </row>
    <row r="38" spans="2:18" ht="14.25">
      <c r="C38" s="35"/>
      <c r="D38" s="36"/>
      <c r="E38" s="36"/>
      <c r="G38" s="36"/>
      <c r="H38" s="14"/>
      <c r="I38" s="36"/>
      <c r="J38" s="36"/>
      <c r="K38" s="36"/>
      <c r="L38" s="35"/>
      <c r="M38" s="35"/>
      <c r="N38" s="35"/>
      <c r="O38" s="35"/>
      <c r="P38" s="35"/>
      <c r="Q38" s="35"/>
      <c r="R38" s="35"/>
    </row>
    <row r="39" spans="2:18" ht="14.25">
      <c r="C39" s="45" t="s">
        <v>454</v>
      </c>
      <c r="D39" s="36"/>
      <c r="E39" s="44">
        <f>+E37+E35+E36</f>
        <v>2802369.0566099999</v>
      </c>
      <c r="G39" s="44">
        <f>+G37+G35+G36</f>
        <v>2970.51692</v>
      </c>
      <c r="H39" s="14"/>
      <c r="I39" s="36"/>
      <c r="J39" s="36"/>
      <c r="K39" s="36"/>
      <c r="L39" s="35"/>
      <c r="M39" s="35"/>
      <c r="N39" s="35"/>
      <c r="O39" s="35"/>
      <c r="P39" s="35"/>
      <c r="Q39" s="35"/>
      <c r="R39" s="35"/>
    </row>
    <row r="40" spans="2:18" ht="14.25">
      <c r="C40" s="35"/>
      <c r="D40" s="36"/>
      <c r="E40" s="36"/>
      <c r="G40" s="36"/>
      <c r="H40" s="14"/>
      <c r="I40" s="36"/>
      <c r="J40" s="36"/>
      <c r="K40" s="36"/>
      <c r="L40" s="35"/>
      <c r="M40" s="35"/>
      <c r="N40" s="35"/>
      <c r="O40" s="35"/>
      <c r="P40" s="35"/>
      <c r="Q40" s="35"/>
      <c r="R40" s="35"/>
    </row>
    <row r="41" spans="2:18" ht="18">
      <c r="C41" s="11" t="s">
        <v>570</v>
      </c>
      <c r="D41" s="36"/>
      <c r="E41" s="36"/>
      <c r="G41" s="36"/>
      <c r="H41" s="14"/>
      <c r="I41" s="36"/>
      <c r="J41" s="36"/>
      <c r="K41" s="36"/>
      <c r="L41" s="35"/>
      <c r="M41" s="35"/>
      <c r="N41" s="35"/>
      <c r="O41" s="35"/>
      <c r="P41" s="35"/>
      <c r="Q41" s="35"/>
      <c r="R41" s="35"/>
    </row>
    <row r="42" spans="2:18" ht="18">
      <c r="C42" s="11"/>
      <c r="D42" s="36"/>
      <c r="E42" s="36"/>
      <c r="G42" s="36"/>
      <c r="H42" s="14"/>
      <c r="I42" s="36"/>
      <c r="J42" s="36"/>
      <c r="K42" s="36"/>
      <c r="L42" s="35"/>
      <c r="M42" s="35"/>
      <c r="N42" s="35"/>
      <c r="O42" s="35"/>
      <c r="P42" s="35"/>
      <c r="Q42" s="35"/>
      <c r="R42" s="35"/>
    </row>
    <row r="43" spans="2:18" ht="15">
      <c r="B43">
        <v>18</v>
      </c>
      <c r="C43" s="45" t="s">
        <v>447</v>
      </c>
      <c r="D43" s="36"/>
      <c r="E43" s="16">
        <f>+SUMIF('WRD Solo BS'!$C$7:$C$154,B43,'WRD Solo BS'!$B$7:$B$154)</f>
        <v>1456834.93</v>
      </c>
      <c r="G43" s="44">
        <f>+SUMIF('WRD Solo BS'!$C$7:$C$154,B43,'WRD Solo BS'!$B$7:$B$154)/1000</f>
        <v>1456.83493</v>
      </c>
      <c r="H43" s="14"/>
      <c r="I43" s="36"/>
      <c r="J43" s="36"/>
      <c r="K43" s="36"/>
      <c r="L43" s="35"/>
      <c r="M43" s="35"/>
      <c r="N43" s="35"/>
      <c r="O43" s="35"/>
      <c r="P43" s="35"/>
      <c r="Q43" s="35"/>
      <c r="R43" s="35"/>
    </row>
    <row r="44" spans="2:18" ht="14.25">
      <c r="C44" s="35"/>
      <c r="D44" s="36"/>
      <c r="E44" s="36"/>
      <c r="G44" s="36"/>
      <c r="H44" s="14"/>
      <c r="I44" s="36"/>
      <c r="J44" s="36"/>
      <c r="K44" s="36"/>
      <c r="L44" s="35"/>
      <c r="M44" s="35"/>
      <c r="N44" s="35"/>
      <c r="O44" s="35"/>
      <c r="P44" s="35"/>
      <c r="Q44" s="35"/>
      <c r="R44" s="35"/>
    </row>
    <row r="45" spans="2:18" ht="14.25">
      <c r="C45" s="35" t="s">
        <v>448</v>
      </c>
      <c r="D45" s="36"/>
      <c r="E45" s="36"/>
      <c r="G45" s="36"/>
      <c r="H45" s="14"/>
      <c r="I45" s="36"/>
      <c r="J45" s="36"/>
      <c r="K45" s="36"/>
      <c r="L45" s="35"/>
      <c r="M45" s="35"/>
      <c r="N45" s="35"/>
      <c r="O45" s="35"/>
      <c r="P45" s="35"/>
      <c r="Q45" s="35"/>
      <c r="R45" s="35"/>
    </row>
    <row r="46" spans="2:18" ht="14.25">
      <c r="C46" s="35"/>
      <c r="D46" s="36"/>
      <c r="E46" s="36"/>
      <c r="G46" s="36"/>
      <c r="H46" s="14"/>
      <c r="I46" s="36"/>
      <c r="J46" s="36"/>
      <c r="K46" s="36"/>
      <c r="L46" s="35"/>
      <c r="M46" s="35"/>
      <c r="N46" s="35"/>
      <c r="O46" s="35"/>
      <c r="P46" s="35"/>
      <c r="Q46" s="35"/>
      <c r="R46" s="35"/>
    </row>
    <row r="47" spans="2:18" ht="14.25">
      <c r="B47">
        <v>19</v>
      </c>
      <c r="C47" s="35" t="s">
        <v>449</v>
      </c>
      <c r="D47" s="36"/>
      <c r="E47" s="19">
        <f>+SUMIF('WRD Solo BS'!$C$7:$C$154,B47,'WRD Solo BS'!$B$7:$B$154)</f>
        <v>131441176.78000002</v>
      </c>
      <c r="G47" s="178">
        <f>+ROUND((E47/1000),0)</f>
        <v>131441</v>
      </c>
      <c r="H47" s="56">
        <f>+G47-'Change in Equity ILS'!H19</f>
        <v>51.254920000006678</v>
      </c>
      <c r="I47" s="36"/>
      <c r="J47" s="36"/>
      <c r="K47" s="36"/>
      <c r="L47" s="35"/>
      <c r="M47" s="35"/>
      <c r="N47" s="35"/>
      <c r="O47" s="35"/>
      <c r="P47" s="35"/>
      <c r="Q47" s="35"/>
      <c r="R47" s="35"/>
    </row>
    <row r="48" spans="2:18" ht="14.25">
      <c r="B48">
        <v>20</v>
      </c>
      <c r="C48" s="35" t="s">
        <v>450</v>
      </c>
      <c r="D48" s="36"/>
      <c r="E48" s="19">
        <f>+SUMIF('WRD Solo BS'!$C$7:$C$154,B48,'WRD Solo BS'!$B$7:$B$154)</f>
        <v>0</v>
      </c>
      <c r="G48" s="178">
        <f>+ROUND((E48/1000),0)</f>
        <v>0</v>
      </c>
      <c r="H48" s="14"/>
      <c r="I48" s="36"/>
      <c r="J48" s="36"/>
      <c r="K48" s="36"/>
      <c r="L48" s="35"/>
      <c r="M48" s="35"/>
      <c r="N48" s="35"/>
      <c r="O48" s="35"/>
      <c r="P48" s="35"/>
      <c r="Q48" s="35"/>
      <c r="R48" s="35"/>
    </row>
    <row r="49" spans="2:18" ht="14.25">
      <c r="B49">
        <v>21</v>
      </c>
      <c r="C49" s="35" t="s">
        <v>451</v>
      </c>
      <c r="D49" s="36"/>
      <c r="E49" s="17">
        <f>+SUMIF('WRD Solo BS'!$C$7:$C$154,B49,'WRD Solo BS'!$B$7:$B$154)</f>
        <v>-62397987.510000005</v>
      </c>
      <c r="G49" s="107">
        <f>+ROUND((E49/1000),0)+ROUND(E47/1000,0)-G47</f>
        <v>-62398</v>
      </c>
      <c r="H49" s="14"/>
      <c r="I49" s="36"/>
      <c r="J49" s="36"/>
      <c r="K49" s="36"/>
      <c r="L49" s="35"/>
      <c r="M49" s="35"/>
      <c r="N49" s="35"/>
      <c r="O49" s="35"/>
      <c r="P49" s="35"/>
      <c r="Q49" s="35"/>
      <c r="R49" s="35"/>
    </row>
    <row r="50" spans="2:18" ht="14.25">
      <c r="C50" s="35"/>
      <c r="D50" s="36"/>
      <c r="E50" s="36"/>
      <c r="G50" s="36"/>
      <c r="H50" s="14"/>
      <c r="I50" s="36"/>
      <c r="J50" s="36"/>
      <c r="K50" s="36"/>
      <c r="L50" s="35"/>
      <c r="M50" s="35"/>
      <c r="N50" s="35"/>
      <c r="O50" s="35"/>
      <c r="P50" s="35"/>
      <c r="Q50" s="35"/>
      <c r="R50" s="35"/>
    </row>
    <row r="51" spans="2:18" ht="15">
      <c r="C51" s="91" t="s">
        <v>452</v>
      </c>
      <c r="D51" s="36"/>
      <c r="E51" s="89">
        <f>+SUM(E47:E49)</f>
        <v>69043189.270000011</v>
      </c>
      <c r="G51" s="89">
        <f>+SUM(G47:G49)</f>
        <v>69043</v>
      </c>
      <c r="H51" s="14"/>
      <c r="I51" s="36"/>
      <c r="J51" s="36"/>
      <c r="K51" s="36"/>
      <c r="L51" s="35"/>
      <c r="M51" s="35"/>
      <c r="N51" s="35"/>
      <c r="O51" s="35"/>
      <c r="P51" s="35"/>
      <c r="Q51" s="35"/>
      <c r="R51" s="35"/>
    </row>
    <row r="52" spans="2:18" ht="14.25">
      <c r="C52" s="35"/>
      <c r="D52" s="36"/>
      <c r="E52" s="36"/>
      <c r="G52" s="36"/>
      <c r="H52" s="14"/>
      <c r="I52" s="36"/>
      <c r="J52" s="36"/>
      <c r="K52" s="36"/>
      <c r="L52" s="35"/>
      <c r="M52" s="35"/>
      <c r="N52" s="35"/>
      <c r="O52" s="35"/>
      <c r="P52" s="35"/>
      <c r="Q52" s="35"/>
      <c r="R52" s="35"/>
    </row>
    <row r="53" spans="2:18" ht="15" thickBot="1">
      <c r="C53" s="91" t="s">
        <v>453</v>
      </c>
      <c r="D53" s="36"/>
      <c r="E53" s="90">
        <f>+E51+E43+E39</f>
        <v>73302393.256610021</v>
      </c>
      <c r="G53" s="90">
        <f>+G51+G43+G39</f>
        <v>73470.351849999992</v>
      </c>
      <c r="H53" s="14"/>
      <c r="I53" s="36"/>
      <c r="J53" s="36"/>
      <c r="K53" s="36"/>
      <c r="L53" s="35"/>
      <c r="M53" s="35"/>
      <c r="N53" s="35"/>
      <c r="O53" s="35"/>
      <c r="P53" s="35"/>
      <c r="Q53" s="35"/>
      <c r="R53" s="35"/>
    </row>
    <row r="54" spans="2:18" ht="15" thickTop="1">
      <c r="C54" s="35"/>
      <c r="D54" s="36"/>
      <c r="E54" s="36"/>
      <c r="G54" s="36"/>
      <c r="H54" s="14"/>
      <c r="I54" s="36"/>
      <c r="J54" s="36"/>
      <c r="K54" s="36"/>
      <c r="L54" s="35"/>
      <c r="M54" s="35"/>
      <c r="N54" s="35"/>
      <c r="O54" s="35"/>
      <c r="P54" s="35"/>
      <c r="Q54" s="35"/>
      <c r="R54" s="35"/>
    </row>
    <row r="55" spans="2:18" ht="14.25">
      <c r="C55" s="93" t="s">
        <v>571</v>
      </c>
      <c r="D55" s="36"/>
      <c r="E55" s="92">
        <f>+E53-E28</f>
        <v>-13031562.003389969</v>
      </c>
      <c r="G55" s="92">
        <f>+G53-G28</f>
        <v>0.35184999999182764</v>
      </c>
      <c r="H55" s="14"/>
      <c r="I55" s="36"/>
      <c r="J55" s="36"/>
      <c r="K55" s="36"/>
      <c r="L55" s="35"/>
      <c r="M55" s="35"/>
      <c r="N55" s="35"/>
      <c r="O55" s="35"/>
      <c r="P55" s="35"/>
      <c r="Q55" s="35"/>
      <c r="R55" s="35"/>
    </row>
    <row r="56" spans="2:18" ht="14.25">
      <c r="C56" s="35"/>
      <c r="D56" s="36"/>
      <c r="E56" s="36"/>
      <c r="G56" s="14"/>
      <c r="H56" s="14"/>
      <c r="I56" s="36"/>
      <c r="J56" s="36"/>
      <c r="K56" s="36"/>
      <c r="L56" s="35"/>
      <c r="M56" s="35"/>
      <c r="N56" s="35"/>
      <c r="O56" s="35"/>
      <c r="P56" s="35"/>
      <c r="Q56" s="35"/>
      <c r="R56" s="35"/>
    </row>
    <row r="57" spans="2:18" ht="14.25">
      <c r="C57" s="35"/>
      <c r="D57" s="36"/>
      <c r="E57" s="36"/>
      <c r="G57" s="36"/>
      <c r="H57" s="14"/>
      <c r="I57" s="36"/>
      <c r="J57" s="36"/>
      <c r="K57" s="36"/>
      <c r="L57" s="35"/>
      <c r="M57" s="35"/>
      <c r="N57" s="35"/>
      <c r="O57" s="35"/>
      <c r="P57" s="35"/>
      <c r="Q57" s="35"/>
      <c r="R57" s="35"/>
    </row>
    <row r="58" spans="2:18" ht="14.25">
      <c r="C58" s="35"/>
      <c r="D58" s="36"/>
      <c r="E58" s="36"/>
      <c r="G58" s="36"/>
      <c r="H58" s="14"/>
      <c r="I58" s="36"/>
      <c r="J58" s="36"/>
      <c r="K58" s="36"/>
      <c r="L58" s="35"/>
      <c r="M58" s="35"/>
      <c r="N58" s="35"/>
      <c r="O58" s="35"/>
      <c r="P58" s="35"/>
      <c r="Q58" s="35"/>
      <c r="R58" s="35"/>
    </row>
    <row r="59" spans="2:18" ht="14.25">
      <c r="C59" s="35"/>
      <c r="D59" s="36"/>
      <c r="E59" s="36"/>
      <c r="G59" s="36"/>
      <c r="H59" s="14"/>
      <c r="I59" s="36"/>
      <c r="J59" s="36"/>
      <c r="K59" s="36"/>
      <c r="L59" s="35"/>
      <c r="M59" s="35"/>
      <c r="N59" s="35"/>
      <c r="O59" s="35"/>
      <c r="P59" s="35"/>
      <c r="Q59" s="35"/>
      <c r="R59" s="35"/>
    </row>
    <row r="60" spans="2:18" ht="14.25">
      <c r="C60" s="35"/>
      <c r="D60" s="36"/>
      <c r="E60" s="36"/>
      <c r="G60" s="36"/>
      <c r="H60" s="14"/>
      <c r="I60" s="36"/>
      <c r="J60" s="36"/>
      <c r="K60" s="36"/>
      <c r="L60" s="35"/>
      <c r="M60" s="35"/>
      <c r="N60" s="35"/>
      <c r="O60" s="35"/>
      <c r="P60" s="35"/>
      <c r="Q60" s="35"/>
      <c r="R60" s="35"/>
    </row>
    <row r="61" spans="2:18" ht="14.25">
      <c r="C61" s="35"/>
      <c r="D61" s="36"/>
      <c r="E61" s="36"/>
      <c r="G61" s="36"/>
      <c r="H61" s="14"/>
      <c r="I61" s="36"/>
      <c r="J61" s="36"/>
      <c r="K61" s="36"/>
      <c r="L61" s="35"/>
      <c r="M61" s="35"/>
      <c r="N61" s="35"/>
      <c r="O61" s="35"/>
      <c r="P61" s="35"/>
      <c r="Q61" s="35"/>
      <c r="R61" s="35"/>
    </row>
    <row r="62" spans="2:18" ht="14.25">
      <c r="C62" s="35"/>
      <c r="D62" s="35"/>
      <c r="E62" s="35"/>
      <c r="G62" s="35"/>
      <c r="H62" s="14"/>
      <c r="I62" s="35"/>
      <c r="J62" s="35"/>
      <c r="K62" s="35"/>
      <c r="L62" s="35"/>
      <c r="M62" s="35"/>
      <c r="N62" s="35"/>
      <c r="O62" s="35"/>
      <c r="P62" s="35"/>
      <c r="Q62" s="35"/>
      <c r="R62" s="35"/>
    </row>
    <row r="63" spans="2:18" ht="14.25">
      <c r="C63" s="35"/>
      <c r="D63" s="35"/>
      <c r="E63" s="35"/>
      <c r="G63" s="35"/>
      <c r="H63" s="14"/>
      <c r="I63" s="35"/>
      <c r="J63" s="35"/>
      <c r="K63" s="35"/>
      <c r="L63" s="35"/>
      <c r="M63" s="35"/>
      <c r="N63" s="35"/>
      <c r="O63" s="35"/>
      <c r="P63" s="35"/>
      <c r="Q63" s="35"/>
      <c r="R63" s="35"/>
    </row>
    <row r="64" spans="2:18" ht="14.25">
      <c r="C64" s="35"/>
      <c r="D64" s="35"/>
      <c r="E64" s="35"/>
      <c r="G64" s="35"/>
      <c r="H64" s="14"/>
      <c r="I64" s="35"/>
      <c r="J64" s="35"/>
      <c r="K64" s="35"/>
      <c r="L64" s="35"/>
      <c r="M64" s="35"/>
      <c r="N64" s="35"/>
      <c r="O64" s="35"/>
      <c r="P64" s="35"/>
      <c r="Q64" s="35"/>
      <c r="R64" s="35"/>
    </row>
    <row r="65" spans="3:18" ht="12.75">
      <c r="C65" s="35"/>
      <c r="D65" s="35"/>
      <c r="E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</row>
    <row r="66" spans="3:18" ht="12.75">
      <c r="C66" s="35"/>
      <c r="D66" s="35"/>
      <c r="E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</row>
    <row r="67" spans="3:18" ht="12.75">
      <c r="C67" s="35"/>
      <c r="D67" s="35"/>
      <c r="E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</row>
    <row r="68" spans="3:18" ht="12.75">
      <c r="C68" s="35"/>
      <c r="D68" s="35"/>
      <c r="E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</row>
    <row r="69" spans="3:18" ht="12.75">
      <c r="C69" s="35"/>
      <c r="D69" s="35"/>
      <c r="E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</row>
    <row r="70" spans="3:18" ht="12.75">
      <c r="C70" s="35"/>
      <c r="D70" s="35"/>
      <c r="E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</row>
    <row r="71" spans="3:18" ht="12.75">
      <c r="C71" s="35"/>
      <c r="D71" s="35"/>
      <c r="E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1A74D-34C6-4D39-B09D-92248F690056}">
  <sheetPr>
    <tabColor rgb="FFFFFF00"/>
  </sheetPr>
  <dimension ref="A1:L684"/>
  <sheetViews>
    <sheetView workbookViewId="0">
      <selection sqref="A1:B1"/>
    </sheetView>
  </sheetViews>
  <sheetFormatPr defaultRowHeight="11.25"/>
  <cols>
    <col min="1" max="1" width="53.6640625" bestFit="1" customWidth="1"/>
    <col min="2" max="2" width="14.1640625" bestFit="1" customWidth="1"/>
    <col min="3" max="3" width="11.5" bestFit="1" customWidth="1"/>
    <col min="4" max="4" width="19.6640625" bestFit="1" customWidth="1"/>
    <col min="5" max="5" width="13" bestFit="1" customWidth="1"/>
    <col min="12" max="12" width="11.33203125" customWidth="1"/>
  </cols>
  <sheetData>
    <row r="1" spans="1:12" ht="15.75">
      <c r="A1" s="406" t="s">
        <v>0</v>
      </c>
      <c r="B1" s="406"/>
    </row>
    <row r="2" spans="1:12" ht="16.5" thickBot="1">
      <c r="A2" s="406" t="s">
        <v>0</v>
      </c>
      <c r="B2" s="406"/>
    </row>
    <row r="3" spans="1:12" ht="18">
      <c r="A3" s="405" t="s">
        <v>2</v>
      </c>
      <c r="B3" s="405"/>
      <c r="H3" s="302" t="s">
        <v>686</v>
      </c>
      <c r="I3" s="303"/>
      <c r="J3" s="303"/>
      <c r="K3" s="303"/>
      <c r="L3" s="304"/>
    </row>
    <row r="4" spans="1:12" ht="18.75" thickBot="1">
      <c r="A4" s="405" t="s">
        <v>3</v>
      </c>
      <c r="B4" s="405"/>
      <c r="H4" s="305" t="s">
        <v>687</v>
      </c>
      <c r="I4" s="285"/>
      <c r="J4" s="285"/>
      <c r="K4" s="285"/>
      <c r="L4" s="306"/>
    </row>
    <row r="5" spans="1:12" ht="18">
      <c r="A5" s="405" t="s">
        <v>4</v>
      </c>
      <c r="B5" s="405"/>
    </row>
    <row r="6" spans="1:12" ht="18">
      <c r="A6" s="405" t="s">
        <v>4</v>
      </c>
      <c r="B6" s="405"/>
    </row>
    <row r="7" spans="1:12">
      <c r="A7" s="240" t="s">
        <v>5</v>
      </c>
      <c r="B7" s="241" t="s">
        <v>14</v>
      </c>
    </row>
    <row r="8" spans="1:12">
      <c r="A8" s="242" t="s">
        <v>15</v>
      </c>
      <c r="B8" s="259"/>
    </row>
    <row r="9" spans="1:12">
      <c r="A9" s="258" t="s">
        <v>668</v>
      </c>
      <c r="B9" s="260">
        <v>-291319.42</v>
      </c>
    </row>
    <row r="10" spans="1:12">
      <c r="A10" s="258" t="s">
        <v>16</v>
      </c>
      <c r="B10" s="260">
        <v>19366160.109999999</v>
      </c>
    </row>
    <row r="11" spans="1:12">
      <c r="A11" s="258" t="s">
        <v>17</v>
      </c>
      <c r="B11" s="260">
        <v>1316300.25</v>
      </c>
    </row>
    <row r="12" spans="1:12">
      <c r="A12" s="258" t="s">
        <v>669</v>
      </c>
      <c r="B12" s="260">
        <v>-289116.71000000002</v>
      </c>
    </row>
    <row r="13" spans="1:12">
      <c r="A13" s="258" t="s">
        <v>18</v>
      </c>
      <c r="B13" s="260">
        <v>1566130.97</v>
      </c>
    </row>
    <row r="14" spans="1:12">
      <c r="A14" s="258" t="s">
        <v>19</v>
      </c>
      <c r="B14" s="260">
        <v>986699.3</v>
      </c>
    </row>
    <row r="15" spans="1:12">
      <c r="A15" s="257" t="s">
        <v>20</v>
      </c>
      <c r="B15" s="261">
        <f>SUM(B9:B14)</f>
        <v>22654854.499999996</v>
      </c>
      <c r="C15">
        <v>1</v>
      </c>
    </row>
    <row r="16" spans="1:12">
      <c r="A16" s="242" t="s">
        <v>21</v>
      </c>
      <c r="B16" s="259"/>
    </row>
    <row r="17" spans="1:3">
      <c r="A17" s="244" t="s">
        <v>22</v>
      </c>
      <c r="B17" s="259"/>
    </row>
    <row r="18" spans="1:3">
      <c r="A18" s="251" t="s">
        <v>23</v>
      </c>
      <c r="B18" s="260">
        <v>-2291594.2999999998</v>
      </c>
      <c r="C18">
        <v>2.1</v>
      </c>
    </row>
    <row r="19" spans="1:3">
      <c r="A19" s="251" t="s">
        <v>24</v>
      </c>
      <c r="B19" s="260">
        <v>-217430.61</v>
      </c>
      <c r="C19">
        <v>2.1</v>
      </c>
    </row>
    <row r="20" spans="1:3">
      <c r="A20" s="251" t="s">
        <v>25</v>
      </c>
      <c r="B20" s="260">
        <v>-566840.56999999995</v>
      </c>
      <c r="C20">
        <v>2.1</v>
      </c>
    </row>
    <row r="21" spans="1:3">
      <c r="A21" s="262" t="s">
        <v>26</v>
      </c>
      <c r="B21" s="263">
        <f>SUM(B18:B20)</f>
        <v>-3075865.4799999995</v>
      </c>
      <c r="C21">
        <v>2</v>
      </c>
    </row>
    <row r="22" spans="1:3">
      <c r="A22" s="255" t="s">
        <v>27</v>
      </c>
      <c r="B22" s="263">
        <f>SUM(B21)</f>
        <v>-3075865.4799999995</v>
      </c>
    </row>
    <row r="23" spans="1:3">
      <c r="A23" s="264" t="s">
        <v>28</v>
      </c>
      <c r="B23" s="265">
        <f>+B15+B22</f>
        <v>19578989.019999996</v>
      </c>
    </row>
    <row r="24" spans="1:3">
      <c r="A24" s="266" t="s">
        <v>29</v>
      </c>
      <c r="B24" s="267"/>
    </row>
    <row r="25" spans="1:3">
      <c r="A25" s="268" t="s">
        <v>30</v>
      </c>
      <c r="B25" s="267"/>
    </row>
    <row r="26" spans="1:3">
      <c r="A26" s="269" t="s">
        <v>31</v>
      </c>
      <c r="B26" s="267"/>
    </row>
    <row r="27" spans="1:3">
      <c r="A27" s="246" t="s">
        <v>32</v>
      </c>
      <c r="B27" s="260">
        <v>-1418426.11</v>
      </c>
    </row>
    <row r="28" spans="1:3">
      <c r="A28" s="246" t="s">
        <v>35</v>
      </c>
      <c r="B28" s="260">
        <v>-5096.32</v>
      </c>
    </row>
    <row r="29" spans="1:3">
      <c r="A29" s="270" t="s">
        <v>36</v>
      </c>
      <c r="B29" s="271">
        <f>SUM(B27:B28)</f>
        <v>-1423522.4300000002</v>
      </c>
      <c r="C29">
        <v>2.2000000000000002</v>
      </c>
    </row>
    <row r="30" spans="1:3">
      <c r="A30" s="269" t="s">
        <v>42</v>
      </c>
      <c r="B30" s="267"/>
    </row>
    <row r="31" spans="1:3">
      <c r="A31" s="246" t="s">
        <v>43</v>
      </c>
      <c r="B31" s="260">
        <v>-732235.83</v>
      </c>
    </row>
    <row r="32" spans="1:3">
      <c r="A32" s="246" t="s">
        <v>44</v>
      </c>
      <c r="B32" s="260">
        <v>-207326.05</v>
      </c>
    </row>
    <row r="33" spans="1:3">
      <c r="A33" s="270" t="s">
        <v>45</v>
      </c>
      <c r="B33" s="271">
        <f>SUM(B31:B32)</f>
        <v>-939561.87999999989</v>
      </c>
      <c r="C33">
        <v>2.2000000000000002</v>
      </c>
    </row>
    <row r="34" spans="1:3">
      <c r="A34" s="269" t="s">
        <v>46</v>
      </c>
      <c r="B34" s="267"/>
    </row>
    <row r="35" spans="1:3">
      <c r="A35" s="246" t="s">
        <v>47</v>
      </c>
      <c r="B35" s="260">
        <v>-547331.41</v>
      </c>
    </row>
    <row r="36" spans="1:3">
      <c r="A36" s="270" t="s">
        <v>48</v>
      </c>
      <c r="B36" s="271">
        <f>SUM(B35)</f>
        <v>-547331.41</v>
      </c>
      <c r="C36">
        <v>2.2000000000000002</v>
      </c>
    </row>
    <row r="37" spans="1:3">
      <c r="A37" s="269" t="s">
        <v>49</v>
      </c>
      <c r="B37" s="267"/>
    </row>
    <row r="38" spans="1:3">
      <c r="A38" s="246" t="s">
        <v>49</v>
      </c>
      <c r="B38" s="260">
        <v>-11935.02</v>
      </c>
    </row>
    <row r="39" spans="1:3">
      <c r="A39" s="270" t="s">
        <v>670</v>
      </c>
      <c r="B39" s="271">
        <f>SUM(B38)</f>
        <v>-11935.02</v>
      </c>
      <c r="C39">
        <v>2.2000000000000002</v>
      </c>
    </row>
    <row r="40" spans="1:3">
      <c r="A40" s="272" t="s">
        <v>50</v>
      </c>
      <c r="B40" s="271">
        <f>SUM(B29,B33,B36,B39)</f>
        <v>-2922350.74</v>
      </c>
    </row>
    <row r="41" spans="1:3">
      <c r="A41" s="273" t="s">
        <v>90</v>
      </c>
      <c r="B41" s="271">
        <f>SUM(B40)</f>
        <v>-2922350.74</v>
      </c>
      <c r="C41">
        <v>2</v>
      </c>
    </row>
    <row r="42" spans="1:3">
      <c r="A42" s="264" t="s">
        <v>91</v>
      </c>
      <c r="B42" s="265">
        <f>B23+B41</f>
        <v>16656638.279999996</v>
      </c>
    </row>
    <row r="43" spans="1:3">
      <c r="A43" s="274" t="s">
        <v>92</v>
      </c>
      <c r="B43" s="275">
        <f>B42/B15*100</f>
        <v>73.523483807852301</v>
      </c>
    </row>
    <row r="44" spans="1:3">
      <c r="A44" s="266" t="s">
        <v>93</v>
      </c>
      <c r="B44" s="267"/>
    </row>
    <row r="45" spans="1:3">
      <c r="A45" s="268" t="s">
        <v>94</v>
      </c>
      <c r="B45" s="267"/>
    </row>
    <row r="46" spans="1:3">
      <c r="A46" s="251" t="s">
        <v>648</v>
      </c>
      <c r="B46" s="260">
        <v>-5406.73</v>
      </c>
    </row>
    <row r="47" spans="1:3">
      <c r="A47" s="269" t="s">
        <v>83</v>
      </c>
      <c r="B47" s="267"/>
    </row>
    <row r="48" spans="1:3">
      <c r="A48" s="276" t="s">
        <v>84</v>
      </c>
      <c r="B48" s="267"/>
    </row>
    <row r="49" spans="1:2">
      <c r="A49" s="253" t="s">
        <v>87</v>
      </c>
      <c r="B49" s="260">
        <v>-958.28</v>
      </c>
    </row>
    <row r="50" spans="1:2">
      <c r="A50" s="277" t="s">
        <v>88</v>
      </c>
      <c r="B50" s="271">
        <f>SUM(B49)</f>
        <v>-958.28</v>
      </c>
    </row>
    <row r="51" spans="1:2">
      <c r="A51" s="270" t="s">
        <v>89</v>
      </c>
      <c r="B51" s="271">
        <f>SUM(B50)</f>
        <v>-958.28</v>
      </c>
    </row>
    <row r="52" spans="1:2">
      <c r="A52" s="269" t="s">
        <v>77</v>
      </c>
      <c r="B52" s="267"/>
    </row>
    <row r="53" spans="1:2">
      <c r="A53" s="246" t="s">
        <v>78</v>
      </c>
      <c r="B53" s="260">
        <v>-435.86</v>
      </c>
    </row>
    <row r="54" spans="1:2">
      <c r="A54" s="270" t="s">
        <v>79</v>
      </c>
      <c r="B54" s="271">
        <f>SUM(B53)</f>
        <v>-435.86</v>
      </c>
    </row>
    <row r="55" spans="1:2">
      <c r="A55" s="269" t="s">
        <v>123</v>
      </c>
      <c r="B55" s="267"/>
    </row>
    <row r="56" spans="1:2">
      <c r="A56" s="276" t="s">
        <v>124</v>
      </c>
      <c r="B56" s="267"/>
    </row>
    <row r="57" spans="1:2">
      <c r="A57" s="253" t="s">
        <v>125</v>
      </c>
      <c r="B57" s="260">
        <v>-2833.27</v>
      </c>
    </row>
    <row r="58" spans="1:2">
      <c r="A58" s="253" t="s">
        <v>126</v>
      </c>
      <c r="B58" s="260">
        <v>-2819</v>
      </c>
    </row>
    <row r="59" spans="1:2">
      <c r="A59" s="253" t="s">
        <v>127</v>
      </c>
      <c r="B59" s="260">
        <v>-775.26</v>
      </c>
    </row>
    <row r="60" spans="1:2">
      <c r="A60" s="253" t="s">
        <v>128</v>
      </c>
      <c r="B60" s="260">
        <v>-1994.9</v>
      </c>
    </row>
    <row r="61" spans="1:2">
      <c r="A61" s="277" t="s">
        <v>130</v>
      </c>
      <c r="B61" s="271">
        <f>SUM(B57:B60)</f>
        <v>-8422.43</v>
      </c>
    </row>
    <row r="62" spans="1:2">
      <c r="A62" s="270" t="s">
        <v>131</v>
      </c>
      <c r="B62" s="271">
        <f>SUM(B61)</f>
        <v>-8422.43</v>
      </c>
    </row>
    <row r="63" spans="1:2">
      <c r="A63" s="269" t="s">
        <v>132</v>
      </c>
      <c r="B63" s="267"/>
    </row>
    <row r="64" spans="1:2">
      <c r="A64" s="276" t="s">
        <v>133</v>
      </c>
      <c r="B64" s="267"/>
    </row>
    <row r="65" spans="1:4">
      <c r="A65" s="253" t="s">
        <v>134</v>
      </c>
      <c r="B65" s="260">
        <v>-82273.34</v>
      </c>
    </row>
    <row r="66" spans="1:4">
      <c r="A66" s="277" t="s">
        <v>135</v>
      </c>
      <c r="B66" s="271">
        <f>SUM(B65)</f>
        <v>-82273.34</v>
      </c>
    </row>
    <row r="67" spans="1:4">
      <c r="A67" s="270" t="s">
        <v>136</v>
      </c>
      <c r="B67" s="271">
        <f>SUM(B66)</f>
        <v>-82273.34</v>
      </c>
    </row>
    <row r="68" spans="1:4">
      <c r="A68" s="269" t="s">
        <v>60</v>
      </c>
      <c r="B68" s="267"/>
    </row>
    <row r="69" spans="1:4">
      <c r="A69" s="276" t="s">
        <v>71</v>
      </c>
      <c r="B69" s="267"/>
    </row>
    <row r="70" spans="1:4">
      <c r="A70" s="253" t="s">
        <v>73</v>
      </c>
      <c r="B70" s="260">
        <v>-16388.330000000002</v>
      </c>
    </row>
    <row r="71" spans="1:4">
      <c r="A71" s="253" t="s">
        <v>137</v>
      </c>
      <c r="B71" s="260">
        <v>2557.5700000000002</v>
      </c>
    </row>
    <row r="72" spans="1:4">
      <c r="A72" s="277" t="s">
        <v>75</v>
      </c>
      <c r="B72" s="271">
        <f>SUM(B70:B71)</f>
        <v>-13830.760000000002</v>
      </c>
    </row>
    <row r="73" spans="1:4">
      <c r="A73" s="276" t="s">
        <v>64</v>
      </c>
      <c r="B73" s="267"/>
    </row>
    <row r="74" spans="1:4">
      <c r="A74" s="253" t="s">
        <v>66</v>
      </c>
      <c r="B74" s="260">
        <v>1382.65</v>
      </c>
    </row>
    <row r="75" spans="1:4">
      <c r="A75" s="253" t="s">
        <v>65</v>
      </c>
      <c r="B75" s="260">
        <v>-477.62</v>
      </c>
    </row>
    <row r="76" spans="1:4">
      <c r="A76" s="277" t="s">
        <v>67</v>
      </c>
      <c r="B76" s="271">
        <f>SUM(B74:B75)</f>
        <v>905.03000000000009</v>
      </c>
    </row>
    <row r="77" spans="1:4">
      <c r="A77" s="270" t="s">
        <v>76</v>
      </c>
      <c r="B77" s="271">
        <f>SUM(B72,B76)</f>
        <v>-12925.730000000001</v>
      </c>
    </row>
    <row r="78" spans="1:4">
      <c r="A78" s="272" t="s">
        <v>95</v>
      </c>
      <c r="B78" s="271">
        <f>SUM(B46,B51,B54,B62,B67,B77)</f>
        <v>-110422.37</v>
      </c>
      <c r="C78">
        <v>4.0999999999999996</v>
      </c>
      <c r="D78" t="s">
        <v>710</v>
      </c>
    </row>
    <row r="79" spans="1:4">
      <c r="A79" s="268" t="s">
        <v>96</v>
      </c>
      <c r="B79" s="267"/>
    </row>
    <row r="80" spans="1:4">
      <c r="A80" s="269" t="s">
        <v>97</v>
      </c>
      <c r="B80" s="267"/>
    </row>
    <row r="81" spans="1:2">
      <c r="A81" s="276" t="s">
        <v>83</v>
      </c>
      <c r="B81" s="267"/>
    </row>
    <row r="82" spans="1:2">
      <c r="A82" s="253" t="s">
        <v>98</v>
      </c>
      <c r="B82" s="260">
        <v>1463786.68</v>
      </c>
    </row>
    <row r="83" spans="1:2">
      <c r="A83" s="253" t="s">
        <v>99</v>
      </c>
      <c r="B83" s="260">
        <v>77512.06</v>
      </c>
    </row>
    <row r="84" spans="1:2">
      <c r="A84" s="278" t="s">
        <v>84</v>
      </c>
      <c r="B84" s="267"/>
    </row>
    <row r="85" spans="1:2">
      <c r="A85" s="279" t="s">
        <v>85</v>
      </c>
      <c r="B85" s="260">
        <v>3676.2</v>
      </c>
    </row>
    <row r="86" spans="1:2">
      <c r="A86" s="279" t="s">
        <v>86</v>
      </c>
      <c r="B86" s="260">
        <v>28172.94</v>
      </c>
    </row>
    <row r="87" spans="1:2">
      <c r="A87" s="279" t="s">
        <v>101</v>
      </c>
      <c r="B87" s="260">
        <v>323.49</v>
      </c>
    </row>
    <row r="88" spans="1:2">
      <c r="A88" s="279" t="s">
        <v>87</v>
      </c>
      <c r="B88" s="260">
        <v>2662.75</v>
      </c>
    </row>
    <row r="89" spans="1:2">
      <c r="A89" s="280" t="s">
        <v>88</v>
      </c>
      <c r="B89" s="271">
        <f>SUM(B85:B88)</f>
        <v>34835.380000000005</v>
      </c>
    </row>
    <row r="90" spans="1:2">
      <c r="A90" s="277" t="s">
        <v>89</v>
      </c>
      <c r="B90" s="271">
        <f>SUM(B82:B83,B89)</f>
        <v>1576134.12</v>
      </c>
    </row>
    <row r="91" spans="1:2">
      <c r="A91" s="276" t="s">
        <v>80</v>
      </c>
      <c r="B91" s="267"/>
    </row>
    <row r="92" spans="1:2">
      <c r="A92" s="253" t="s">
        <v>102</v>
      </c>
      <c r="B92" s="260">
        <v>1560</v>
      </c>
    </row>
    <row r="93" spans="1:2">
      <c r="A93" s="253" t="s">
        <v>103</v>
      </c>
      <c r="B93" s="260">
        <v>-1560</v>
      </c>
    </row>
    <row r="94" spans="1:2">
      <c r="A94" s="253" t="s">
        <v>104</v>
      </c>
      <c r="B94" s="260">
        <v>7526.4</v>
      </c>
    </row>
    <row r="95" spans="1:2">
      <c r="A95" s="253" t="s">
        <v>105</v>
      </c>
      <c r="B95" s="260">
        <v>-7526.4</v>
      </c>
    </row>
    <row r="96" spans="1:2">
      <c r="A96" s="253" t="s">
        <v>106</v>
      </c>
      <c r="B96" s="260">
        <v>1906.48</v>
      </c>
    </row>
    <row r="97" spans="1:2">
      <c r="A97" s="253" t="s">
        <v>107</v>
      </c>
      <c r="B97" s="260">
        <v>-1906.48</v>
      </c>
    </row>
    <row r="98" spans="1:2">
      <c r="A98" s="253" t="s">
        <v>108</v>
      </c>
      <c r="B98" s="260">
        <v>24878.46</v>
      </c>
    </row>
    <row r="99" spans="1:2">
      <c r="A99" s="253" t="s">
        <v>109</v>
      </c>
      <c r="B99" s="260">
        <v>-24878.44</v>
      </c>
    </row>
    <row r="100" spans="1:2">
      <c r="A100" s="253" t="s">
        <v>566</v>
      </c>
      <c r="B100" s="260">
        <v>73342.179999999993</v>
      </c>
    </row>
    <row r="101" spans="1:2">
      <c r="A101" s="277" t="s">
        <v>82</v>
      </c>
      <c r="B101" s="271">
        <f>SUM(B92:B100)</f>
        <v>73342.2</v>
      </c>
    </row>
    <row r="102" spans="1:2">
      <c r="A102" s="276" t="s">
        <v>51</v>
      </c>
      <c r="B102" s="267"/>
    </row>
    <row r="103" spans="1:2">
      <c r="A103" s="253" t="s">
        <v>110</v>
      </c>
      <c r="B103" s="260">
        <v>7654.6</v>
      </c>
    </row>
    <row r="104" spans="1:2">
      <c r="A104" s="253" t="s">
        <v>111</v>
      </c>
      <c r="B104" s="260">
        <v>93603.62</v>
      </c>
    </row>
    <row r="105" spans="1:2">
      <c r="A105" s="253" t="s">
        <v>112</v>
      </c>
      <c r="B105" s="260">
        <v>48458.38</v>
      </c>
    </row>
    <row r="106" spans="1:2">
      <c r="A106" s="277" t="s">
        <v>54</v>
      </c>
      <c r="B106" s="271">
        <f>SUM(B103:B105)</f>
        <v>149716.6</v>
      </c>
    </row>
    <row r="107" spans="1:2">
      <c r="A107" s="276" t="s">
        <v>113</v>
      </c>
      <c r="B107" s="267"/>
    </row>
    <row r="108" spans="1:2">
      <c r="A108" s="253" t="s">
        <v>114</v>
      </c>
      <c r="B108" s="260">
        <v>60962.2</v>
      </c>
    </row>
    <row r="109" spans="1:2">
      <c r="A109" s="277" t="s">
        <v>115</v>
      </c>
      <c r="B109" s="271">
        <f>SUM(B108)</f>
        <v>60962.2</v>
      </c>
    </row>
    <row r="110" spans="1:2">
      <c r="A110" s="276" t="s">
        <v>77</v>
      </c>
      <c r="B110" s="267"/>
    </row>
    <row r="111" spans="1:2">
      <c r="A111" s="253" t="s">
        <v>78</v>
      </c>
      <c r="B111" s="260">
        <v>372.74</v>
      </c>
    </row>
    <row r="112" spans="1:2">
      <c r="A112" s="277" t="s">
        <v>79</v>
      </c>
      <c r="B112" s="271">
        <f>SUM(B111)</f>
        <v>372.74</v>
      </c>
    </row>
    <row r="113" spans="1:2">
      <c r="A113" s="276" t="s">
        <v>116</v>
      </c>
      <c r="B113" s="267"/>
    </row>
    <row r="114" spans="1:2">
      <c r="A114" s="253" t="s">
        <v>117</v>
      </c>
      <c r="B114" s="260">
        <v>11494.66</v>
      </c>
    </row>
    <row r="115" spans="1:2">
      <c r="A115" s="253" t="s">
        <v>118</v>
      </c>
      <c r="B115" s="260">
        <v>125.29</v>
      </c>
    </row>
    <row r="116" spans="1:2">
      <c r="A116" s="277" t="s">
        <v>119</v>
      </c>
      <c r="B116" s="271">
        <f>SUM(B114:B115)</f>
        <v>11619.95</v>
      </c>
    </row>
    <row r="117" spans="1:2">
      <c r="A117" s="276" t="s">
        <v>120</v>
      </c>
      <c r="B117" s="267"/>
    </row>
    <row r="118" spans="1:2">
      <c r="A118" s="253" t="s">
        <v>121</v>
      </c>
      <c r="B118" s="260">
        <v>890.6</v>
      </c>
    </row>
    <row r="119" spans="1:2">
      <c r="A119" s="277" t="s">
        <v>122</v>
      </c>
      <c r="B119" s="271">
        <f>SUM(B118)</f>
        <v>890.6</v>
      </c>
    </row>
    <row r="120" spans="1:2">
      <c r="A120" s="276" t="s">
        <v>123</v>
      </c>
      <c r="B120" s="267"/>
    </row>
    <row r="121" spans="1:2">
      <c r="A121" s="278" t="s">
        <v>124</v>
      </c>
      <c r="B121" s="267"/>
    </row>
    <row r="122" spans="1:2">
      <c r="A122" s="279" t="s">
        <v>125</v>
      </c>
      <c r="B122" s="260">
        <v>2909.5</v>
      </c>
    </row>
    <row r="123" spans="1:2">
      <c r="A123" s="279" t="s">
        <v>126</v>
      </c>
      <c r="B123" s="260">
        <v>7695.57</v>
      </c>
    </row>
    <row r="124" spans="1:2">
      <c r="A124" s="279" t="s">
        <v>127</v>
      </c>
      <c r="B124" s="260">
        <v>1884.71</v>
      </c>
    </row>
    <row r="125" spans="1:2">
      <c r="A125" s="279" t="s">
        <v>128</v>
      </c>
      <c r="B125" s="260">
        <v>3421</v>
      </c>
    </row>
    <row r="126" spans="1:2">
      <c r="A126" s="280" t="s">
        <v>130</v>
      </c>
      <c r="B126" s="271">
        <f>SUM(B122:B125)</f>
        <v>15910.779999999999</v>
      </c>
    </row>
    <row r="127" spans="1:2">
      <c r="A127" s="277" t="s">
        <v>131</v>
      </c>
      <c r="B127" s="271">
        <f>SUM(B126)</f>
        <v>15910.779999999999</v>
      </c>
    </row>
    <row r="128" spans="1:2">
      <c r="A128" s="276" t="s">
        <v>132</v>
      </c>
      <c r="B128" s="267"/>
    </row>
    <row r="129" spans="1:2">
      <c r="A129" s="278" t="s">
        <v>133</v>
      </c>
      <c r="B129" s="267"/>
    </row>
    <row r="130" spans="1:2">
      <c r="A130" s="279" t="s">
        <v>134</v>
      </c>
      <c r="B130" s="260">
        <v>56286.19</v>
      </c>
    </row>
    <row r="131" spans="1:2">
      <c r="A131" s="280" t="s">
        <v>135</v>
      </c>
      <c r="B131" s="271">
        <f>SUM(B130)</f>
        <v>56286.19</v>
      </c>
    </row>
    <row r="132" spans="1:2">
      <c r="A132" s="277" t="s">
        <v>136</v>
      </c>
      <c r="B132" s="271">
        <f>SUM(B131)</f>
        <v>56286.19</v>
      </c>
    </row>
    <row r="133" spans="1:2">
      <c r="A133" s="276" t="s">
        <v>60</v>
      </c>
      <c r="B133" s="267"/>
    </row>
    <row r="134" spans="1:2">
      <c r="A134" s="278" t="s">
        <v>68</v>
      </c>
      <c r="B134" s="267"/>
    </row>
    <row r="135" spans="1:2">
      <c r="A135" s="279" t="s">
        <v>69</v>
      </c>
      <c r="B135" s="260">
        <v>97253.06</v>
      </c>
    </row>
    <row r="136" spans="1:2">
      <c r="A136" s="280" t="s">
        <v>70</v>
      </c>
      <c r="B136" s="271">
        <f>SUM(B135)</f>
        <v>97253.06</v>
      </c>
    </row>
    <row r="137" spans="1:2">
      <c r="A137" s="278" t="s">
        <v>71</v>
      </c>
      <c r="B137" s="267"/>
    </row>
    <row r="138" spans="1:2">
      <c r="A138" s="279" t="s">
        <v>72</v>
      </c>
      <c r="B138" s="260">
        <v>4184.51</v>
      </c>
    </row>
    <row r="139" spans="1:2">
      <c r="A139" s="279" t="s">
        <v>73</v>
      </c>
      <c r="B139" s="260">
        <v>3345.99</v>
      </c>
    </row>
    <row r="140" spans="1:2">
      <c r="A140" s="279" t="s">
        <v>137</v>
      </c>
      <c r="B140" s="260">
        <v>3164.24</v>
      </c>
    </row>
    <row r="141" spans="1:2">
      <c r="A141" s="279" t="s">
        <v>74</v>
      </c>
      <c r="B141" s="260">
        <v>11691.87</v>
      </c>
    </row>
    <row r="142" spans="1:2">
      <c r="A142" s="280" t="s">
        <v>75</v>
      </c>
      <c r="B142" s="271">
        <f>SUM(B138:B141)</f>
        <v>22386.61</v>
      </c>
    </row>
    <row r="143" spans="1:2">
      <c r="A143" s="278" t="s">
        <v>64</v>
      </c>
      <c r="B143" s="267"/>
    </row>
    <row r="144" spans="1:2">
      <c r="A144" s="279" t="s">
        <v>66</v>
      </c>
      <c r="B144" s="260">
        <v>2191.27</v>
      </c>
    </row>
    <row r="145" spans="1:2">
      <c r="A145" s="279" t="s">
        <v>65</v>
      </c>
      <c r="B145" s="260">
        <v>1483.22</v>
      </c>
    </row>
    <row r="146" spans="1:2">
      <c r="A146" s="280" t="s">
        <v>67</v>
      </c>
      <c r="B146" s="271">
        <f>SUM(B144:B145)</f>
        <v>3674.49</v>
      </c>
    </row>
    <row r="147" spans="1:2">
      <c r="A147" s="277" t="s">
        <v>76</v>
      </c>
      <c r="B147" s="271">
        <f>SUM(B136,B142,B146)</f>
        <v>123314.16</v>
      </c>
    </row>
    <row r="148" spans="1:2">
      <c r="A148" s="276" t="s">
        <v>55</v>
      </c>
      <c r="B148" s="267"/>
    </row>
    <row r="149" spans="1:2">
      <c r="A149" s="253" t="s">
        <v>56</v>
      </c>
      <c r="B149" s="260">
        <v>8144.1</v>
      </c>
    </row>
    <row r="150" spans="1:2">
      <c r="A150" s="253" t="s">
        <v>58</v>
      </c>
      <c r="B150" s="260">
        <v>56.88</v>
      </c>
    </row>
    <row r="151" spans="1:2">
      <c r="A151" s="253" t="s">
        <v>57</v>
      </c>
      <c r="B151" s="260">
        <v>662.11</v>
      </c>
    </row>
    <row r="152" spans="1:2">
      <c r="A152" s="277" t="s">
        <v>59</v>
      </c>
      <c r="B152" s="271">
        <f>SUM(B149:B151)</f>
        <v>8863.09</v>
      </c>
    </row>
    <row r="153" spans="1:2">
      <c r="A153" s="270" t="s">
        <v>138</v>
      </c>
      <c r="B153" s="271">
        <f>SUM(B90,B101,B106,B109,B112,B116,B119,B127,B132,B147,B152)</f>
        <v>2077412.6300000001</v>
      </c>
    </row>
    <row r="154" spans="1:2">
      <c r="A154" s="269" t="s">
        <v>139</v>
      </c>
      <c r="B154" s="267"/>
    </row>
    <row r="155" spans="1:2">
      <c r="A155" s="276" t="s">
        <v>83</v>
      </c>
      <c r="B155" s="267"/>
    </row>
    <row r="156" spans="1:2">
      <c r="A156" s="253" t="s">
        <v>98</v>
      </c>
      <c r="B156" s="260">
        <v>4078806.39</v>
      </c>
    </row>
    <row r="157" spans="1:2">
      <c r="A157" s="253" t="s">
        <v>140</v>
      </c>
      <c r="B157" s="260">
        <v>-16597</v>
      </c>
    </row>
    <row r="158" spans="1:2">
      <c r="A158" s="253" t="s">
        <v>99</v>
      </c>
      <c r="B158" s="260">
        <v>4127.74</v>
      </c>
    </row>
    <row r="159" spans="1:2">
      <c r="A159" s="278" t="s">
        <v>84</v>
      </c>
      <c r="B159" s="267"/>
    </row>
    <row r="160" spans="1:2">
      <c r="A160" s="279" t="s">
        <v>85</v>
      </c>
      <c r="B160" s="260">
        <v>18381</v>
      </c>
    </row>
    <row r="161" spans="1:2">
      <c r="A161" s="279" t="s">
        <v>86</v>
      </c>
      <c r="B161" s="260">
        <v>140864.73000000001</v>
      </c>
    </row>
    <row r="162" spans="1:2">
      <c r="A162" s="279" t="s">
        <v>101</v>
      </c>
      <c r="B162" s="260">
        <v>1982.89</v>
      </c>
    </row>
    <row r="163" spans="1:2">
      <c r="A163" s="279" t="s">
        <v>87</v>
      </c>
      <c r="B163" s="260">
        <v>15087.69</v>
      </c>
    </row>
    <row r="164" spans="1:2">
      <c r="A164" s="280" t="s">
        <v>88</v>
      </c>
      <c r="B164" s="271">
        <f>SUM(B160:B163)</f>
        <v>176316.31000000003</v>
      </c>
    </row>
    <row r="165" spans="1:2">
      <c r="A165" s="277" t="s">
        <v>89</v>
      </c>
      <c r="B165" s="271">
        <f>SUM(B156:B158,B164)</f>
        <v>4242653.4400000004</v>
      </c>
    </row>
    <row r="166" spans="1:2">
      <c r="A166" s="276" t="s">
        <v>80</v>
      </c>
      <c r="B166" s="267"/>
    </row>
    <row r="167" spans="1:2">
      <c r="A167" s="253" t="s">
        <v>102</v>
      </c>
      <c r="B167" s="260">
        <v>6000</v>
      </c>
    </row>
    <row r="168" spans="1:2">
      <c r="A168" s="253" t="s">
        <v>103</v>
      </c>
      <c r="B168" s="260">
        <v>-6000</v>
      </c>
    </row>
    <row r="169" spans="1:2">
      <c r="A169" s="253" t="s">
        <v>104</v>
      </c>
      <c r="B169" s="260">
        <v>41663.050000000003</v>
      </c>
    </row>
    <row r="170" spans="1:2">
      <c r="A170" s="253" t="s">
        <v>105</v>
      </c>
      <c r="B170" s="260">
        <v>-41663.03</v>
      </c>
    </row>
    <row r="171" spans="1:2">
      <c r="A171" s="253" t="s">
        <v>106</v>
      </c>
      <c r="B171" s="260">
        <v>120256.58</v>
      </c>
    </row>
    <row r="172" spans="1:2">
      <c r="A172" s="253" t="s">
        <v>107</v>
      </c>
      <c r="B172" s="260">
        <v>-120256.49</v>
      </c>
    </row>
    <row r="173" spans="1:2">
      <c r="A173" s="253" t="s">
        <v>108</v>
      </c>
      <c r="B173" s="260">
        <v>132688.64000000001</v>
      </c>
    </row>
    <row r="174" spans="1:2">
      <c r="A174" s="253" t="s">
        <v>109</v>
      </c>
      <c r="B174" s="260">
        <v>-132688.64000000001</v>
      </c>
    </row>
    <row r="175" spans="1:2">
      <c r="A175" s="253" t="s">
        <v>566</v>
      </c>
      <c r="B175" s="260">
        <v>286626.83</v>
      </c>
    </row>
    <row r="176" spans="1:2">
      <c r="A176" s="277" t="s">
        <v>82</v>
      </c>
      <c r="B176" s="271">
        <f>SUM(B167:B175)</f>
        <v>286626.94</v>
      </c>
    </row>
    <row r="177" spans="1:2">
      <c r="A177" s="276" t="s">
        <v>51</v>
      </c>
      <c r="B177" s="267"/>
    </row>
    <row r="178" spans="1:2">
      <c r="A178" s="253" t="s">
        <v>53</v>
      </c>
      <c r="B178" s="260">
        <v>1477.3</v>
      </c>
    </row>
    <row r="179" spans="1:2">
      <c r="A179" s="253" t="s">
        <v>110</v>
      </c>
      <c r="B179" s="260">
        <v>256949.62</v>
      </c>
    </row>
    <row r="180" spans="1:2">
      <c r="A180" s="253" t="s">
        <v>111</v>
      </c>
      <c r="B180" s="260">
        <v>502028.96</v>
      </c>
    </row>
    <row r="181" spans="1:2">
      <c r="A181" s="277" t="s">
        <v>54</v>
      </c>
      <c r="B181" s="271">
        <f>SUM(B178:B180)</f>
        <v>760455.88</v>
      </c>
    </row>
    <row r="182" spans="1:2">
      <c r="A182" s="276" t="s">
        <v>113</v>
      </c>
      <c r="B182" s="267"/>
    </row>
    <row r="183" spans="1:2">
      <c r="A183" s="253" t="s">
        <v>114</v>
      </c>
      <c r="B183" s="260">
        <v>59599.83</v>
      </c>
    </row>
    <row r="184" spans="1:2">
      <c r="A184" s="277" t="s">
        <v>115</v>
      </c>
      <c r="B184" s="271">
        <f>SUM(B183)</f>
        <v>59599.83</v>
      </c>
    </row>
    <row r="185" spans="1:2">
      <c r="A185" s="276" t="s">
        <v>77</v>
      </c>
      <c r="B185" s="267"/>
    </row>
    <row r="186" spans="1:2">
      <c r="A186" s="253" t="s">
        <v>78</v>
      </c>
      <c r="B186" s="260">
        <v>1863.68</v>
      </c>
    </row>
    <row r="187" spans="1:2">
      <c r="A187" s="277" t="s">
        <v>79</v>
      </c>
      <c r="B187" s="271">
        <f>SUM(B186)</f>
        <v>1863.68</v>
      </c>
    </row>
    <row r="188" spans="1:2">
      <c r="A188" s="276" t="s">
        <v>116</v>
      </c>
      <c r="B188" s="267"/>
    </row>
    <row r="189" spans="1:2">
      <c r="A189" s="253" t="s">
        <v>117</v>
      </c>
      <c r="B189" s="260">
        <v>67151.86</v>
      </c>
    </row>
    <row r="190" spans="1:2">
      <c r="A190" s="253" t="s">
        <v>118</v>
      </c>
      <c r="B190" s="260">
        <v>81000</v>
      </c>
    </row>
    <row r="191" spans="1:2">
      <c r="A191" s="277" t="s">
        <v>119</v>
      </c>
      <c r="B191" s="271">
        <f>SUM(B189:B190)</f>
        <v>148151.85999999999</v>
      </c>
    </row>
    <row r="192" spans="1:2">
      <c r="A192" s="276" t="s">
        <v>120</v>
      </c>
      <c r="B192" s="267"/>
    </row>
    <row r="193" spans="1:2">
      <c r="A193" s="253" t="s">
        <v>121</v>
      </c>
      <c r="B193" s="260">
        <v>3071.05</v>
      </c>
    </row>
    <row r="194" spans="1:2">
      <c r="A194" s="277" t="s">
        <v>122</v>
      </c>
      <c r="B194" s="271">
        <f>SUM(B193)</f>
        <v>3071.05</v>
      </c>
    </row>
    <row r="195" spans="1:2">
      <c r="A195" s="276" t="s">
        <v>123</v>
      </c>
      <c r="B195" s="267"/>
    </row>
    <row r="196" spans="1:2">
      <c r="A196" s="278" t="s">
        <v>124</v>
      </c>
      <c r="B196" s="267"/>
    </row>
    <row r="197" spans="1:2">
      <c r="A197" s="279" t="s">
        <v>125</v>
      </c>
      <c r="B197" s="260">
        <v>12599.43</v>
      </c>
    </row>
    <row r="198" spans="1:2">
      <c r="A198" s="279" t="s">
        <v>127</v>
      </c>
      <c r="B198" s="260">
        <v>341.26</v>
      </c>
    </row>
    <row r="199" spans="1:2">
      <c r="A199" s="279" t="s">
        <v>128</v>
      </c>
      <c r="B199" s="260">
        <v>595.09</v>
      </c>
    </row>
    <row r="200" spans="1:2">
      <c r="A200" s="280" t="s">
        <v>130</v>
      </c>
      <c r="B200" s="271">
        <f>SUM(B197:B199)</f>
        <v>13535.78</v>
      </c>
    </row>
    <row r="201" spans="1:2">
      <c r="A201" s="277" t="s">
        <v>131</v>
      </c>
      <c r="B201" s="271">
        <f>SUM(B200)</f>
        <v>13535.78</v>
      </c>
    </row>
    <row r="202" spans="1:2">
      <c r="A202" s="276" t="s">
        <v>144</v>
      </c>
      <c r="B202" s="267"/>
    </row>
    <row r="203" spans="1:2">
      <c r="A203" s="253" t="s">
        <v>145</v>
      </c>
      <c r="B203" s="260">
        <v>164136.56</v>
      </c>
    </row>
    <row r="204" spans="1:2">
      <c r="A204" s="277" t="s">
        <v>146</v>
      </c>
      <c r="B204" s="271">
        <f>SUM(B203)</f>
        <v>164136.56</v>
      </c>
    </row>
    <row r="205" spans="1:2">
      <c r="A205" s="276" t="s">
        <v>132</v>
      </c>
      <c r="B205" s="267"/>
    </row>
    <row r="206" spans="1:2">
      <c r="A206" s="278" t="s">
        <v>133</v>
      </c>
      <c r="B206" s="267"/>
    </row>
    <row r="207" spans="1:2">
      <c r="A207" s="279" t="s">
        <v>134</v>
      </c>
      <c r="B207" s="260">
        <v>1390301.66</v>
      </c>
    </row>
    <row r="208" spans="1:2">
      <c r="A208" s="279" t="s">
        <v>147</v>
      </c>
      <c r="B208" s="260">
        <v>146349.07999999999</v>
      </c>
    </row>
    <row r="209" spans="1:2">
      <c r="A209" s="280" t="s">
        <v>135</v>
      </c>
      <c r="B209" s="271">
        <f>SUM(B207:B208)</f>
        <v>1536650.74</v>
      </c>
    </row>
    <row r="210" spans="1:2">
      <c r="A210" s="277" t="s">
        <v>136</v>
      </c>
      <c r="B210" s="271">
        <f>SUM(B209)</f>
        <v>1536650.74</v>
      </c>
    </row>
    <row r="211" spans="1:2">
      <c r="A211" s="276" t="s">
        <v>60</v>
      </c>
      <c r="B211" s="267"/>
    </row>
    <row r="212" spans="1:2">
      <c r="A212" s="278" t="s">
        <v>68</v>
      </c>
      <c r="B212" s="267"/>
    </row>
    <row r="213" spans="1:2">
      <c r="A213" s="279" t="s">
        <v>69</v>
      </c>
      <c r="B213" s="260">
        <v>486265.24</v>
      </c>
    </row>
    <row r="214" spans="1:2">
      <c r="A214" s="280" t="s">
        <v>70</v>
      </c>
      <c r="B214" s="271">
        <f>SUM(B213)</f>
        <v>486265.24</v>
      </c>
    </row>
    <row r="215" spans="1:2">
      <c r="A215" s="278" t="s">
        <v>71</v>
      </c>
      <c r="B215" s="267"/>
    </row>
    <row r="216" spans="1:2">
      <c r="A216" s="279" t="s">
        <v>72</v>
      </c>
      <c r="B216" s="260">
        <v>20922.599999999999</v>
      </c>
    </row>
    <row r="217" spans="1:2">
      <c r="A217" s="279" t="s">
        <v>73</v>
      </c>
      <c r="B217" s="260">
        <v>12270.27</v>
      </c>
    </row>
    <row r="218" spans="1:2">
      <c r="A218" s="279" t="s">
        <v>137</v>
      </c>
      <c r="B218" s="260">
        <v>148430.82</v>
      </c>
    </row>
    <row r="219" spans="1:2">
      <c r="A219" s="279" t="s">
        <v>74</v>
      </c>
      <c r="B219" s="260">
        <v>59575.19</v>
      </c>
    </row>
    <row r="220" spans="1:2">
      <c r="A220" s="280" t="s">
        <v>75</v>
      </c>
      <c r="B220" s="271">
        <f>SUM(B216:B219)</f>
        <v>241198.88</v>
      </c>
    </row>
    <row r="221" spans="1:2">
      <c r="A221" s="278" t="s">
        <v>64</v>
      </c>
      <c r="B221" s="267"/>
    </row>
    <row r="222" spans="1:2">
      <c r="A222" s="279" t="s">
        <v>66</v>
      </c>
      <c r="B222" s="260">
        <v>10956.32</v>
      </c>
    </row>
    <row r="223" spans="1:2">
      <c r="A223" s="279" t="s">
        <v>65</v>
      </c>
      <c r="B223" s="260">
        <v>7416.15</v>
      </c>
    </row>
    <row r="224" spans="1:2">
      <c r="A224" s="280" t="s">
        <v>67</v>
      </c>
      <c r="B224" s="271">
        <f>SUM(B222:B223)</f>
        <v>18372.47</v>
      </c>
    </row>
    <row r="225" spans="1:3">
      <c r="A225" s="278" t="s">
        <v>61</v>
      </c>
      <c r="B225" s="267"/>
    </row>
    <row r="226" spans="1:3">
      <c r="A226" s="279" t="s">
        <v>62</v>
      </c>
      <c r="B226" s="260">
        <v>-243</v>
      </c>
    </row>
    <row r="227" spans="1:3">
      <c r="A227" s="280" t="s">
        <v>63</v>
      </c>
      <c r="B227" s="271">
        <f>SUM(B226)</f>
        <v>-243</v>
      </c>
    </row>
    <row r="228" spans="1:3">
      <c r="A228" s="277" t="s">
        <v>76</v>
      </c>
      <c r="B228" s="271">
        <f>SUM(B214,B220,B224,B227)</f>
        <v>745593.59</v>
      </c>
    </row>
    <row r="229" spans="1:3">
      <c r="A229" s="276" t="s">
        <v>55</v>
      </c>
      <c r="B229" s="267"/>
    </row>
    <row r="230" spans="1:3">
      <c r="A230" s="253" t="s">
        <v>56</v>
      </c>
      <c r="B230" s="260">
        <v>40720.67</v>
      </c>
    </row>
    <row r="231" spans="1:3">
      <c r="A231" s="253" t="s">
        <v>58</v>
      </c>
      <c r="B231" s="260">
        <v>284.82</v>
      </c>
    </row>
    <row r="232" spans="1:3">
      <c r="A232" s="253" t="s">
        <v>57</v>
      </c>
      <c r="B232" s="260">
        <v>3310.45</v>
      </c>
    </row>
    <row r="233" spans="1:3">
      <c r="A233" s="277" t="s">
        <v>59</v>
      </c>
      <c r="B233" s="271">
        <f>SUM(B230:B232)</f>
        <v>44315.939999999995</v>
      </c>
    </row>
    <row r="234" spans="1:3">
      <c r="A234" s="270" t="s">
        <v>149</v>
      </c>
      <c r="B234" s="271">
        <f>SUM(B165,B176,B181,B184,B187,B191,B194,B201,B204,B210,B228,B233)</f>
        <v>8006655.290000001</v>
      </c>
    </row>
    <row r="235" spans="1:3">
      <c r="A235" s="272" t="s">
        <v>150</v>
      </c>
      <c r="B235" s="271">
        <f>SUM(B153,B234)</f>
        <v>10084067.920000002</v>
      </c>
      <c r="C235">
        <v>4.0999999999999996</v>
      </c>
    </row>
    <row r="236" spans="1:3">
      <c r="A236" s="268" t="s">
        <v>151</v>
      </c>
      <c r="B236" s="267"/>
    </row>
    <row r="237" spans="1:3">
      <c r="A237" s="269" t="s">
        <v>152</v>
      </c>
      <c r="B237" s="267"/>
    </row>
    <row r="238" spans="1:3">
      <c r="A238" s="276" t="s">
        <v>83</v>
      </c>
      <c r="B238" s="267"/>
    </row>
    <row r="239" spans="1:3">
      <c r="A239" s="253" t="s">
        <v>98</v>
      </c>
      <c r="B239" s="260">
        <v>4214645.3899999997</v>
      </c>
    </row>
    <row r="240" spans="1:3">
      <c r="A240" s="253" t="s">
        <v>99</v>
      </c>
      <c r="B240" s="260">
        <v>42367.44</v>
      </c>
    </row>
    <row r="241" spans="1:2">
      <c r="A241" s="278" t="s">
        <v>84</v>
      </c>
      <c r="B241" s="267"/>
    </row>
    <row r="242" spans="1:2">
      <c r="A242" s="279" t="s">
        <v>85</v>
      </c>
      <c r="B242" s="260">
        <v>1225.4000000000001</v>
      </c>
    </row>
    <row r="243" spans="1:2">
      <c r="A243" s="279" t="s">
        <v>86</v>
      </c>
      <c r="B243" s="260">
        <v>9390.98</v>
      </c>
    </row>
    <row r="244" spans="1:2">
      <c r="A244" s="279" t="s">
        <v>87</v>
      </c>
      <c r="B244" s="260">
        <v>887.59</v>
      </c>
    </row>
    <row r="245" spans="1:2">
      <c r="A245" s="280" t="s">
        <v>88</v>
      </c>
      <c r="B245" s="271">
        <f>SUM(B242:B244)</f>
        <v>11503.97</v>
      </c>
    </row>
    <row r="246" spans="1:2">
      <c r="A246" s="277" t="s">
        <v>89</v>
      </c>
      <c r="B246" s="271">
        <f>SUM(B239:B240,B245)</f>
        <v>4268516.8</v>
      </c>
    </row>
    <row r="247" spans="1:2">
      <c r="A247" s="276" t="s">
        <v>80</v>
      </c>
      <c r="B247" s="267"/>
    </row>
    <row r="248" spans="1:2">
      <c r="A248" s="253" t="s">
        <v>102</v>
      </c>
      <c r="B248" s="260">
        <v>1140</v>
      </c>
    </row>
    <row r="249" spans="1:2">
      <c r="A249" s="253" t="s">
        <v>103</v>
      </c>
      <c r="B249" s="260">
        <v>-1140</v>
      </c>
    </row>
    <row r="250" spans="1:2">
      <c r="A250" s="253" t="s">
        <v>104</v>
      </c>
      <c r="B250" s="260">
        <v>5017.6000000000004</v>
      </c>
    </row>
    <row r="251" spans="1:2">
      <c r="A251" s="253" t="s">
        <v>105</v>
      </c>
      <c r="B251" s="260">
        <v>-5017.6000000000004</v>
      </c>
    </row>
    <row r="252" spans="1:2">
      <c r="A252" s="253" t="s">
        <v>108</v>
      </c>
      <c r="B252" s="260">
        <v>18623.11</v>
      </c>
    </row>
    <row r="253" spans="1:2">
      <c r="A253" s="253" t="s">
        <v>109</v>
      </c>
      <c r="B253" s="260">
        <v>-18623.2</v>
      </c>
    </row>
    <row r="254" spans="1:2">
      <c r="A254" s="253" t="s">
        <v>566</v>
      </c>
      <c r="B254" s="260">
        <v>68216.12</v>
      </c>
    </row>
    <row r="255" spans="1:2">
      <c r="A255" s="277" t="s">
        <v>82</v>
      </c>
      <c r="B255" s="271">
        <f>SUM(B248:B254)</f>
        <v>68216.03</v>
      </c>
    </row>
    <row r="256" spans="1:2">
      <c r="A256" s="276" t="s">
        <v>51</v>
      </c>
      <c r="B256" s="267"/>
    </row>
    <row r="257" spans="1:2">
      <c r="A257" s="253" t="s">
        <v>110</v>
      </c>
      <c r="B257" s="260">
        <v>2018</v>
      </c>
    </row>
    <row r="258" spans="1:2">
      <c r="A258" s="253" t="s">
        <v>111</v>
      </c>
      <c r="B258" s="260">
        <v>59328.68</v>
      </c>
    </row>
    <row r="259" spans="1:2">
      <c r="A259" s="253" t="s">
        <v>112</v>
      </c>
      <c r="B259" s="260">
        <v>78610.490000000005</v>
      </c>
    </row>
    <row r="260" spans="1:2">
      <c r="A260" s="277" t="s">
        <v>54</v>
      </c>
      <c r="B260" s="271">
        <f>SUM(B257:B259)</f>
        <v>139957.17000000001</v>
      </c>
    </row>
    <row r="261" spans="1:2">
      <c r="A261" s="276" t="s">
        <v>113</v>
      </c>
      <c r="B261" s="267"/>
    </row>
    <row r="262" spans="1:2">
      <c r="A262" s="253" t="s">
        <v>114</v>
      </c>
      <c r="B262" s="260">
        <v>83529.62</v>
      </c>
    </row>
    <row r="263" spans="1:2">
      <c r="A263" s="277" t="s">
        <v>115</v>
      </c>
      <c r="B263" s="271">
        <f>SUM(B262)</f>
        <v>83529.62</v>
      </c>
    </row>
    <row r="264" spans="1:2">
      <c r="A264" s="276" t="s">
        <v>77</v>
      </c>
      <c r="B264" s="267"/>
    </row>
    <row r="265" spans="1:2">
      <c r="A265" s="253" t="s">
        <v>78</v>
      </c>
      <c r="B265" s="260">
        <v>12164.1</v>
      </c>
    </row>
    <row r="266" spans="1:2">
      <c r="A266" s="277" t="s">
        <v>79</v>
      </c>
      <c r="B266" s="271">
        <f>SUM(B265)</f>
        <v>12164.1</v>
      </c>
    </row>
    <row r="267" spans="1:2">
      <c r="A267" s="276" t="s">
        <v>116</v>
      </c>
      <c r="B267" s="267"/>
    </row>
    <row r="268" spans="1:2">
      <c r="A268" s="253" t="s">
        <v>117</v>
      </c>
      <c r="B268" s="260">
        <v>6745.55</v>
      </c>
    </row>
    <row r="269" spans="1:2">
      <c r="A269" s="277" t="s">
        <v>119</v>
      </c>
      <c r="B269" s="271">
        <f>SUM(B268)</f>
        <v>6745.55</v>
      </c>
    </row>
    <row r="270" spans="1:2">
      <c r="A270" s="276" t="s">
        <v>123</v>
      </c>
      <c r="B270" s="267"/>
    </row>
    <row r="271" spans="1:2">
      <c r="A271" s="278" t="s">
        <v>124</v>
      </c>
      <c r="B271" s="267"/>
    </row>
    <row r="272" spans="1:2">
      <c r="A272" s="279" t="s">
        <v>127</v>
      </c>
      <c r="B272" s="260">
        <v>618.57000000000005</v>
      </c>
    </row>
    <row r="273" spans="1:2">
      <c r="A273" s="279" t="s">
        <v>129</v>
      </c>
      <c r="B273" s="260">
        <v>14747.59</v>
      </c>
    </row>
    <row r="274" spans="1:2">
      <c r="A274" s="280" t="s">
        <v>130</v>
      </c>
      <c r="B274" s="271">
        <f>SUM(B272:B273)</f>
        <v>15366.16</v>
      </c>
    </row>
    <row r="275" spans="1:2">
      <c r="A275" s="277" t="s">
        <v>131</v>
      </c>
      <c r="B275" s="271">
        <f>SUM(B274)</f>
        <v>15366.16</v>
      </c>
    </row>
    <row r="276" spans="1:2">
      <c r="A276" s="276" t="s">
        <v>154</v>
      </c>
      <c r="B276" s="267"/>
    </row>
    <row r="277" spans="1:2">
      <c r="A277" s="253" t="s">
        <v>155</v>
      </c>
      <c r="B277" s="260">
        <v>1698147.19</v>
      </c>
    </row>
    <row r="278" spans="1:2">
      <c r="A278" s="253" t="s">
        <v>156</v>
      </c>
      <c r="B278" s="260">
        <v>40744.120000000003</v>
      </c>
    </row>
    <row r="279" spans="1:2">
      <c r="A279" s="277" t="s">
        <v>157</v>
      </c>
      <c r="B279" s="271">
        <f>SUM(B277:B278)</f>
        <v>1738891.31</v>
      </c>
    </row>
    <row r="280" spans="1:2">
      <c r="A280" s="276" t="s">
        <v>132</v>
      </c>
      <c r="B280" s="267"/>
    </row>
    <row r="281" spans="1:2">
      <c r="A281" s="278" t="s">
        <v>133</v>
      </c>
      <c r="B281" s="267"/>
    </row>
    <row r="282" spans="1:2">
      <c r="A282" s="279" t="s">
        <v>134</v>
      </c>
      <c r="B282" s="260">
        <v>407750</v>
      </c>
    </row>
    <row r="283" spans="1:2">
      <c r="A283" s="280" t="s">
        <v>135</v>
      </c>
      <c r="B283" s="271">
        <f>SUM(B282)</f>
        <v>407750</v>
      </c>
    </row>
    <row r="284" spans="1:2">
      <c r="A284" s="277" t="s">
        <v>136</v>
      </c>
      <c r="B284" s="271">
        <f>SUM(B283)</f>
        <v>407750</v>
      </c>
    </row>
    <row r="285" spans="1:2">
      <c r="A285" s="276" t="s">
        <v>60</v>
      </c>
      <c r="B285" s="267"/>
    </row>
    <row r="286" spans="1:2">
      <c r="A286" s="278" t="s">
        <v>68</v>
      </c>
      <c r="B286" s="267"/>
    </row>
    <row r="287" spans="1:2">
      <c r="A287" s="279" t="s">
        <v>69</v>
      </c>
      <c r="B287" s="260">
        <v>63001.58</v>
      </c>
    </row>
    <row r="288" spans="1:2">
      <c r="A288" s="280" t="s">
        <v>70</v>
      </c>
      <c r="B288" s="271">
        <f>SUM(B287)</f>
        <v>63001.58</v>
      </c>
    </row>
    <row r="289" spans="1:2">
      <c r="A289" s="278" t="s">
        <v>71</v>
      </c>
      <c r="B289" s="267"/>
    </row>
    <row r="290" spans="1:2">
      <c r="A290" s="279" t="s">
        <v>72</v>
      </c>
      <c r="B290" s="260">
        <v>1394.83</v>
      </c>
    </row>
    <row r="291" spans="1:2">
      <c r="A291" s="279" t="s">
        <v>73</v>
      </c>
      <c r="B291" s="260">
        <v>1805.71</v>
      </c>
    </row>
    <row r="292" spans="1:2">
      <c r="A292" s="279" t="s">
        <v>137</v>
      </c>
      <c r="B292" s="260">
        <v>1054.74</v>
      </c>
    </row>
    <row r="293" spans="1:2">
      <c r="A293" s="279" t="s">
        <v>74</v>
      </c>
      <c r="B293" s="260">
        <v>48472.6</v>
      </c>
    </row>
    <row r="294" spans="1:2">
      <c r="A294" s="280" t="s">
        <v>75</v>
      </c>
      <c r="B294" s="271">
        <f>SUM(B290:B293)</f>
        <v>52727.88</v>
      </c>
    </row>
    <row r="295" spans="1:2">
      <c r="A295" s="278" t="s">
        <v>64</v>
      </c>
      <c r="B295" s="267"/>
    </row>
    <row r="296" spans="1:2">
      <c r="A296" s="279" t="s">
        <v>66</v>
      </c>
      <c r="B296" s="260">
        <v>859.41</v>
      </c>
    </row>
    <row r="297" spans="1:2">
      <c r="A297" s="279" t="s">
        <v>65</v>
      </c>
      <c r="B297" s="260">
        <v>696.25</v>
      </c>
    </row>
    <row r="298" spans="1:2">
      <c r="A298" s="279" t="s">
        <v>161</v>
      </c>
      <c r="B298" s="260">
        <v>135</v>
      </c>
    </row>
    <row r="299" spans="1:2">
      <c r="A299" s="279" t="s">
        <v>671</v>
      </c>
      <c r="B299" s="260">
        <v>2734.88</v>
      </c>
    </row>
    <row r="300" spans="1:2">
      <c r="A300" s="280" t="s">
        <v>67</v>
      </c>
      <c r="B300" s="271">
        <f>SUM(B296:B299)</f>
        <v>4425.54</v>
      </c>
    </row>
    <row r="301" spans="1:2">
      <c r="A301" s="277" t="s">
        <v>76</v>
      </c>
      <c r="B301" s="271">
        <f>SUM(B288,B294,B300)</f>
        <v>120154.99999999999</v>
      </c>
    </row>
    <row r="302" spans="1:2">
      <c r="A302" s="276" t="s">
        <v>162</v>
      </c>
      <c r="B302" s="267"/>
    </row>
    <row r="303" spans="1:2">
      <c r="A303" s="253" t="s">
        <v>164</v>
      </c>
      <c r="B303" s="260">
        <v>165.18</v>
      </c>
    </row>
    <row r="304" spans="1:2">
      <c r="A304" s="277" t="s">
        <v>165</v>
      </c>
      <c r="B304" s="271">
        <f>SUM(B303)</f>
        <v>165.18</v>
      </c>
    </row>
    <row r="305" spans="1:2">
      <c r="A305" s="276" t="s">
        <v>55</v>
      </c>
      <c r="B305" s="267"/>
    </row>
    <row r="306" spans="1:2">
      <c r="A306" s="253" t="s">
        <v>56</v>
      </c>
      <c r="B306" s="260">
        <v>2714.68</v>
      </c>
    </row>
    <row r="307" spans="1:2">
      <c r="A307" s="253" t="s">
        <v>58</v>
      </c>
      <c r="B307" s="260">
        <v>18.96</v>
      </c>
    </row>
    <row r="308" spans="1:2">
      <c r="A308" s="253" t="s">
        <v>57</v>
      </c>
      <c r="B308" s="260">
        <v>220.72</v>
      </c>
    </row>
    <row r="309" spans="1:2">
      <c r="A309" s="277" t="s">
        <v>59</v>
      </c>
      <c r="B309" s="271">
        <f>SUM(B306:B308)</f>
        <v>2954.3599999999997</v>
      </c>
    </row>
    <row r="310" spans="1:2">
      <c r="A310" s="270" t="s">
        <v>166</v>
      </c>
      <c r="B310" s="271">
        <f>SUM(B246,B255,B260,B263,B266,B269,B275,B279,B284,B301,B304,B309)</f>
        <v>6864411.2800000003</v>
      </c>
    </row>
    <row r="311" spans="1:2">
      <c r="A311" s="269" t="s">
        <v>167</v>
      </c>
      <c r="B311" s="267"/>
    </row>
    <row r="312" spans="1:2">
      <c r="A312" s="276" t="s">
        <v>113</v>
      </c>
      <c r="B312" s="267"/>
    </row>
    <row r="313" spans="1:2">
      <c r="A313" s="253" t="s">
        <v>114</v>
      </c>
      <c r="B313" s="260">
        <v>-53103.6</v>
      </c>
    </row>
    <row r="314" spans="1:2">
      <c r="A314" s="277" t="s">
        <v>115</v>
      </c>
      <c r="B314" s="271">
        <f>SUM(B313)</f>
        <v>-53103.6</v>
      </c>
    </row>
    <row r="315" spans="1:2">
      <c r="A315" s="276" t="s">
        <v>116</v>
      </c>
      <c r="B315" s="267"/>
    </row>
    <row r="316" spans="1:2">
      <c r="A316" s="253" t="s">
        <v>117</v>
      </c>
      <c r="B316" s="260">
        <v>4734.08</v>
      </c>
    </row>
    <row r="317" spans="1:2">
      <c r="A317" s="277" t="s">
        <v>119</v>
      </c>
      <c r="B317" s="271">
        <f>SUM(B316)</f>
        <v>4734.08</v>
      </c>
    </row>
    <row r="318" spans="1:2">
      <c r="A318" s="276" t="s">
        <v>168</v>
      </c>
      <c r="B318" s="267"/>
    </row>
    <row r="319" spans="1:2">
      <c r="A319" s="253" t="s">
        <v>169</v>
      </c>
      <c r="B319" s="260">
        <v>148.72</v>
      </c>
    </row>
    <row r="320" spans="1:2">
      <c r="A320" s="253" t="s">
        <v>170</v>
      </c>
      <c r="B320" s="260">
        <v>132702.41</v>
      </c>
    </row>
    <row r="321" spans="1:3">
      <c r="A321" s="253" t="s">
        <v>171</v>
      </c>
      <c r="B321" s="260">
        <v>10734.46</v>
      </c>
    </row>
    <row r="322" spans="1:3">
      <c r="A322" s="277" t="s">
        <v>172</v>
      </c>
      <c r="B322" s="271">
        <f>SUM(B319:B321)</f>
        <v>143585.59</v>
      </c>
    </row>
    <row r="323" spans="1:3">
      <c r="A323" s="276" t="s">
        <v>154</v>
      </c>
      <c r="B323" s="267"/>
    </row>
    <row r="324" spans="1:3">
      <c r="A324" s="253" t="s">
        <v>155</v>
      </c>
      <c r="B324" s="260">
        <v>44318.77</v>
      </c>
    </row>
    <row r="325" spans="1:3">
      <c r="A325" s="277" t="s">
        <v>157</v>
      </c>
      <c r="B325" s="271">
        <f>SUM(B324)</f>
        <v>44318.77</v>
      </c>
    </row>
    <row r="326" spans="1:3">
      <c r="A326" s="276" t="s">
        <v>60</v>
      </c>
      <c r="B326" s="267"/>
    </row>
    <row r="327" spans="1:3">
      <c r="A327" s="278" t="s">
        <v>71</v>
      </c>
      <c r="B327" s="267"/>
    </row>
    <row r="328" spans="1:3">
      <c r="A328" s="279" t="s">
        <v>74</v>
      </c>
      <c r="B328" s="260">
        <v>43333.84</v>
      </c>
    </row>
    <row r="329" spans="1:3">
      <c r="A329" s="280" t="s">
        <v>75</v>
      </c>
      <c r="B329" s="271">
        <f>SUM(B328)</f>
        <v>43333.84</v>
      </c>
    </row>
    <row r="330" spans="1:3">
      <c r="A330" s="277" t="s">
        <v>76</v>
      </c>
      <c r="B330" s="271">
        <f>SUM(B329)</f>
        <v>43333.84</v>
      </c>
    </row>
    <row r="331" spans="1:3">
      <c r="A331" s="270" t="s">
        <v>173</v>
      </c>
      <c r="B331" s="271">
        <f>SUM(B314,B317,B322,B325,B330)</f>
        <v>182868.68</v>
      </c>
    </row>
    <row r="332" spans="1:3">
      <c r="A332" s="272" t="s">
        <v>174</v>
      </c>
      <c r="B332" s="271">
        <f>SUM(B310,B331)</f>
        <v>7047279.96</v>
      </c>
      <c r="C332">
        <v>4.2</v>
      </c>
    </row>
    <row r="333" spans="1:3">
      <c r="A333" s="268" t="s">
        <v>175</v>
      </c>
      <c r="B333" s="267"/>
    </row>
    <row r="334" spans="1:3">
      <c r="A334" s="269" t="s">
        <v>176</v>
      </c>
      <c r="B334" s="267"/>
    </row>
    <row r="335" spans="1:3">
      <c r="A335" s="276" t="s">
        <v>83</v>
      </c>
      <c r="B335" s="267"/>
    </row>
    <row r="336" spans="1:3">
      <c r="A336" s="253" t="s">
        <v>98</v>
      </c>
      <c r="B336" s="260">
        <v>452983</v>
      </c>
    </row>
    <row r="337" spans="1:2">
      <c r="A337" s="253" t="s">
        <v>99</v>
      </c>
      <c r="B337" s="260">
        <v>17697.919999999998</v>
      </c>
    </row>
    <row r="338" spans="1:2">
      <c r="A338" s="278" t="s">
        <v>84</v>
      </c>
      <c r="B338" s="267"/>
    </row>
    <row r="339" spans="1:2">
      <c r="A339" s="279" t="s">
        <v>85</v>
      </c>
      <c r="B339" s="260">
        <v>2450.8000000000002</v>
      </c>
    </row>
    <row r="340" spans="1:2">
      <c r="A340" s="279" t="s">
        <v>86</v>
      </c>
      <c r="B340" s="260">
        <v>18781.96</v>
      </c>
    </row>
    <row r="341" spans="1:2">
      <c r="A341" s="279" t="s">
        <v>101</v>
      </c>
      <c r="B341" s="260">
        <v>301.49</v>
      </c>
    </row>
    <row r="342" spans="1:2">
      <c r="A342" s="279" t="s">
        <v>87</v>
      </c>
      <c r="B342" s="260">
        <v>1775.16</v>
      </c>
    </row>
    <row r="343" spans="1:2">
      <c r="A343" s="280" t="s">
        <v>88</v>
      </c>
      <c r="B343" s="271">
        <f>SUM(B339:B342)</f>
        <v>23309.41</v>
      </c>
    </row>
    <row r="344" spans="1:2">
      <c r="A344" s="277" t="s">
        <v>89</v>
      </c>
      <c r="B344" s="271">
        <f>SUM(B336:B337,B343)</f>
        <v>493990.32999999996</v>
      </c>
    </row>
    <row r="345" spans="1:2">
      <c r="A345" s="276" t="s">
        <v>80</v>
      </c>
      <c r="B345" s="267"/>
    </row>
    <row r="346" spans="1:2">
      <c r="A346" s="253" t="s">
        <v>102</v>
      </c>
      <c r="B346" s="260">
        <v>600</v>
      </c>
    </row>
    <row r="347" spans="1:2">
      <c r="A347" s="253" t="s">
        <v>103</v>
      </c>
      <c r="B347" s="260">
        <v>-600</v>
      </c>
    </row>
    <row r="348" spans="1:2">
      <c r="A348" s="253" t="s">
        <v>106</v>
      </c>
      <c r="B348" s="260">
        <v>163</v>
      </c>
    </row>
    <row r="349" spans="1:2">
      <c r="A349" s="253" t="s">
        <v>107</v>
      </c>
      <c r="B349" s="260">
        <v>-163</v>
      </c>
    </row>
    <row r="350" spans="1:2">
      <c r="A350" s="253" t="s">
        <v>108</v>
      </c>
      <c r="B350" s="260">
        <v>19579</v>
      </c>
    </row>
    <row r="351" spans="1:2">
      <c r="A351" s="253" t="s">
        <v>109</v>
      </c>
      <c r="B351" s="260">
        <v>-19579</v>
      </c>
    </row>
    <row r="352" spans="1:2">
      <c r="A352" s="253" t="s">
        <v>566</v>
      </c>
      <c r="B352" s="260">
        <v>33166</v>
      </c>
    </row>
    <row r="353" spans="1:2">
      <c r="A353" s="277" t="s">
        <v>82</v>
      </c>
      <c r="B353" s="271">
        <f>SUM(B346:B352)</f>
        <v>33166</v>
      </c>
    </row>
    <row r="354" spans="1:2">
      <c r="A354" s="276" t="s">
        <v>51</v>
      </c>
      <c r="B354" s="267"/>
    </row>
    <row r="355" spans="1:2">
      <c r="A355" s="253" t="s">
        <v>110</v>
      </c>
      <c r="B355" s="260">
        <v>20258</v>
      </c>
    </row>
    <row r="356" spans="1:2">
      <c r="A356" s="253" t="s">
        <v>111</v>
      </c>
      <c r="B356" s="260">
        <v>40836</v>
      </c>
    </row>
    <row r="357" spans="1:2">
      <c r="A357" s="253" t="s">
        <v>112</v>
      </c>
      <c r="B357" s="260">
        <v>28490.99</v>
      </c>
    </row>
    <row r="358" spans="1:2">
      <c r="A358" s="277" t="s">
        <v>54</v>
      </c>
      <c r="B358" s="271">
        <f>SUM(B355:B357)</f>
        <v>89584.99</v>
      </c>
    </row>
    <row r="359" spans="1:2">
      <c r="A359" s="276" t="s">
        <v>113</v>
      </c>
      <c r="B359" s="267"/>
    </row>
    <row r="360" spans="1:2">
      <c r="A360" s="253" t="s">
        <v>114</v>
      </c>
      <c r="B360" s="260">
        <v>6003.8</v>
      </c>
    </row>
    <row r="361" spans="1:2">
      <c r="A361" s="277" t="s">
        <v>115</v>
      </c>
      <c r="B361" s="271">
        <f>SUM(B360)</f>
        <v>6003.8</v>
      </c>
    </row>
    <row r="362" spans="1:2">
      <c r="A362" s="276" t="s">
        <v>77</v>
      </c>
      <c r="B362" s="267"/>
    </row>
    <row r="363" spans="1:2">
      <c r="A363" s="253" t="s">
        <v>78</v>
      </c>
      <c r="B363" s="260">
        <v>248.5</v>
      </c>
    </row>
    <row r="364" spans="1:2">
      <c r="A364" s="277" t="s">
        <v>79</v>
      </c>
      <c r="B364" s="271">
        <f>SUM(B363)</f>
        <v>248.5</v>
      </c>
    </row>
    <row r="365" spans="1:2">
      <c r="A365" s="276" t="s">
        <v>116</v>
      </c>
      <c r="B365" s="267"/>
    </row>
    <row r="366" spans="1:2">
      <c r="A366" s="253" t="s">
        <v>117</v>
      </c>
      <c r="B366" s="260">
        <v>2540.1</v>
      </c>
    </row>
    <row r="367" spans="1:2">
      <c r="A367" s="277" t="s">
        <v>119</v>
      </c>
      <c r="B367" s="271">
        <f>SUM(B366)</f>
        <v>2540.1</v>
      </c>
    </row>
    <row r="368" spans="1:2">
      <c r="A368" s="276" t="s">
        <v>120</v>
      </c>
      <c r="B368" s="267"/>
    </row>
    <row r="369" spans="1:2">
      <c r="A369" s="253" t="s">
        <v>121</v>
      </c>
      <c r="B369" s="260">
        <v>800</v>
      </c>
    </row>
    <row r="370" spans="1:2">
      <c r="A370" s="277" t="s">
        <v>122</v>
      </c>
      <c r="B370" s="271">
        <f>SUM(B369)</f>
        <v>800</v>
      </c>
    </row>
    <row r="371" spans="1:2">
      <c r="A371" s="276" t="s">
        <v>123</v>
      </c>
      <c r="B371" s="267"/>
    </row>
    <row r="372" spans="1:2">
      <c r="A372" s="278" t="s">
        <v>124</v>
      </c>
      <c r="B372" s="267"/>
    </row>
    <row r="373" spans="1:2">
      <c r="A373" s="279" t="s">
        <v>125</v>
      </c>
      <c r="B373" s="260">
        <v>15830.3</v>
      </c>
    </row>
    <row r="374" spans="1:2">
      <c r="A374" s="279" t="s">
        <v>126</v>
      </c>
      <c r="B374" s="260">
        <v>13652.13</v>
      </c>
    </row>
    <row r="375" spans="1:2">
      <c r="A375" s="279" t="s">
        <v>127</v>
      </c>
      <c r="B375" s="260">
        <v>2822.36</v>
      </c>
    </row>
    <row r="376" spans="1:2">
      <c r="A376" s="279" t="s">
        <v>128</v>
      </c>
      <c r="B376" s="260">
        <v>8802.1</v>
      </c>
    </row>
    <row r="377" spans="1:2">
      <c r="A377" s="280" t="s">
        <v>130</v>
      </c>
      <c r="B377" s="271">
        <f>SUM(B373:B376)</f>
        <v>41106.89</v>
      </c>
    </row>
    <row r="378" spans="1:2">
      <c r="A378" s="277" t="s">
        <v>131</v>
      </c>
      <c r="B378" s="271">
        <f>SUM(B377)</f>
        <v>41106.89</v>
      </c>
    </row>
    <row r="379" spans="1:2">
      <c r="A379" s="276" t="s">
        <v>132</v>
      </c>
      <c r="B379" s="267"/>
    </row>
    <row r="380" spans="1:2">
      <c r="A380" s="278" t="s">
        <v>133</v>
      </c>
      <c r="B380" s="267"/>
    </row>
    <row r="381" spans="1:2">
      <c r="A381" s="279" t="s">
        <v>147</v>
      </c>
      <c r="B381" s="260">
        <v>147000</v>
      </c>
    </row>
    <row r="382" spans="1:2">
      <c r="A382" s="280" t="s">
        <v>135</v>
      </c>
      <c r="B382" s="271">
        <f>SUM(B381)</f>
        <v>147000</v>
      </c>
    </row>
    <row r="383" spans="1:2">
      <c r="A383" s="278" t="s">
        <v>177</v>
      </c>
      <c r="B383" s="267"/>
    </row>
    <row r="384" spans="1:2">
      <c r="A384" s="279" t="s">
        <v>178</v>
      </c>
      <c r="B384" s="260">
        <v>451910.05</v>
      </c>
    </row>
    <row r="385" spans="1:2">
      <c r="A385" s="280" t="s">
        <v>179</v>
      </c>
      <c r="B385" s="271">
        <f>SUM(B384)</f>
        <v>451910.05</v>
      </c>
    </row>
    <row r="386" spans="1:2">
      <c r="A386" s="277" t="s">
        <v>136</v>
      </c>
      <c r="B386" s="271">
        <f>SUM(B382,B385)</f>
        <v>598910.05000000005</v>
      </c>
    </row>
    <row r="387" spans="1:2">
      <c r="A387" s="276" t="s">
        <v>60</v>
      </c>
      <c r="B387" s="267"/>
    </row>
    <row r="388" spans="1:2">
      <c r="A388" s="278" t="s">
        <v>68</v>
      </c>
      <c r="B388" s="267"/>
    </row>
    <row r="389" spans="1:2">
      <c r="A389" s="279" t="s">
        <v>69</v>
      </c>
      <c r="B389" s="260">
        <v>64835.38</v>
      </c>
    </row>
    <row r="390" spans="1:2">
      <c r="A390" s="280" t="s">
        <v>70</v>
      </c>
      <c r="B390" s="271">
        <f>SUM(B389)</f>
        <v>64835.38</v>
      </c>
    </row>
    <row r="391" spans="1:2">
      <c r="A391" s="278" t="s">
        <v>71</v>
      </c>
      <c r="B391" s="267"/>
    </row>
    <row r="392" spans="1:2">
      <c r="A392" s="279" t="s">
        <v>72</v>
      </c>
      <c r="B392" s="260">
        <v>2789.68</v>
      </c>
    </row>
    <row r="393" spans="1:2">
      <c r="A393" s="279" t="s">
        <v>73</v>
      </c>
      <c r="B393" s="260">
        <v>1382.98</v>
      </c>
    </row>
    <row r="394" spans="1:2">
      <c r="A394" s="279" t="s">
        <v>137</v>
      </c>
      <c r="B394" s="260">
        <v>2109.5</v>
      </c>
    </row>
    <row r="395" spans="1:2">
      <c r="A395" s="279" t="s">
        <v>74</v>
      </c>
      <c r="B395" s="260">
        <v>114246.2</v>
      </c>
    </row>
    <row r="396" spans="1:2">
      <c r="A396" s="280" t="s">
        <v>75</v>
      </c>
      <c r="B396" s="271">
        <f>SUM(B392:B395)</f>
        <v>120528.36</v>
      </c>
    </row>
    <row r="397" spans="1:2">
      <c r="A397" s="278" t="s">
        <v>64</v>
      </c>
      <c r="B397" s="267"/>
    </row>
    <row r="398" spans="1:2">
      <c r="A398" s="279" t="s">
        <v>66</v>
      </c>
      <c r="B398" s="260">
        <v>1460.85</v>
      </c>
    </row>
    <row r="399" spans="1:2">
      <c r="A399" s="279" t="s">
        <v>65</v>
      </c>
      <c r="B399" s="260">
        <v>988.81</v>
      </c>
    </row>
    <row r="400" spans="1:2">
      <c r="A400" s="280" t="s">
        <v>67</v>
      </c>
      <c r="B400" s="271">
        <f>SUM(B398:B399)</f>
        <v>2449.66</v>
      </c>
    </row>
    <row r="401" spans="1:2">
      <c r="A401" s="278" t="s">
        <v>61</v>
      </c>
      <c r="B401" s="267"/>
    </row>
    <row r="402" spans="1:2">
      <c r="A402" s="279" t="s">
        <v>180</v>
      </c>
      <c r="B402" s="260">
        <v>105837.95</v>
      </c>
    </row>
    <row r="403" spans="1:2">
      <c r="A403" s="280" t="s">
        <v>63</v>
      </c>
      <c r="B403" s="271">
        <f>SUM(B402)</f>
        <v>105837.95</v>
      </c>
    </row>
    <row r="404" spans="1:2">
      <c r="A404" s="277" t="s">
        <v>76</v>
      </c>
      <c r="B404" s="271">
        <f>SUM(B390,B396,B400,B403)</f>
        <v>293651.34999999998</v>
      </c>
    </row>
    <row r="405" spans="1:2">
      <c r="A405" s="276" t="s">
        <v>55</v>
      </c>
      <c r="B405" s="267"/>
    </row>
    <row r="406" spans="1:2">
      <c r="A406" s="253" t="s">
        <v>56</v>
      </c>
      <c r="B406" s="260">
        <v>5429.42</v>
      </c>
    </row>
    <row r="407" spans="1:2">
      <c r="A407" s="253" t="s">
        <v>58</v>
      </c>
      <c r="B407" s="260">
        <v>37.92</v>
      </c>
    </row>
    <row r="408" spans="1:2">
      <c r="A408" s="253" t="s">
        <v>57</v>
      </c>
      <c r="B408" s="260">
        <v>441.39</v>
      </c>
    </row>
    <row r="409" spans="1:2">
      <c r="A409" s="277" t="s">
        <v>59</v>
      </c>
      <c r="B409" s="271">
        <f>SUM(B406:B408)</f>
        <v>5908.7300000000005</v>
      </c>
    </row>
    <row r="410" spans="1:2">
      <c r="A410" s="270" t="s">
        <v>181</v>
      </c>
      <c r="B410" s="271">
        <f>SUM(B344,B353,B358,B361,B364,B367,B370,B378,B386,B404,B409)</f>
        <v>1565910.7400000002</v>
      </c>
    </row>
    <row r="411" spans="1:2">
      <c r="A411" s="269" t="s">
        <v>182</v>
      </c>
      <c r="B411" s="267"/>
    </row>
    <row r="412" spans="1:2">
      <c r="A412" s="276" t="s">
        <v>83</v>
      </c>
      <c r="B412" s="267"/>
    </row>
    <row r="413" spans="1:2">
      <c r="A413" s="253" t="s">
        <v>98</v>
      </c>
      <c r="B413" s="260">
        <v>596392</v>
      </c>
    </row>
    <row r="414" spans="1:2">
      <c r="A414" s="253" t="s">
        <v>99</v>
      </c>
      <c r="B414" s="260">
        <v>-38243.620000000003</v>
      </c>
    </row>
    <row r="415" spans="1:2">
      <c r="A415" s="278" t="s">
        <v>84</v>
      </c>
      <c r="B415" s="267"/>
    </row>
    <row r="416" spans="1:2">
      <c r="A416" s="279" t="s">
        <v>85</v>
      </c>
      <c r="B416" s="260">
        <v>2450.8000000000002</v>
      </c>
    </row>
    <row r="417" spans="1:2">
      <c r="A417" s="279" t="s">
        <v>86</v>
      </c>
      <c r="B417" s="260">
        <v>18781.96</v>
      </c>
    </row>
    <row r="418" spans="1:2">
      <c r="A418" s="279" t="s">
        <v>101</v>
      </c>
      <c r="B418" s="260">
        <v>301.49</v>
      </c>
    </row>
    <row r="419" spans="1:2">
      <c r="A419" s="279" t="s">
        <v>87</v>
      </c>
      <c r="B419" s="260">
        <v>1775.16</v>
      </c>
    </row>
    <row r="420" spans="1:2">
      <c r="A420" s="280" t="s">
        <v>88</v>
      </c>
      <c r="B420" s="271">
        <f>SUM(B416:B419)</f>
        <v>23309.41</v>
      </c>
    </row>
    <row r="421" spans="1:2">
      <c r="A421" s="277" t="s">
        <v>89</v>
      </c>
      <c r="B421" s="271">
        <f>SUM(B413:B414,B420)</f>
        <v>581457.79</v>
      </c>
    </row>
    <row r="422" spans="1:2">
      <c r="A422" s="276" t="s">
        <v>80</v>
      </c>
      <c r="B422" s="267"/>
    </row>
    <row r="423" spans="1:2">
      <c r="A423" s="253" t="s">
        <v>102</v>
      </c>
      <c r="B423" s="260">
        <v>600</v>
      </c>
    </row>
    <row r="424" spans="1:2">
      <c r="A424" s="253" t="s">
        <v>103</v>
      </c>
      <c r="B424" s="260">
        <v>-600</v>
      </c>
    </row>
    <row r="425" spans="1:2">
      <c r="A425" s="253" t="s">
        <v>104</v>
      </c>
      <c r="B425" s="260">
        <v>3235</v>
      </c>
    </row>
    <row r="426" spans="1:2">
      <c r="A426" s="253" t="s">
        <v>105</v>
      </c>
      <c r="B426" s="260">
        <v>-3235</v>
      </c>
    </row>
    <row r="427" spans="1:2">
      <c r="A427" s="253" t="s">
        <v>106</v>
      </c>
      <c r="B427" s="260">
        <v>17335</v>
      </c>
    </row>
    <row r="428" spans="1:2">
      <c r="A428" s="253" t="s">
        <v>107</v>
      </c>
      <c r="B428" s="260">
        <v>-17335</v>
      </c>
    </row>
    <row r="429" spans="1:2">
      <c r="A429" s="253" t="s">
        <v>108</v>
      </c>
      <c r="B429" s="260">
        <v>21140</v>
      </c>
    </row>
    <row r="430" spans="1:2">
      <c r="A430" s="253" t="s">
        <v>109</v>
      </c>
      <c r="B430" s="260">
        <v>-21140</v>
      </c>
    </row>
    <row r="431" spans="1:2">
      <c r="A431" s="253" t="s">
        <v>566</v>
      </c>
      <c r="B431" s="260">
        <v>42444</v>
      </c>
    </row>
    <row r="432" spans="1:2">
      <c r="A432" s="277" t="s">
        <v>82</v>
      </c>
      <c r="B432" s="271">
        <f>SUM(B423:B431)</f>
        <v>42444</v>
      </c>
    </row>
    <row r="433" spans="1:2">
      <c r="A433" s="276" t="s">
        <v>51</v>
      </c>
      <c r="B433" s="267"/>
    </row>
    <row r="434" spans="1:2">
      <c r="A434" s="253" t="s">
        <v>110</v>
      </c>
      <c r="B434" s="260">
        <v>42780</v>
      </c>
    </row>
    <row r="435" spans="1:2">
      <c r="A435" s="253" t="s">
        <v>111</v>
      </c>
      <c r="B435" s="260">
        <v>86717.92</v>
      </c>
    </row>
    <row r="436" spans="1:2">
      <c r="A436" s="277" t="s">
        <v>54</v>
      </c>
      <c r="B436" s="271">
        <f>SUM(B434:B435)</f>
        <v>129497.92</v>
      </c>
    </row>
    <row r="437" spans="1:2">
      <c r="A437" s="276" t="s">
        <v>113</v>
      </c>
      <c r="B437" s="267"/>
    </row>
    <row r="438" spans="1:2">
      <c r="A438" s="253" t="s">
        <v>114</v>
      </c>
      <c r="B438" s="260">
        <v>68162.899999999994</v>
      </c>
    </row>
    <row r="439" spans="1:2">
      <c r="A439" s="277" t="s">
        <v>115</v>
      </c>
      <c r="B439" s="271">
        <f>SUM(B438)</f>
        <v>68162.899999999994</v>
      </c>
    </row>
    <row r="440" spans="1:2">
      <c r="A440" s="276" t="s">
        <v>77</v>
      </c>
      <c r="B440" s="267"/>
    </row>
    <row r="441" spans="1:2">
      <c r="A441" s="253" t="s">
        <v>78</v>
      </c>
      <c r="B441" s="260">
        <v>248.5</v>
      </c>
    </row>
    <row r="442" spans="1:2">
      <c r="A442" s="277" t="s">
        <v>79</v>
      </c>
      <c r="B442" s="271">
        <f>SUM(B441)</f>
        <v>248.5</v>
      </c>
    </row>
    <row r="443" spans="1:2">
      <c r="A443" s="276" t="s">
        <v>116</v>
      </c>
      <c r="B443" s="267"/>
    </row>
    <row r="444" spans="1:2">
      <c r="A444" s="253" t="s">
        <v>117</v>
      </c>
      <c r="B444" s="260">
        <v>393.91</v>
      </c>
    </row>
    <row r="445" spans="1:2">
      <c r="A445" s="277" t="s">
        <v>119</v>
      </c>
      <c r="B445" s="271">
        <f>SUM(B444)</f>
        <v>393.91</v>
      </c>
    </row>
    <row r="446" spans="1:2">
      <c r="A446" s="276" t="s">
        <v>120</v>
      </c>
      <c r="B446" s="267"/>
    </row>
    <row r="447" spans="1:2">
      <c r="A447" s="253" t="s">
        <v>121</v>
      </c>
      <c r="B447" s="260">
        <v>700</v>
      </c>
    </row>
    <row r="448" spans="1:2">
      <c r="A448" s="277" t="s">
        <v>122</v>
      </c>
      <c r="B448" s="271">
        <f>SUM(B447)</f>
        <v>700</v>
      </c>
    </row>
    <row r="449" spans="1:2">
      <c r="A449" s="276" t="s">
        <v>123</v>
      </c>
      <c r="B449" s="267"/>
    </row>
    <row r="450" spans="1:2">
      <c r="A450" s="278" t="s">
        <v>124</v>
      </c>
      <c r="B450" s="267"/>
    </row>
    <row r="451" spans="1:2">
      <c r="A451" s="279" t="s">
        <v>125</v>
      </c>
      <c r="B451" s="260">
        <v>7610.92</v>
      </c>
    </row>
    <row r="452" spans="1:2">
      <c r="A452" s="279" t="s">
        <v>126</v>
      </c>
      <c r="B452" s="260">
        <v>4405.09</v>
      </c>
    </row>
    <row r="453" spans="1:2">
      <c r="A453" s="279" t="s">
        <v>127</v>
      </c>
      <c r="B453" s="260">
        <v>726.74</v>
      </c>
    </row>
    <row r="454" spans="1:2">
      <c r="A454" s="279" t="s">
        <v>128</v>
      </c>
      <c r="B454" s="260">
        <v>3265.12</v>
      </c>
    </row>
    <row r="455" spans="1:2">
      <c r="A455" s="280" t="s">
        <v>130</v>
      </c>
      <c r="B455" s="271">
        <f>SUM(B451:B454)</f>
        <v>16007.869999999999</v>
      </c>
    </row>
    <row r="456" spans="1:2">
      <c r="A456" s="277" t="s">
        <v>131</v>
      </c>
      <c r="B456" s="271">
        <f>SUM(B455)</f>
        <v>16007.869999999999</v>
      </c>
    </row>
    <row r="457" spans="1:2">
      <c r="A457" s="276" t="s">
        <v>132</v>
      </c>
      <c r="B457" s="267"/>
    </row>
    <row r="458" spans="1:2">
      <c r="A458" s="278" t="s">
        <v>133</v>
      </c>
      <c r="B458" s="267"/>
    </row>
    <row r="459" spans="1:2">
      <c r="A459" s="279" t="s">
        <v>147</v>
      </c>
      <c r="B459" s="260">
        <v>8500</v>
      </c>
    </row>
    <row r="460" spans="1:2">
      <c r="A460" s="280" t="s">
        <v>135</v>
      </c>
      <c r="B460" s="271">
        <f>SUM(B459)</f>
        <v>8500</v>
      </c>
    </row>
    <row r="461" spans="1:2">
      <c r="A461" s="278" t="s">
        <v>183</v>
      </c>
      <c r="B461" s="267"/>
    </row>
    <row r="462" spans="1:2">
      <c r="A462" s="279" t="s">
        <v>184</v>
      </c>
      <c r="B462" s="260">
        <v>200709.81</v>
      </c>
    </row>
    <row r="463" spans="1:2">
      <c r="A463" s="279" t="s">
        <v>185</v>
      </c>
      <c r="B463" s="260">
        <v>133324.43</v>
      </c>
    </row>
    <row r="464" spans="1:2">
      <c r="A464" s="279" t="s">
        <v>186</v>
      </c>
      <c r="B464" s="260">
        <v>218529.54</v>
      </c>
    </row>
    <row r="465" spans="1:2">
      <c r="A465" s="279" t="s">
        <v>187</v>
      </c>
      <c r="B465" s="260">
        <v>34792.050000000003</v>
      </c>
    </row>
    <row r="466" spans="1:2">
      <c r="A466" s="279" t="s">
        <v>188</v>
      </c>
      <c r="B466" s="260">
        <v>2067.52</v>
      </c>
    </row>
    <row r="467" spans="1:2">
      <c r="A467" s="280" t="s">
        <v>189</v>
      </c>
      <c r="B467" s="271">
        <f>SUM(B462:B466)</f>
        <v>589423.35000000009</v>
      </c>
    </row>
    <row r="468" spans="1:2">
      <c r="A468" s="277" t="s">
        <v>136</v>
      </c>
      <c r="B468" s="271">
        <f>SUM(B460,B467)</f>
        <v>597923.35000000009</v>
      </c>
    </row>
    <row r="469" spans="1:2">
      <c r="A469" s="276" t="s">
        <v>60</v>
      </c>
      <c r="B469" s="267"/>
    </row>
    <row r="470" spans="1:2">
      <c r="A470" s="278" t="s">
        <v>68</v>
      </c>
      <c r="B470" s="267"/>
    </row>
    <row r="471" spans="1:2">
      <c r="A471" s="279" t="s">
        <v>69</v>
      </c>
      <c r="B471" s="260">
        <v>64835.38</v>
      </c>
    </row>
    <row r="472" spans="1:2">
      <c r="A472" s="279" t="s">
        <v>148</v>
      </c>
      <c r="B472" s="260">
        <v>1788</v>
      </c>
    </row>
    <row r="473" spans="1:2">
      <c r="A473" s="280" t="s">
        <v>70</v>
      </c>
      <c r="B473" s="271">
        <f>SUM(B471:B472)</f>
        <v>66623.38</v>
      </c>
    </row>
    <row r="474" spans="1:2">
      <c r="A474" s="278" t="s">
        <v>71</v>
      </c>
      <c r="B474" s="267"/>
    </row>
    <row r="475" spans="1:2">
      <c r="A475" s="279" t="s">
        <v>72</v>
      </c>
      <c r="B475" s="260">
        <v>2789.68</v>
      </c>
    </row>
    <row r="476" spans="1:2">
      <c r="A476" s="279" t="s">
        <v>73</v>
      </c>
      <c r="B476" s="260">
        <v>1382.98</v>
      </c>
    </row>
    <row r="477" spans="1:2">
      <c r="A477" s="279" t="s">
        <v>137</v>
      </c>
      <c r="B477" s="260">
        <v>2109.5</v>
      </c>
    </row>
    <row r="478" spans="1:2">
      <c r="A478" s="279" t="s">
        <v>74</v>
      </c>
      <c r="B478" s="260">
        <v>7891.78</v>
      </c>
    </row>
    <row r="479" spans="1:2">
      <c r="A479" s="280" t="s">
        <v>75</v>
      </c>
      <c r="B479" s="271">
        <f>SUM(B475:B478)</f>
        <v>14173.939999999999</v>
      </c>
    </row>
    <row r="480" spans="1:2">
      <c r="A480" s="278" t="s">
        <v>64</v>
      </c>
      <c r="B480" s="267"/>
    </row>
    <row r="481" spans="1:2">
      <c r="A481" s="279" t="s">
        <v>66</v>
      </c>
      <c r="B481" s="260">
        <v>1661.7</v>
      </c>
    </row>
    <row r="482" spans="1:2">
      <c r="A482" s="279" t="s">
        <v>65</v>
      </c>
      <c r="B482" s="260">
        <v>988.81</v>
      </c>
    </row>
    <row r="483" spans="1:2">
      <c r="A483" s="280" t="s">
        <v>67</v>
      </c>
      <c r="B483" s="271">
        <f>SUM(B481:B482)</f>
        <v>2650.51</v>
      </c>
    </row>
    <row r="484" spans="1:2">
      <c r="A484" s="278" t="s">
        <v>61</v>
      </c>
      <c r="B484" s="267"/>
    </row>
    <row r="485" spans="1:2">
      <c r="A485" s="279" t="s">
        <v>190</v>
      </c>
      <c r="B485" s="260">
        <v>39532.480000000003</v>
      </c>
    </row>
    <row r="486" spans="1:2">
      <c r="A486" s="280" t="s">
        <v>63</v>
      </c>
      <c r="B486" s="271">
        <f>SUM(B485)</f>
        <v>39532.480000000003</v>
      </c>
    </row>
    <row r="487" spans="1:2">
      <c r="A487" s="277" t="s">
        <v>76</v>
      </c>
      <c r="B487" s="271">
        <f>SUM(B473,B479,B483,B486)</f>
        <v>122980.31</v>
      </c>
    </row>
    <row r="488" spans="1:2">
      <c r="A488" s="276" t="s">
        <v>162</v>
      </c>
      <c r="B488" s="267"/>
    </row>
    <row r="489" spans="1:2">
      <c r="A489" s="253" t="s">
        <v>163</v>
      </c>
      <c r="B489" s="260">
        <v>934.06</v>
      </c>
    </row>
    <row r="490" spans="1:2">
      <c r="A490" s="253" t="s">
        <v>191</v>
      </c>
      <c r="B490" s="260">
        <v>33996.99</v>
      </c>
    </row>
    <row r="491" spans="1:2">
      <c r="A491" s="277" t="s">
        <v>165</v>
      </c>
      <c r="B491" s="271">
        <f>SUM(B489:B490)</f>
        <v>34931.049999999996</v>
      </c>
    </row>
    <row r="492" spans="1:2">
      <c r="A492" s="276" t="s">
        <v>55</v>
      </c>
      <c r="B492" s="267"/>
    </row>
    <row r="493" spans="1:2">
      <c r="A493" s="253" t="s">
        <v>56</v>
      </c>
      <c r="B493" s="260">
        <v>5429.42</v>
      </c>
    </row>
    <row r="494" spans="1:2">
      <c r="A494" s="253" t="s">
        <v>58</v>
      </c>
      <c r="B494" s="260">
        <v>37.92</v>
      </c>
    </row>
    <row r="495" spans="1:2">
      <c r="A495" s="253" t="s">
        <v>57</v>
      </c>
      <c r="B495" s="260">
        <v>441.39</v>
      </c>
    </row>
    <row r="496" spans="1:2">
      <c r="A496" s="277" t="s">
        <v>59</v>
      </c>
      <c r="B496" s="271">
        <f>SUM(B493:B495)</f>
        <v>5908.7300000000005</v>
      </c>
    </row>
    <row r="497" spans="1:2">
      <c r="A497" s="270" t="s">
        <v>192</v>
      </c>
      <c r="B497" s="271">
        <f>SUM(B421,B432,B436,B439,B442,B445,B448,B456,B468,B487,B491,B496)</f>
        <v>1600656.3300000003</v>
      </c>
    </row>
    <row r="498" spans="1:2">
      <c r="A498" s="269" t="s">
        <v>193</v>
      </c>
      <c r="B498" s="267"/>
    </row>
    <row r="499" spans="1:2">
      <c r="A499" s="276" t="s">
        <v>83</v>
      </c>
      <c r="B499" s="267"/>
    </row>
    <row r="500" spans="1:2">
      <c r="A500" s="253" t="s">
        <v>98</v>
      </c>
      <c r="B500" s="260">
        <v>220117</v>
      </c>
    </row>
    <row r="501" spans="1:2">
      <c r="A501" s="253" t="s">
        <v>99</v>
      </c>
      <c r="B501" s="260">
        <v>1945.5</v>
      </c>
    </row>
    <row r="502" spans="1:2">
      <c r="A502" s="278" t="s">
        <v>84</v>
      </c>
      <c r="B502" s="267"/>
    </row>
    <row r="503" spans="1:2">
      <c r="A503" s="279" t="s">
        <v>85</v>
      </c>
      <c r="B503" s="260">
        <v>1225.4000000000001</v>
      </c>
    </row>
    <row r="504" spans="1:2">
      <c r="A504" s="279" t="s">
        <v>86</v>
      </c>
      <c r="B504" s="260">
        <v>9390.99</v>
      </c>
    </row>
    <row r="505" spans="1:2">
      <c r="A505" s="279" t="s">
        <v>87</v>
      </c>
      <c r="B505" s="260">
        <v>887.56</v>
      </c>
    </row>
    <row r="506" spans="1:2">
      <c r="A506" s="280" t="s">
        <v>88</v>
      </c>
      <c r="B506" s="271">
        <f>SUM(B503:B505)</f>
        <v>11503.949999999999</v>
      </c>
    </row>
    <row r="507" spans="1:2">
      <c r="A507" s="277" t="s">
        <v>89</v>
      </c>
      <c r="B507" s="271">
        <f>SUM(B500:B501,B506)</f>
        <v>233566.45</v>
      </c>
    </row>
    <row r="508" spans="1:2">
      <c r="A508" s="276" t="s">
        <v>80</v>
      </c>
      <c r="B508" s="267"/>
    </row>
    <row r="509" spans="1:2">
      <c r="A509" s="253" t="s">
        <v>102</v>
      </c>
      <c r="B509" s="260">
        <v>600</v>
      </c>
    </row>
    <row r="510" spans="1:2">
      <c r="A510" s="253" t="s">
        <v>103</v>
      </c>
      <c r="B510" s="260">
        <v>-600</v>
      </c>
    </row>
    <row r="511" spans="1:2">
      <c r="A511" s="253" t="s">
        <v>108</v>
      </c>
      <c r="B511" s="260">
        <v>11609</v>
      </c>
    </row>
    <row r="512" spans="1:2">
      <c r="A512" s="253" t="s">
        <v>109</v>
      </c>
      <c r="B512" s="260">
        <v>-11609</v>
      </c>
    </row>
    <row r="513" spans="1:2">
      <c r="A513" s="253" t="s">
        <v>566</v>
      </c>
      <c r="B513" s="260">
        <v>16419</v>
      </c>
    </row>
    <row r="514" spans="1:2">
      <c r="A514" s="277" t="s">
        <v>82</v>
      </c>
      <c r="B514" s="271">
        <f>SUM(B509:B513)</f>
        <v>16419</v>
      </c>
    </row>
    <row r="515" spans="1:2">
      <c r="A515" s="276" t="s">
        <v>51</v>
      </c>
      <c r="B515" s="267"/>
    </row>
    <row r="516" spans="1:2">
      <c r="A516" s="253" t="s">
        <v>110</v>
      </c>
      <c r="B516" s="260">
        <v>10800</v>
      </c>
    </row>
    <row r="517" spans="1:2">
      <c r="A517" s="253" t="s">
        <v>111</v>
      </c>
      <c r="B517" s="260">
        <v>35291</v>
      </c>
    </row>
    <row r="518" spans="1:2">
      <c r="A518" s="277" t="s">
        <v>54</v>
      </c>
      <c r="B518" s="271">
        <f>SUM(B516:B517)</f>
        <v>46091</v>
      </c>
    </row>
    <row r="519" spans="1:2">
      <c r="A519" s="276" t="s">
        <v>113</v>
      </c>
      <c r="B519" s="267"/>
    </row>
    <row r="520" spans="1:2">
      <c r="A520" s="253" t="s">
        <v>114</v>
      </c>
      <c r="B520" s="260">
        <v>3921.55</v>
      </c>
    </row>
    <row r="521" spans="1:2">
      <c r="A521" s="277" t="s">
        <v>115</v>
      </c>
      <c r="B521" s="271">
        <f>SUM(B520)</f>
        <v>3921.55</v>
      </c>
    </row>
    <row r="522" spans="1:2">
      <c r="A522" s="276" t="s">
        <v>77</v>
      </c>
      <c r="B522" s="267"/>
    </row>
    <row r="523" spans="1:2">
      <c r="A523" s="253" t="s">
        <v>78</v>
      </c>
      <c r="B523" s="260">
        <v>124.26</v>
      </c>
    </row>
    <row r="524" spans="1:2">
      <c r="A524" s="277" t="s">
        <v>79</v>
      </c>
      <c r="B524" s="271">
        <f>SUM(B523)</f>
        <v>124.26</v>
      </c>
    </row>
    <row r="525" spans="1:2">
      <c r="A525" s="276" t="s">
        <v>116</v>
      </c>
      <c r="B525" s="267"/>
    </row>
    <row r="526" spans="1:2">
      <c r="A526" s="253" t="s">
        <v>117</v>
      </c>
      <c r="B526" s="260">
        <v>34363.379999999997</v>
      </c>
    </row>
    <row r="527" spans="1:2">
      <c r="A527" s="277" t="s">
        <v>119</v>
      </c>
      <c r="B527" s="271">
        <f>SUM(B526)</f>
        <v>34363.379999999997</v>
      </c>
    </row>
    <row r="528" spans="1:2">
      <c r="A528" s="276" t="s">
        <v>120</v>
      </c>
      <c r="B528" s="267"/>
    </row>
    <row r="529" spans="1:2">
      <c r="A529" s="253" t="s">
        <v>121</v>
      </c>
      <c r="B529" s="260">
        <v>1500</v>
      </c>
    </row>
    <row r="530" spans="1:2">
      <c r="A530" s="277" t="s">
        <v>122</v>
      </c>
      <c r="B530" s="271">
        <f>SUM(B529)</f>
        <v>1500</v>
      </c>
    </row>
    <row r="531" spans="1:2">
      <c r="A531" s="276" t="s">
        <v>123</v>
      </c>
      <c r="B531" s="267"/>
    </row>
    <row r="532" spans="1:2">
      <c r="A532" s="278" t="s">
        <v>124</v>
      </c>
      <c r="B532" s="267"/>
    </row>
    <row r="533" spans="1:2">
      <c r="A533" s="279" t="s">
        <v>125</v>
      </c>
      <c r="B533" s="260">
        <v>2804.47</v>
      </c>
    </row>
    <row r="534" spans="1:2">
      <c r="A534" s="279" t="s">
        <v>126</v>
      </c>
      <c r="B534" s="260">
        <v>2552.63</v>
      </c>
    </row>
    <row r="535" spans="1:2">
      <c r="A535" s="279" t="s">
        <v>127</v>
      </c>
      <c r="B535" s="260">
        <v>1028.25</v>
      </c>
    </row>
    <row r="536" spans="1:2">
      <c r="A536" s="279" t="s">
        <v>128</v>
      </c>
      <c r="B536" s="260">
        <v>1768.69</v>
      </c>
    </row>
    <row r="537" spans="1:2">
      <c r="A537" s="280" t="s">
        <v>130</v>
      </c>
      <c r="B537" s="271">
        <f>SUM(B533:B536)</f>
        <v>8154.0400000000009</v>
      </c>
    </row>
    <row r="538" spans="1:2">
      <c r="A538" s="277" t="s">
        <v>131</v>
      </c>
      <c r="B538" s="271">
        <f>SUM(B537)</f>
        <v>8154.0400000000009</v>
      </c>
    </row>
    <row r="539" spans="1:2">
      <c r="A539" s="276" t="s">
        <v>60</v>
      </c>
      <c r="B539" s="267"/>
    </row>
    <row r="540" spans="1:2">
      <c r="A540" s="278" t="s">
        <v>68</v>
      </c>
      <c r="B540" s="267"/>
    </row>
    <row r="541" spans="1:2">
      <c r="A541" s="279" t="s">
        <v>69</v>
      </c>
      <c r="B541" s="260">
        <v>32417.66</v>
      </c>
    </row>
    <row r="542" spans="1:2">
      <c r="A542" s="280" t="s">
        <v>70</v>
      </c>
      <c r="B542" s="271">
        <f>SUM(B541)</f>
        <v>32417.66</v>
      </c>
    </row>
    <row r="543" spans="1:2">
      <c r="A543" s="278" t="s">
        <v>71</v>
      </c>
      <c r="B543" s="267"/>
    </row>
    <row r="544" spans="1:2">
      <c r="A544" s="279" t="s">
        <v>72</v>
      </c>
      <c r="B544" s="260">
        <v>1394.93</v>
      </c>
    </row>
    <row r="545" spans="1:2">
      <c r="A545" s="279" t="s">
        <v>73</v>
      </c>
      <c r="B545" s="260">
        <v>691.46</v>
      </c>
    </row>
    <row r="546" spans="1:2">
      <c r="A546" s="279" t="s">
        <v>137</v>
      </c>
      <c r="B546" s="260">
        <v>1054.97</v>
      </c>
    </row>
    <row r="547" spans="1:2">
      <c r="A547" s="279" t="s">
        <v>74</v>
      </c>
      <c r="B547" s="260">
        <v>3897.21</v>
      </c>
    </row>
    <row r="548" spans="1:2">
      <c r="A548" s="280" t="s">
        <v>75</v>
      </c>
      <c r="B548" s="271">
        <f>SUM(B544:B547)</f>
        <v>7038.5700000000006</v>
      </c>
    </row>
    <row r="549" spans="1:2">
      <c r="A549" s="278" t="s">
        <v>64</v>
      </c>
      <c r="B549" s="267"/>
    </row>
    <row r="550" spans="1:2">
      <c r="A550" s="279" t="s">
        <v>66</v>
      </c>
      <c r="B550" s="260">
        <v>730.41</v>
      </c>
    </row>
    <row r="551" spans="1:2">
      <c r="A551" s="279" t="s">
        <v>65</v>
      </c>
      <c r="B551" s="260">
        <v>494.41</v>
      </c>
    </row>
    <row r="552" spans="1:2">
      <c r="A552" s="280" t="s">
        <v>67</v>
      </c>
      <c r="B552" s="271">
        <f>SUM(B550:B551)</f>
        <v>1224.82</v>
      </c>
    </row>
    <row r="553" spans="1:2">
      <c r="A553" s="277" t="s">
        <v>76</v>
      </c>
      <c r="B553" s="271">
        <f>SUM(B542,B548,B552)</f>
        <v>40681.050000000003</v>
      </c>
    </row>
    <row r="554" spans="1:2">
      <c r="A554" s="276" t="s">
        <v>162</v>
      </c>
      <c r="B554" s="267"/>
    </row>
    <row r="555" spans="1:2">
      <c r="A555" s="253" t="s">
        <v>163</v>
      </c>
      <c r="B555" s="260">
        <v>899.61</v>
      </c>
    </row>
    <row r="556" spans="1:2">
      <c r="A556" s="277" t="s">
        <v>165</v>
      </c>
      <c r="B556" s="271">
        <f>SUM(B555)</f>
        <v>899.61</v>
      </c>
    </row>
    <row r="557" spans="1:2">
      <c r="A557" s="276" t="s">
        <v>55</v>
      </c>
      <c r="B557" s="267"/>
    </row>
    <row r="558" spans="1:2">
      <c r="A558" s="253" t="s">
        <v>56</v>
      </c>
      <c r="B558" s="260">
        <v>2714.74</v>
      </c>
    </row>
    <row r="559" spans="1:2">
      <c r="A559" s="253" t="s">
        <v>58</v>
      </c>
      <c r="B559" s="260">
        <v>19.2</v>
      </c>
    </row>
    <row r="560" spans="1:2">
      <c r="A560" s="253" t="s">
        <v>57</v>
      </c>
      <c r="B560" s="260">
        <v>220.6</v>
      </c>
    </row>
    <row r="561" spans="1:2">
      <c r="A561" s="277" t="s">
        <v>59</v>
      </c>
      <c r="B561" s="271">
        <f>SUM(B558:B560)</f>
        <v>2954.5399999999995</v>
      </c>
    </row>
    <row r="562" spans="1:2">
      <c r="A562" s="270" t="s">
        <v>194</v>
      </c>
      <c r="B562" s="271">
        <f>SUM(B507,B514,B518,B521,B524,B527,B530,B538,B553,B556,B561)</f>
        <v>388674.87999999995</v>
      </c>
    </row>
    <row r="563" spans="1:2">
      <c r="A563" s="269" t="s">
        <v>195</v>
      </c>
      <c r="B563" s="267"/>
    </row>
    <row r="564" spans="1:2">
      <c r="A564" s="276" t="s">
        <v>83</v>
      </c>
      <c r="B564" s="267"/>
    </row>
    <row r="565" spans="1:2">
      <c r="A565" s="253" t="s">
        <v>98</v>
      </c>
      <c r="B565" s="260">
        <v>1301301.92</v>
      </c>
    </row>
    <row r="566" spans="1:2">
      <c r="A566" s="253" t="s">
        <v>99</v>
      </c>
      <c r="B566" s="260">
        <v>58914.67</v>
      </c>
    </row>
    <row r="567" spans="1:2">
      <c r="A567" s="278" t="s">
        <v>84</v>
      </c>
      <c r="B567" s="267"/>
    </row>
    <row r="568" spans="1:2">
      <c r="A568" s="279" t="s">
        <v>85</v>
      </c>
      <c r="B568" s="260">
        <v>1225.4000000000001</v>
      </c>
    </row>
    <row r="569" spans="1:2">
      <c r="A569" s="279" t="s">
        <v>86</v>
      </c>
      <c r="B569" s="260">
        <v>11090.44</v>
      </c>
    </row>
    <row r="570" spans="1:2">
      <c r="A570" s="279" t="s">
        <v>87</v>
      </c>
      <c r="B570" s="260">
        <v>4005.21</v>
      </c>
    </row>
    <row r="571" spans="1:2">
      <c r="A571" s="280" t="s">
        <v>88</v>
      </c>
      <c r="B571" s="271">
        <f>SUM(B568:B570)</f>
        <v>16321.05</v>
      </c>
    </row>
    <row r="572" spans="1:2">
      <c r="A572" s="277" t="s">
        <v>89</v>
      </c>
      <c r="B572" s="271">
        <f>SUM(B565:B566,B571)</f>
        <v>1376537.64</v>
      </c>
    </row>
    <row r="573" spans="1:2">
      <c r="A573" s="276" t="s">
        <v>80</v>
      </c>
      <c r="B573" s="267"/>
    </row>
    <row r="574" spans="1:2">
      <c r="A574" s="253" t="s">
        <v>102</v>
      </c>
      <c r="B574" s="260">
        <v>300</v>
      </c>
    </row>
    <row r="575" spans="1:2">
      <c r="A575" s="253" t="s">
        <v>103</v>
      </c>
      <c r="B575" s="260">
        <v>-300</v>
      </c>
    </row>
    <row r="576" spans="1:2">
      <c r="A576" s="253" t="s">
        <v>106</v>
      </c>
      <c r="B576" s="260">
        <v>1271.03</v>
      </c>
    </row>
    <row r="577" spans="1:2">
      <c r="A577" s="253" t="s">
        <v>107</v>
      </c>
      <c r="B577" s="260">
        <v>-1271</v>
      </c>
    </row>
    <row r="578" spans="1:2">
      <c r="A578" s="253" t="s">
        <v>108</v>
      </c>
      <c r="B578" s="260">
        <v>4226.68</v>
      </c>
    </row>
    <row r="579" spans="1:2">
      <c r="A579" s="253" t="s">
        <v>109</v>
      </c>
      <c r="B579" s="260">
        <v>-4226.7700000000004</v>
      </c>
    </row>
    <row r="580" spans="1:2">
      <c r="A580" s="253" t="s">
        <v>566</v>
      </c>
      <c r="B580" s="260">
        <v>55573.06</v>
      </c>
    </row>
    <row r="581" spans="1:2">
      <c r="A581" s="277" t="s">
        <v>82</v>
      </c>
      <c r="B581" s="271">
        <f>SUM(B574:B580)</f>
        <v>55573</v>
      </c>
    </row>
    <row r="582" spans="1:2">
      <c r="A582" s="276" t="s">
        <v>51</v>
      </c>
      <c r="B582" s="267"/>
    </row>
    <row r="583" spans="1:2">
      <c r="A583" s="253" t="s">
        <v>110</v>
      </c>
      <c r="B583" s="260">
        <v>3477.8</v>
      </c>
    </row>
    <row r="584" spans="1:2">
      <c r="A584" s="253" t="s">
        <v>111</v>
      </c>
      <c r="B584" s="260">
        <v>28639.34</v>
      </c>
    </row>
    <row r="585" spans="1:2">
      <c r="A585" s="253" t="s">
        <v>112</v>
      </c>
      <c r="B585" s="260">
        <v>78491.490000000005</v>
      </c>
    </row>
    <row r="586" spans="1:2">
      <c r="A586" s="277" t="s">
        <v>54</v>
      </c>
      <c r="B586" s="271">
        <f>SUM(B583:B585)</f>
        <v>110608.63</v>
      </c>
    </row>
    <row r="587" spans="1:2">
      <c r="A587" s="276" t="s">
        <v>113</v>
      </c>
      <c r="B587" s="267"/>
    </row>
    <row r="588" spans="1:2">
      <c r="A588" s="253" t="s">
        <v>114</v>
      </c>
      <c r="B588" s="260">
        <v>32393.74</v>
      </c>
    </row>
    <row r="589" spans="1:2">
      <c r="A589" s="277" t="s">
        <v>115</v>
      </c>
      <c r="B589" s="271">
        <f>SUM(B588)</f>
        <v>32393.74</v>
      </c>
    </row>
    <row r="590" spans="1:2">
      <c r="A590" s="276" t="s">
        <v>77</v>
      </c>
      <c r="B590" s="267"/>
    </row>
    <row r="591" spans="1:2">
      <c r="A591" s="253" t="s">
        <v>78</v>
      </c>
      <c r="B591" s="260">
        <v>148.08000000000001</v>
      </c>
    </row>
    <row r="592" spans="1:2">
      <c r="A592" s="277" t="s">
        <v>79</v>
      </c>
      <c r="B592" s="271">
        <f>SUM(B591)</f>
        <v>148.08000000000001</v>
      </c>
    </row>
    <row r="593" spans="1:2">
      <c r="A593" s="276" t="s">
        <v>116</v>
      </c>
      <c r="B593" s="267"/>
    </row>
    <row r="594" spans="1:2">
      <c r="A594" s="253" t="s">
        <v>117</v>
      </c>
      <c r="B594" s="260">
        <v>2040.15</v>
      </c>
    </row>
    <row r="595" spans="1:2">
      <c r="A595" s="277" t="s">
        <v>119</v>
      </c>
      <c r="B595" s="271">
        <f>SUM(B594)</f>
        <v>2040.15</v>
      </c>
    </row>
    <row r="596" spans="1:2">
      <c r="A596" s="276" t="s">
        <v>123</v>
      </c>
      <c r="B596" s="267"/>
    </row>
    <row r="597" spans="1:2">
      <c r="A597" s="278" t="s">
        <v>124</v>
      </c>
      <c r="B597" s="267"/>
    </row>
    <row r="598" spans="1:2">
      <c r="A598" s="279" t="s">
        <v>125</v>
      </c>
      <c r="B598" s="260">
        <v>87138.41</v>
      </c>
    </row>
    <row r="599" spans="1:2">
      <c r="A599" s="279" t="s">
        <v>126</v>
      </c>
      <c r="B599" s="260">
        <v>72298.06</v>
      </c>
    </row>
    <row r="600" spans="1:2">
      <c r="A600" s="279" t="s">
        <v>127</v>
      </c>
      <c r="B600" s="260">
        <v>24391.34</v>
      </c>
    </row>
    <row r="601" spans="1:2">
      <c r="A601" s="279" t="s">
        <v>128</v>
      </c>
      <c r="B601" s="260">
        <v>16286.96</v>
      </c>
    </row>
    <row r="602" spans="1:2">
      <c r="A602" s="279" t="s">
        <v>129</v>
      </c>
      <c r="B602" s="260">
        <v>5904.03</v>
      </c>
    </row>
    <row r="603" spans="1:2">
      <c r="A603" s="280" t="s">
        <v>130</v>
      </c>
      <c r="B603" s="271">
        <f>SUM(B598:B602)</f>
        <v>206018.8</v>
      </c>
    </row>
    <row r="604" spans="1:2">
      <c r="A604" s="277" t="s">
        <v>131</v>
      </c>
      <c r="B604" s="271">
        <f>SUM(B603)</f>
        <v>206018.8</v>
      </c>
    </row>
    <row r="605" spans="1:2">
      <c r="A605" s="276" t="s">
        <v>168</v>
      </c>
      <c r="B605" s="267"/>
    </row>
    <row r="606" spans="1:2">
      <c r="A606" s="253" t="s">
        <v>171</v>
      </c>
      <c r="B606" s="260">
        <v>1010.44</v>
      </c>
    </row>
    <row r="607" spans="1:2">
      <c r="A607" s="277" t="s">
        <v>172</v>
      </c>
      <c r="B607" s="271">
        <f>SUM(B606)</f>
        <v>1010.44</v>
      </c>
    </row>
    <row r="608" spans="1:2">
      <c r="A608" s="276" t="s">
        <v>132</v>
      </c>
      <c r="B608" s="267"/>
    </row>
    <row r="609" spans="1:2">
      <c r="A609" s="278" t="s">
        <v>133</v>
      </c>
      <c r="B609" s="267"/>
    </row>
    <row r="610" spans="1:2">
      <c r="A610" s="279" t="s">
        <v>134</v>
      </c>
      <c r="B610" s="260">
        <v>534504.76</v>
      </c>
    </row>
    <row r="611" spans="1:2">
      <c r="A611" s="280" t="s">
        <v>135</v>
      </c>
      <c r="B611" s="271">
        <f>SUM(B610)</f>
        <v>534504.76</v>
      </c>
    </row>
    <row r="612" spans="1:2">
      <c r="A612" s="277" t="s">
        <v>136</v>
      </c>
      <c r="B612" s="271">
        <f>SUM(B611)</f>
        <v>534504.76</v>
      </c>
    </row>
    <row r="613" spans="1:2">
      <c r="A613" s="276" t="s">
        <v>60</v>
      </c>
      <c r="B613" s="267"/>
    </row>
    <row r="614" spans="1:2">
      <c r="A614" s="278" t="s">
        <v>68</v>
      </c>
      <c r="B614" s="267"/>
    </row>
    <row r="615" spans="1:2">
      <c r="A615" s="279" t="s">
        <v>69</v>
      </c>
      <c r="B615" s="260">
        <v>92003.08</v>
      </c>
    </row>
    <row r="616" spans="1:2">
      <c r="A616" s="279" t="s">
        <v>148</v>
      </c>
      <c r="B616" s="260">
        <v>13218.43</v>
      </c>
    </row>
    <row r="617" spans="1:2">
      <c r="A617" s="280" t="s">
        <v>70</v>
      </c>
      <c r="B617" s="271">
        <f>SUM(B615:B616)</f>
        <v>105221.51000000001</v>
      </c>
    </row>
    <row r="618" spans="1:2">
      <c r="A618" s="278" t="s">
        <v>71</v>
      </c>
      <c r="B618" s="267"/>
    </row>
    <row r="619" spans="1:2">
      <c r="A619" s="279" t="s">
        <v>72</v>
      </c>
      <c r="B619" s="260">
        <v>1852.86</v>
      </c>
    </row>
    <row r="620" spans="1:2">
      <c r="A620" s="279" t="s">
        <v>73</v>
      </c>
      <c r="B620" s="260">
        <v>727.98</v>
      </c>
    </row>
    <row r="621" spans="1:2">
      <c r="A621" s="279" t="s">
        <v>137</v>
      </c>
      <c r="B621" s="260">
        <v>51243.96</v>
      </c>
    </row>
    <row r="622" spans="1:2">
      <c r="A622" s="279" t="s">
        <v>74</v>
      </c>
      <c r="B622" s="260">
        <v>8095.18</v>
      </c>
    </row>
    <row r="623" spans="1:2">
      <c r="A623" s="280" t="s">
        <v>75</v>
      </c>
      <c r="B623" s="271">
        <f>SUM(B619:B622)</f>
        <v>61919.98</v>
      </c>
    </row>
    <row r="624" spans="1:2">
      <c r="A624" s="278" t="s">
        <v>64</v>
      </c>
      <c r="B624" s="267"/>
    </row>
    <row r="625" spans="1:2">
      <c r="A625" s="279" t="s">
        <v>66</v>
      </c>
      <c r="B625" s="260">
        <v>831.25</v>
      </c>
    </row>
    <row r="626" spans="1:2">
      <c r="A626" s="279" t="s">
        <v>65</v>
      </c>
      <c r="B626" s="260">
        <v>494.41</v>
      </c>
    </row>
    <row r="627" spans="1:2">
      <c r="A627" s="279" t="s">
        <v>196</v>
      </c>
      <c r="B627" s="260">
        <v>100.35</v>
      </c>
    </row>
    <row r="628" spans="1:2">
      <c r="A628" s="279" t="s">
        <v>671</v>
      </c>
      <c r="B628" s="260">
        <v>4701</v>
      </c>
    </row>
    <row r="629" spans="1:2">
      <c r="A629" s="280" t="s">
        <v>67</v>
      </c>
      <c r="B629" s="271">
        <f>SUM(B625:B628)</f>
        <v>6127.01</v>
      </c>
    </row>
    <row r="630" spans="1:2">
      <c r="A630" s="278" t="s">
        <v>61</v>
      </c>
      <c r="B630" s="267"/>
    </row>
    <row r="631" spans="1:2">
      <c r="A631" s="279" t="s">
        <v>190</v>
      </c>
      <c r="B631" s="260">
        <v>235767.35</v>
      </c>
    </row>
    <row r="632" spans="1:2">
      <c r="A632" s="280" t="s">
        <v>63</v>
      </c>
      <c r="B632" s="271">
        <f>SUM(B631)</f>
        <v>235767.35</v>
      </c>
    </row>
    <row r="633" spans="1:2">
      <c r="A633" s="277" t="s">
        <v>76</v>
      </c>
      <c r="B633" s="271">
        <f>SUM(B617,B623,B629,B632)</f>
        <v>409035.85000000003</v>
      </c>
    </row>
    <row r="634" spans="1:2">
      <c r="A634" s="276" t="s">
        <v>162</v>
      </c>
      <c r="B634" s="267"/>
    </row>
    <row r="635" spans="1:2">
      <c r="A635" s="253" t="s">
        <v>163</v>
      </c>
      <c r="B635" s="260">
        <v>480.2</v>
      </c>
    </row>
    <row r="636" spans="1:2">
      <c r="A636" s="253" t="s">
        <v>164</v>
      </c>
      <c r="B636" s="260">
        <v>36.64</v>
      </c>
    </row>
    <row r="637" spans="1:2">
      <c r="A637" s="253" t="s">
        <v>191</v>
      </c>
      <c r="B637" s="260">
        <v>103885.85</v>
      </c>
    </row>
    <row r="638" spans="1:2">
      <c r="A638" s="277" t="s">
        <v>165</v>
      </c>
      <c r="B638" s="271">
        <f>SUM(B635:B637)</f>
        <v>104402.69</v>
      </c>
    </row>
    <row r="639" spans="1:2">
      <c r="A639" s="276" t="s">
        <v>55</v>
      </c>
      <c r="B639" s="267"/>
    </row>
    <row r="640" spans="1:2">
      <c r="A640" s="253" t="s">
        <v>56</v>
      </c>
      <c r="B640" s="260">
        <v>3204.8</v>
      </c>
    </row>
    <row r="641" spans="1:3">
      <c r="A641" s="253" t="s">
        <v>58</v>
      </c>
      <c r="B641" s="260">
        <v>22.02</v>
      </c>
    </row>
    <row r="642" spans="1:3">
      <c r="A642" s="253" t="s">
        <v>57</v>
      </c>
      <c r="B642" s="260">
        <v>261.10000000000002</v>
      </c>
    </row>
    <row r="643" spans="1:3">
      <c r="A643" s="277" t="s">
        <v>59</v>
      </c>
      <c r="B643" s="271">
        <f>SUM(B640:B642)</f>
        <v>3487.92</v>
      </c>
    </row>
    <row r="644" spans="1:3">
      <c r="A644" s="270" t="s">
        <v>197</v>
      </c>
      <c r="B644" s="271">
        <f>SUM(B572,B581,B586,B589,B592,B595,B604,B607,B612,B633,B638,B643)</f>
        <v>2835761.7</v>
      </c>
    </row>
    <row r="645" spans="1:3">
      <c r="A645" s="272" t="s">
        <v>198</v>
      </c>
      <c r="B645" s="271">
        <f>SUM(B410,B497,B562,B644)</f>
        <v>6391003.6500000004</v>
      </c>
      <c r="C645">
        <v>4.3</v>
      </c>
    </row>
    <row r="646" spans="1:3">
      <c r="A646" s="268" t="s">
        <v>567</v>
      </c>
      <c r="B646" s="267"/>
    </row>
    <row r="647" spans="1:3">
      <c r="A647" s="269" t="s">
        <v>60</v>
      </c>
      <c r="B647" s="267"/>
    </row>
    <row r="648" spans="1:3">
      <c r="A648" s="276" t="s">
        <v>71</v>
      </c>
      <c r="B648" s="267"/>
    </row>
    <row r="649" spans="1:3">
      <c r="A649" s="253" t="s">
        <v>72</v>
      </c>
      <c r="B649" s="260">
        <v>17</v>
      </c>
      <c r="C649">
        <v>4.3</v>
      </c>
    </row>
    <row r="650" spans="1:3">
      <c r="A650" s="277" t="s">
        <v>75</v>
      </c>
      <c r="B650" s="271">
        <f>SUM(B649)</f>
        <v>17</v>
      </c>
    </row>
    <row r="651" spans="1:3">
      <c r="A651" s="270" t="s">
        <v>76</v>
      </c>
      <c r="B651" s="271">
        <f>SUM(B650)</f>
        <v>17</v>
      </c>
    </row>
    <row r="652" spans="1:3">
      <c r="A652" s="272" t="s">
        <v>568</v>
      </c>
      <c r="B652" s="271">
        <f>SUM(B651)</f>
        <v>17</v>
      </c>
    </row>
    <row r="653" spans="1:3">
      <c r="A653" s="273" t="s">
        <v>199</v>
      </c>
      <c r="B653" s="271">
        <f>SUM(B78,B235,B332,B645,B652)</f>
        <v>23411946.160000004</v>
      </c>
      <c r="C653">
        <v>4</v>
      </c>
    </row>
    <row r="654" spans="1:3">
      <c r="A654" s="264" t="s">
        <v>200</v>
      </c>
      <c r="B654" s="265">
        <f>B42-B653</f>
        <v>-6755307.8800000083</v>
      </c>
      <c r="C654">
        <v>5</v>
      </c>
    </row>
    <row r="655" spans="1:3">
      <c r="A655" s="281" t="s">
        <v>201</v>
      </c>
      <c r="B655" s="282"/>
    </row>
    <row r="656" spans="1:3">
      <c r="A656" s="244" t="s">
        <v>202</v>
      </c>
      <c r="B656" s="259"/>
    </row>
    <row r="657" spans="1:3">
      <c r="A657" s="245" t="s">
        <v>203</v>
      </c>
      <c r="B657" s="259"/>
    </row>
    <row r="658" spans="1:3">
      <c r="A658" s="246" t="s">
        <v>204</v>
      </c>
      <c r="B658" s="260">
        <v>1104599.1499999999</v>
      </c>
      <c r="C658">
        <v>6.4</v>
      </c>
    </row>
    <row r="659" spans="1:3">
      <c r="A659" s="283" t="s">
        <v>205</v>
      </c>
      <c r="B659" s="263">
        <f>SUM(B658)</f>
        <v>1104599.1499999999</v>
      </c>
    </row>
    <row r="660" spans="1:3">
      <c r="A660" s="262" t="s">
        <v>206</v>
      </c>
      <c r="B660" s="263">
        <f>SUM(B659)</f>
        <v>1104599.1499999999</v>
      </c>
    </row>
    <row r="661" spans="1:3">
      <c r="A661" s="244" t="s">
        <v>207</v>
      </c>
      <c r="B661" s="259"/>
    </row>
    <row r="662" spans="1:3">
      <c r="A662" s="251" t="s">
        <v>208</v>
      </c>
      <c r="B662" s="260">
        <v>137.91999999999999</v>
      </c>
      <c r="C662">
        <v>6.1</v>
      </c>
    </row>
    <row r="663" spans="1:3">
      <c r="A663" s="251" t="s">
        <v>209</v>
      </c>
      <c r="B663" s="260">
        <v>-9641260.9700000007</v>
      </c>
      <c r="C663">
        <v>6.1</v>
      </c>
    </row>
    <row r="664" spans="1:3">
      <c r="A664" s="251" t="s">
        <v>210</v>
      </c>
      <c r="B664" s="260">
        <v>-437.78</v>
      </c>
      <c r="C664">
        <v>6.1</v>
      </c>
    </row>
    <row r="665" spans="1:3">
      <c r="A665" s="245" t="s">
        <v>211</v>
      </c>
      <c r="B665" s="259"/>
    </row>
    <row r="666" spans="1:3">
      <c r="A666" s="246" t="s">
        <v>212</v>
      </c>
      <c r="B666" s="260">
        <v>1314.72</v>
      </c>
      <c r="C666">
        <v>6.2</v>
      </c>
    </row>
    <row r="667" spans="1:3">
      <c r="A667" s="246" t="s">
        <v>213</v>
      </c>
      <c r="B667" s="260">
        <v>697.6</v>
      </c>
      <c r="C667">
        <v>6.2</v>
      </c>
    </row>
    <row r="668" spans="1:3">
      <c r="A668" s="246" t="s">
        <v>214</v>
      </c>
      <c r="B668" s="260">
        <v>45912.59</v>
      </c>
      <c r="C668">
        <v>6.2</v>
      </c>
    </row>
    <row r="669" spans="1:3">
      <c r="A669" s="248" t="s">
        <v>215</v>
      </c>
      <c r="B669" s="261">
        <f>SUM(B666:B668)</f>
        <v>47924.909999999996</v>
      </c>
    </row>
    <row r="670" spans="1:3">
      <c r="A670" s="251" t="s">
        <v>216</v>
      </c>
      <c r="B670" s="260">
        <v>-124739.04</v>
      </c>
      <c r="C670">
        <v>6.1</v>
      </c>
    </row>
    <row r="671" spans="1:3">
      <c r="A671" s="250" t="s">
        <v>217</v>
      </c>
      <c r="B671" s="261">
        <f>-1*(SUM(B662:B664,B669:B670))</f>
        <v>9718374.959999999</v>
      </c>
    </row>
    <row r="672" spans="1:3">
      <c r="A672" s="281" t="s">
        <v>218</v>
      </c>
      <c r="B672" s="282">
        <f>B660+B671</f>
        <v>10822974.109999999</v>
      </c>
      <c r="C672">
        <v>6</v>
      </c>
    </row>
    <row r="673" spans="1:5">
      <c r="A673" s="264" t="s">
        <v>219</v>
      </c>
      <c r="B673" s="265">
        <f>B654+B672+0</f>
        <v>4067666.2299999911</v>
      </c>
      <c r="C673">
        <v>7</v>
      </c>
    </row>
    <row r="674" spans="1:5">
      <c r="A674" s="264" t="s">
        <v>28</v>
      </c>
      <c r="B674" s="265">
        <f>B673+0</f>
        <v>4067666.2299999911</v>
      </c>
    </row>
    <row r="676" spans="1:5">
      <c r="A676" t="s">
        <v>688</v>
      </c>
      <c r="B676" s="260">
        <v>21405474.510000002</v>
      </c>
      <c r="D676" t="s">
        <v>689</v>
      </c>
    </row>
    <row r="677" spans="1:5" ht="12" thickBot="1">
      <c r="A677" t="s">
        <v>690</v>
      </c>
      <c r="B677" s="307">
        <f>+B674-B676</f>
        <v>-17337808.280000009</v>
      </c>
    </row>
    <row r="678" spans="1:5" ht="12" thickTop="1"/>
    <row r="679" spans="1:5">
      <c r="E679" s="70" t="s">
        <v>711</v>
      </c>
    </row>
    <row r="680" spans="1:5" ht="12">
      <c r="B680" s="310" t="s">
        <v>96</v>
      </c>
      <c r="C680" s="308">
        <v>9973645.5500000026</v>
      </c>
      <c r="D680" s="170">
        <f>+C680/$C$683</f>
        <v>0.42600668401673791</v>
      </c>
      <c r="E680" s="170">
        <f>+$B$676*D680</f>
        <v>9118875.2158099078</v>
      </c>
    </row>
    <row r="681" spans="1:5" ht="12">
      <c r="B681" s="310" t="s">
        <v>151</v>
      </c>
      <c r="C681" s="308">
        <v>7047279.96</v>
      </c>
      <c r="D681" s="170">
        <f>+C681/$C$683</f>
        <v>0.30101213764281093</v>
      </c>
      <c r="E681" s="170">
        <f>+$B$676*D681</f>
        <v>6443307.6395138009</v>
      </c>
    </row>
    <row r="682" spans="1:5" ht="12">
      <c r="B682" s="310" t="s">
        <v>175</v>
      </c>
      <c r="C682" s="309">
        <v>6391020.6500000004</v>
      </c>
      <c r="D682" s="312">
        <f>+C682/$C$683</f>
        <v>0.2729811783404511</v>
      </c>
      <c r="E682" s="312">
        <f>+$B$676*D682</f>
        <v>5843291.6546762902</v>
      </c>
    </row>
    <row r="683" spans="1:5">
      <c r="C683" s="311">
        <f>SUM(C680:C682)</f>
        <v>23411946.160000004</v>
      </c>
      <c r="D683" s="311">
        <f>SUM(D680:D682)</f>
        <v>0.99999999999999989</v>
      </c>
      <c r="E683" s="311">
        <f>SUM(E680:E682)</f>
        <v>21405474.509999998</v>
      </c>
    </row>
    <row r="684" spans="1:5">
      <c r="E684" s="47">
        <f>+E683-B676</f>
        <v>0</v>
      </c>
    </row>
  </sheetData>
  <autoFilter ref="A7:C674" xr:uid="{36C1A74D-34C6-4D39-B09D-92248F690056}"/>
  <mergeCells count="6">
    <mergeCell ref="A6:B6"/>
    <mergeCell ref="A1:B1"/>
    <mergeCell ref="A2:B2"/>
    <mergeCell ref="A3:B3"/>
    <mergeCell ref="A4:B4"/>
    <mergeCell ref="A5:B5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30CE8-B57F-469F-83F6-66B219DCF5DD}">
  <sheetPr>
    <tabColor rgb="FFFFFF00"/>
  </sheetPr>
  <dimension ref="A1:I171"/>
  <sheetViews>
    <sheetView tabSelected="1" topLeftCell="A101" workbookViewId="0">
      <selection sqref="A1:XFD1048576"/>
    </sheetView>
  </sheetViews>
  <sheetFormatPr defaultRowHeight="11.25"/>
  <cols>
    <col min="1" max="1" width="61.6640625" bestFit="1" customWidth="1"/>
    <col min="2" max="2" width="15.33203125" bestFit="1" customWidth="1"/>
    <col min="4" max="4" width="15" bestFit="1" customWidth="1"/>
    <col min="5" max="5" width="56" bestFit="1" customWidth="1"/>
    <col min="6" max="6" width="12.1640625" bestFit="1" customWidth="1"/>
    <col min="8" max="8" width="13.83203125" bestFit="1" customWidth="1"/>
    <col min="9" max="9" width="11.5" bestFit="1" customWidth="1"/>
  </cols>
  <sheetData>
    <row r="1" spans="1:6" ht="15.75">
      <c r="A1" s="406" t="s">
        <v>0</v>
      </c>
      <c r="B1" s="406"/>
    </row>
    <row r="2" spans="1:6" ht="15.75">
      <c r="A2" s="406" t="s">
        <v>0</v>
      </c>
      <c r="B2" s="406"/>
    </row>
    <row r="3" spans="1:6" ht="18">
      <c r="A3" s="405" t="s">
        <v>430</v>
      </c>
      <c r="B3" s="405"/>
    </row>
    <row r="4" spans="1:6" ht="18">
      <c r="A4" s="405" t="s">
        <v>666</v>
      </c>
      <c r="B4" s="405"/>
    </row>
    <row r="5" spans="1:6" ht="18" hidden="1">
      <c r="A5" s="405" t="s">
        <v>4</v>
      </c>
      <c r="B5" s="405"/>
    </row>
    <row r="6" spans="1:6" ht="18">
      <c r="A6" s="405" t="s">
        <v>4</v>
      </c>
      <c r="B6" s="405"/>
    </row>
    <row r="7" spans="1:6">
      <c r="A7" s="240" t="s">
        <v>5</v>
      </c>
      <c r="B7" s="241" t="s">
        <v>14</v>
      </c>
    </row>
    <row r="8" spans="1:6">
      <c r="A8" s="242" t="s">
        <v>427</v>
      </c>
      <c r="B8" s="243"/>
    </row>
    <row r="9" spans="1:6">
      <c r="A9" s="244" t="s">
        <v>426</v>
      </c>
      <c r="B9" s="243"/>
    </row>
    <row r="10" spans="1:6">
      <c r="A10" s="245" t="s">
        <v>425</v>
      </c>
      <c r="B10" s="243"/>
    </row>
    <row r="11" spans="1:6">
      <c r="A11" s="246" t="s">
        <v>424</v>
      </c>
      <c r="B11" s="247">
        <v>347754.07</v>
      </c>
      <c r="F11" s="284"/>
    </row>
    <row r="12" spans="1:6">
      <c r="A12" s="246" t="s">
        <v>423</v>
      </c>
      <c r="B12" s="247">
        <v>648131.34</v>
      </c>
    </row>
    <row r="13" spans="1:6">
      <c r="A13" s="246" t="s">
        <v>422</v>
      </c>
      <c r="B13" s="247">
        <v>21568727.43</v>
      </c>
    </row>
    <row r="14" spans="1:6">
      <c r="A14" s="246" t="s">
        <v>421</v>
      </c>
      <c r="B14" s="247">
        <v>41070.080000000002</v>
      </c>
    </row>
    <row r="15" spans="1:6">
      <c r="A15" s="246" t="s">
        <v>420</v>
      </c>
      <c r="B15" s="247">
        <v>59093.11</v>
      </c>
    </row>
    <row r="16" spans="1:6">
      <c r="A16" s="248" t="s">
        <v>419</v>
      </c>
      <c r="B16" s="249">
        <f>SUM(B11:B15)</f>
        <v>22664776.029999997</v>
      </c>
      <c r="C16">
        <v>10</v>
      </c>
    </row>
    <row r="17" spans="1:3">
      <c r="A17" s="245" t="s">
        <v>395</v>
      </c>
      <c r="B17" s="243"/>
    </row>
    <row r="18" spans="1:3">
      <c r="A18" s="246" t="s">
        <v>394</v>
      </c>
      <c r="B18" s="247">
        <v>60130.82</v>
      </c>
    </row>
    <row r="19" spans="1:3">
      <c r="A19" s="246" t="s">
        <v>393</v>
      </c>
      <c r="B19" s="247">
        <v>10054.450000000001</v>
      </c>
    </row>
    <row r="20" spans="1:3">
      <c r="A20" s="246" t="s">
        <v>392</v>
      </c>
      <c r="B20" s="247">
        <v>28435.63</v>
      </c>
    </row>
    <row r="21" spans="1:3">
      <c r="A21" s="248" t="s">
        <v>391</v>
      </c>
      <c r="B21" s="249">
        <f>SUM(B18:B20)</f>
        <v>98620.900000000009</v>
      </c>
      <c r="C21">
        <v>10</v>
      </c>
    </row>
    <row r="22" spans="1:3">
      <c r="A22" s="245" t="s">
        <v>390</v>
      </c>
      <c r="B22" s="243"/>
    </row>
    <row r="23" spans="1:3">
      <c r="A23" s="246" t="s">
        <v>389</v>
      </c>
      <c r="B23" s="247">
        <v>39137418.579999998</v>
      </c>
      <c r="C23">
        <v>11</v>
      </c>
    </row>
    <row r="24" spans="1:3">
      <c r="A24" s="248" t="s">
        <v>388</v>
      </c>
      <c r="B24" s="249">
        <f>SUM(B23)</f>
        <v>39137418.579999998</v>
      </c>
    </row>
    <row r="25" spans="1:3">
      <c r="A25" s="250" t="s">
        <v>387</v>
      </c>
      <c r="B25" s="249">
        <f>SUM(B16,B21,B24)</f>
        <v>61900815.50999999</v>
      </c>
    </row>
    <row r="26" spans="1:3">
      <c r="A26" s="244" t="s">
        <v>386</v>
      </c>
      <c r="B26" s="243"/>
    </row>
    <row r="27" spans="1:3">
      <c r="A27" s="245" t="s">
        <v>385</v>
      </c>
      <c r="B27" s="243"/>
    </row>
    <row r="28" spans="1:3">
      <c r="A28" s="246" t="s">
        <v>384</v>
      </c>
      <c r="B28" s="247">
        <v>5733182.7999999998</v>
      </c>
    </row>
    <row r="29" spans="1:3">
      <c r="A29" s="246" t="s">
        <v>383</v>
      </c>
      <c r="B29" s="247">
        <v>-166571.4</v>
      </c>
    </row>
    <row r="30" spans="1:3">
      <c r="A30" s="248" t="s">
        <v>382</v>
      </c>
      <c r="B30" s="249">
        <f>SUM(B28:B29)</f>
        <v>5566611.3999999994</v>
      </c>
      <c r="C30">
        <v>12</v>
      </c>
    </row>
    <row r="31" spans="1:3">
      <c r="A31" s="250" t="s">
        <v>378</v>
      </c>
      <c r="B31" s="249">
        <f>SUM(B30)</f>
        <v>5566611.3999999994</v>
      </c>
    </row>
    <row r="32" spans="1:3">
      <c r="A32" s="244" t="s">
        <v>375</v>
      </c>
      <c r="B32" s="243"/>
    </row>
    <row r="33" spans="1:3">
      <c r="A33" s="251" t="s">
        <v>374</v>
      </c>
      <c r="B33" s="247">
        <v>1152252.0900000001</v>
      </c>
      <c r="C33">
        <v>12</v>
      </c>
    </row>
    <row r="34" spans="1:3">
      <c r="A34" s="245" t="s">
        <v>373</v>
      </c>
      <c r="B34" s="243"/>
    </row>
    <row r="35" spans="1:3">
      <c r="A35" s="246" t="s">
        <v>372</v>
      </c>
      <c r="B35" s="247">
        <v>9554851.4700000007</v>
      </c>
      <c r="C35" t="s">
        <v>698</v>
      </c>
    </row>
    <row r="36" spans="1:3">
      <c r="A36" s="246" t="s">
        <v>371</v>
      </c>
      <c r="B36" s="247">
        <v>3041990.76</v>
      </c>
      <c r="C36" t="s">
        <v>699</v>
      </c>
    </row>
    <row r="37" spans="1:3">
      <c r="A37" s="246" t="s">
        <v>370</v>
      </c>
      <c r="B37" s="247">
        <v>3486</v>
      </c>
      <c r="C37" t="s">
        <v>700</v>
      </c>
    </row>
    <row r="38" spans="1:3">
      <c r="A38" s="246" t="s">
        <v>368</v>
      </c>
      <c r="B38" s="247">
        <v>2964415.65</v>
      </c>
      <c r="C38" t="s">
        <v>701</v>
      </c>
    </row>
    <row r="39" spans="1:3">
      <c r="A39" s="248" t="s">
        <v>367</v>
      </c>
      <c r="B39" s="249">
        <f>SUM(B35:B38)</f>
        <v>15564743.880000001</v>
      </c>
      <c r="C39">
        <v>13.5</v>
      </c>
    </row>
    <row r="40" spans="1:3">
      <c r="A40" s="245" t="s">
        <v>366</v>
      </c>
      <c r="B40" s="243"/>
    </row>
    <row r="41" spans="1:3">
      <c r="A41" s="246" t="s">
        <v>365</v>
      </c>
      <c r="B41" s="247">
        <v>454510.24</v>
      </c>
    </row>
    <row r="42" spans="1:3">
      <c r="A42" s="246" t="s">
        <v>363</v>
      </c>
      <c r="B42" s="247">
        <v>329537.48</v>
      </c>
    </row>
    <row r="43" spans="1:3">
      <c r="A43" s="248" t="s">
        <v>362</v>
      </c>
      <c r="B43" s="249">
        <f>SUM(B41:B42)</f>
        <v>784047.72</v>
      </c>
      <c r="C43">
        <v>13</v>
      </c>
    </row>
    <row r="44" spans="1:3">
      <c r="A44" s="245" t="s">
        <v>361</v>
      </c>
      <c r="B44" s="243"/>
    </row>
    <row r="45" spans="1:3">
      <c r="A45" s="252" t="s">
        <v>360</v>
      </c>
      <c r="B45" s="243"/>
    </row>
    <row r="46" spans="1:3">
      <c r="A46" s="253" t="s">
        <v>359</v>
      </c>
      <c r="B46" s="247">
        <v>80.900000000000006</v>
      </c>
      <c r="C46">
        <v>13.2</v>
      </c>
    </row>
    <row r="47" spans="1:3">
      <c r="A47" s="253" t="s">
        <v>358</v>
      </c>
      <c r="B47" s="247">
        <v>295.77999999999997</v>
      </c>
      <c r="C47">
        <v>13.2</v>
      </c>
    </row>
    <row r="48" spans="1:3">
      <c r="A48" s="253" t="s">
        <v>356</v>
      </c>
      <c r="B48" s="247">
        <v>102491.64</v>
      </c>
      <c r="C48">
        <v>13.2</v>
      </c>
    </row>
    <row r="49" spans="1:4">
      <c r="A49" s="254" t="s">
        <v>351</v>
      </c>
      <c r="B49" s="249">
        <f>SUM(B46:B48)</f>
        <v>102868.31999999999</v>
      </c>
      <c r="C49">
        <v>13</v>
      </c>
    </row>
    <row r="50" spans="1:4">
      <c r="A50" s="252" t="s">
        <v>350</v>
      </c>
      <c r="B50" s="243"/>
    </row>
    <row r="51" spans="1:4">
      <c r="A51" s="253" t="s">
        <v>349</v>
      </c>
      <c r="B51" s="247">
        <v>53504.51</v>
      </c>
    </row>
    <row r="52" spans="1:4">
      <c r="A52" s="253" t="s">
        <v>348</v>
      </c>
      <c r="B52" s="247">
        <v>-53504.51</v>
      </c>
    </row>
    <row r="53" spans="1:4">
      <c r="A53" s="254" t="s">
        <v>345</v>
      </c>
      <c r="B53" s="249">
        <f>SUM(B51:B52)</f>
        <v>0</v>
      </c>
    </row>
    <row r="54" spans="1:4">
      <c r="A54" s="248" t="s">
        <v>344</v>
      </c>
      <c r="B54" s="249">
        <f>SUM(B49,B53)</f>
        <v>102868.31999999999</v>
      </c>
    </row>
    <row r="55" spans="1:4">
      <c r="A55" s="245" t="s">
        <v>343</v>
      </c>
      <c r="B55" s="243"/>
    </row>
    <row r="56" spans="1:4">
      <c r="A56" s="246" t="s">
        <v>342</v>
      </c>
      <c r="B56" s="247">
        <v>118236.95</v>
      </c>
    </row>
    <row r="57" spans="1:4">
      <c r="A57" s="246" t="s">
        <v>341</v>
      </c>
      <c r="B57" s="247">
        <v>38480.99</v>
      </c>
    </row>
    <row r="58" spans="1:4">
      <c r="A58" s="248" t="s">
        <v>340</v>
      </c>
      <c r="B58" s="249">
        <f>SUM(B56:B57)</f>
        <v>156717.94</v>
      </c>
      <c r="C58">
        <v>13</v>
      </c>
    </row>
    <row r="59" spans="1:4">
      <c r="A59" s="251" t="s">
        <v>339</v>
      </c>
      <c r="B59" s="247">
        <v>-1</v>
      </c>
      <c r="C59">
        <v>13</v>
      </c>
    </row>
    <row r="60" spans="1:4">
      <c r="A60" s="245" t="s">
        <v>338</v>
      </c>
      <c r="B60" s="243"/>
    </row>
    <row r="61" spans="1:4">
      <c r="A61" s="246" t="s">
        <v>337</v>
      </c>
      <c r="B61" s="247">
        <v>918263.98</v>
      </c>
      <c r="C61" s="67">
        <v>13.5</v>
      </c>
      <c r="D61" t="s">
        <v>235</v>
      </c>
    </row>
    <row r="62" spans="1:4">
      <c r="A62" s="248" t="s">
        <v>335</v>
      </c>
      <c r="B62" s="249">
        <f>SUM(B61)</f>
        <v>918263.98</v>
      </c>
    </row>
    <row r="63" spans="1:4">
      <c r="A63" s="251" t="s">
        <v>334</v>
      </c>
      <c r="B63" s="247">
        <v>4275.3900000000003</v>
      </c>
      <c r="C63">
        <v>13</v>
      </c>
    </row>
    <row r="64" spans="1:4">
      <c r="A64" s="251" t="s">
        <v>667</v>
      </c>
      <c r="B64" s="247">
        <v>-2.4500000000000002</v>
      </c>
      <c r="C64">
        <v>13</v>
      </c>
    </row>
    <row r="65" spans="1:4">
      <c r="A65" s="250" t="s">
        <v>333</v>
      </c>
      <c r="B65" s="249">
        <f>SUM(B33,B39,B43,B54,B58:B59,B62:B64)</f>
        <v>18683165.870000005</v>
      </c>
    </row>
    <row r="66" spans="1:4">
      <c r="A66" s="255" t="s">
        <v>332</v>
      </c>
      <c r="B66" s="256">
        <f>B25+B31+0+B65</f>
        <v>86150592.780000001</v>
      </c>
    </row>
    <row r="67" spans="1:4">
      <c r="A67" s="242" t="s">
        <v>331</v>
      </c>
      <c r="B67" s="243"/>
    </row>
    <row r="68" spans="1:4">
      <c r="A68" s="244" t="s">
        <v>330</v>
      </c>
      <c r="B68" s="243"/>
    </row>
    <row r="69" spans="1:4">
      <c r="A69" s="251" t="s">
        <v>329</v>
      </c>
      <c r="B69" s="247">
        <v>369615.79</v>
      </c>
      <c r="C69" s="20">
        <v>15.1</v>
      </c>
    </row>
    <row r="70" spans="1:4">
      <c r="A70" s="251" t="s">
        <v>328</v>
      </c>
      <c r="B70" s="247">
        <v>9200</v>
      </c>
      <c r="C70" s="20">
        <v>15.3</v>
      </c>
    </row>
    <row r="71" spans="1:4">
      <c r="A71" s="251" t="s">
        <v>327</v>
      </c>
      <c r="B71" s="247">
        <v>6807</v>
      </c>
      <c r="C71" s="20">
        <v>15.2</v>
      </c>
    </row>
    <row r="72" spans="1:4">
      <c r="A72" s="251" t="s">
        <v>326</v>
      </c>
      <c r="B72" s="247">
        <v>27440</v>
      </c>
      <c r="C72" s="20">
        <v>15.1</v>
      </c>
    </row>
    <row r="73" spans="1:4">
      <c r="A73" s="250" t="s">
        <v>325</v>
      </c>
      <c r="B73" s="249">
        <f>SUM(B69:B72)</f>
        <v>413062.79</v>
      </c>
      <c r="C73" s="20">
        <v>15</v>
      </c>
    </row>
    <row r="74" spans="1:4">
      <c r="A74" s="244" t="s">
        <v>324</v>
      </c>
      <c r="B74" s="243"/>
    </row>
    <row r="75" spans="1:4">
      <c r="A75" s="251" t="s">
        <v>323</v>
      </c>
      <c r="B75" s="247">
        <v>-198146.83</v>
      </c>
      <c r="C75" s="20">
        <v>15.4</v>
      </c>
    </row>
    <row r="76" spans="1:4">
      <c r="A76" s="251" t="s">
        <v>322</v>
      </c>
      <c r="B76" s="247">
        <v>-9200</v>
      </c>
      <c r="C76" s="20">
        <v>15.4</v>
      </c>
    </row>
    <row r="77" spans="1:4">
      <c r="A77" s="251" t="s">
        <v>321</v>
      </c>
      <c r="B77" s="247">
        <v>-2538.7199999999998</v>
      </c>
      <c r="C77" s="20">
        <v>15.4</v>
      </c>
    </row>
    <row r="78" spans="1:4">
      <c r="A78" s="251" t="s">
        <v>320</v>
      </c>
      <c r="B78" s="247">
        <v>-19814.759999999998</v>
      </c>
      <c r="C78" s="20">
        <v>15.4</v>
      </c>
    </row>
    <row r="79" spans="1:4">
      <c r="A79" s="250" t="s">
        <v>319</v>
      </c>
      <c r="B79" s="249">
        <f>SUM(B75:B78)</f>
        <v>-229700.31</v>
      </c>
      <c r="C79" s="20">
        <v>15</v>
      </c>
    </row>
    <row r="80" spans="1:4">
      <c r="A80" s="257" t="s">
        <v>318</v>
      </c>
      <c r="B80" s="249">
        <f>SUM(B73,B79)</f>
        <v>183362.47999999998</v>
      </c>
      <c r="C80" s="20"/>
      <c r="D80" s="79"/>
    </row>
    <row r="81" spans="1:3">
      <c r="A81" s="242" t="s">
        <v>317</v>
      </c>
      <c r="B81" s="243"/>
    </row>
    <row r="82" spans="1:3">
      <c r="A82" s="244" t="s">
        <v>316</v>
      </c>
      <c r="B82" s="243"/>
    </row>
    <row r="83" spans="1:3">
      <c r="A83" s="245" t="s">
        <v>315</v>
      </c>
      <c r="B83" s="243"/>
    </row>
    <row r="84" spans="1:3">
      <c r="A84" s="246" t="s">
        <v>314</v>
      </c>
      <c r="B84" s="247">
        <v>417013.46</v>
      </c>
      <c r="C84">
        <v>16</v>
      </c>
    </row>
    <row r="85" spans="1:3">
      <c r="A85" s="248" t="s">
        <v>313</v>
      </c>
      <c r="B85" s="249">
        <f>SUM(B84)</f>
        <v>417013.46</v>
      </c>
    </row>
    <row r="86" spans="1:3">
      <c r="A86" s="245" t="s">
        <v>312</v>
      </c>
      <c r="B86" s="243"/>
    </row>
    <row r="87" spans="1:3">
      <c r="A87" s="246" t="s">
        <v>311</v>
      </c>
      <c r="B87" s="247">
        <v>99731.57</v>
      </c>
      <c r="C87" s="67">
        <v>16</v>
      </c>
    </row>
    <row r="88" spans="1:3">
      <c r="A88" s="248" t="s">
        <v>310</v>
      </c>
      <c r="B88" s="249">
        <f>SUM(B87)</f>
        <v>99731.57</v>
      </c>
    </row>
    <row r="89" spans="1:3">
      <c r="A89" s="250" t="s">
        <v>309</v>
      </c>
      <c r="B89" s="249">
        <f>SUM(B85,B88)</f>
        <v>516745.03</v>
      </c>
    </row>
    <row r="90" spans="1:3">
      <c r="A90" s="244" t="s">
        <v>308</v>
      </c>
      <c r="B90" s="243"/>
    </row>
    <row r="91" spans="1:3">
      <c r="A91" s="245" t="s">
        <v>307</v>
      </c>
      <c r="B91" s="243"/>
    </row>
    <row r="92" spans="1:3">
      <c r="A92" s="246" t="s">
        <v>306</v>
      </c>
      <c r="B92" s="247">
        <v>-5731.49</v>
      </c>
    </row>
    <row r="93" spans="1:3">
      <c r="A93" s="246" t="s">
        <v>305</v>
      </c>
      <c r="B93" s="247">
        <v>-15337.24</v>
      </c>
    </row>
    <row r="94" spans="1:3">
      <c r="A94" s="246" t="s">
        <v>304</v>
      </c>
      <c r="B94" s="247">
        <v>-10444.77</v>
      </c>
    </row>
    <row r="95" spans="1:3">
      <c r="A95" s="246" t="s">
        <v>303</v>
      </c>
      <c r="B95" s="247">
        <v>-117</v>
      </c>
    </row>
    <row r="96" spans="1:3">
      <c r="A96" s="246" t="s">
        <v>302</v>
      </c>
      <c r="B96" s="247">
        <v>2909.93</v>
      </c>
    </row>
    <row r="97" spans="1:3">
      <c r="A97" s="246" t="s">
        <v>300</v>
      </c>
      <c r="B97" s="247">
        <v>12777.51</v>
      </c>
    </row>
    <row r="98" spans="1:3">
      <c r="A98" s="246" t="s">
        <v>299</v>
      </c>
      <c r="B98" s="247">
        <v>12190.66</v>
      </c>
    </row>
    <row r="99" spans="1:3">
      <c r="A99" s="246" t="s">
        <v>298</v>
      </c>
      <c r="B99" s="247">
        <v>-7.15</v>
      </c>
    </row>
    <row r="100" spans="1:3">
      <c r="A100" s="246" t="s">
        <v>297</v>
      </c>
      <c r="B100" s="247">
        <v>-2576.25</v>
      </c>
    </row>
    <row r="101" spans="1:3">
      <c r="A101" s="248" t="s">
        <v>296</v>
      </c>
      <c r="B101" s="249">
        <f>SUM(B92:B100)</f>
        <v>-6335.7999999999993</v>
      </c>
      <c r="C101" s="67">
        <v>16</v>
      </c>
    </row>
    <row r="102" spans="1:3">
      <c r="A102" s="250" t="s">
        <v>295</v>
      </c>
      <c r="B102" s="249">
        <f>SUM(B101)</f>
        <v>-6335.7999999999993</v>
      </c>
    </row>
    <row r="103" spans="1:3">
      <c r="A103" s="244" t="s">
        <v>294</v>
      </c>
      <c r="B103" s="243"/>
    </row>
    <row r="104" spans="1:3">
      <c r="A104" s="245" t="s">
        <v>293</v>
      </c>
      <c r="B104" s="243"/>
    </row>
    <row r="105" spans="1:3">
      <c r="A105" s="246" t="s">
        <v>292</v>
      </c>
      <c r="B105" s="247">
        <v>8030913.79</v>
      </c>
      <c r="C105" t="s">
        <v>693</v>
      </c>
    </row>
    <row r="106" spans="1:3">
      <c r="A106" s="246" t="s">
        <v>291</v>
      </c>
      <c r="B106" s="247">
        <v>2808997.88</v>
      </c>
      <c r="C106" t="s">
        <v>694</v>
      </c>
    </row>
    <row r="107" spans="1:3">
      <c r="A107" s="246" t="s">
        <v>290</v>
      </c>
      <c r="B107" s="247">
        <v>169330.87</v>
      </c>
      <c r="C107" t="s">
        <v>695</v>
      </c>
    </row>
    <row r="108" spans="1:3">
      <c r="A108" s="246" t="s">
        <v>288</v>
      </c>
      <c r="B108" s="247">
        <v>15672.05</v>
      </c>
      <c r="C108" t="s">
        <v>696</v>
      </c>
    </row>
    <row r="109" spans="1:3">
      <c r="A109" s="246" t="s">
        <v>287</v>
      </c>
      <c r="B109" s="247">
        <v>2019692.02</v>
      </c>
      <c r="C109" t="s">
        <v>697</v>
      </c>
    </row>
    <row r="110" spans="1:3">
      <c r="A110" s="248" t="s">
        <v>286</v>
      </c>
      <c r="B110" s="249">
        <f>SUM(B105:B109)</f>
        <v>13044606.609999999</v>
      </c>
      <c r="C110">
        <v>16.100000000000001</v>
      </c>
    </row>
    <row r="111" spans="1:3">
      <c r="A111" s="245" t="s">
        <v>284</v>
      </c>
      <c r="B111" s="243"/>
    </row>
    <row r="112" spans="1:3">
      <c r="A112" s="246" t="s">
        <v>283</v>
      </c>
      <c r="B112" s="247">
        <v>517141.05</v>
      </c>
      <c r="C112">
        <v>17.100000000000001</v>
      </c>
    </row>
    <row r="113" spans="1:3">
      <c r="A113" s="246" t="s">
        <v>282</v>
      </c>
      <c r="B113" s="247">
        <v>515507.96</v>
      </c>
      <c r="C113">
        <v>17.100000000000001</v>
      </c>
    </row>
    <row r="114" spans="1:3">
      <c r="A114" s="248" t="s">
        <v>279</v>
      </c>
      <c r="B114" s="249">
        <f>SUM(B112:B113)</f>
        <v>1032649.01</v>
      </c>
      <c r="C114">
        <v>17</v>
      </c>
    </row>
    <row r="115" spans="1:3">
      <c r="A115" s="245" t="s">
        <v>278</v>
      </c>
      <c r="B115" s="243"/>
    </row>
    <row r="116" spans="1:3">
      <c r="A116" s="246" t="s">
        <v>277</v>
      </c>
      <c r="B116" s="247">
        <v>189319.5</v>
      </c>
      <c r="C116">
        <v>17.100000000000001</v>
      </c>
    </row>
    <row r="117" spans="1:3">
      <c r="A117" s="246" t="s">
        <v>276</v>
      </c>
      <c r="B117" s="247">
        <v>29786.74</v>
      </c>
      <c r="C117">
        <v>17.100000000000001</v>
      </c>
    </row>
    <row r="118" spans="1:3">
      <c r="A118" s="248" t="s">
        <v>274</v>
      </c>
      <c r="B118" s="249">
        <f>SUM(B116:B117)</f>
        <v>219106.24</v>
      </c>
      <c r="C118">
        <v>17</v>
      </c>
    </row>
    <row r="119" spans="1:3">
      <c r="A119" s="245" t="s">
        <v>273</v>
      </c>
      <c r="B119" s="243"/>
    </row>
    <row r="120" spans="1:3">
      <c r="A120" s="246" t="s">
        <v>272</v>
      </c>
      <c r="B120" s="247">
        <v>126796.1</v>
      </c>
      <c r="C120">
        <v>17.100000000000001</v>
      </c>
    </row>
    <row r="121" spans="1:3">
      <c r="A121" s="246" t="s">
        <v>271</v>
      </c>
      <c r="B121" s="247">
        <v>278342.64</v>
      </c>
      <c r="C121">
        <v>17.100000000000001</v>
      </c>
    </row>
    <row r="122" spans="1:3">
      <c r="A122" s="248" t="s">
        <v>270</v>
      </c>
      <c r="B122" s="249">
        <f>SUM(B120:B121)</f>
        <v>405138.74</v>
      </c>
      <c r="C122">
        <v>17</v>
      </c>
    </row>
    <row r="123" spans="1:3">
      <c r="A123" s="245" t="s">
        <v>269</v>
      </c>
      <c r="B123" s="243"/>
    </row>
    <row r="124" spans="1:3">
      <c r="A124" s="246" t="s">
        <v>268</v>
      </c>
      <c r="B124" s="247">
        <v>240110.39</v>
      </c>
      <c r="C124">
        <v>17.2</v>
      </c>
    </row>
    <row r="125" spans="1:3">
      <c r="A125" s="248" t="s">
        <v>267</v>
      </c>
      <c r="B125" s="249">
        <f>SUM(B124)</f>
        <v>240110.39</v>
      </c>
      <c r="C125">
        <v>17</v>
      </c>
    </row>
    <row r="126" spans="1:3">
      <c r="A126" s="251" t="s">
        <v>266</v>
      </c>
      <c r="B126" s="247">
        <v>-12789.79</v>
      </c>
      <c r="C126">
        <v>17</v>
      </c>
    </row>
    <row r="127" spans="1:3">
      <c r="A127" s="245" t="s">
        <v>265</v>
      </c>
      <c r="B127" s="243"/>
    </row>
    <row r="128" spans="1:3">
      <c r="A128" s="246" t="s">
        <v>264</v>
      </c>
      <c r="B128" s="247">
        <v>561272.03</v>
      </c>
      <c r="C128">
        <v>17.399999999999999</v>
      </c>
    </row>
    <row r="129" spans="1:9">
      <c r="A129" s="246" t="s">
        <v>263</v>
      </c>
      <c r="B129" s="247">
        <v>-166571.4</v>
      </c>
      <c r="C129">
        <v>17.399999999999999</v>
      </c>
    </row>
    <row r="130" spans="1:9">
      <c r="A130" s="248" t="s">
        <v>262</v>
      </c>
      <c r="B130" s="249">
        <f>SUM(B128:B129)</f>
        <v>394700.63</v>
      </c>
      <c r="C130">
        <v>17</v>
      </c>
    </row>
    <row r="131" spans="1:9">
      <c r="A131" s="251" t="s">
        <v>261</v>
      </c>
      <c r="B131" s="247">
        <v>1456834.93</v>
      </c>
      <c r="C131">
        <v>18</v>
      </c>
      <c r="F131">
        <v>28</v>
      </c>
      <c r="G131">
        <v>16</v>
      </c>
    </row>
    <row r="132" spans="1:9">
      <c r="A132" s="250" t="s">
        <v>259</v>
      </c>
      <c r="B132" s="249">
        <f>SUM(B110,B114,B118,B122,B125:B126,B130:B131)</f>
        <v>16780356.760000002</v>
      </c>
      <c r="F132" s="47">
        <f>+(B143+B144+B145+B146+B148+B149+B140)/1000-F131</f>
        <v>125961.40279000002</v>
      </c>
      <c r="G132">
        <v>125951</v>
      </c>
      <c r="H132" s="47">
        <f>+(D143+D144+D145+D146+D148+D149+D140)/1000-G131</f>
        <v>125950.21279000001</v>
      </c>
    </row>
    <row r="133" spans="1:9">
      <c r="A133" s="242" t="s">
        <v>258</v>
      </c>
      <c r="B133" s="243">
        <f>B89+B102+B132</f>
        <v>17290765.990000002</v>
      </c>
      <c r="F133" s="67">
        <v>5452</v>
      </c>
      <c r="G133" s="67">
        <v>4627</v>
      </c>
    </row>
    <row r="134" spans="1:9">
      <c r="A134" s="242" t="s">
        <v>257</v>
      </c>
      <c r="B134" s="243">
        <f>B66-B133</f>
        <v>68859826.789999992</v>
      </c>
      <c r="F134" s="319">
        <v>-62397</v>
      </c>
      <c r="G134" s="319">
        <v>-45059</v>
      </c>
    </row>
    <row r="135" spans="1:9">
      <c r="A135" s="242" t="s">
        <v>256</v>
      </c>
      <c r="B135" s="243">
        <f>B134+B80+0</f>
        <v>69043189.269999996</v>
      </c>
      <c r="F135">
        <f>SUM(F131:F134)</f>
        <v>69044.402790000022</v>
      </c>
      <c r="G135">
        <f>SUM(G131:G134)</f>
        <v>85535</v>
      </c>
    </row>
    <row r="136" spans="1:9">
      <c r="A136" s="242" t="s">
        <v>255</v>
      </c>
      <c r="B136" s="243">
        <f>B135-0</f>
        <v>69043189.269999996</v>
      </c>
    </row>
    <row r="137" spans="1:9">
      <c r="A137" s="242" t="s">
        <v>254</v>
      </c>
      <c r="B137" s="243"/>
    </row>
    <row r="138" spans="1:9">
      <c r="A138" s="242" t="s">
        <v>254</v>
      </c>
      <c r="B138" s="243"/>
    </row>
    <row r="139" spans="1:9">
      <c r="A139" s="244" t="s">
        <v>253</v>
      </c>
      <c r="B139" s="243"/>
      <c r="D139" s="301">
        <v>2021</v>
      </c>
      <c r="E139" s="301" t="s">
        <v>659</v>
      </c>
    </row>
    <row r="140" spans="1:9">
      <c r="A140" s="251" t="s">
        <v>252</v>
      </c>
      <c r="B140" s="247">
        <v>194889.18</v>
      </c>
      <c r="C140">
        <v>19.100000000000001</v>
      </c>
      <c r="D140" s="300">
        <v>194870.3</v>
      </c>
      <c r="E140" s="12">
        <f>+B140-D140</f>
        <v>18.880000000004657</v>
      </c>
    </row>
    <row r="141" spans="1:9">
      <c r="A141" s="250" t="s">
        <v>251</v>
      </c>
      <c r="B141" s="249">
        <f>SUM(B140)</f>
        <v>194889.18</v>
      </c>
      <c r="C141">
        <v>19</v>
      </c>
      <c r="E141" s="12"/>
    </row>
    <row r="142" spans="1:9">
      <c r="A142" s="244" t="s">
        <v>250</v>
      </c>
      <c r="B142" s="243"/>
      <c r="E142" s="12"/>
    </row>
    <row r="143" spans="1:9">
      <c r="A143" s="251" t="s">
        <v>249</v>
      </c>
      <c r="B143" s="247">
        <v>3895520.89</v>
      </c>
      <c r="C143" s="20">
        <v>19.3</v>
      </c>
      <c r="D143" s="300">
        <v>3895520.89</v>
      </c>
      <c r="E143" s="12">
        <f>+B143-D143</f>
        <v>0</v>
      </c>
    </row>
    <row r="144" spans="1:9">
      <c r="A144" s="251" t="s">
        <v>248</v>
      </c>
      <c r="B144" s="247">
        <v>39389573.579999998</v>
      </c>
      <c r="C144" s="20">
        <v>19.3</v>
      </c>
      <c r="D144" s="300">
        <v>39389573.579999998</v>
      </c>
      <c r="E144" s="12">
        <f t="shared" ref="E144:E149" si="0">+B144-D144</f>
        <v>0</v>
      </c>
      <c r="I144" s="328"/>
    </row>
    <row r="145" spans="1:6">
      <c r="A145" s="251" t="s">
        <v>247</v>
      </c>
      <c r="B145" s="247">
        <v>77793403.700000003</v>
      </c>
      <c r="C145" s="20">
        <v>19.100000000000001</v>
      </c>
      <c r="D145" s="300">
        <v>77793403.700000003</v>
      </c>
      <c r="E145" s="12">
        <f t="shared" si="0"/>
        <v>0</v>
      </c>
    </row>
    <row r="146" spans="1:6">
      <c r="A146" s="251" t="s">
        <v>246</v>
      </c>
      <c r="B146" s="247">
        <v>23171.119999999999</v>
      </c>
      <c r="C146" s="20">
        <v>19.3</v>
      </c>
      <c r="E146" s="12">
        <f t="shared" si="0"/>
        <v>23171.119999999999</v>
      </c>
    </row>
    <row r="147" spans="1:6">
      <c r="A147" s="251" t="s">
        <v>245</v>
      </c>
      <c r="B147" s="247">
        <v>5451773.9900000002</v>
      </c>
      <c r="C147" s="20">
        <v>19.2</v>
      </c>
      <c r="D147" s="320">
        <v>4627028.91</v>
      </c>
      <c r="E147" s="12">
        <f>+B147-D147</f>
        <v>824745.08000000007</v>
      </c>
      <c r="F147" s="116"/>
    </row>
    <row r="148" spans="1:6">
      <c r="A148" s="251" t="s">
        <v>244</v>
      </c>
      <c r="B148" s="247">
        <v>-1862924.22</v>
      </c>
      <c r="C148" s="20">
        <v>19.3</v>
      </c>
      <c r="D148" s="300">
        <v>-1862924.22</v>
      </c>
      <c r="E148" s="12">
        <f t="shared" si="0"/>
        <v>0</v>
      </c>
    </row>
    <row r="149" spans="1:6">
      <c r="A149" s="251" t="s">
        <v>243</v>
      </c>
      <c r="B149" s="247">
        <v>6555768.54</v>
      </c>
      <c r="C149" s="20">
        <v>19.3</v>
      </c>
      <c r="D149" s="300">
        <v>6555768.54</v>
      </c>
      <c r="E149" s="12">
        <f t="shared" si="0"/>
        <v>0</v>
      </c>
    </row>
    <row r="150" spans="1:6">
      <c r="A150" s="250" t="s">
        <v>242</v>
      </c>
      <c r="B150" s="249">
        <f>SUM(B143:B149)</f>
        <v>131246287.60000001</v>
      </c>
      <c r="C150" s="20">
        <v>19</v>
      </c>
    </row>
    <row r="151" spans="1:6">
      <c r="A151" s="257" t="s">
        <v>241</v>
      </c>
      <c r="B151" s="249">
        <f>SUM(B141,B150)</f>
        <v>131441176.78000002</v>
      </c>
    </row>
    <row r="152" spans="1:6">
      <c r="A152" s="258" t="s">
        <v>240</v>
      </c>
      <c r="B152" s="247">
        <v>-45060261.700000003</v>
      </c>
      <c r="C152">
        <v>21</v>
      </c>
      <c r="D152" s="320">
        <v>-31480202.02</v>
      </c>
      <c r="E152" s="12">
        <f>+B152-D152</f>
        <v>-13580059.680000003</v>
      </c>
    </row>
    <row r="153" spans="1:6">
      <c r="A153" s="258" t="s">
        <v>28</v>
      </c>
      <c r="B153" s="247">
        <v>-17337725.810000002</v>
      </c>
      <c r="C153">
        <v>21</v>
      </c>
      <c r="D153" s="321">
        <v>-13580059.68</v>
      </c>
      <c r="E153" s="12">
        <f>+B153-D153</f>
        <v>-3757666.1300000027</v>
      </c>
    </row>
    <row r="154" spans="1:6">
      <c r="A154" s="255" t="s">
        <v>239</v>
      </c>
      <c r="B154" s="256">
        <f>B151+B152+B153+0</f>
        <v>69043189.270000011</v>
      </c>
      <c r="D154" s="256">
        <f>SUM(D140:D153)</f>
        <v>85532980</v>
      </c>
    </row>
    <row r="158" spans="1:6" ht="12.75">
      <c r="E158" s="329" t="s">
        <v>707</v>
      </c>
      <c r="F158" s="35"/>
    </row>
    <row r="159" spans="1:6" ht="12.75">
      <c r="E159" s="45" t="s">
        <v>373</v>
      </c>
      <c r="F159" s="35"/>
    </row>
    <row r="160" spans="1:6" ht="12.75">
      <c r="E160" s="35" t="s">
        <v>372</v>
      </c>
      <c r="F160" s="322">
        <v>1523.9376800000018</v>
      </c>
    </row>
    <row r="161" spans="5:6" ht="12.75">
      <c r="E161" s="35" t="s">
        <v>371</v>
      </c>
      <c r="F161" s="322">
        <v>232.99287999999979</v>
      </c>
    </row>
    <row r="162" spans="5:6" ht="12.75">
      <c r="E162" s="35" t="s">
        <v>370</v>
      </c>
      <c r="F162" s="35"/>
    </row>
    <row r="163" spans="5:6" ht="12.75">
      <c r="E163" s="35" t="s">
        <v>368</v>
      </c>
      <c r="F163" s="330">
        <v>944.72362999999996</v>
      </c>
    </row>
    <row r="164" spans="5:6" ht="12.75">
      <c r="E164" s="35"/>
      <c r="F164" s="331">
        <v>2701.6541900000016</v>
      </c>
    </row>
    <row r="165" spans="5:6" ht="12.75">
      <c r="E165" s="45" t="s">
        <v>293</v>
      </c>
      <c r="F165" s="35"/>
    </row>
    <row r="166" spans="5:6" ht="12.75">
      <c r="E166" s="35" t="s">
        <v>292</v>
      </c>
      <c r="F166" s="36"/>
    </row>
    <row r="167" spans="5:6" ht="12.75">
      <c r="E167" s="35" t="s">
        <v>291</v>
      </c>
      <c r="F167" s="36"/>
    </row>
    <row r="168" spans="5:6" ht="12.75">
      <c r="E168" s="35" t="s">
        <v>290</v>
      </c>
      <c r="F168" s="36">
        <v>-165.84487000000001</v>
      </c>
    </row>
    <row r="169" spans="5:6" ht="12.75">
      <c r="E169" s="35" t="s">
        <v>288</v>
      </c>
      <c r="F169" s="36">
        <v>-15.672049999999999</v>
      </c>
    </row>
    <row r="170" spans="5:6" ht="12.75">
      <c r="E170" s="35" t="s">
        <v>287</v>
      </c>
      <c r="F170" s="332"/>
    </row>
    <row r="171" spans="5:6" ht="12.75">
      <c r="E171" s="35"/>
      <c r="F171" s="331">
        <v>-181.51692000000003</v>
      </c>
    </row>
  </sheetData>
  <autoFilter ref="A7:C154" xr:uid="{29A30CE8-B57F-469F-83F6-66B219DCF5DD}"/>
  <mergeCells count="6">
    <mergeCell ref="A6:B6"/>
    <mergeCell ref="A1:B1"/>
    <mergeCell ref="A2:B2"/>
    <mergeCell ref="A3:B3"/>
    <mergeCell ref="A4:B4"/>
    <mergeCell ref="A5:B5"/>
  </mergeCells>
  <phoneticPr fontId="0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086B6-CD64-48AD-83B7-52666326B41B}">
  <sheetPr>
    <tabColor rgb="FFFFFF00"/>
  </sheetPr>
  <dimension ref="B2:AE199"/>
  <sheetViews>
    <sheetView workbookViewId="0"/>
  </sheetViews>
  <sheetFormatPr defaultColWidth="8.6640625" defaultRowHeight="11.25"/>
  <cols>
    <col min="2" max="2" width="9.1640625" bestFit="1" customWidth="1"/>
    <col min="4" max="4" width="51.5" bestFit="1" customWidth="1"/>
    <col min="5" max="5" width="14.6640625" bestFit="1" customWidth="1"/>
    <col min="6" max="6" width="17.1640625" bestFit="1" customWidth="1"/>
    <col min="7" max="7" width="12.5" bestFit="1" customWidth="1"/>
    <col min="8" max="8" width="9.5" bestFit="1" customWidth="1"/>
    <col min="10" max="11" width="14.6640625" bestFit="1" customWidth="1"/>
    <col min="12" max="12" width="14.6640625" customWidth="1"/>
    <col min="13" max="13" width="13.1640625" customWidth="1"/>
    <col min="14" max="14" width="44" bestFit="1" customWidth="1"/>
    <col min="15" max="16" width="13.6640625" customWidth="1"/>
  </cols>
  <sheetData>
    <row r="2" spans="2:31" ht="15.75" thickBot="1">
      <c r="B2" s="9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</row>
    <row r="3" spans="2:31" s="65" customFormat="1" ht="15.75" thickBot="1">
      <c r="B3" s="63"/>
      <c r="C3" s="64"/>
      <c r="D3" s="64" t="s">
        <v>518</v>
      </c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</row>
    <row r="4" spans="2:31" ht="14.25">
      <c r="B4" s="8"/>
      <c r="C4" s="8"/>
      <c r="D4" s="8"/>
      <c r="E4" s="314"/>
      <c r="F4" s="314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</row>
    <row r="5" spans="2:31" ht="15">
      <c r="B5" s="9">
        <v>3</v>
      </c>
      <c r="C5" s="8"/>
      <c r="D5" s="8" t="s">
        <v>519</v>
      </c>
      <c r="E5" s="315">
        <f>+SUMIF('Full BS-USD'!$M$9:$M$226,F5,'Full BS-USD'!$L$9:$L$226)/1000</f>
        <v>424.62304999999998</v>
      </c>
      <c r="F5" s="314">
        <v>12.1</v>
      </c>
      <c r="G5" s="8"/>
      <c r="H5" s="8"/>
      <c r="I5" s="171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</row>
    <row r="6" spans="2:31" ht="15.75" thickBot="1">
      <c r="B6" s="9"/>
      <c r="C6" s="8"/>
      <c r="D6" s="8" t="s">
        <v>520</v>
      </c>
      <c r="E6" s="316">
        <f>SUMIF('Full BS-USD'!$M$9:$M$226,F6,'Full BS-USD'!$L$9:$L$226)/1000-E5-1</f>
        <v>233.25907000000001</v>
      </c>
      <c r="F6" s="314">
        <v>12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</row>
    <row r="7" spans="2:31" ht="15">
      <c r="B7" s="9"/>
      <c r="C7" s="8"/>
      <c r="D7" s="8"/>
      <c r="E7" s="317">
        <f>SUM(E5:E6)</f>
        <v>657.88211999999999</v>
      </c>
      <c r="F7" s="314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</row>
    <row r="8" spans="2:31" ht="14.25">
      <c r="E8" s="318">
        <f>+E7-'BS USD'!S13</f>
        <v>-1.1178800000000138</v>
      </c>
      <c r="F8" s="67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</row>
    <row r="9" spans="2:31" ht="14.25">
      <c r="E9" s="67"/>
      <c r="F9" s="67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</row>
    <row r="10" spans="2:31" ht="15">
      <c r="B10" s="9">
        <v>4</v>
      </c>
      <c r="C10" s="8"/>
      <c r="D10" s="8" t="s">
        <v>521</v>
      </c>
      <c r="E10" s="315">
        <f>+SUMIF('Full BS-USD'!$M$9:$M$226,F10,'Full BS-USD'!$L$9:$L$226)/1000</f>
        <v>273.23525999999998</v>
      </c>
      <c r="F10" s="314">
        <v>13.1</v>
      </c>
      <c r="G10" s="8"/>
      <c r="H10" s="8"/>
      <c r="I10" s="171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</row>
    <row r="11" spans="2:31" ht="15">
      <c r="B11" s="9"/>
      <c r="C11" s="8"/>
      <c r="D11" s="8" t="s">
        <v>522</v>
      </c>
      <c r="E11" s="315">
        <f>+SUMIF('Full BS-USD'!$M$9:$M$226,F11,'Full BS-USD'!$L$9:$L$226)/1000</f>
        <v>162.24782000000002</v>
      </c>
      <c r="F11" s="314">
        <v>13.2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</row>
    <row r="12" spans="2:31" ht="15.75" thickBot="1">
      <c r="B12" s="9"/>
      <c r="C12" s="8"/>
      <c r="D12" s="8" t="s">
        <v>523</v>
      </c>
      <c r="E12" s="316">
        <f>SUMIF('Full BS-USD'!$M$9:$M$226,F12,'Full BS-USD'!$L$9:$L$226)/1000-E11-E10-'Full BS-USD'!L157/1000</f>
        <v>201.69304999999972</v>
      </c>
      <c r="F12" s="314">
        <v>13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</row>
    <row r="13" spans="2:31" ht="15">
      <c r="B13" s="9"/>
      <c r="D13" s="8"/>
      <c r="E13" s="317">
        <f>SUM(E10:E12)</f>
        <v>637.17612999999972</v>
      </c>
      <c r="F13" s="314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</row>
    <row r="14" spans="2:31" ht="15">
      <c r="B14" s="9"/>
      <c r="E14" s="318">
        <f>+E13-'BS USD'!S14</f>
        <v>-21.823870000000284</v>
      </c>
      <c r="F14" s="314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</row>
    <row r="15" spans="2:31" ht="15">
      <c r="B15" s="9">
        <v>5</v>
      </c>
      <c r="D15" s="8" t="s">
        <v>524</v>
      </c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</row>
    <row r="16" spans="2:31" ht="15">
      <c r="B16" s="9"/>
      <c r="D16" s="8" t="s">
        <v>525</v>
      </c>
      <c r="E16" s="14">
        <f>+SUMIF('WRD Solo BS'!C7:C154,F16,'WRD Solo BS'!B7:B154)/1000</f>
        <v>397.05579</v>
      </c>
      <c r="F16" s="8">
        <v>15.1</v>
      </c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</row>
    <row r="17" spans="2:31" ht="15">
      <c r="B17" s="9"/>
      <c r="D17" s="8" t="s">
        <v>526</v>
      </c>
      <c r="E17" s="14">
        <f>+SUMIF('WRD Solo BS'!C8:C155,F17,'WRD Solo BS'!B8:B155)/1000</f>
        <v>6.8070000000000004</v>
      </c>
      <c r="F17" s="8">
        <v>15.2</v>
      </c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</row>
    <row r="18" spans="2:31" ht="15">
      <c r="B18" s="9"/>
      <c r="D18" s="8" t="s">
        <v>527</v>
      </c>
      <c r="E18" s="17">
        <f>+SUMIF('WRD Solo BS'!C9:C156,F18,'WRD Solo BS'!B9:B156)/1000</f>
        <v>9.1999999999999993</v>
      </c>
      <c r="F18" s="8">
        <v>15.3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</row>
    <row r="19" spans="2:31" ht="15">
      <c r="B19" s="9"/>
      <c r="E19" s="62">
        <f>SUM(E16:E18)</f>
        <v>413.06279000000001</v>
      </c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</row>
    <row r="20" spans="2:31" ht="15">
      <c r="B20" s="9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</row>
    <row r="21" spans="2:31" ht="15">
      <c r="B21" s="9"/>
      <c r="D21" s="8" t="s">
        <v>528</v>
      </c>
      <c r="E21" s="14">
        <f>+SUMIF('WRD Solo BS'!C12:C159,F21,'WRD Solo BS'!B12:B159)/1000</f>
        <v>-229.70031</v>
      </c>
      <c r="F21" s="8">
        <v>15.4</v>
      </c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</row>
    <row r="22" spans="2:31" ht="15">
      <c r="B22" s="9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</row>
    <row r="23" spans="2:31" ht="15">
      <c r="B23" s="9"/>
      <c r="D23" s="8" t="s">
        <v>529</v>
      </c>
      <c r="E23" s="14">
        <f>+E19+E21</f>
        <v>183.36248000000001</v>
      </c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</row>
    <row r="24" spans="2:31" ht="15">
      <c r="B24" s="9"/>
      <c r="D24" s="8"/>
      <c r="E24" s="221">
        <f>+E23-'BS ILS'!G22</f>
        <v>0.36248000000000502</v>
      </c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</row>
    <row r="25" spans="2:31" ht="15">
      <c r="B25" s="9"/>
      <c r="D25" s="8"/>
      <c r="E25" s="14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</row>
    <row r="26" spans="2:31" ht="15">
      <c r="B26" s="9"/>
      <c r="D26" s="8"/>
      <c r="E26" s="14"/>
      <c r="F26" s="8"/>
      <c r="G26" s="8"/>
      <c r="H26" s="8"/>
      <c r="I26" s="171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</row>
    <row r="27" spans="2:31" ht="15">
      <c r="B27" s="9">
        <v>6</v>
      </c>
      <c r="C27" s="8"/>
      <c r="D27" s="8" t="s">
        <v>530</v>
      </c>
      <c r="E27" s="14">
        <f>+SUMIF('WRD Solo BS'!C18:C165,F27,'WRD Solo BS'!B18:B165)/1000</f>
        <v>1656.8939900000003</v>
      </c>
      <c r="F27" s="8">
        <v>17.100000000000001</v>
      </c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</row>
    <row r="28" spans="2:31" ht="15">
      <c r="B28" s="9"/>
      <c r="C28" s="86" t="s">
        <v>266</v>
      </c>
      <c r="D28" s="8" t="s">
        <v>532</v>
      </c>
      <c r="E28" s="14">
        <f>+SUMIF('WRD Solo BS'!C19:C166,F28,'WRD Solo BS'!B19:B166)/1000+VLOOKUP(C28,'WRD Solo BS'!$A$73:$B$136,2,0)/1000</f>
        <v>227.32060000000001</v>
      </c>
      <c r="F28" s="8">
        <v>17.2</v>
      </c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</row>
    <row r="29" spans="2:31" ht="15">
      <c r="B29" s="9"/>
      <c r="C29" s="8"/>
      <c r="D29" s="8" t="s">
        <v>531</v>
      </c>
      <c r="E29" s="17">
        <f>+SUMIF('WRD Solo BS'!C20:C167,F29,'WRD Solo BS'!B20:B167)/1000</f>
        <v>394.70062999999999</v>
      </c>
      <c r="F29" s="8">
        <v>17.399999999999999</v>
      </c>
      <c r="G29" s="8"/>
      <c r="H29" s="35"/>
      <c r="I29" s="35"/>
      <c r="J29" s="35"/>
      <c r="K29" s="35"/>
      <c r="L29" s="35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</row>
    <row r="30" spans="2:31" ht="15">
      <c r="B30" s="9"/>
      <c r="D30" s="8"/>
      <c r="E30" s="62">
        <f>SUM(E27:E29)</f>
        <v>2278.9152200000003</v>
      </c>
      <c r="F30" s="8"/>
      <c r="G30" s="8"/>
      <c r="H30" s="8"/>
      <c r="I30" s="8"/>
      <c r="J30" s="8"/>
      <c r="K30" s="8"/>
      <c r="L30" s="8"/>
      <c r="N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</row>
    <row r="31" spans="2:31" ht="15">
      <c r="B31" s="9"/>
      <c r="E31" s="221">
        <f>+E30-'BS ILS'!G37</f>
        <v>-8.4779999999682332E-2</v>
      </c>
      <c r="F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</row>
    <row r="32" spans="2:31" ht="15">
      <c r="B32" s="9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</row>
    <row r="33" spans="2:31" ht="15">
      <c r="B33" s="9">
        <v>8</v>
      </c>
      <c r="D33" s="8" t="s">
        <v>534</v>
      </c>
      <c r="F33" s="8"/>
      <c r="G33" s="8"/>
      <c r="H33" s="8"/>
      <c r="I33" s="8"/>
      <c r="J33" s="8"/>
      <c r="K33" s="8"/>
      <c r="L33" s="8"/>
      <c r="M33" s="8"/>
      <c r="N33" s="8"/>
      <c r="O33" s="8" t="s">
        <v>542</v>
      </c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</row>
    <row r="34" spans="2:31" ht="14.25">
      <c r="F34" s="8"/>
      <c r="G34" s="8"/>
      <c r="H34" s="8"/>
      <c r="I34" s="8"/>
      <c r="J34" s="8"/>
      <c r="K34" s="8"/>
      <c r="L34" s="8"/>
      <c r="M34" s="8"/>
      <c r="N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</row>
    <row r="35" spans="2:31" ht="15">
      <c r="B35" s="9"/>
      <c r="G35" s="8"/>
      <c r="H35" s="8"/>
      <c r="I35" s="8"/>
      <c r="J35" s="8"/>
      <c r="K35" s="8"/>
      <c r="L35" s="8"/>
      <c r="M35" s="8"/>
      <c r="N35" s="8"/>
      <c r="O35" s="397">
        <v>2022</v>
      </c>
      <c r="P35" s="397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</row>
    <row r="36" spans="2:31" ht="58.5" thickBot="1">
      <c r="B36" s="9"/>
      <c r="E36" s="8" t="s">
        <v>540</v>
      </c>
      <c r="F36" s="68" t="s">
        <v>541</v>
      </c>
      <c r="G36" s="8"/>
      <c r="H36" s="8"/>
      <c r="I36" s="8"/>
      <c r="J36" s="8" t="s">
        <v>540</v>
      </c>
      <c r="K36" s="68" t="s">
        <v>541</v>
      </c>
      <c r="L36" s="8"/>
      <c r="M36" s="8"/>
      <c r="N36" s="8"/>
      <c r="O36" s="76" t="s">
        <v>543</v>
      </c>
      <c r="P36" s="75" t="s">
        <v>544</v>
      </c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</row>
    <row r="37" spans="2:31" ht="15.75" thickBot="1">
      <c r="B37" s="9"/>
      <c r="E37" s="398" t="s">
        <v>539</v>
      </c>
      <c r="F37" s="398"/>
      <c r="G37" s="8"/>
      <c r="H37" s="8"/>
      <c r="I37" s="8"/>
      <c r="J37" s="398" t="s">
        <v>613</v>
      </c>
      <c r="K37" s="398"/>
      <c r="L37" s="8"/>
      <c r="M37" s="8"/>
      <c r="N37" s="8" t="s">
        <v>545</v>
      </c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</row>
    <row r="38" spans="2:31" ht="15">
      <c r="B38" s="9"/>
      <c r="D38" s="8" t="s">
        <v>535</v>
      </c>
      <c r="E38" s="147">
        <v>3074000</v>
      </c>
      <c r="F38" s="147">
        <v>1223458</v>
      </c>
      <c r="G38" s="8"/>
      <c r="H38" s="8"/>
      <c r="I38" s="8"/>
      <c r="J38" s="147">
        <v>3074000</v>
      </c>
      <c r="K38" s="147">
        <v>1220858</v>
      </c>
      <c r="L38" s="8"/>
      <c r="M38" s="8"/>
      <c r="N38" s="8" t="s">
        <v>494</v>
      </c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</row>
    <row r="39" spans="2:31" ht="15">
      <c r="B39" s="9"/>
      <c r="D39" s="8" t="s">
        <v>536</v>
      </c>
      <c r="E39" s="147">
        <v>205000</v>
      </c>
      <c r="F39" s="147">
        <v>180881</v>
      </c>
      <c r="G39" s="8"/>
      <c r="H39" s="8"/>
      <c r="I39" s="8"/>
      <c r="J39" s="147">
        <v>205000</v>
      </c>
      <c r="K39" s="147">
        <v>180881</v>
      </c>
      <c r="L39" s="8"/>
      <c r="M39" s="8"/>
      <c r="N39" s="8" t="s">
        <v>546</v>
      </c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</row>
    <row r="40" spans="2:31" ht="15">
      <c r="B40" s="9"/>
      <c r="C40" s="8"/>
      <c r="D40" s="8" t="s">
        <v>537</v>
      </c>
      <c r="E40" s="147">
        <v>651000</v>
      </c>
      <c r="F40" s="147">
        <v>641271</v>
      </c>
      <c r="G40" s="8"/>
      <c r="H40" s="8"/>
      <c r="I40" s="8"/>
      <c r="J40" s="147">
        <v>651000</v>
      </c>
      <c r="K40" s="147">
        <v>514024</v>
      </c>
      <c r="L40" s="8"/>
      <c r="M40" s="8"/>
      <c r="N40" s="8" t="s">
        <v>547</v>
      </c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</row>
    <row r="41" spans="2:31" ht="15">
      <c r="B41" s="9"/>
      <c r="C41" s="8"/>
      <c r="D41" s="8" t="s">
        <v>538</v>
      </c>
      <c r="E41" s="148">
        <v>1070000</v>
      </c>
      <c r="F41" s="148">
        <v>967678</v>
      </c>
      <c r="G41" s="62">
        <f>+K41</f>
        <v>967678</v>
      </c>
      <c r="H41" s="62">
        <f>+F41-G41</f>
        <v>0</v>
      </c>
      <c r="I41" s="62"/>
      <c r="J41" s="148">
        <v>1070000</v>
      </c>
      <c r="K41" s="149">
        <v>967678</v>
      </c>
      <c r="L41" s="322" t="s">
        <v>702</v>
      </c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</row>
    <row r="42" spans="2:31" ht="15">
      <c r="B42" s="9"/>
      <c r="C42" s="8"/>
      <c r="D42" s="8"/>
      <c r="E42" s="147">
        <f>SUM(E38:E41)</f>
        <v>5000000</v>
      </c>
      <c r="F42" s="147">
        <f>SUM(F38:F41)</f>
        <v>3013288</v>
      </c>
      <c r="G42" s="8"/>
      <c r="H42" s="8"/>
      <c r="I42" s="8"/>
      <c r="J42" s="147">
        <f>SUM(J38:J41)</f>
        <v>5000000</v>
      </c>
      <c r="K42" s="147">
        <f>SUM(K38:K41)</f>
        <v>2883441</v>
      </c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</row>
    <row r="43" spans="2:31" ht="15">
      <c r="B43" s="9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</row>
    <row r="44" spans="2:31" ht="15">
      <c r="B44" s="9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</row>
    <row r="45" spans="2:31" ht="15">
      <c r="B45" s="9"/>
      <c r="C45" s="8"/>
      <c r="D45" s="8"/>
      <c r="E45" s="8"/>
      <c r="F45" s="8"/>
      <c r="G45" s="8"/>
      <c r="H45" s="8"/>
      <c r="I45" s="8"/>
      <c r="J45" s="8"/>
      <c r="K45" s="8" t="s">
        <v>614</v>
      </c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</row>
    <row r="46" spans="2:31" ht="14.25"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</row>
    <row r="47" spans="2:31" ht="15">
      <c r="B47" s="9">
        <v>9</v>
      </c>
      <c r="C47" s="8"/>
      <c r="D47" s="9" t="s">
        <v>373</v>
      </c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</row>
    <row r="48" spans="2:31" ht="15">
      <c r="B48" s="9"/>
      <c r="C48" s="8"/>
      <c r="D48" s="8" t="s">
        <v>372</v>
      </c>
      <c r="E48" s="14">
        <f>+SUMIF('WRD Solo BS'!C7:C153,F48,'WRD Solo BS'!B7:B153)/1000</f>
        <v>9554.8514700000014</v>
      </c>
      <c r="F48" s="8" t="s">
        <v>698</v>
      </c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</row>
    <row r="49" spans="2:31" ht="15">
      <c r="B49" s="9"/>
      <c r="C49" s="8"/>
      <c r="D49" s="8" t="s">
        <v>371</v>
      </c>
      <c r="E49" s="14">
        <f>+SUMIF('WRD Solo BS'!C8:C154,F49,'WRD Solo BS'!B8:B154)/1000</f>
        <v>3041.9907599999997</v>
      </c>
      <c r="F49" s="8" t="s">
        <v>699</v>
      </c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</row>
    <row r="50" spans="2:31" ht="15">
      <c r="B50" s="9"/>
      <c r="C50" s="8"/>
      <c r="D50" s="8" t="s">
        <v>370</v>
      </c>
      <c r="E50" s="14">
        <f>+SUMIF('WRD Solo BS'!C9:C155,F50,'WRD Solo BS'!B9:B155)/1000</f>
        <v>3.4860000000000002</v>
      </c>
      <c r="F50" s="8" t="s">
        <v>700</v>
      </c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</row>
    <row r="51" spans="2:31" ht="15">
      <c r="B51" s="9"/>
      <c r="C51" s="8"/>
      <c r="D51" s="8" t="s">
        <v>368</v>
      </c>
      <c r="E51" s="14">
        <f>+SUMIF('WRD Solo BS'!C10:C156,F51,'WRD Solo BS'!B10:B156)/1000</f>
        <v>2964.4156499999999</v>
      </c>
      <c r="F51" s="8" t="s">
        <v>701</v>
      </c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</row>
    <row r="52" spans="2:31" ht="15">
      <c r="B52" s="9"/>
      <c r="C52" s="8" t="s">
        <v>235</v>
      </c>
      <c r="D52" s="8" t="s">
        <v>337</v>
      </c>
      <c r="E52" s="17">
        <f>918263.98/1000</f>
        <v>918.26397999999995</v>
      </c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</row>
    <row r="53" spans="2:31" ht="15">
      <c r="B53" s="9"/>
      <c r="C53" s="8"/>
      <c r="D53" s="8"/>
      <c r="E53" s="62">
        <f>SUM(E47:E52)</f>
        <v>16483.007860000002</v>
      </c>
      <c r="F53" s="8"/>
      <c r="G53" s="8"/>
      <c r="H53" s="8"/>
      <c r="I53" s="62">
        <f>+E53-E61</f>
        <v>3438.4012500000026</v>
      </c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</row>
    <row r="54" spans="2:31" ht="15">
      <c r="B54" s="9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</row>
    <row r="55" spans="2:31" ht="15">
      <c r="B55" s="9"/>
      <c r="C55" s="8"/>
      <c r="D55" s="9" t="s">
        <v>293</v>
      </c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</row>
    <row r="56" spans="2:31" ht="15">
      <c r="B56" s="9"/>
      <c r="C56" s="8"/>
      <c r="D56" s="8" t="s">
        <v>292</v>
      </c>
      <c r="E56" s="14">
        <f>+SUMIF('WRD Solo BS'!C47:C194,F56,'WRD Solo BS'!B47:B194)/1000</f>
        <v>8030.9137899999996</v>
      </c>
      <c r="F56" s="8" t="s">
        <v>693</v>
      </c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</row>
    <row r="57" spans="2:31" ht="15">
      <c r="B57" s="9"/>
      <c r="C57" s="8"/>
      <c r="D57" s="8" t="s">
        <v>291</v>
      </c>
      <c r="E57" s="14">
        <f>+SUMIF('WRD Solo BS'!C48:C195,F57,'WRD Solo BS'!B48:B195)/1000</f>
        <v>2808.9978799999999</v>
      </c>
      <c r="F57" s="8" t="s">
        <v>694</v>
      </c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</row>
    <row r="58" spans="2:31" ht="15">
      <c r="B58" s="9"/>
      <c r="C58" s="8"/>
      <c r="D58" s="8" t="s">
        <v>290</v>
      </c>
      <c r="E58" s="14">
        <f>+SUMIF('WRD Solo BS'!C49:C196,F58,'WRD Solo BS'!B49:B196)/1000</f>
        <v>169.33087</v>
      </c>
      <c r="F58" s="8" t="s">
        <v>695</v>
      </c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</row>
    <row r="59" spans="2:31" ht="15">
      <c r="B59" s="9"/>
      <c r="C59" s="8"/>
      <c r="D59" s="8" t="s">
        <v>288</v>
      </c>
      <c r="E59" s="14">
        <f>+SUMIF('WRD Solo BS'!C50:C197,F59,'WRD Solo BS'!B50:B197)/1000</f>
        <v>15.672049999999999</v>
      </c>
      <c r="F59" s="8" t="s">
        <v>696</v>
      </c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</row>
    <row r="60" spans="2:31" ht="15">
      <c r="B60" s="9"/>
      <c r="C60" s="8"/>
      <c r="D60" s="8" t="s">
        <v>287</v>
      </c>
      <c r="E60" s="17">
        <f>+SUMIF('WRD Solo BS'!C51:C198,F60,'WRD Solo BS'!B51:B198)/1000</f>
        <v>2019.69202</v>
      </c>
      <c r="F60" s="8" t="s">
        <v>697</v>
      </c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</row>
    <row r="61" spans="2:31" ht="15">
      <c r="B61" s="9"/>
      <c r="C61" s="8"/>
      <c r="D61" s="8"/>
      <c r="E61" s="62">
        <f>SUM(E56:E60)</f>
        <v>13044.606609999999</v>
      </c>
      <c r="F61" s="8"/>
      <c r="G61" s="8"/>
      <c r="H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</row>
    <row r="62" spans="2:31" ht="15">
      <c r="B62" s="9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</row>
    <row r="63" spans="2:31" ht="15">
      <c r="B63" s="9"/>
      <c r="C63" s="8"/>
      <c r="D63" s="325" t="s">
        <v>707</v>
      </c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</row>
    <row r="64" spans="2:31" ht="15">
      <c r="B64" s="9"/>
      <c r="C64" s="8"/>
      <c r="D64" s="9" t="s">
        <v>373</v>
      </c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</row>
    <row r="65" spans="2:31" ht="15">
      <c r="B65" s="9"/>
      <c r="C65" s="8"/>
      <c r="D65" s="8" t="s">
        <v>372</v>
      </c>
      <c r="E65" s="62">
        <f>+E48-E56</f>
        <v>1523.9376800000018</v>
      </c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</row>
    <row r="66" spans="2:31" ht="15">
      <c r="B66" s="9"/>
      <c r="C66" s="8"/>
      <c r="D66" s="8" t="s">
        <v>371</v>
      </c>
      <c r="E66" s="62">
        <f>+E49-E57</f>
        <v>232.99287999999979</v>
      </c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</row>
    <row r="67" spans="2:31" ht="15">
      <c r="B67" s="9"/>
      <c r="C67" s="8"/>
      <c r="D67" s="8" t="s">
        <v>235</v>
      </c>
      <c r="E67" s="62">
        <f>+E52</f>
        <v>918.26397999999995</v>
      </c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</row>
    <row r="68" spans="2:31" ht="15">
      <c r="B68" s="9"/>
      <c r="C68" s="8"/>
      <c r="D68" s="8" t="s">
        <v>368</v>
      </c>
      <c r="E68" s="324">
        <f>+E51-E60</f>
        <v>944.72362999999996</v>
      </c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</row>
    <row r="69" spans="2:31" ht="15">
      <c r="B69" s="9"/>
      <c r="C69" s="8"/>
      <c r="D69" s="8"/>
      <c r="E69" s="323">
        <v>3620</v>
      </c>
      <c r="F69" s="8"/>
      <c r="G69" s="8"/>
      <c r="H69" s="8"/>
      <c r="I69" s="62">
        <f>+E69+E76</f>
        <v>3438.48308</v>
      </c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</row>
    <row r="70" spans="2:31" ht="15">
      <c r="B70" s="9"/>
      <c r="C70" s="8"/>
      <c r="D70" s="9" t="s">
        <v>293</v>
      </c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</row>
    <row r="71" spans="2:31" ht="15">
      <c r="B71" s="9"/>
      <c r="C71" s="8"/>
      <c r="D71" s="8" t="s">
        <v>292</v>
      </c>
      <c r="E71" s="14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</row>
    <row r="72" spans="2:31" ht="15">
      <c r="B72" s="9"/>
      <c r="C72" s="8"/>
      <c r="D72" s="8" t="s">
        <v>291</v>
      </c>
      <c r="E72" s="14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</row>
    <row r="73" spans="2:31" ht="15">
      <c r="B73" s="9"/>
      <c r="C73" s="8"/>
      <c r="D73" s="8" t="s">
        <v>290</v>
      </c>
      <c r="E73" s="14">
        <f>-E58+E50</f>
        <v>-165.84487000000001</v>
      </c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</row>
    <row r="74" spans="2:31" ht="15">
      <c r="B74" s="9"/>
      <c r="C74" s="8"/>
      <c r="D74" s="8" t="s">
        <v>288</v>
      </c>
      <c r="E74" s="14">
        <f>-E59</f>
        <v>-15.672049999999999</v>
      </c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</row>
    <row r="75" spans="2:31" ht="15">
      <c r="B75" s="9"/>
      <c r="C75" s="8"/>
      <c r="D75" s="8" t="s">
        <v>287</v>
      </c>
      <c r="E75" s="17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</row>
    <row r="76" spans="2:31" ht="15">
      <c r="B76" s="9"/>
      <c r="C76" s="8"/>
      <c r="D76" s="8"/>
      <c r="E76" s="323">
        <f>SUM(E71:E75)</f>
        <v>-181.51692000000003</v>
      </c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</row>
    <row r="77" spans="2:31" ht="15">
      <c r="B77" s="9"/>
      <c r="C77" s="8"/>
      <c r="D77" s="8"/>
      <c r="E77" s="326">
        <f>+E53-E61-E69-E76</f>
        <v>-8.1829999997353298E-2</v>
      </c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</row>
    <row r="78" spans="2:31" ht="15.75" thickBot="1">
      <c r="B78" s="9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</row>
    <row r="79" spans="2:31" s="65" customFormat="1" ht="15.75" thickBot="1">
      <c r="B79" s="63"/>
      <c r="C79" s="64"/>
      <c r="D79" s="64" t="s">
        <v>517</v>
      </c>
      <c r="E79" s="64"/>
      <c r="F79" s="64"/>
      <c r="G79" s="64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  <c r="AA79" s="64"/>
      <c r="AB79" s="64"/>
      <c r="AC79" s="64"/>
      <c r="AD79" s="64"/>
      <c r="AE79" s="64"/>
    </row>
    <row r="80" spans="2:31" ht="15">
      <c r="B80" s="9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</row>
    <row r="81" spans="2:31" ht="15">
      <c r="B81" s="9">
        <v>9</v>
      </c>
      <c r="C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</row>
    <row r="82" spans="2:31" ht="15">
      <c r="B82" s="9"/>
      <c r="C82" s="8"/>
      <c r="G82" s="8"/>
      <c r="H82" s="8"/>
      <c r="I82" s="171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</row>
    <row r="83" spans="2:31" ht="15">
      <c r="B83" s="9"/>
      <c r="C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</row>
    <row r="84" spans="2:31" ht="15">
      <c r="B84" s="9"/>
      <c r="C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</row>
    <row r="85" spans="2:31" ht="15">
      <c r="B85" s="9"/>
      <c r="C85" s="8"/>
      <c r="G85" s="8"/>
      <c r="H85" s="8"/>
      <c r="I85" s="8"/>
      <c r="J85" s="8"/>
      <c r="K85" s="8"/>
      <c r="L85" s="8"/>
      <c r="M85" s="8"/>
      <c r="N85" s="8">
        <v>592386</v>
      </c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</row>
    <row r="86" spans="2:31" ht="15">
      <c r="B86" s="9"/>
      <c r="C86" s="8"/>
      <c r="G86" s="8"/>
      <c r="H86" s="8"/>
      <c r="I86" s="8"/>
      <c r="J86" s="8"/>
      <c r="K86" s="8"/>
      <c r="L86" s="8"/>
      <c r="M86" s="8"/>
      <c r="N86" s="8">
        <v>41895</v>
      </c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</row>
    <row r="87" spans="2:31" ht="15">
      <c r="B87" s="9"/>
      <c r="C87" s="8"/>
      <c r="G87" s="8"/>
      <c r="H87" s="8"/>
      <c r="I87" s="8"/>
      <c r="J87" s="8"/>
      <c r="K87" s="8"/>
      <c r="L87" s="8"/>
      <c r="M87" s="8"/>
      <c r="N87" s="8">
        <v>459304</v>
      </c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</row>
    <row r="88" spans="2:31" ht="14.25">
      <c r="G88" s="8"/>
      <c r="H88" s="8"/>
      <c r="I88" s="8"/>
      <c r="J88" s="8"/>
      <c r="K88" s="8"/>
      <c r="L88" s="8"/>
      <c r="M88" s="8"/>
      <c r="N88" s="8">
        <v>124518</v>
      </c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</row>
    <row r="89" spans="2:31" ht="14.25">
      <c r="G89" s="8"/>
      <c r="H89" s="8"/>
      <c r="I89" s="8"/>
      <c r="J89" s="8"/>
      <c r="K89" s="8"/>
      <c r="L89" s="8"/>
      <c r="M89" s="8"/>
      <c r="N89" s="8">
        <v>751867</v>
      </c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</row>
    <row r="90" spans="2:31" ht="15">
      <c r="B90" s="9">
        <v>10</v>
      </c>
      <c r="C90" s="8"/>
      <c r="G90" s="8"/>
      <c r="H90" s="8"/>
      <c r="I90" s="8"/>
      <c r="J90" s="8"/>
      <c r="K90" s="8"/>
      <c r="L90" s="8"/>
      <c r="M90" s="8"/>
      <c r="N90" s="327">
        <f>SUM(N85:N89)</f>
        <v>1969970</v>
      </c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</row>
    <row r="91" spans="2:31" ht="15">
      <c r="B91" s="9"/>
      <c r="C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</row>
    <row r="92" spans="2:31" ht="15">
      <c r="B92" s="9"/>
      <c r="C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</row>
    <row r="93" spans="2:31" ht="14.25"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</row>
    <row r="94" spans="2:31" ht="14.25"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</row>
    <row r="95" spans="2:31" ht="14.25"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</row>
    <row r="96" spans="2:31" ht="14.25"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</row>
    <row r="97" spans="2:31" ht="14.25"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</row>
    <row r="98" spans="2:31" ht="15">
      <c r="B98" s="9">
        <v>11</v>
      </c>
      <c r="C98" s="8"/>
      <c r="D98" s="8" t="s">
        <v>703</v>
      </c>
      <c r="E98" s="14">
        <f>-SUMIF('WRD Solo P&amp;L'!C7:C673,F98,'WRD Solo P&amp;L'!B7:B673)/1000</f>
        <v>9766.2998699999989</v>
      </c>
      <c r="F98" s="8">
        <v>6.1</v>
      </c>
      <c r="G98" s="8" t="s">
        <v>709</v>
      </c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</row>
    <row r="99" spans="2:31" ht="14.25">
      <c r="B99" s="8"/>
      <c r="C99" s="8"/>
      <c r="D99" s="8" t="s">
        <v>704</v>
      </c>
      <c r="E99" s="14">
        <f>-SUMIF('WRD Solo P&amp;L'!C8:C674,F99,'WRD Solo P&amp;L'!B8:B674)/1000</f>
        <v>-47.924909999999997</v>
      </c>
      <c r="F99" s="8">
        <v>6.2</v>
      </c>
      <c r="G99" s="8" t="s">
        <v>709</v>
      </c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</row>
    <row r="100" spans="2:31" ht="14.25">
      <c r="B100" s="8"/>
      <c r="C100" s="8"/>
      <c r="D100" s="8" t="s">
        <v>705</v>
      </c>
      <c r="E100" s="17">
        <f>+SUMIF('WRD Solo P&amp;L'!C10:C676,F100,'WRD Solo P&amp;L'!B10:B676)/1000</f>
        <v>1104.59915</v>
      </c>
      <c r="F100" s="8">
        <v>6.4</v>
      </c>
      <c r="G100" s="8" t="s">
        <v>708</v>
      </c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</row>
    <row r="101" spans="2:31" ht="14.25">
      <c r="B101" s="8"/>
      <c r="C101" s="8"/>
      <c r="D101" s="8"/>
      <c r="E101" s="58">
        <f>SUM(E98:E100)</f>
        <v>10822.974109999999</v>
      </c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</row>
    <row r="102" spans="2:31" ht="14.25">
      <c r="B102" s="8"/>
      <c r="C102" s="8"/>
      <c r="D102" s="8"/>
      <c r="E102" s="223">
        <f>+E101-'P&amp;L ILS'!G25</f>
        <v>-2.5890000000799773E-2</v>
      </c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</row>
    <row r="103" spans="2:31" ht="14.25">
      <c r="B103" s="8"/>
      <c r="C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</row>
    <row r="104" spans="2:31" ht="14.25">
      <c r="B104" s="8"/>
      <c r="C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</row>
    <row r="105" spans="2:31" ht="14.25"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</row>
    <row r="106" spans="2:31" ht="14.25"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</row>
    <row r="107" spans="2:31" ht="14.25">
      <c r="B107" s="8"/>
      <c r="C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</row>
    <row r="108" spans="2:31" ht="14.25">
      <c r="B108" s="8"/>
      <c r="C108" s="8"/>
      <c r="D108" s="8"/>
      <c r="E108" s="8">
        <v>9766</v>
      </c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</row>
    <row r="109" spans="2:31" ht="14.25">
      <c r="B109" s="8"/>
      <c r="C109" s="8"/>
      <c r="E109" s="8">
        <v>-48</v>
      </c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</row>
    <row r="110" spans="2:31" ht="14.25">
      <c r="B110" s="8"/>
      <c r="C110" s="8"/>
      <c r="D110" s="8"/>
      <c r="E110" s="8">
        <v>1105</v>
      </c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</row>
    <row r="111" spans="2:31" ht="14.25">
      <c r="B111" s="8"/>
      <c r="C111" s="8"/>
      <c r="E111" s="8">
        <f>SUM(E108:E110)</f>
        <v>10823</v>
      </c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</row>
    <row r="112" spans="2:31" ht="14.25"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</row>
    <row r="113" spans="2:31" ht="14.25"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</row>
    <row r="114" spans="2:31" ht="14.25"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</row>
    <row r="115" spans="2:31" ht="14.25"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</row>
    <row r="116" spans="2:31" ht="14.25"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</row>
    <row r="117" spans="2:31" ht="14.25"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</row>
    <row r="118" spans="2:31" ht="14.25"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</row>
    <row r="119" spans="2:31" ht="14.25"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</row>
    <row r="120" spans="2:31" ht="14.25"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</row>
    <row r="121" spans="2:31" ht="14.25"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</row>
    <row r="122" spans="2:31" ht="14.25"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</row>
    <row r="123" spans="2:31" ht="14.25"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</row>
    <row r="124" spans="2:31" ht="14.25"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</row>
    <row r="125" spans="2:31" ht="14.25"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</row>
    <row r="126" spans="2:31" ht="14.25"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</row>
    <row r="127" spans="2:31" ht="14.25"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</row>
    <row r="128" spans="2:31" ht="14.25"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</row>
    <row r="129" spans="2:31" ht="14.25"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</row>
    <row r="130" spans="2:31" ht="14.25"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</row>
    <row r="131" spans="2:31" ht="14.25"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</row>
    <row r="132" spans="2:31" ht="14.25"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</row>
    <row r="133" spans="2:31" ht="14.25"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</row>
    <row r="134" spans="2:31" ht="14.25"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</row>
    <row r="135" spans="2:31" ht="14.25"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</row>
    <row r="136" spans="2:31" ht="14.25"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</row>
    <row r="137" spans="2:31" ht="14.25"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</row>
    <row r="138" spans="2:31" ht="14.25"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</row>
    <row r="139" spans="2:31" ht="14.25"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</row>
    <row r="140" spans="2:31" ht="14.25"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</row>
    <row r="141" spans="2:31" ht="14.25"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</row>
    <row r="142" spans="2:31" ht="14.25"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</row>
    <row r="143" spans="2:31" ht="14.25"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</row>
    <row r="144" spans="2:31" ht="14.25"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</row>
    <row r="145" spans="2:31" ht="14.25"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</row>
    <row r="146" spans="2:31" ht="14.25"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</row>
    <row r="147" spans="2:31" ht="14.25"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</row>
    <row r="148" spans="2:31" ht="14.25"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</row>
    <row r="149" spans="2:31" ht="14.25"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</row>
    <row r="150" spans="2:31" ht="14.25"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</row>
    <row r="151" spans="2:31" ht="14.25"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</row>
    <row r="152" spans="2:31" ht="14.25"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</row>
    <row r="153" spans="2:31" ht="14.25"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</row>
    <row r="154" spans="2:31" ht="14.25"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</row>
    <row r="155" spans="2:31" ht="14.25"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</row>
    <row r="156" spans="2:31" ht="14.25"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</row>
    <row r="157" spans="2:31" ht="14.25"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</row>
    <row r="158" spans="2:31" ht="14.25"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</row>
    <row r="159" spans="2:31" ht="14.25"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</row>
    <row r="160" spans="2:31" ht="14.25"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</row>
    <row r="161" spans="2:31" ht="14.25"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</row>
    <row r="162" spans="2:31" ht="14.25"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</row>
    <row r="163" spans="2:31" ht="14.25"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</row>
    <row r="164" spans="2:31" ht="14.25"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</row>
    <row r="165" spans="2:31" ht="14.25"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</row>
    <row r="166" spans="2:31" ht="14.25"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</row>
    <row r="167" spans="2:31" ht="14.25"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</row>
    <row r="168" spans="2:31" ht="14.25"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</row>
    <row r="169" spans="2:31" ht="14.25"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</row>
    <row r="170" spans="2:31" ht="14.25"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</row>
    <row r="171" spans="2:31" ht="14.25"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</row>
    <row r="172" spans="2:31" ht="14.25"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</row>
    <row r="173" spans="2:31" ht="14.25"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</row>
    <row r="174" spans="2:31" ht="14.25"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</row>
    <row r="175" spans="2:31" ht="14.25"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</row>
    <row r="176" spans="2:31" ht="14.25"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</row>
    <row r="177" spans="2:31" ht="14.25"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</row>
    <row r="178" spans="2:31" ht="14.25"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</row>
    <row r="179" spans="2:31" ht="14.25"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</row>
    <row r="180" spans="2:31" ht="14.25"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</row>
    <row r="181" spans="2:31" ht="14.25"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</row>
    <row r="182" spans="2:31" ht="14.25"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</row>
    <row r="183" spans="2:31" ht="14.25"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</row>
    <row r="184" spans="2:31" ht="14.25"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</row>
    <row r="185" spans="2:31" ht="14.25"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</row>
    <row r="186" spans="2:31" ht="14.25"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</row>
    <row r="187" spans="2:31" ht="14.25"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</row>
    <row r="188" spans="2:31" ht="14.25"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</row>
    <row r="189" spans="2:31" ht="14.25"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</row>
    <row r="190" spans="2:31" ht="14.25"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</row>
    <row r="191" spans="2:31" ht="14.25"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</row>
    <row r="192" spans="2:31" ht="14.25"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</row>
    <row r="193" spans="2:31" ht="14.25"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</row>
    <row r="194" spans="2:31" ht="14.25"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</row>
    <row r="195" spans="2:31" ht="14.25"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</row>
    <row r="196" spans="2:31" ht="14.25"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</row>
    <row r="197" spans="2:31" ht="14.25"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</row>
    <row r="198" spans="2:31" ht="14.25"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</row>
    <row r="199" spans="2:31" ht="14.25"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</row>
  </sheetData>
  <mergeCells count="3">
    <mergeCell ref="O35:P35"/>
    <mergeCell ref="E37:F37"/>
    <mergeCell ref="J37:K37"/>
  </mergeCells>
  <phoneticPr fontId="0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F0678-5002-4669-83FC-96F4AAB0E891}">
  <dimension ref="A1:M201"/>
  <sheetViews>
    <sheetView workbookViewId="0"/>
  </sheetViews>
  <sheetFormatPr defaultColWidth="9.1640625" defaultRowHeight="11.25"/>
  <cols>
    <col min="1" max="1" width="61.6640625" style="20" bestFit="1" customWidth="1"/>
    <col min="2" max="2" width="14.1640625" style="20" hidden="1" customWidth="1"/>
    <col min="3" max="3" width="27.6640625" style="20" hidden="1" customWidth="1"/>
    <col min="4" max="4" width="17.6640625" style="20" hidden="1" customWidth="1"/>
    <col min="5" max="5" width="24.1640625" style="20" hidden="1" customWidth="1"/>
    <col min="6" max="6" width="35.5" style="20" hidden="1" customWidth="1"/>
    <col min="7" max="7" width="31.5" style="20" hidden="1" customWidth="1"/>
    <col min="8" max="8" width="21.1640625" style="20" hidden="1" customWidth="1"/>
    <col min="9" max="9" width="31.6640625" style="20" hidden="1" customWidth="1"/>
    <col min="10" max="10" width="15.1640625" style="20" bestFit="1" customWidth="1"/>
    <col min="11" max="11" width="6" style="20" bestFit="1" customWidth="1"/>
    <col min="12" max="12" width="21" style="20" bestFit="1" customWidth="1"/>
    <col min="13" max="13" width="16.1640625" style="20" customWidth="1"/>
    <col min="14" max="16384" width="9.1640625" style="20"/>
  </cols>
  <sheetData>
    <row r="1" spans="1:13" ht="15.75">
      <c r="A1" s="37" t="s">
        <v>0</v>
      </c>
      <c r="B1" s="37"/>
      <c r="C1" s="37"/>
      <c r="D1" s="37"/>
      <c r="E1" s="37"/>
      <c r="F1" s="37"/>
      <c r="G1" s="37"/>
      <c r="H1" s="37"/>
      <c r="I1" s="37"/>
      <c r="J1" s="37"/>
    </row>
    <row r="2" spans="1:13" ht="15.75">
      <c r="A2" s="37" t="s">
        <v>1</v>
      </c>
      <c r="B2" s="37"/>
      <c r="C2" s="37"/>
      <c r="D2" s="37"/>
      <c r="E2" s="37"/>
      <c r="F2" s="37"/>
      <c r="G2" s="37"/>
      <c r="H2" s="37"/>
      <c r="I2" s="37"/>
      <c r="J2" s="37"/>
    </row>
    <row r="3" spans="1:13" ht="18">
      <c r="A3" s="38" t="s">
        <v>430</v>
      </c>
      <c r="B3" s="38"/>
      <c r="C3" s="38"/>
      <c r="D3" s="38"/>
      <c r="E3" s="38"/>
      <c r="F3" s="38"/>
      <c r="G3" s="38"/>
      <c r="H3" s="38"/>
      <c r="I3" s="38"/>
      <c r="J3" s="38"/>
    </row>
    <row r="4" spans="1:13" ht="18">
      <c r="A4" s="38" t="s">
        <v>429</v>
      </c>
      <c r="B4" s="38"/>
      <c r="C4" s="38"/>
      <c r="D4" s="38"/>
      <c r="E4" s="38"/>
      <c r="F4" s="38"/>
      <c r="G4" s="38"/>
      <c r="H4" s="38"/>
      <c r="I4" s="38"/>
      <c r="J4" s="38"/>
    </row>
    <row r="5" spans="1:13" ht="18">
      <c r="A5" s="38" t="s">
        <v>4</v>
      </c>
      <c r="B5" s="38"/>
      <c r="C5" s="38"/>
      <c r="D5" s="38"/>
      <c r="E5" s="38"/>
      <c r="F5" s="38"/>
      <c r="G5" s="38"/>
      <c r="H5" s="38"/>
      <c r="I5" s="38"/>
      <c r="J5" s="38"/>
    </row>
    <row r="6" spans="1:13" ht="18">
      <c r="A6" s="38" t="s">
        <v>4</v>
      </c>
      <c r="B6" s="38"/>
      <c r="C6" s="38"/>
      <c r="D6" s="38"/>
      <c r="E6" s="38"/>
      <c r="F6" s="38"/>
      <c r="G6" s="38"/>
      <c r="H6" s="38"/>
      <c r="I6" s="38"/>
      <c r="J6" s="38"/>
    </row>
    <row r="7" spans="1:13">
      <c r="A7" s="32" t="s">
        <v>5</v>
      </c>
      <c r="B7" s="31" t="s">
        <v>428</v>
      </c>
      <c r="C7" s="31" t="s">
        <v>6</v>
      </c>
      <c r="D7" s="31" t="s">
        <v>7</v>
      </c>
      <c r="E7" s="31" t="s">
        <v>8</v>
      </c>
      <c r="F7" s="31" t="s">
        <v>9</v>
      </c>
      <c r="G7" s="31" t="s">
        <v>10</v>
      </c>
      <c r="H7" s="31" t="s">
        <v>0</v>
      </c>
      <c r="I7" s="31" t="s">
        <v>11</v>
      </c>
      <c r="J7" s="31" t="s">
        <v>12</v>
      </c>
      <c r="K7" s="20" t="s">
        <v>226</v>
      </c>
    </row>
    <row r="8" spans="1:13">
      <c r="A8" s="32" t="s">
        <v>13</v>
      </c>
      <c r="B8" s="31" t="s">
        <v>14</v>
      </c>
      <c r="C8" s="31" t="s">
        <v>14</v>
      </c>
      <c r="D8" s="31" t="s">
        <v>14</v>
      </c>
      <c r="E8" s="31" t="s">
        <v>14</v>
      </c>
      <c r="F8" s="31" t="s">
        <v>14</v>
      </c>
      <c r="G8" s="31" t="s">
        <v>14</v>
      </c>
      <c r="H8" s="31" t="s">
        <v>14</v>
      </c>
      <c r="I8" s="31" t="s">
        <v>14</v>
      </c>
      <c r="J8" s="31" t="s">
        <v>14</v>
      </c>
    </row>
    <row r="9" spans="1:13">
      <c r="A9" s="27" t="s">
        <v>427</v>
      </c>
      <c r="B9" s="25"/>
      <c r="C9" s="25"/>
      <c r="D9" s="25"/>
      <c r="E9" s="25"/>
      <c r="F9" s="25"/>
      <c r="G9" s="25"/>
      <c r="H9" s="25"/>
      <c r="I9" s="25"/>
      <c r="J9" s="25"/>
    </row>
    <row r="10" spans="1:13">
      <c r="A10" s="26" t="s">
        <v>426</v>
      </c>
      <c r="B10" s="25"/>
      <c r="C10" s="25"/>
      <c r="D10" s="25"/>
      <c r="E10" s="25"/>
      <c r="F10" s="25"/>
      <c r="G10" s="25"/>
      <c r="H10" s="25"/>
      <c r="I10" s="25"/>
      <c r="J10" s="25"/>
    </row>
    <row r="11" spans="1:13">
      <c r="A11" s="30" t="s">
        <v>425</v>
      </c>
      <c r="B11" s="25"/>
      <c r="C11" s="25"/>
      <c r="D11" s="25"/>
      <c r="E11" s="25"/>
      <c r="F11" s="25"/>
      <c r="G11" s="25"/>
      <c r="H11" s="25"/>
      <c r="I11" s="25"/>
      <c r="J11" s="25"/>
    </row>
    <row r="12" spans="1:13">
      <c r="A12" s="29" t="s">
        <v>424</v>
      </c>
      <c r="B12" s="21">
        <v>0</v>
      </c>
      <c r="C12" s="21">
        <v>0</v>
      </c>
      <c r="D12" s="21">
        <v>0</v>
      </c>
      <c r="E12" s="21">
        <v>0</v>
      </c>
      <c r="F12" s="21">
        <v>0</v>
      </c>
      <c r="G12" s="21">
        <v>0</v>
      </c>
      <c r="H12" s="21">
        <v>98925.39</v>
      </c>
      <c r="I12" s="21">
        <v>0</v>
      </c>
      <c r="J12" s="21">
        <f>+IFERROR(VLOOKUP(A12,[1]BalanceSheet!A$8:B$154,2,0),0)</f>
        <v>26151.22</v>
      </c>
      <c r="L12" s="72"/>
      <c r="M12" s="69"/>
    </row>
    <row r="13" spans="1:13">
      <c r="A13" s="29" t="s">
        <v>423</v>
      </c>
      <c r="B13" s="21">
        <v>0</v>
      </c>
      <c r="C13" s="21">
        <v>0</v>
      </c>
      <c r="D13" s="21">
        <v>0</v>
      </c>
      <c r="E13" s="21">
        <v>0</v>
      </c>
      <c r="F13" s="21">
        <v>0</v>
      </c>
      <c r="G13" s="21">
        <v>0</v>
      </c>
      <c r="H13" s="72">
        <v>184319.33</v>
      </c>
      <c r="I13" s="21">
        <v>0</v>
      </c>
      <c r="J13" s="21">
        <f>+IFERROR(VLOOKUP(A13,[1]BalanceSheet!A$8:B$154,2,0),0)</f>
        <v>344.4</v>
      </c>
      <c r="L13" s="72"/>
      <c r="M13" s="69"/>
    </row>
    <row r="14" spans="1:13">
      <c r="A14" s="29" t="s">
        <v>422</v>
      </c>
      <c r="B14" s="21">
        <v>0</v>
      </c>
      <c r="C14" s="21">
        <v>0</v>
      </c>
      <c r="D14" s="21">
        <v>0</v>
      </c>
      <c r="E14" s="21">
        <v>0</v>
      </c>
      <c r="F14" s="21">
        <v>0</v>
      </c>
      <c r="G14" s="21">
        <v>0</v>
      </c>
      <c r="H14" s="21">
        <v>6136719.3300000001</v>
      </c>
      <c r="I14" s="21">
        <v>0</v>
      </c>
      <c r="J14" s="21">
        <f>+IFERROR(VLOOKUP(A14,[1]BalanceSheet!A$8:B$154,2,0),0)</f>
        <v>26906063.66</v>
      </c>
      <c r="L14" s="72"/>
      <c r="M14" s="69"/>
    </row>
    <row r="15" spans="1:13">
      <c r="A15" s="29" t="s">
        <v>421</v>
      </c>
      <c r="B15" s="21">
        <v>0</v>
      </c>
      <c r="C15" s="21">
        <v>0</v>
      </c>
      <c r="D15" s="21">
        <v>0</v>
      </c>
      <c r="E15" s="21">
        <v>0</v>
      </c>
      <c r="F15" s="21">
        <v>0</v>
      </c>
      <c r="G15" s="21">
        <v>0</v>
      </c>
      <c r="H15" s="21">
        <v>11685.56</v>
      </c>
      <c r="I15" s="21">
        <v>0</v>
      </c>
      <c r="J15" s="21">
        <f>+IFERROR(VLOOKUP(A15,[1]BalanceSheet!A$8:B$154,2,0),0)</f>
        <v>5309.75</v>
      </c>
      <c r="L15" s="72"/>
      <c r="M15" s="69"/>
    </row>
    <row r="16" spans="1:13">
      <c r="A16" s="29" t="s">
        <v>420</v>
      </c>
      <c r="B16" s="21">
        <v>0</v>
      </c>
      <c r="C16" s="21">
        <v>0</v>
      </c>
      <c r="D16" s="21">
        <v>0</v>
      </c>
      <c r="E16" s="21">
        <v>0</v>
      </c>
      <c r="F16" s="21">
        <v>0</v>
      </c>
      <c r="G16" s="21">
        <v>0</v>
      </c>
      <c r="H16" s="21">
        <v>16813.13</v>
      </c>
      <c r="I16" s="21">
        <v>0</v>
      </c>
      <c r="J16" s="21">
        <f>+IFERROR(VLOOKUP(A16,[1]BalanceSheet!A$8:B$154,2,0),0)</f>
        <v>367423.66</v>
      </c>
      <c r="L16" s="72"/>
      <c r="M16" s="69"/>
    </row>
    <row r="17" spans="1:13">
      <c r="A17" s="28" t="s">
        <v>419</v>
      </c>
      <c r="B17" s="22">
        <f t="shared" ref="B17:I17" si="0">SUM(B12:B16)</f>
        <v>0</v>
      </c>
      <c r="C17" s="22">
        <f t="shared" si="0"/>
        <v>0</v>
      </c>
      <c r="D17" s="22">
        <f t="shared" si="0"/>
        <v>0</v>
      </c>
      <c r="E17" s="22">
        <f t="shared" si="0"/>
        <v>0</v>
      </c>
      <c r="F17" s="22">
        <f t="shared" si="0"/>
        <v>0</v>
      </c>
      <c r="G17" s="22">
        <f t="shared" si="0"/>
        <v>0</v>
      </c>
      <c r="H17" s="22">
        <f t="shared" si="0"/>
        <v>6448462.7399999993</v>
      </c>
      <c r="I17" s="22">
        <f t="shared" si="0"/>
        <v>0</v>
      </c>
      <c r="J17" s="22">
        <f>+IFERROR(VLOOKUP(A17,[1]BalanceSheet!A$8:B$154,2,0),0)</f>
        <v>27305292.690000001</v>
      </c>
      <c r="K17" s="20">
        <v>10</v>
      </c>
      <c r="L17" s="73"/>
      <c r="M17" s="69"/>
    </row>
    <row r="18" spans="1:13">
      <c r="A18" s="24" t="s">
        <v>418</v>
      </c>
      <c r="B18" s="21">
        <v>0</v>
      </c>
      <c r="C18" s="21">
        <v>0</v>
      </c>
      <c r="D18" s="21">
        <v>0</v>
      </c>
      <c r="E18" s="21">
        <v>0</v>
      </c>
      <c r="F18" s="21">
        <v>0</v>
      </c>
      <c r="G18" s="21">
        <v>-0.01</v>
      </c>
      <c r="H18" s="21">
        <v>0</v>
      </c>
      <c r="I18" s="21">
        <v>0</v>
      </c>
      <c r="J18" s="21">
        <f>+IFERROR(VLOOKUP(A18,[1]BalanceSheet!A$8:B$154,2,0),0)</f>
        <v>0</v>
      </c>
      <c r="L18" s="72"/>
      <c r="M18" s="69"/>
    </row>
    <row r="19" spans="1:13">
      <c r="A19" s="30" t="s">
        <v>417</v>
      </c>
      <c r="B19" s="25"/>
      <c r="C19" s="25"/>
      <c r="D19" s="25"/>
      <c r="E19" s="25"/>
      <c r="F19" s="25"/>
      <c r="G19" s="25"/>
      <c r="H19" s="25"/>
      <c r="I19" s="25"/>
      <c r="J19" s="25">
        <f>+IFERROR(VLOOKUP(A19,[1]BalanceSheet!A$8:B$154,2,0),0)</f>
        <v>0</v>
      </c>
      <c r="L19" s="71"/>
      <c r="M19" s="69"/>
    </row>
    <row r="20" spans="1:13">
      <c r="A20" s="29" t="s">
        <v>416</v>
      </c>
      <c r="B20" s="21">
        <v>0</v>
      </c>
      <c r="C20" s="21">
        <v>0</v>
      </c>
      <c r="D20" s="21">
        <v>0</v>
      </c>
      <c r="E20" s="21">
        <v>21.81</v>
      </c>
      <c r="F20" s="21">
        <v>0</v>
      </c>
      <c r="G20" s="21">
        <v>0</v>
      </c>
      <c r="H20" s="21">
        <v>0</v>
      </c>
      <c r="I20" s="21">
        <v>0</v>
      </c>
      <c r="J20" s="21">
        <f>+IFERROR(VLOOKUP(A20,[1]BalanceSheet!A$8:B$154,2,0),0)</f>
        <v>156.37</v>
      </c>
      <c r="L20" s="72"/>
      <c r="M20" s="69"/>
    </row>
    <row r="21" spans="1:13">
      <c r="A21" s="28" t="s">
        <v>415</v>
      </c>
      <c r="B21" s="22">
        <f t="shared" ref="B21:I21" si="1">SUM(B20)</f>
        <v>0</v>
      </c>
      <c r="C21" s="22">
        <f t="shared" si="1"/>
        <v>0</v>
      </c>
      <c r="D21" s="22">
        <f t="shared" si="1"/>
        <v>0</v>
      </c>
      <c r="E21" s="22">
        <f t="shared" si="1"/>
        <v>21.81</v>
      </c>
      <c r="F21" s="22">
        <f t="shared" si="1"/>
        <v>0</v>
      </c>
      <c r="G21" s="22">
        <f t="shared" si="1"/>
        <v>0</v>
      </c>
      <c r="H21" s="22">
        <f t="shared" si="1"/>
        <v>0</v>
      </c>
      <c r="I21" s="22">
        <f t="shared" si="1"/>
        <v>0</v>
      </c>
      <c r="J21" s="22">
        <f>+IFERROR(VLOOKUP(A21,[1]BalanceSheet!A$8:B$154,2,0),0)</f>
        <v>156.37</v>
      </c>
      <c r="K21" s="20">
        <v>10</v>
      </c>
      <c r="L21" s="73"/>
      <c r="M21" s="69"/>
    </row>
    <row r="22" spans="1:13">
      <c r="A22" s="30" t="s">
        <v>414</v>
      </c>
      <c r="B22" s="25"/>
      <c r="C22" s="25"/>
      <c r="D22" s="25"/>
      <c r="E22" s="25"/>
      <c r="F22" s="25"/>
      <c r="G22" s="25"/>
      <c r="H22" s="25"/>
      <c r="I22" s="25"/>
      <c r="J22" s="25">
        <f>+IFERROR(VLOOKUP(A22,[1]BalanceSheet!A$8:B$154,2,0),0)</f>
        <v>0</v>
      </c>
      <c r="L22" s="71"/>
      <c r="M22" s="69"/>
    </row>
    <row r="23" spans="1:13">
      <c r="A23" s="29" t="s">
        <v>413</v>
      </c>
      <c r="B23" s="21">
        <v>0</v>
      </c>
      <c r="C23" s="21">
        <v>0</v>
      </c>
      <c r="D23" s="21">
        <v>0</v>
      </c>
      <c r="E23" s="21">
        <v>0</v>
      </c>
      <c r="F23" s="21">
        <v>124.45</v>
      </c>
      <c r="G23" s="21">
        <v>0</v>
      </c>
      <c r="H23" s="21">
        <v>0</v>
      </c>
      <c r="I23" s="21">
        <v>0</v>
      </c>
      <c r="J23" s="21">
        <f>+IFERROR(VLOOKUP(A23,[1]BalanceSheet!A$8:B$154,2,0),0)</f>
        <v>422.32</v>
      </c>
      <c r="L23" s="72"/>
      <c r="M23" s="69"/>
    </row>
    <row r="24" spans="1:13">
      <c r="A24" s="29" t="s">
        <v>412</v>
      </c>
      <c r="B24" s="21">
        <v>0</v>
      </c>
      <c r="C24" s="21">
        <v>0</v>
      </c>
      <c r="D24" s="21">
        <v>0</v>
      </c>
      <c r="E24" s="21">
        <v>0</v>
      </c>
      <c r="F24" s="21">
        <v>24.67</v>
      </c>
      <c r="G24" s="21">
        <v>0</v>
      </c>
      <c r="H24" s="21">
        <v>0</v>
      </c>
      <c r="I24" s="21">
        <v>0</v>
      </c>
      <c r="J24" s="21">
        <f>+IFERROR(VLOOKUP(A24,[1]BalanceSheet!A$8:B$154,2,0),0)</f>
        <v>24.67</v>
      </c>
      <c r="L24" s="72"/>
      <c r="M24" s="69"/>
    </row>
    <row r="25" spans="1:13">
      <c r="A25" s="29" t="s">
        <v>411</v>
      </c>
      <c r="B25" s="21">
        <v>0</v>
      </c>
      <c r="C25" s="21">
        <v>0</v>
      </c>
      <c r="D25" s="21">
        <v>0</v>
      </c>
      <c r="E25" s="21">
        <v>0</v>
      </c>
      <c r="F25" s="21">
        <v>327.43</v>
      </c>
      <c r="G25" s="21">
        <v>0</v>
      </c>
      <c r="H25" s="21">
        <v>0</v>
      </c>
      <c r="I25" s="21">
        <v>0</v>
      </c>
      <c r="J25" s="21">
        <f>+IFERROR(VLOOKUP(A25,[1]BalanceSheet!A$8:B$154,2,0),0)</f>
        <v>346.29</v>
      </c>
      <c r="L25" s="72"/>
      <c r="M25" s="69"/>
    </row>
    <row r="26" spans="1:13">
      <c r="A26" s="28" t="s">
        <v>410</v>
      </c>
      <c r="B26" s="22">
        <f t="shared" ref="B26:I26" si="2">SUM(B23:B25)</f>
        <v>0</v>
      </c>
      <c r="C26" s="22">
        <f t="shared" si="2"/>
        <v>0</v>
      </c>
      <c r="D26" s="22">
        <f t="shared" si="2"/>
        <v>0</v>
      </c>
      <c r="E26" s="22">
        <f t="shared" si="2"/>
        <v>0</v>
      </c>
      <c r="F26" s="22">
        <f t="shared" si="2"/>
        <v>476.55</v>
      </c>
      <c r="G26" s="22">
        <f t="shared" si="2"/>
        <v>0</v>
      </c>
      <c r="H26" s="22">
        <f t="shared" si="2"/>
        <v>0</v>
      </c>
      <c r="I26" s="22">
        <f t="shared" si="2"/>
        <v>0</v>
      </c>
      <c r="J26" s="22">
        <f>+IFERROR(VLOOKUP(A26,[1]BalanceSheet!A$8:B$154,2,0),0)</f>
        <v>793.28</v>
      </c>
      <c r="K26" s="20">
        <v>10</v>
      </c>
      <c r="L26" s="73"/>
      <c r="M26" s="69"/>
    </row>
    <row r="27" spans="1:13">
      <c r="A27" s="30" t="s">
        <v>409</v>
      </c>
      <c r="B27" s="25"/>
      <c r="C27" s="25"/>
      <c r="D27" s="25"/>
      <c r="E27" s="25"/>
      <c r="F27" s="25"/>
      <c r="G27" s="25"/>
      <c r="H27" s="25"/>
      <c r="I27" s="25"/>
      <c r="J27" s="25">
        <f>+IFERROR(VLOOKUP(A27,[1]BalanceSheet!A$8:B$154,2,0),0)</f>
        <v>0</v>
      </c>
      <c r="L27" s="71"/>
      <c r="M27" s="69"/>
    </row>
    <row r="28" spans="1:13">
      <c r="A28" s="29" t="s">
        <v>408</v>
      </c>
      <c r="B28" s="21">
        <v>0</v>
      </c>
      <c r="C28" s="21">
        <v>0</v>
      </c>
      <c r="D28" s="21">
        <v>-3.42</v>
      </c>
      <c r="E28" s="21">
        <v>0</v>
      </c>
      <c r="F28" s="21">
        <v>0</v>
      </c>
      <c r="G28" s="21">
        <v>0</v>
      </c>
      <c r="H28" s="21">
        <v>0</v>
      </c>
      <c r="I28" s="21">
        <v>0</v>
      </c>
      <c r="J28" s="21">
        <f>+IFERROR(VLOOKUP(A28,[1]BalanceSheet!A$8:B$154,2,0),0)</f>
        <v>3.88</v>
      </c>
      <c r="L28" s="72"/>
      <c r="M28" s="69"/>
    </row>
    <row r="29" spans="1:13">
      <c r="A29" s="29" t="s">
        <v>407</v>
      </c>
      <c r="B29" s="21">
        <v>0</v>
      </c>
      <c r="C29" s="21">
        <v>0</v>
      </c>
      <c r="D29" s="21">
        <v>6438.02</v>
      </c>
      <c r="E29" s="21">
        <v>0</v>
      </c>
      <c r="F29" s="21">
        <v>0</v>
      </c>
      <c r="G29" s="21">
        <v>0</v>
      </c>
      <c r="H29" s="21">
        <v>0</v>
      </c>
      <c r="I29" s="21">
        <v>0</v>
      </c>
      <c r="J29" s="21">
        <f>+IFERROR(VLOOKUP(A29,[1]BalanceSheet!A$8:B$154,2,0),0)</f>
        <v>6563.41</v>
      </c>
      <c r="L29" s="72"/>
      <c r="M29" s="69"/>
    </row>
    <row r="30" spans="1:13">
      <c r="A30" s="28" t="s">
        <v>406</v>
      </c>
      <c r="B30" s="22">
        <f t="shared" ref="B30:I30" si="3">SUM(B28:B29)</f>
        <v>0</v>
      </c>
      <c r="C30" s="22">
        <f t="shared" si="3"/>
        <v>0</v>
      </c>
      <c r="D30" s="22">
        <f t="shared" si="3"/>
        <v>6434.6</v>
      </c>
      <c r="E30" s="22">
        <f t="shared" si="3"/>
        <v>0</v>
      </c>
      <c r="F30" s="22">
        <f t="shared" si="3"/>
        <v>0</v>
      </c>
      <c r="G30" s="22">
        <f t="shared" si="3"/>
        <v>0</v>
      </c>
      <c r="H30" s="22">
        <f t="shared" si="3"/>
        <v>0</v>
      </c>
      <c r="I30" s="22">
        <f t="shared" si="3"/>
        <v>0</v>
      </c>
      <c r="J30" s="22">
        <f>+IFERROR(VLOOKUP(A30,[1]BalanceSheet!A$8:B$154,2,0),0)</f>
        <v>6567.29</v>
      </c>
      <c r="K30" s="20">
        <v>10</v>
      </c>
      <c r="L30" s="73"/>
      <c r="M30" s="69"/>
    </row>
    <row r="31" spans="1:13">
      <c r="A31" s="30" t="s">
        <v>405</v>
      </c>
      <c r="B31" s="25"/>
      <c r="C31" s="25"/>
      <c r="D31" s="25"/>
      <c r="E31" s="25"/>
      <c r="F31" s="25"/>
      <c r="G31" s="25"/>
      <c r="H31" s="25"/>
      <c r="I31" s="25"/>
      <c r="J31" s="25">
        <f>+IFERROR(VLOOKUP(A31,[1]BalanceSheet!A$8:B$154,2,0),0)</f>
        <v>0</v>
      </c>
      <c r="L31" s="71"/>
      <c r="M31" s="69"/>
    </row>
    <row r="32" spans="1:13">
      <c r="A32" s="29" t="s">
        <v>404</v>
      </c>
      <c r="B32" s="21">
        <v>0</v>
      </c>
      <c r="C32" s="21">
        <v>0</v>
      </c>
      <c r="D32" s="21">
        <v>0</v>
      </c>
      <c r="E32" s="21">
        <v>0</v>
      </c>
      <c r="F32" s="21">
        <v>0</v>
      </c>
      <c r="G32" s="21">
        <v>671354.25</v>
      </c>
      <c r="H32" s="21">
        <v>0</v>
      </c>
      <c r="I32" s="21">
        <v>0</v>
      </c>
      <c r="J32" s="21">
        <f>+IFERROR(VLOOKUP(A32,[1]BalanceSheet!A$8:B$154,2,0),0)</f>
        <v>25648.28</v>
      </c>
      <c r="L32" s="72"/>
      <c r="M32" s="69"/>
    </row>
    <row r="33" spans="1:13">
      <c r="A33" s="28" t="s">
        <v>403</v>
      </c>
      <c r="B33" s="22">
        <f t="shared" ref="B33:I33" si="4">SUM(B32)</f>
        <v>0</v>
      </c>
      <c r="C33" s="22">
        <f t="shared" si="4"/>
        <v>0</v>
      </c>
      <c r="D33" s="22">
        <f t="shared" si="4"/>
        <v>0</v>
      </c>
      <c r="E33" s="22">
        <f t="shared" si="4"/>
        <v>0</v>
      </c>
      <c r="F33" s="22">
        <f t="shared" si="4"/>
        <v>0</v>
      </c>
      <c r="G33" s="22">
        <f t="shared" si="4"/>
        <v>671354.25</v>
      </c>
      <c r="H33" s="22">
        <f t="shared" si="4"/>
        <v>0</v>
      </c>
      <c r="I33" s="22">
        <f t="shared" si="4"/>
        <v>0</v>
      </c>
      <c r="J33" s="22">
        <f>+IFERROR(VLOOKUP(A33,[1]BalanceSheet!A$8:B$154,2,0),0)</f>
        <v>25648.28</v>
      </c>
      <c r="K33" s="20">
        <v>10</v>
      </c>
      <c r="L33" s="73"/>
      <c r="M33" s="69"/>
    </row>
    <row r="34" spans="1:13">
      <c r="A34" s="30" t="s">
        <v>402</v>
      </c>
      <c r="B34" s="25"/>
      <c r="C34" s="25"/>
      <c r="D34" s="25"/>
      <c r="E34" s="25"/>
      <c r="F34" s="25"/>
      <c r="G34" s="25"/>
      <c r="H34" s="25"/>
      <c r="I34" s="25"/>
      <c r="J34" s="25">
        <f>+IFERROR(VLOOKUP(A34,[1]BalanceSheet!A$8:B$154,2,0),0)</f>
        <v>0</v>
      </c>
      <c r="L34" s="71"/>
      <c r="M34" s="69"/>
    </row>
    <row r="35" spans="1:13">
      <c r="A35" s="29" t="s">
        <v>401</v>
      </c>
      <c r="B35" s="21">
        <v>0</v>
      </c>
      <c r="C35" s="21">
        <v>0</v>
      </c>
      <c r="D35" s="21">
        <v>0</v>
      </c>
      <c r="E35" s="21">
        <v>0</v>
      </c>
      <c r="F35" s="21">
        <v>0</v>
      </c>
      <c r="G35" s="21">
        <v>0</v>
      </c>
      <c r="H35" s="21">
        <v>0</v>
      </c>
      <c r="I35" s="21">
        <v>294780.88</v>
      </c>
      <c r="J35" s="21">
        <f>+IFERROR(VLOOKUP(A35,[1]BalanceSheet!A$8:B$154,2,0),0)</f>
        <v>49912.93</v>
      </c>
      <c r="L35" s="72"/>
      <c r="M35" s="69"/>
    </row>
    <row r="36" spans="1:13">
      <c r="A36" s="28" t="s">
        <v>400</v>
      </c>
      <c r="B36" s="22">
        <f t="shared" ref="B36:I36" si="5">SUM(B35)</f>
        <v>0</v>
      </c>
      <c r="C36" s="22">
        <f t="shared" si="5"/>
        <v>0</v>
      </c>
      <c r="D36" s="22">
        <f t="shared" si="5"/>
        <v>0</v>
      </c>
      <c r="E36" s="22">
        <f t="shared" si="5"/>
        <v>0</v>
      </c>
      <c r="F36" s="22">
        <f t="shared" si="5"/>
        <v>0</v>
      </c>
      <c r="G36" s="22">
        <f t="shared" si="5"/>
        <v>0</v>
      </c>
      <c r="H36" s="22">
        <f t="shared" si="5"/>
        <v>0</v>
      </c>
      <c r="I36" s="22">
        <f t="shared" si="5"/>
        <v>294780.88</v>
      </c>
      <c r="J36" s="22">
        <f>+IFERROR(VLOOKUP(A36,[1]BalanceSheet!A$8:B$154,2,0),0)</f>
        <v>49912.93</v>
      </c>
      <c r="K36" s="20">
        <v>10</v>
      </c>
      <c r="L36" s="73"/>
      <c r="M36" s="69"/>
    </row>
    <row r="37" spans="1:13">
      <c r="A37" s="30" t="s">
        <v>399</v>
      </c>
      <c r="B37" s="25"/>
      <c r="C37" s="25"/>
      <c r="D37" s="25"/>
      <c r="E37" s="25"/>
      <c r="F37" s="25"/>
      <c r="G37" s="25"/>
      <c r="H37" s="25"/>
      <c r="I37" s="25"/>
      <c r="J37" s="25">
        <f>+IFERROR(VLOOKUP(A37,[1]BalanceSheet!A$8:B$154,2,0),0)</f>
        <v>0</v>
      </c>
      <c r="L37" s="71"/>
      <c r="M37" s="69"/>
    </row>
    <row r="38" spans="1:13">
      <c r="A38" s="29" t="s">
        <v>398</v>
      </c>
      <c r="B38" s="21">
        <v>0</v>
      </c>
      <c r="C38" s="21">
        <v>180344.74</v>
      </c>
      <c r="D38" s="21">
        <v>0</v>
      </c>
      <c r="E38" s="21">
        <v>0</v>
      </c>
      <c r="F38" s="21">
        <v>0</v>
      </c>
      <c r="G38" s="21">
        <v>0</v>
      </c>
      <c r="H38" s="21">
        <v>0</v>
      </c>
      <c r="I38" s="21">
        <v>0</v>
      </c>
      <c r="J38" s="21">
        <f>+IFERROR(VLOOKUP(A38,[1]BalanceSheet!A$8:B$154,2,0),0)</f>
        <v>0</v>
      </c>
      <c r="L38" s="72"/>
      <c r="M38" s="69"/>
    </row>
    <row r="39" spans="1:13">
      <c r="A39" s="29" t="s">
        <v>397</v>
      </c>
      <c r="B39" s="21">
        <v>0</v>
      </c>
      <c r="C39" s="21">
        <v>42295.73</v>
      </c>
      <c r="D39" s="21">
        <v>0</v>
      </c>
      <c r="E39" s="21">
        <v>0</v>
      </c>
      <c r="F39" s="21">
        <v>0</v>
      </c>
      <c r="G39" s="21">
        <v>0</v>
      </c>
      <c r="H39" s="21">
        <v>0</v>
      </c>
      <c r="I39" s="21">
        <v>0</v>
      </c>
      <c r="J39" s="21">
        <f>+IFERROR(VLOOKUP(A39,[1]BalanceSheet!A$8:B$154,2,0),0)</f>
        <v>0</v>
      </c>
      <c r="L39" s="72"/>
      <c r="M39" s="69"/>
    </row>
    <row r="40" spans="1:13">
      <c r="A40" s="28" t="s">
        <v>396</v>
      </c>
      <c r="B40" s="22">
        <f t="shared" ref="B40:I40" si="6">SUM(B38:B39)</f>
        <v>0</v>
      </c>
      <c r="C40" s="22">
        <f t="shared" si="6"/>
        <v>222640.47</v>
      </c>
      <c r="D40" s="22">
        <f t="shared" si="6"/>
        <v>0</v>
      </c>
      <c r="E40" s="22">
        <f t="shared" si="6"/>
        <v>0</v>
      </c>
      <c r="F40" s="22">
        <f t="shared" si="6"/>
        <v>0</v>
      </c>
      <c r="G40" s="22">
        <f t="shared" si="6"/>
        <v>0</v>
      </c>
      <c r="H40" s="22">
        <f t="shared" si="6"/>
        <v>0</v>
      </c>
      <c r="I40" s="22">
        <f t="shared" si="6"/>
        <v>0</v>
      </c>
      <c r="J40" s="22">
        <f>+IFERROR(VLOOKUP(A40,[1]BalanceSheet!A$8:B$154,2,0),0)</f>
        <v>0</v>
      </c>
      <c r="K40" s="20">
        <v>10</v>
      </c>
      <c r="L40" s="73"/>
      <c r="M40" s="69"/>
    </row>
    <row r="41" spans="1:13">
      <c r="A41" s="30" t="s">
        <v>395</v>
      </c>
      <c r="B41" s="25"/>
      <c r="C41" s="25"/>
      <c r="D41" s="25"/>
      <c r="E41" s="25"/>
      <c r="F41" s="25"/>
      <c r="G41" s="25"/>
      <c r="H41" s="25"/>
      <c r="I41" s="25"/>
      <c r="J41" s="25">
        <f>+IFERROR(VLOOKUP(A41,[1]BalanceSheet!A$8:B$154,2,0),0)</f>
        <v>0</v>
      </c>
      <c r="L41" s="71"/>
      <c r="M41" s="69"/>
    </row>
    <row r="42" spans="1:13">
      <c r="A42" s="29" t="s">
        <v>394</v>
      </c>
      <c r="B42" s="21">
        <v>0</v>
      </c>
      <c r="C42" s="21">
        <v>0</v>
      </c>
      <c r="D42" s="21">
        <v>0</v>
      </c>
      <c r="E42" s="21">
        <v>0</v>
      </c>
      <c r="F42" s="21">
        <v>0</v>
      </c>
      <c r="G42" s="21">
        <v>0</v>
      </c>
      <c r="H42" s="21">
        <v>17071.919999999998</v>
      </c>
      <c r="I42" s="21">
        <v>0</v>
      </c>
      <c r="J42" s="21">
        <f>+IFERROR(VLOOKUP(A42,[1]BalanceSheet!A$8:B$154,2,0),0)</f>
        <v>19293.46</v>
      </c>
      <c r="L42" s="72"/>
      <c r="M42" s="69"/>
    </row>
    <row r="43" spans="1:13">
      <c r="A43" s="29" t="s">
        <v>393</v>
      </c>
      <c r="B43" s="21">
        <v>0</v>
      </c>
      <c r="C43" s="21">
        <v>0</v>
      </c>
      <c r="D43" s="21">
        <v>0</v>
      </c>
      <c r="E43" s="21">
        <v>0</v>
      </c>
      <c r="F43" s="21">
        <v>0</v>
      </c>
      <c r="G43" s="21">
        <v>0</v>
      </c>
      <c r="H43" s="21">
        <v>2845.19</v>
      </c>
      <c r="I43" s="21">
        <v>0</v>
      </c>
      <c r="J43" s="21">
        <f>+IFERROR(VLOOKUP(A43,[1]BalanceSheet!A$8:B$154,2,0),0)</f>
        <v>3215.43</v>
      </c>
      <c r="L43" s="72"/>
      <c r="M43" s="69"/>
    </row>
    <row r="44" spans="1:13">
      <c r="A44" s="29" t="s">
        <v>392</v>
      </c>
      <c r="B44" s="21">
        <v>0</v>
      </c>
      <c r="C44" s="21">
        <v>0</v>
      </c>
      <c r="D44" s="21">
        <v>0</v>
      </c>
      <c r="E44" s="21">
        <v>0</v>
      </c>
      <c r="F44" s="21">
        <v>0</v>
      </c>
      <c r="G44" s="21">
        <v>0</v>
      </c>
      <c r="H44" s="21">
        <v>8090.49</v>
      </c>
      <c r="I44" s="21">
        <v>0</v>
      </c>
      <c r="J44" s="21">
        <f>+IFERROR(VLOOKUP(A44,[1]BalanceSheet!A$8:B$154,2,0),0)</f>
        <v>8556.41</v>
      </c>
      <c r="L44" s="72"/>
      <c r="M44" s="69"/>
    </row>
    <row r="45" spans="1:13">
      <c r="A45" s="28" t="s">
        <v>391</v>
      </c>
      <c r="B45" s="22">
        <f t="shared" ref="B45:I45" si="7">SUM(B42:B44)</f>
        <v>0</v>
      </c>
      <c r="C45" s="22">
        <f t="shared" si="7"/>
        <v>0</v>
      </c>
      <c r="D45" s="22">
        <f t="shared" si="7"/>
        <v>0</v>
      </c>
      <c r="E45" s="22">
        <f t="shared" si="7"/>
        <v>0</v>
      </c>
      <c r="F45" s="22">
        <f t="shared" si="7"/>
        <v>0</v>
      </c>
      <c r="G45" s="22">
        <f t="shared" si="7"/>
        <v>0</v>
      </c>
      <c r="H45" s="22">
        <f t="shared" si="7"/>
        <v>28007.599999999999</v>
      </c>
      <c r="I45" s="22">
        <f t="shared" si="7"/>
        <v>0</v>
      </c>
      <c r="J45" s="22">
        <f>+IFERROR(VLOOKUP(A45,[1]BalanceSheet!A$8:B$154,2,0),0)</f>
        <v>31065.3</v>
      </c>
      <c r="K45" s="20">
        <v>11</v>
      </c>
      <c r="L45" s="73"/>
      <c r="M45" s="69"/>
    </row>
    <row r="46" spans="1:13">
      <c r="A46" s="30" t="s">
        <v>390</v>
      </c>
      <c r="B46" s="25"/>
      <c r="C46" s="25"/>
      <c r="D46" s="25"/>
      <c r="E46" s="25"/>
      <c r="F46" s="25"/>
      <c r="G46" s="25"/>
      <c r="H46" s="25"/>
      <c r="I46" s="25"/>
      <c r="J46" s="25">
        <f>+IFERROR(VLOOKUP(A46,[1]BalanceSheet!A$8:B$154,2,0),0)</f>
        <v>0</v>
      </c>
      <c r="L46" s="71"/>
      <c r="M46" s="69"/>
    </row>
    <row r="47" spans="1:13">
      <c r="A47" s="29" t="s">
        <v>389</v>
      </c>
      <c r="B47" s="21">
        <v>0</v>
      </c>
      <c r="C47" s="21">
        <v>0</v>
      </c>
      <c r="D47" s="21">
        <v>0</v>
      </c>
      <c r="E47" s="21">
        <v>0</v>
      </c>
      <c r="F47" s="21">
        <v>0</v>
      </c>
      <c r="G47" s="21">
        <v>0</v>
      </c>
      <c r="H47" s="21">
        <v>11135351.119999999</v>
      </c>
      <c r="I47" s="21">
        <v>0</v>
      </c>
      <c r="J47" s="21">
        <f>+IFERROR(VLOOKUP(A47,[1]BalanceSheet!A$8:B$154,2,0),0)</f>
        <v>0</v>
      </c>
      <c r="K47" s="20">
        <v>11</v>
      </c>
      <c r="L47" s="72"/>
      <c r="M47" s="69"/>
    </row>
    <row r="48" spans="1:13">
      <c r="A48" s="28" t="s">
        <v>388</v>
      </c>
      <c r="B48" s="22">
        <f t="shared" ref="B48:I48" si="8">SUM(B47)</f>
        <v>0</v>
      </c>
      <c r="C48" s="22">
        <f t="shared" si="8"/>
        <v>0</v>
      </c>
      <c r="D48" s="22">
        <f t="shared" si="8"/>
        <v>0</v>
      </c>
      <c r="E48" s="22">
        <f t="shared" si="8"/>
        <v>0</v>
      </c>
      <c r="F48" s="22">
        <f t="shared" si="8"/>
        <v>0</v>
      </c>
      <c r="G48" s="22">
        <f t="shared" si="8"/>
        <v>0</v>
      </c>
      <c r="H48" s="22">
        <f t="shared" si="8"/>
        <v>11135351.119999999</v>
      </c>
      <c r="I48" s="22">
        <f t="shared" si="8"/>
        <v>0</v>
      </c>
      <c r="J48" s="22">
        <f>+IFERROR(VLOOKUP(A48,[1]BalanceSheet!A$8:B$154,2,0),0)</f>
        <v>0</v>
      </c>
      <c r="L48" s="73"/>
      <c r="M48" s="69"/>
    </row>
    <row r="49" spans="1:13" s="112" customFormat="1">
      <c r="A49" s="110" t="s">
        <v>387</v>
      </c>
      <c r="B49" s="111">
        <f t="shared" ref="B49:I49" si="9">SUM(B17:B18,B21,B26,B30,B33,B36,B40,B45,B48)</f>
        <v>0</v>
      </c>
      <c r="C49" s="111">
        <f t="shared" si="9"/>
        <v>222640.47</v>
      </c>
      <c r="D49" s="111">
        <f t="shared" si="9"/>
        <v>6434.6</v>
      </c>
      <c r="E49" s="111">
        <f t="shared" si="9"/>
        <v>21.81</v>
      </c>
      <c r="F49" s="111">
        <f t="shared" si="9"/>
        <v>476.55</v>
      </c>
      <c r="G49" s="111">
        <f t="shared" si="9"/>
        <v>671354.24</v>
      </c>
      <c r="H49" s="111">
        <f t="shared" si="9"/>
        <v>17611821.459999997</v>
      </c>
      <c r="I49" s="111">
        <f t="shared" si="9"/>
        <v>294780.88</v>
      </c>
      <c r="J49" s="111">
        <f>+IFERROR(VLOOKUP(A49,[1]BalanceSheet!A$8:B$154,2,0),0)</f>
        <v>27419436.140000004</v>
      </c>
      <c r="L49" s="113"/>
      <c r="M49" s="114"/>
    </row>
    <row r="50" spans="1:13">
      <c r="A50" s="26" t="s">
        <v>386</v>
      </c>
      <c r="B50" s="25"/>
      <c r="C50" s="25"/>
      <c r="D50" s="25"/>
      <c r="E50" s="25"/>
      <c r="F50" s="25"/>
      <c r="G50" s="25"/>
      <c r="H50" s="25"/>
      <c r="I50" s="25"/>
      <c r="J50" s="25">
        <f>+IFERROR(VLOOKUP(A50,[1]BalanceSheet!A$8:B$154,2,0),0)</f>
        <v>0</v>
      </c>
      <c r="L50" s="71"/>
      <c r="M50" s="69"/>
    </row>
    <row r="51" spans="1:13">
      <c r="A51" s="30" t="s">
        <v>385</v>
      </c>
      <c r="B51" s="25"/>
      <c r="C51" s="25"/>
      <c r="D51" s="25"/>
      <c r="E51" s="25"/>
      <c r="F51" s="25"/>
      <c r="G51" s="25"/>
      <c r="H51" s="25"/>
      <c r="I51" s="25"/>
      <c r="J51" s="25">
        <f>+IFERROR(VLOOKUP(A51,[1]BalanceSheet!A$8:B$154,2,0),0)</f>
        <v>0</v>
      </c>
      <c r="L51" s="71"/>
      <c r="M51" s="69"/>
    </row>
    <row r="52" spans="1:13">
      <c r="A52" s="29" t="s">
        <v>384</v>
      </c>
      <c r="B52" s="21">
        <v>0</v>
      </c>
      <c r="C52" s="21">
        <v>0</v>
      </c>
      <c r="D52" s="21">
        <v>0</v>
      </c>
      <c r="E52" s="21">
        <v>0</v>
      </c>
      <c r="F52" s="21">
        <v>0</v>
      </c>
      <c r="G52" s="21">
        <v>0</v>
      </c>
      <c r="H52" s="21">
        <v>1631201.18</v>
      </c>
      <c r="I52" s="21">
        <v>0</v>
      </c>
      <c r="J52" s="21">
        <f>+IFERROR(VLOOKUP(A52,[1]BalanceSheet!A$8:B$154,2,0),0)</f>
        <v>867787</v>
      </c>
      <c r="L52" s="72"/>
      <c r="M52" s="69"/>
    </row>
    <row r="53" spans="1:13">
      <c r="A53" s="29" t="s">
        <v>383</v>
      </c>
      <c r="B53" s="21">
        <v>0</v>
      </c>
      <c r="C53" s="21">
        <v>0</v>
      </c>
      <c r="D53" s="21">
        <v>0</v>
      </c>
      <c r="E53" s="21">
        <v>0</v>
      </c>
      <c r="F53" s="21">
        <v>0</v>
      </c>
      <c r="G53" s="21">
        <v>0</v>
      </c>
      <c r="H53" s="21">
        <v>-20670</v>
      </c>
      <c r="I53" s="21">
        <v>0</v>
      </c>
      <c r="J53" s="21">
        <f>+IFERROR(VLOOKUP(A53,[1]BalanceSheet!A$8:B$154,2,0),0)</f>
        <v>-43969.38</v>
      </c>
      <c r="L53" s="72"/>
      <c r="M53" s="69"/>
    </row>
    <row r="54" spans="1:13">
      <c r="A54" s="28" t="s">
        <v>382</v>
      </c>
      <c r="B54" s="22">
        <f t="shared" ref="B54:I54" si="10">SUM(B52:B53)</f>
        <v>0</v>
      </c>
      <c r="C54" s="22">
        <f t="shared" si="10"/>
        <v>0</v>
      </c>
      <c r="D54" s="22">
        <f t="shared" si="10"/>
        <v>0</v>
      </c>
      <c r="E54" s="22">
        <f t="shared" si="10"/>
        <v>0</v>
      </c>
      <c r="F54" s="22">
        <f t="shared" si="10"/>
        <v>0</v>
      </c>
      <c r="G54" s="22">
        <f t="shared" si="10"/>
        <v>0</v>
      </c>
      <c r="H54" s="22">
        <f t="shared" si="10"/>
        <v>1610531.18</v>
      </c>
      <c r="I54" s="22">
        <f t="shared" si="10"/>
        <v>0</v>
      </c>
      <c r="J54" s="22">
        <f>+IFERROR(VLOOKUP(A54,[1]BalanceSheet!A$8:B$154,2,0),0)</f>
        <v>823817.62</v>
      </c>
      <c r="K54" s="20">
        <v>12.1</v>
      </c>
      <c r="L54" s="73"/>
      <c r="M54" s="69"/>
    </row>
    <row r="55" spans="1:13">
      <c r="A55" s="30" t="s">
        <v>381</v>
      </c>
      <c r="B55" s="25"/>
      <c r="C55" s="25"/>
      <c r="D55" s="25"/>
      <c r="E55" s="25"/>
      <c r="F55" s="25"/>
      <c r="G55" s="25"/>
      <c r="H55" s="25"/>
      <c r="I55" s="25"/>
      <c r="J55" s="25">
        <f>+IFERROR(VLOOKUP(A55,[1]BalanceSheet!A$8:B$154,2,0),0)</f>
        <v>0</v>
      </c>
      <c r="L55" s="71"/>
      <c r="M55" s="69"/>
    </row>
    <row r="56" spans="1:13">
      <c r="A56" s="29" t="s">
        <v>380</v>
      </c>
      <c r="B56" s="21">
        <v>-28375.56</v>
      </c>
      <c r="C56" s="21">
        <v>0</v>
      </c>
      <c r="D56" s="21">
        <v>0</v>
      </c>
      <c r="E56" s="21">
        <v>0</v>
      </c>
      <c r="F56" s="21">
        <v>0</v>
      </c>
      <c r="G56" s="21">
        <v>0</v>
      </c>
      <c r="H56" s="21">
        <v>0</v>
      </c>
      <c r="I56" s="21">
        <v>28375.56</v>
      </c>
      <c r="J56" s="21">
        <f>+IFERROR(VLOOKUP(A56,[1]BalanceSheet!A$8:B$154,2,0),0)</f>
        <v>0</v>
      </c>
      <c r="L56" s="72"/>
      <c r="M56" s="69"/>
    </row>
    <row r="57" spans="1:13">
      <c r="A57" s="28" t="s">
        <v>379</v>
      </c>
      <c r="B57" s="22">
        <f t="shared" ref="B57:I57" si="11">SUM(B56)</f>
        <v>-28375.56</v>
      </c>
      <c r="C57" s="22">
        <f t="shared" si="11"/>
        <v>0</v>
      </c>
      <c r="D57" s="22">
        <f t="shared" si="11"/>
        <v>0</v>
      </c>
      <c r="E57" s="22">
        <f t="shared" si="11"/>
        <v>0</v>
      </c>
      <c r="F57" s="22">
        <f t="shared" si="11"/>
        <v>0</v>
      </c>
      <c r="G57" s="22">
        <f t="shared" si="11"/>
        <v>0</v>
      </c>
      <c r="H57" s="22">
        <f t="shared" si="11"/>
        <v>0</v>
      </c>
      <c r="I57" s="22">
        <f t="shared" si="11"/>
        <v>28375.56</v>
      </c>
      <c r="J57" s="22">
        <f>+IFERROR(VLOOKUP(A57,[1]BalanceSheet!A$8:B$154,2,0),0)</f>
        <v>0</v>
      </c>
      <c r="K57" s="20">
        <v>12.1</v>
      </c>
      <c r="L57" s="73"/>
      <c r="M57" s="69"/>
    </row>
    <row r="58" spans="1:13">
      <c r="A58" s="23" t="s">
        <v>378</v>
      </c>
      <c r="B58" s="22">
        <f t="shared" ref="B58:I58" si="12">SUM(B54,B57)</f>
        <v>-28375.56</v>
      </c>
      <c r="C58" s="22">
        <f t="shared" si="12"/>
        <v>0</v>
      </c>
      <c r="D58" s="22">
        <f t="shared" si="12"/>
        <v>0</v>
      </c>
      <c r="E58" s="22">
        <f t="shared" si="12"/>
        <v>0</v>
      </c>
      <c r="F58" s="22">
        <f t="shared" si="12"/>
        <v>0</v>
      </c>
      <c r="G58" s="22">
        <f t="shared" si="12"/>
        <v>0</v>
      </c>
      <c r="H58" s="22">
        <f t="shared" si="12"/>
        <v>1610531.18</v>
      </c>
      <c r="I58" s="22">
        <f t="shared" si="12"/>
        <v>28375.56</v>
      </c>
      <c r="J58" s="22">
        <f>+IFERROR(VLOOKUP(A58,[1]BalanceSheet!A$8:B$154,2,0),0)</f>
        <v>823817.62</v>
      </c>
      <c r="K58" s="20">
        <v>12</v>
      </c>
      <c r="L58" s="73"/>
      <c r="M58" s="69"/>
    </row>
    <row r="59" spans="1:13">
      <c r="A59" s="26" t="s">
        <v>377</v>
      </c>
      <c r="B59" s="25"/>
      <c r="C59" s="25"/>
      <c r="D59" s="25"/>
      <c r="E59" s="25"/>
      <c r="F59" s="25"/>
      <c r="G59" s="25"/>
      <c r="H59" s="25"/>
      <c r="I59" s="25"/>
      <c r="J59" s="25">
        <f>+IFERROR(VLOOKUP(A59,[1]BalanceSheet!A$8:B$154,2,0),0)</f>
        <v>0</v>
      </c>
      <c r="L59" s="71"/>
      <c r="M59" s="69"/>
    </row>
    <row r="60" spans="1:13">
      <c r="A60" s="24" t="s">
        <v>377</v>
      </c>
      <c r="B60" s="21">
        <v>0</v>
      </c>
      <c r="C60" s="21">
        <v>0</v>
      </c>
      <c r="D60" s="21">
        <v>0</v>
      </c>
      <c r="E60" s="21">
        <v>0</v>
      </c>
      <c r="F60" s="21">
        <v>0</v>
      </c>
      <c r="G60" s="21">
        <v>0</v>
      </c>
      <c r="H60" s="21">
        <v>126335.77</v>
      </c>
      <c r="I60" s="21">
        <v>0</v>
      </c>
      <c r="J60" s="21">
        <f>+IFERROR(VLOOKUP(A60,[1]BalanceSheet!A$8:B$154,2,0),0)</f>
        <v>0</v>
      </c>
      <c r="L60" s="72"/>
      <c r="M60" s="69"/>
    </row>
    <row r="61" spans="1:13">
      <c r="A61" s="23" t="s">
        <v>376</v>
      </c>
      <c r="B61" s="22">
        <f t="shared" ref="B61:I61" si="13">SUM(B60)</f>
        <v>0</v>
      </c>
      <c r="C61" s="22">
        <f t="shared" si="13"/>
        <v>0</v>
      </c>
      <c r="D61" s="22">
        <f t="shared" si="13"/>
        <v>0</v>
      </c>
      <c r="E61" s="22">
        <f t="shared" si="13"/>
        <v>0</v>
      </c>
      <c r="F61" s="22">
        <f t="shared" si="13"/>
        <v>0</v>
      </c>
      <c r="G61" s="22">
        <f t="shared" si="13"/>
        <v>0</v>
      </c>
      <c r="H61" s="22">
        <f t="shared" si="13"/>
        <v>126335.77</v>
      </c>
      <c r="I61" s="22">
        <f t="shared" si="13"/>
        <v>0</v>
      </c>
      <c r="J61" s="22">
        <f>+IFERROR(VLOOKUP(A61,[1]BalanceSheet!A$8:B$154,2,0),0)</f>
        <v>0</v>
      </c>
      <c r="K61" s="20">
        <v>12</v>
      </c>
      <c r="L61" s="73"/>
      <c r="M61" s="69"/>
    </row>
    <row r="62" spans="1:13">
      <c r="A62" s="26" t="s">
        <v>375</v>
      </c>
      <c r="B62" s="25"/>
      <c r="C62" s="25"/>
      <c r="D62" s="25"/>
      <c r="E62" s="25"/>
      <c r="F62" s="25"/>
      <c r="G62" s="25"/>
      <c r="H62" s="25"/>
      <c r="I62" s="25"/>
      <c r="J62" s="25">
        <f>+IFERROR(VLOOKUP(A62,[1]BalanceSheet!A$8:B$154,2,0),0)</f>
        <v>0</v>
      </c>
      <c r="L62" s="71"/>
      <c r="M62" s="69"/>
    </row>
    <row r="63" spans="1:13">
      <c r="A63" s="24" t="s">
        <v>374</v>
      </c>
      <c r="B63" s="21">
        <v>0</v>
      </c>
      <c r="C63" s="21">
        <v>0</v>
      </c>
      <c r="D63" s="21">
        <v>0</v>
      </c>
      <c r="E63" s="21">
        <v>0</v>
      </c>
      <c r="F63" s="21">
        <v>0</v>
      </c>
      <c r="G63" s="21">
        <v>0</v>
      </c>
      <c r="H63" s="21">
        <v>327837.96000000002</v>
      </c>
      <c r="I63" s="21">
        <v>0</v>
      </c>
      <c r="J63" s="21">
        <f>+IFERROR(VLOOKUP(A63,[1]BalanceSheet!A$8:B$154,2,0),0)</f>
        <v>192570.33</v>
      </c>
      <c r="K63" s="20">
        <v>12</v>
      </c>
      <c r="L63" s="72"/>
      <c r="M63" s="69"/>
    </row>
    <row r="64" spans="1:13">
      <c r="A64" s="30" t="s">
        <v>373</v>
      </c>
      <c r="B64" s="25"/>
      <c r="C64" s="25"/>
      <c r="D64" s="25"/>
      <c r="E64" s="25"/>
      <c r="F64" s="25"/>
      <c r="G64" s="25"/>
      <c r="H64" s="25"/>
      <c r="I64" s="25"/>
      <c r="J64" s="25">
        <f>+IFERROR(VLOOKUP(A64,[1]BalanceSheet!A$8:B$154,2,0),0)</f>
        <v>0</v>
      </c>
      <c r="L64" s="71"/>
      <c r="M64" s="69"/>
    </row>
    <row r="65" spans="1:13">
      <c r="A65" s="7" t="s">
        <v>372</v>
      </c>
      <c r="B65" s="72">
        <v>-4619805.91</v>
      </c>
      <c r="C65" s="72">
        <v>0</v>
      </c>
      <c r="D65" s="72">
        <v>0</v>
      </c>
      <c r="E65" s="72">
        <v>0</v>
      </c>
      <c r="F65" s="72">
        <v>0</v>
      </c>
      <c r="G65" s="72">
        <v>2284953.2400000002</v>
      </c>
      <c r="H65" s="72">
        <v>2334852.67</v>
      </c>
      <c r="I65" s="72">
        <v>0</v>
      </c>
      <c r="J65" s="72">
        <f>+IFERROR(VLOOKUP(A65,[1]BalanceSheet!A$8:B$154,2,0),0)</f>
        <v>0</v>
      </c>
      <c r="L65" s="72"/>
      <c r="M65" s="69"/>
    </row>
    <row r="66" spans="1:13">
      <c r="A66" s="7" t="s">
        <v>371</v>
      </c>
      <c r="B66" s="72">
        <v>-1664719.22</v>
      </c>
      <c r="C66" s="72">
        <v>0</v>
      </c>
      <c r="D66" s="72">
        <v>0</v>
      </c>
      <c r="E66" s="72">
        <v>0</v>
      </c>
      <c r="F66" s="72">
        <v>0</v>
      </c>
      <c r="G66" s="72">
        <v>0</v>
      </c>
      <c r="H66" s="72">
        <v>865505.1</v>
      </c>
      <c r="I66" s="72">
        <v>799214.12</v>
      </c>
      <c r="J66" s="72">
        <f>+IFERROR(VLOOKUP(A66,[1]BalanceSheet!A$8:B$154,2,0),0)</f>
        <v>0</v>
      </c>
      <c r="L66" s="72"/>
      <c r="M66" s="69"/>
    </row>
    <row r="67" spans="1:13">
      <c r="A67" s="7" t="s">
        <v>370</v>
      </c>
      <c r="B67" s="72">
        <v>-49169.73</v>
      </c>
      <c r="C67" s="72">
        <v>0</v>
      </c>
      <c r="D67" s="72">
        <v>0</v>
      </c>
      <c r="E67" s="72">
        <v>0</v>
      </c>
      <c r="F67" s="72">
        <v>48177.9</v>
      </c>
      <c r="G67" s="72">
        <v>0</v>
      </c>
      <c r="H67" s="72">
        <v>991.83</v>
      </c>
      <c r="I67" s="72">
        <v>0</v>
      </c>
      <c r="J67" s="72">
        <f>+IFERROR(VLOOKUP(A67,[1]BalanceSheet!A$8:B$154,2,0),0)</f>
        <v>0</v>
      </c>
      <c r="L67" s="72"/>
      <c r="M67" s="69"/>
    </row>
    <row r="68" spans="1:13">
      <c r="A68" s="7" t="s">
        <v>369</v>
      </c>
      <c r="B68" s="72">
        <v>-4459</v>
      </c>
      <c r="C68" s="72">
        <v>0</v>
      </c>
      <c r="D68" s="72">
        <v>4459</v>
      </c>
      <c r="E68" s="72">
        <v>0</v>
      </c>
      <c r="F68" s="72">
        <v>0</v>
      </c>
      <c r="G68" s="72">
        <v>0</v>
      </c>
      <c r="H68" s="72">
        <v>0</v>
      </c>
      <c r="I68" s="72">
        <v>0</v>
      </c>
      <c r="J68" s="72">
        <f>+IFERROR(VLOOKUP(A68,[1]BalanceSheet!A$8:B$154,2,0),0)</f>
        <v>0</v>
      </c>
      <c r="L68" s="72"/>
      <c r="M68" s="69"/>
    </row>
    <row r="69" spans="1:13">
      <c r="A69" s="7" t="s">
        <v>368</v>
      </c>
      <c r="B69" s="72">
        <v>-1396757.15</v>
      </c>
      <c r="C69" s="72">
        <v>537445.42000000004</v>
      </c>
      <c r="D69" s="72">
        <v>0</v>
      </c>
      <c r="E69" s="72">
        <v>0</v>
      </c>
      <c r="F69" s="72">
        <v>0</v>
      </c>
      <c r="G69" s="72">
        <v>15878.25</v>
      </c>
      <c r="H69" s="72">
        <v>843433.48</v>
      </c>
      <c r="I69" s="72">
        <v>0</v>
      </c>
      <c r="J69" s="72">
        <f>+IFERROR(VLOOKUP(A69,[1]BalanceSheet!A$8:B$154,2,0),0)</f>
        <v>0</v>
      </c>
      <c r="L69" s="72"/>
      <c r="M69" s="69"/>
    </row>
    <row r="70" spans="1:13">
      <c r="A70" s="78" t="s">
        <v>367</v>
      </c>
      <c r="B70" s="73">
        <v>-7734911.0099999998</v>
      </c>
      <c r="C70" s="73">
        <v>537445.42000000004</v>
      </c>
      <c r="D70" s="73">
        <v>4459</v>
      </c>
      <c r="E70" s="73">
        <v>0</v>
      </c>
      <c r="F70" s="73">
        <v>48177.9</v>
      </c>
      <c r="G70" s="73">
        <v>2300831.4900000002</v>
      </c>
      <c r="H70" s="73">
        <v>4044783.08</v>
      </c>
      <c r="I70" s="73">
        <v>799214.12</v>
      </c>
      <c r="J70" s="73">
        <f>+IFERROR(VLOOKUP(A70,[1]BalanceSheet!A$8:B$154,2,0),0)</f>
        <v>0</v>
      </c>
      <c r="K70" s="20">
        <v>13</v>
      </c>
      <c r="L70" s="73"/>
      <c r="M70" s="69"/>
    </row>
    <row r="71" spans="1:13">
      <c r="A71" s="77" t="s">
        <v>366</v>
      </c>
      <c r="B71" s="71"/>
      <c r="C71" s="71"/>
      <c r="D71" s="71"/>
      <c r="E71" s="71"/>
      <c r="F71" s="71"/>
      <c r="G71" s="71"/>
      <c r="H71" s="71"/>
      <c r="I71" s="71"/>
      <c r="J71" s="71">
        <f>+IFERROR(VLOOKUP(A71,[1]BalanceSheet!A$8:B$154,2,0),0)</f>
        <v>0</v>
      </c>
      <c r="L71" s="71"/>
      <c r="M71" s="69"/>
    </row>
    <row r="72" spans="1:13">
      <c r="A72" s="7" t="s">
        <v>365</v>
      </c>
      <c r="B72" s="72">
        <v>0</v>
      </c>
      <c r="C72" s="72">
        <v>143307.18</v>
      </c>
      <c r="D72" s="72">
        <v>0</v>
      </c>
      <c r="E72" s="72">
        <v>0</v>
      </c>
      <c r="F72" s="72">
        <v>0</v>
      </c>
      <c r="G72" s="72">
        <v>15354.25</v>
      </c>
      <c r="H72" s="72">
        <v>129071.74</v>
      </c>
      <c r="I72" s="72">
        <v>4547.0600000000004</v>
      </c>
      <c r="J72" s="72">
        <f>+IFERROR(VLOOKUP(A72,[1]BalanceSheet!A$8:B$154,2,0),0)</f>
        <v>37005.61</v>
      </c>
      <c r="K72" s="20">
        <v>13.1</v>
      </c>
      <c r="L72" s="72"/>
      <c r="M72" s="69"/>
    </row>
    <row r="73" spans="1:13">
      <c r="A73" s="7" t="s">
        <v>364</v>
      </c>
      <c r="B73" s="72">
        <v>0</v>
      </c>
      <c r="C73" s="72">
        <v>0</v>
      </c>
      <c r="D73" s="72">
        <v>0</v>
      </c>
      <c r="E73" s="72">
        <v>0</v>
      </c>
      <c r="F73" s="72">
        <v>0</v>
      </c>
      <c r="G73" s="72">
        <v>11711.35</v>
      </c>
      <c r="H73" s="72">
        <v>0</v>
      </c>
      <c r="I73" s="72">
        <v>0</v>
      </c>
      <c r="J73" s="72">
        <f>+IFERROR(VLOOKUP(A73,[1]BalanceSheet!A$8:B$154,2,0),0)</f>
        <v>0</v>
      </c>
      <c r="K73" s="20">
        <v>13.1</v>
      </c>
      <c r="L73" s="72"/>
      <c r="M73" s="69"/>
    </row>
    <row r="74" spans="1:13">
      <c r="A74" s="7" t="s">
        <v>363</v>
      </c>
      <c r="B74" s="72">
        <v>0</v>
      </c>
      <c r="C74" s="72">
        <v>0</v>
      </c>
      <c r="D74" s="72">
        <v>0</v>
      </c>
      <c r="E74" s="72">
        <v>0</v>
      </c>
      <c r="F74" s="72">
        <v>0</v>
      </c>
      <c r="G74" s="72">
        <v>0</v>
      </c>
      <c r="H74" s="72">
        <v>99340.479999999996</v>
      </c>
      <c r="I74" s="72">
        <v>0</v>
      </c>
      <c r="J74" s="72">
        <f>+IFERROR(VLOOKUP(A74,[1]BalanceSheet!A$8:B$154,2,0),0)</f>
        <v>0</v>
      </c>
      <c r="K74" s="20">
        <v>13.1</v>
      </c>
      <c r="L74" s="72"/>
      <c r="M74" s="69"/>
    </row>
    <row r="75" spans="1:13">
      <c r="A75" s="78" t="s">
        <v>362</v>
      </c>
      <c r="B75" s="73">
        <v>0</v>
      </c>
      <c r="C75" s="73">
        <v>143307.18</v>
      </c>
      <c r="D75" s="73">
        <v>0</v>
      </c>
      <c r="E75" s="73">
        <v>0</v>
      </c>
      <c r="F75" s="73">
        <v>0</v>
      </c>
      <c r="G75" s="73">
        <v>27065.599999999999</v>
      </c>
      <c r="H75" s="73">
        <v>228412.22</v>
      </c>
      <c r="I75" s="73">
        <v>4547.0600000000004</v>
      </c>
      <c r="J75" s="73">
        <f>+IFERROR(VLOOKUP(A75,[1]BalanceSheet!A$8:B$154,2,0),0)</f>
        <v>37005.61</v>
      </c>
      <c r="K75" s="20">
        <v>13</v>
      </c>
      <c r="L75" s="73"/>
      <c r="M75" s="69"/>
    </row>
    <row r="76" spans="1:13">
      <c r="A76" s="77" t="s">
        <v>361</v>
      </c>
      <c r="B76" s="71"/>
      <c r="C76" s="71"/>
      <c r="D76" s="71"/>
      <c r="E76" s="71"/>
      <c r="F76" s="71"/>
      <c r="G76" s="71"/>
      <c r="H76" s="71"/>
      <c r="I76" s="71"/>
      <c r="J76" s="71">
        <f>+IFERROR(VLOOKUP(A76,[1]BalanceSheet!A$8:B$154,2,0),0)</f>
        <v>0</v>
      </c>
      <c r="L76" s="71"/>
      <c r="M76" s="69"/>
    </row>
    <row r="77" spans="1:13">
      <c r="A77" s="80" t="s">
        <v>360</v>
      </c>
      <c r="B77" s="71"/>
      <c r="C77" s="71"/>
      <c r="D77" s="71"/>
      <c r="E77" s="71"/>
      <c r="F77" s="71"/>
      <c r="G77" s="71"/>
      <c r="H77" s="71"/>
      <c r="I77" s="71"/>
      <c r="J77" s="71">
        <f>+IFERROR(VLOOKUP(A77,[1]BalanceSheet!A$8:B$154,2,0),0)</f>
        <v>0</v>
      </c>
      <c r="L77" s="71"/>
      <c r="M77" s="69"/>
    </row>
    <row r="78" spans="1:13">
      <c r="A78" s="81" t="s">
        <v>359</v>
      </c>
      <c r="B78" s="72">
        <v>0</v>
      </c>
      <c r="C78" s="72">
        <v>0</v>
      </c>
      <c r="D78" s="72">
        <v>0</v>
      </c>
      <c r="E78" s="72">
        <v>0</v>
      </c>
      <c r="F78" s="72">
        <v>0</v>
      </c>
      <c r="G78" s="72">
        <v>0</v>
      </c>
      <c r="H78" s="72">
        <v>-84.05</v>
      </c>
      <c r="I78" s="72">
        <v>0</v>
      </c>
      <c r="J78" s="72">
        <f>+IFERROR(VLOOKUP(A78,[1]BalanceSheet!A$8:B$154,2,0),0)</f>
        <v>0</v>
      </c>
      <c r="L78" s="72"/>
      <c r="M78" s="69"/>
    </row>
    <row r="79" spans="1:13">
      <c r="A79" s="81" t="s">
        <v>358</v>
      </c>
      <c r="B79" s="72">
        <v>0</v>
      </c>
      <c r="C79" s="72">
        <v>0</v>
      </c>
      <c r="D79" s="72">
        <v>0</v>
      </c>
      <c r="E79" s="72">
        <v>0</v>
      </c>
      <c r="F79" s="72">
        <v>0</v>
      </c>
      <c r="G79" s="72">
        <v>0</v>
      </c>
      <c r="H79" s="72">
        <v>655.96</v>
      </c>
      <c r="I79" s="72">
        <v>0</v>
      </c>
      <c r="J79" s="72">
        <f>+IFERROR(VLOOKUP(A79,[1]BalanceSheet!A$8:B$154,2,0),0)</f>
        <v>32.799999999999997</v>
      </c>
      <c r="L79" s="72"/>
      <c r="M79" s="69"/>
    </row>
    <row r="80" spans="1:13">
      <c r="A80" s="81" t="s">
        <v>357</v>
      </c>
      <c r="B80" s="72">
        <v>0</v>
      </c>
      <c r="C80" s="72">
        <v>0</v>
      </c>
      <c r="D80" s="72">
        <v>0</v>
      </c>
      <c r="E80" s="72">
        <v>0</v>
      </c>
      <c r="F80" s="72">
        <v>0</v>
      </c>
      <c r="G80" s="72">
        <v>0</v>
      </c>
      <c r="H80" s="72">
        <v>3165.33</v>
      </c>
      <c r="I80" s="72">
        <v>0</v>
      </c>
      <c r="J80" s="72">
        <f>+IFERROR(VLOOKUP(A80,[1]BalanceSheet!A$8:B$154,2,0),0)</f>
        <v>80072.820000000007</v>
      </c>
      <c r="L80" s="72"/>
      <c r="M80" s="69"/>
    </row>
    <row r="81" spans="1:13">
      <c r="A81" s="81" t="s">
        <v>356</v>
      </c>
      <c r="B81" s="72">
        <v>0</v>
      </c>
      <c r="C81" s="72">
        <v>0</v>
      </c>
      <c r="D81" s="72">
        <v>0</v>
      </c>
      <c r="E81" s="72">
        <v>0</v>
      </c>
      <c r="F81" s="72">
        <v>0</v>
      </c>
      <c r="G81" s="72">
        <v>0</v>
      </c>
      <c r="H81" s="72">
        <v>31238.41</v>
      </c>
      <c r="I81" s="72">
        <v>0</v>
      </c>
      <c r="J81" s="72">
        <f>+IFERROR(VLOOKUP(A81,[1]BalanceSheet!A$8:B$154,2,0),0)</f>
        <v>0</v>
      </c>
      <c r="L81" s="72"/>
      <c r="M81" s="69"/>
    </row>
    <row r="82" spans="1:13">
      <c r="A82" s="81" t="s">
        <v>355</v>
      </c>
      <c r="B82" s="72">
        <v>0</v>
      </c>
      <c r="C82" s="72">
        <v>0</v>
      </c>
      <c r="D82" s="72">
        <v>0</v>
      </c>
      <c r="E82" s="72">
        <v>0</v>
      </c>
      <c r="F82" s="72">
        <v>0</v>
      </c>
      <c r="G82" s="72">
        <v>0</v>
      </c>
      <c r="H82" s="72">
        <v>0</v>
      </c>
      <c r="I82" s="72">
        <v>5870.77</v>
      </c>
      <c r="J82" s="72">
        <f>+IFERROR(VLOOKUP(A82,[1]BalanceSheet!A$8:B$154,2,0),0)</f>
        <v>5870.77</v>
      </c>
      <c r="L82" s="72"/>
      <c r="M82" s="69"/>
    </row>
    <row r="83" spans="1:13">
      <c r="A83" s="81" t="s">
        <v>354</v>
      </c>
      <c r="B83" s="72">
        <v>0</v>
      </c>
      <c r="C83" s="72">
        <v>0</v>
      </c>
      <c r="D83" s="72">
        <v>0</v>
      </c>
      <c r="E83" s="72">
        <v>0</v>
      </c>
      <c r="F83" s="72">
        <v>0</v>
      </c>
      <c r="G83" s="72">
        <v>0</v>
      </c>
      <c r="H83" s="72">
        <v>0</v>
      </c>
      <c r="I83" s="72">
        <v>38437.97</v>
      </c>
      <c r="J83" s="72">
        <f>+IFERROR(VLOOKUP(A83,[1]BalanceSheet!A$8:B$154,2,0),0)</f>
        <v>11696.16</v>
      </c>
      <c r="L83" s="72"/>
      <c r="M83" s="69"/>
    </row>
    <row r="84" spans="1:13">
      <c r="A84" s="81" t="s">
        <v>353</v>
      </c>
      <c r="B84" s="72">
        <v>0</v>
      </c>
      <c r="C84" s="72">
        <v>0</v>
      </c>
      <c r="D84" s="72">
        <v>0</v>
      </c>
      <c r="E84" s="72">
        <v>0</v>
      </c>
      <c r="F84" s="72">
        <v>0</v>
      </c>
      <c r="G84" s="72">
        <v>0</v>
      </c>
      <c r="H84" s="72">
        <v>0</v>
      </c>
      <c r="I84" s="72">
        <v>848.64</v>
      </c>
      <c r="J84" s="72">
        <f>+IFERROR(VLOOKUP(A84,[1]BalanceSheet!A$8:B$154,2,0),0)</f>
        <v>899.79</v>
      </c>
      <c r="L84" s="72"/>
      <c r="M84" s="69"/>
    </row>
    <row r="85" spans="1:13">
      <c r="A85" s="81" t="s">
        <v>352</v>
      </c>
      <c r="B85" s="72">
        <v>0</v>
      </c>
      <c r="C85" s="72">
        <v>0</v>
      </c>
      <c r="D85" s="72">
        <v>0</v>
      </c>
      <c r="E85" s="72">
        <v>0</v>
      </c>
      <c r="F85" s="72">
        <v>0</v>
      </c>
      <c r="G85" s="72">
        <v>39429.68</v>
      </c>
      <c r="H85" s="72">
        <v>0</v>
      </c>
      <c r="I85" s="72">
        <v>0</v>
      </c>
      <c r="J85" s="72">
        <f>+IFERROR(VLOOKUP(A85,[1]BalanceSheet!A$8:B$154,2,0),0)</f>
        <v>0</v>
      </c>
      <c r="L85" s="72"/>
      <c r="M85" s="69"/>
    </row>
    <row r="86" spans="1:13">
      <c r="A86" s="82" t="s">
        <v>351</v>
      </c>
      <c r="B86" s="73">
        <v>0</v>
      </c>
      <c r="C86" s="73">
        <v>0</v>
      </c>
      <c r="D86" s="73">
        <v>0</v>
      </c>
      <c r="E86" s="73">
        <v>0</v>
      </c>
      <c r="F86" s="73">
        <v>0</v>
      </c>
      <c r="G86" s="73">
        <v>39429.68</v>
      </c>
      <c r="H86" s="73">
        <v>34975.65</v>
      </c>
      <c r="I86" s="73">
        <v>45157.380000000005</v>
      </c>
      <c r="J86" s="73">
        <f>+IFERROR(VLOOKUP(A86,[1]BalanceSheet!A$8:B$154,2,0),0)</f>
        <v>98572.340000000011</v>
      </c>
      <c r="K86" s="20">
        <v>13.2</v>
      </c>
      <c r="L86" s="73"/>
      <c r="M86" s="69"/>
    </row>
    <row r="87" spans="1:13">
      <c r="A87" s="80" t="s">
        <v>350</v>
      </c>
      <c r="B87" s="71"/>
      <c r="C87" s="71"/>
      <c r="D87" s="71"/>
      <c r="E87" s="71"/>
      <c r="F87" s="71"/>
      <c r="G87" s="71"/>
      <c r="H87" s="71"/>
      <c r="I87" s="71"/>
      <c r="J87" s="71">
        <f>+IFERROR(VLOOKUP(A87,[1]BalanceSheet!A$8:B$154,2,0),0)</f>
        <v>0</v>
      </c>
      <c r="L87" s="71"/>
      <c r="M87" s="69"/>
    </row>
    <row r="88" spans="1:13">
      <c r="A88" s="81" t="s">
        <v>349</v>
      </c>
      <c r="B88" s="72">
        <v>0</v>
      </c>
      <c r="C88" s="72">
        <v>0</v>
      </c>
      <c r="D88" s="72">
        <v>0</v>
      </c>
      <c r="E88" s="72">
        <v>0</v>
      </c>
      <c r="F88" s="72">
        <v>0</v>
      </c>
      <c r="G88" s="72">
        <v>0</v>
      </c>
      <c r="H88" s="72">
        <v>17204.02</v>
      </c>
      <c r="I88" s="72">
        <v>0</v>
      </c>
      <c r="J88" s="72">
        <f>+IFERROR(VLOOKUP(A88,[1]BalanceSheet!A$8:B$154,2,0),0)</f>
        <v>17204.02</v>
      </c>
      <c r="L88" s="72"/>
      <c r="M88" s="69"/>
    </row>
    <row r="89" spans="1:13">
      <c r="A89" s="81" t="s">
        <v>348</v>
      </c>
      <c r="B89" s="72">
        <v>0</v>
      </c>
      <c r="C89" s="72">
        <v>0</v>
      </c>
      <c r="D89" s="72">
        <v>0</v>
      </c>
      <c r="E89" s="72">
        <v>0</v>
      </c>
      <c r="F89" s="72">
        <v>0</v>
      </c>
      <c r="G89" s="72">
        <v>0</v>
      </c>
      <c r="H89" s="72">
        <v>-17204.02</v>
      </c>
      <c r="I89" s="72">
        <v>0</v>
      </c>
      <c r="J89" s="72">
        <f>+IFERROR(VLOOKUP(A89,[1]BalanceSheet!A$8:B$154,2,0),0)</f>
        <v>-17204.02</v>
      </c>
      <c r="L89" s="72"/>
      <c r="M89" s="69"/>
    </row>
    <row r="90" spans="1:13">
      <c r="A90" s="81" t="s">
        <v>347</v>
      </c>
      <c r="B90" s="72">
        <v>0</v>
      </c>
      <c r="C90" s="72">
        <v>0</v>
      </c>
      <c r="D90" s="72">
        <v>-447.84</v>
      </c>
      <c r="E90" s="72">
        <v>0</v>
      </c>
      <c r="F90" s="72">
        <v>0</v>
      </c>
      <c r="G90" s="72">
        <v>0</v>
      </c>
      <c r="H90" s="72">
        <v>0</v>
      </c>
      <c r="I90" s="72">
        <v>75511.06</v>
      </c>
      <c r="J90" s="72">
        <f>+IFERROR(VLOOKUP(A90,[1]BalanceSheet!A$8:B$154,2,0),0)</f>
        <v>76473.19</v>
      </c>
      <c r="L90" s="72"/>
      <c r="M90" s="69"/>
    </row>
    <row r="91" spans="1:13">
      <c r="A91" s="81" t="s">
        <v>346</v>
      </c>
      <c r="B91" s="72">
        <v>0</v>
      </c>
      <c r="C91" s="72">
        <v>0</v>
      </c>
      <c r="D91" s="72">
        <v>0</v>
      </c>
      <c r="E91" s="72">
        <v>0</v>
      </c>
      <c r="F91" s="72">
        <v>0</v>
      </c>
      <c r="G91" s="72">
        <v>3267.88</v>
      </c>
      <c r="H91" s="72">
        <v>0</v>
      </c>
      <c r="I91" s="72">
        <v>0</v>
      </c>
      <c r="J91" s="72">
        <f>+IFERROR(VLOOKUP(A91,[1]BalanceSheet!A$8:B$154,2,0),0)</f>
        <v>3267.88</v>
      </c>
      <c r="L91" s="72"/>
      <c r="M91" s="69"/>
    </row>
    <row r="92" spans="1:13">
      <c r="A92" s="82" t="s">
        <v>345</v>
      </c>
      <c r="B92" s="73">
        <v>0</v>
      </c>
      <c r="C92" s="73">
        <v>0</v>
      </c>
      <c r="D92" s="73">
        <v>-447.84</v>
      </c>
      <c r="E92" s="73">
        <v>0</v>
      </c>
      <c r="F92" s="73">
        <v>0</v>
      </c>
      <c r="G92" s="73">
        <v>3267.88</v>
      </c>
      <c r="H92" s="73">
        <v>0</v>
      </c>
      <c r="I92" s="73">
        <v>75511.06</v>
      </c>
      <c r="J92" s="73">
        <f>+IFERROR(VLOOKUP(A92,[1]BalanceSheet!A$8:B$154,2,0),0)</f>
        <v>79741.070000000007</v>
      </c>
      <c r="K92" s="20">
        <v>13.2</v>
      </c>
      <c r="L92" s="73"/>
      <c r="M92" s="69"/>
    </row>
    <row r="93" spans="1:13">
      <c r="A93" s="78" t="s">
        <v>344</v>
      </c>
      <c r="B93" s="73">
        <v>0</v>
      </c>
      <c r="C93" s="73">
        <v>0</v>
      </c>
      <c r="D93" s="73">
        <v>-447.84</v>
      </c>
      <c r="E93" s="73">
        <v>0</v>
      </c>
      <c r="F93" s="73">
        <v>0</v>
      </c>
      <c r="G93" s="73">
        <v>42697.56</v>
      </c>
      <c r="H93" s="73">
        <v>34975.65</v>
      </c>
      <c r="I93" s="73">
        <v>120668.44</v>
      </c>
      <c r="J93" s="73">
        <f>+IFERROR(VLOOKUP(A93,[1]BalanceSheet!A$8:B$154,2,0),0)</f>
        <v>178313.41000000003</v>
      </c>
      <c r="K93" s="20">
        <v>13</v>
      </c>
      <c r="L93" s="73"/>
      <c r="M93" s="69"/>
    </row>
    <row r="94" spans="1:13">
      <c r="A94" s="77" t="s">
        <v>343</v>
      </c>
      <c r="B94" s="71"/>
      <c r="C94" s="71"/>
      <c r="D94" s="71"/>
      <c r="E94" s="71"/>
      <c r="F94" s="71"/>
      <c r="G94" s="71"/>
      <c r="H94" s="71"/>
      <c r="I94" s="71"/>
      <c r="J94" s="71">
        <f>+IFERROR(VLOOKUP(A94,[1]BalanceSheet!A$8:B$154,2,0),0)</f>
        <v>0</v>
      </c>
      <c r="L94" s="71"/>
      <c r="M94" s="69"/>
    </row>
    <row r="95" spans="1:13">
      <c r="A95" s="7" t="s">
        <v>342</v>
      </c>
      <c r="B95" s="72">
        <v>0</v>
      </c>
      <c r="C95" s="72">
        <v>36775</v>
      </c>
      <c r="D95" s="72">
        <v>0</v>
      </c>
      <c r="E95" s="72">
        <v>0</v>
      </c>
      <c r="F95" s="72">
        <v>0</v>
      </c>
      <c r="G95" s="72">
        <v>68850.34</v>
      </c>
      <c r="H95" s="72">
        <v>37820.53</v>
      </c>
      <c r="I95" s="72">
        <v>14750.69</v>
      </c>
      <c r="J95" s="72">
        <f>+IFERROR(VLOOKUP(A95,[1]BalanceSheet!A$8:B$154,2,0),0)</f>
        <v>36888.949999999997</v>
      </c>
      <c r="K95" s="20">
        <v>13.3</v>
      </c>
      <c r="L95" s="72"/>
      <c r="M95" s="69"/>
    </row>
    <row r="96" spans="1:13">
      <c r="A96" s="7" t="s">
        <v>341</v>
      </c>
      <c r="B96" s="72">
        <v>0</v>
      </c>
      <c r="C96" s="72">
        <v>0</v>
      </c>
      <c r="D96" s="72">
        <v>0</v>
      </c>
      <c r="E96" s="72">
        <v>0</v>
      </c>
      <c r="F96" s="72">
        <v>0</v>
      </c>
      <c r="G96" s="72">
        <v>0</v>
      </c>
      <c r="H96" s="72">
        <v>11921</v>
      </c>
      <c r="I96" s="72">
        <v>0</v>
      </c>
      <c r="J96" s="72">
        <f>+IFERROR(VLOOKUP(A96,[1]BalanceSheet!A$8:B$154,2,0),0)</f>
        <v>0</v>
      </c>
      <c r="K96" s="20">
        <v>13.3</v>
      </c>
      <c r="L96" s="72"/>
      <c r="M96" s="69"/>
    </row>
    <row r="97" spans="1:13">
      <c r="A97" s="78" t="s">
        <v>340</v>
      </c>
      <c r="B97" s="73">
        <v>0</v>
      </c>
      <c r="C97" s="73">
        <v>36775</v>
      </c>
      <c r="D97" s="73">
        <v>0</v>
      </c>
      <c r="E97" s="73">
        <v>0</v>
      </c>
      <c r="F97" s="73">
        <v>0</v>
      </c>
      <c r="G97" s="73">
        <v>68850.34</v>
      </c>
      <c r="H97" s="73">
        <v>49741.53</v>
      </c>
      <c r="I97" s="73">
        <v>14750.69</v>
      </c>
      <c r="J97" s="73">
        <f>+IFERROR(VLOOKUP(A97,[1]BalanceSheet!A$8:B$154,2,0),0)</f>
        <v>36888.949999999997</v>
      </c>
      <c r="K97" s="20">
        <v>13</v>
      </c>
      <c r="L97" s="73"/>
      <c r="M97" s="69"/>
    </row>
    <row r="98" spans="1:13">
      <c r="A98" s="5" t="s">
        <v>339</v>
      </c>
      <c r="B98" s="72">
        <v>0</v>
      </c>
      <c r="C98" s="72">
        <v>0</v>
      </c>
      <c r="D98" s="72">
        <v>117.88</v>
      </c>
      <c r="E98" s="72">
        <v>491.94</v>
      </c>
      <c r="F98" s="72">
        <v>83.92</v>
      </c>
      <c r="G98" s="72">
        <v>0</v>
      </c>
      <c r="H98" s="72">
        <v>26.53</v>
      </c>
      <c r="I98" s="72">
        <v>0</v>
      </c>
      <c r="J98" s="72">
        <f>+IFERROR(VLOOKUP(A98,[1]BalanceSheet!A$8:B$154,2,0),0)</f>
        <v>693.74</v>
      </c>
      <c r="K98" s="20">
        <v>13</v>
      </c>
      <c r="L98" s="20">
        <v>13.3</v>
      </c>
      <c r="M98" s="69"/>
    </row>
    <row r="99" spans="1:13">
      <c r="A99" s="77" t="s">
        <v>338</v>
      </c>
      <c r="B99" s="71"/>
      <c r="C99" s="71"/>
      <c r="D99" s="71"/>
      <c r="E99" s="71"/>
      <c r="F99" s="71"/>
      <c r="G99" s="71"/>
      <c r="H99" s="71"/>
      <c r="I99" s="71"/>
      <c r="J99" s="71">
        <f>+IFERROR(VLOOKUP(A99,[1]BalanceSheet!A$8:B$154,2,0),0)</f>
        <v>0</v>
      </c>
      <c r="L99" s="71"/>
      <c r="M99" s="69"/>
    </row>
    <row r="100" spans="1:13">
      <c r="A100" s="7" t="s">
        <v>337</v>
      </c>
      <c r="B100" s="72">
        <v>-261263.83</v>
      </c>
      <c r="C100" s="72">
        <v>0</v>
      </c>
      <c r="D100" s="72">
        <v>0</v>
      </c>
      <c r="E100" s="72">
        <v>0</v>
      </c>
      <c r="F100" s="72">
        <v>0</v>
      </c>
      <c r="G100" s="72">
        <v>0</v>
      </c>
      <c r="H100" s="72">
        <v>261263.83</v>
      </c>
      <c r="I100" s="72">
        <v>0</v>
      </c>
      <c r="J100" s="72">
        <f>+IFERROR(VLOOKUP(A100,[1]BalanceSheet!A$8:B$154,2,0),0)</f>
        <v>0</v>
      </c>
      <c r="L100" s="72"/>
      <c r="M100" s="69"/>
    </row>
    <row r="101" spans="1:13">
      <c r="A101" s="7" t="s">
        <v>336</v>
      </c>
      <c r="B101" s="72">
        <v>0</v>
      </c>
      <c r="C101" s="72">
        <v>0</v>
      </c>
      <c r="D101" s="72">
        <v>37427.660000000003</v>
      </c>
      <c r="E101" s="72">
        <v>0</v>
      </c>
      <c r="F101" s="72">
        <v>0</v>
      </c>
      <c r="G101" s="72">
        <v>0</v>
      </c>
      <c r="H101" s="72">
        <v>0</v>
      </c>
      <c r="I101" s="72">
        <v>0</v>
      </c>
      <c r="J101" s="72">
        <f>+IFERROR(VLOOKUP(A101,[1]BalanceSheet!A$8:B$154,2,0),0)</f>
        <v>37427.660000000003</v>
      </c>
      <c r="L101" s="72"/>
      <c r="M101" s="69"/>
    </row>
    <row r="102" spans="1:13">
      <c r="A102" s="78" t="s">
        <v>335</v>
      </c>
      <c r="B102" s="73">
        <v>-261263.83</v>
      </c>
      <c r="C102" s="73">
        <v>0</v>
      </c>
      <c r="D102" s="73">
        <v>37427.660000000003</v>
      </c>
      <c r="E102" s="73">
        <v>0</v>
      </c>
      <c r="F102" s="73">
        <v>0</v>
      </c>
      <c r="G102" s="73">
        <v>0</v>
      </c>
      <c r="H102" s="73">
        <v>261263.83</v>
      </c>
      <c r="I102" s="73">
        <v>0</v>
      </c>
      <c r="J102" s="73">
        <f>+IFERROR(VLOOKUP(A102,[1]BalanceSheet!A$8:B$154,2,0),0)</f>
        <v>37427.660000000003</v>
      </c>
      <c r="K102" s="20">
        <v>14</v>
      </c>
      <c r="L102" s="73"/>
      <c r="M102" s="69"/>
    </row>
    <row r="103" spans="1:13">
      <c r="A103" s="5" t="s">
        <v>334</v>
      </c>
      <c r="B103" s="72">
        <v>0</v>
      </c>
      <c r="C103" s="72">
        <v>-2371.0500000000002</v>
      </c>
      <c r="D103" s="72">
        <v>0</v>
      </c>
      <c r="E103" s="72">
        <v>0</v>
      </c>
      <c r="F103" s="72">
        <v>0</v>
      </c>
      <c r="G103" s="72">
        <v>-3045.65</v>
      </c>
      <c r="H103" s="72">
        <v>1059.42</v>
      </c>
      <c r="I103" s="72">
        <v>-32.19</v>
      </c>
      <c r="J103" s="72">
        <f>+IFERROR(VLOOKUP(A103,[1]BalanceSheet!A$8:B$154,2,0),0)</f>
        <v>0</v>
      </c>
      <c r="K103" s="20">
        <v>14</v>
      </c>
      <c r="L103" s="72"/>
      <c r="M103" s="69"/>
    </row>
    <row r="104" spans="1:13">
      <c r="A104" s="79" t="s">
        <v>333</v>
      </c>
      <c r="B104" s="73">
        <v>-7996174.8399999999</v>
      </c>
      <c r="C104" s="73">
        <v>715156.55</v>
      </c>
      <c r="D104" s="73">
        <v>41556.700000000004</v>
      </c>
      <c r="E104" s="73">
        <v>491.94</v>
      </c>
      <c r="F104" s="73">
        <v>48261.82</v>
      </c>
      <c r="G104" s="73">
        <v>2436399.3400000003</v>
      </c>
      <c r="H104" s="73">
        <v>4948100.2200000007</v>
      </c>
      <c r="I104" s="73">
        <v>939148.12000000011</v>
      </c>
      <c r="J104" s="73">
        <f>+IFERROR(VLOOKUP(A104,[1]BalanceSheet!A$8:B$154,2,0),0)</f>
        <v>482899.70000000007</v>
      </c>
      <c r="L104" s="73"/>
      <c r="M104" s="69"/>
    </row>
    <row r="105" spans="1:13">
      <c r="A105" s="6" t="s">
        <v>332</v>
      </c>
      <c r="B105" s="74">
        <v>-8024550.3999999994</v>
      </c>
      <c r="C105" s="74">
        <v>937797.02</v>
      </c>
      <c r="D105" s="74">
        <v>47991.3</v>
      </c>
      <c r="E105" s="74">
        <v>513.75</v>
      </c>
      <c r="F105" s="74">
        <v>48738.37</v>
      </c>
      <c r="G105" s="74">
        <v>3107753.58</v>
      </c>
      <c r="H105" s="74">
        <v>24296788.629999995</v>
      </c>
      <c r="I105" s="74">
        <v>1262304.56</v>
      </c>
      <c r="J105" s="74">
        <f>+IFERROR(VLOOKUP(A105,[1]BalanceSheet!A$8:B$154,2,0),0)</f>
        <v>28726153.460000005</v>
      </c>
      <c r="L105" s="74"/>
      <c r="M105" s="69"/>
    </row>
    <row r="106" spans="1:13">
      <c r="A106" s="2" t="s">
        <v>331</v>
      </c>
      <c r="B106" s="71"/>
      <c r="C106" s="71"/>
      <c r="D106" s="71"/>
      <c r="E106" s="71"/>
      <c r="F106" s="71"/>
      <c r="G106" s="71"/>
      <c r="H106" s="71"/>
      <c r="I106" s="71"/>
      <c r="J106" s="71">
        <f>+IFERROR(VLOOKUP(A106,[1]BalanceSheet!A$8:B$154,2,0),0)</f>
        <v>0</v>
      </c>
      <c r="L106" s="71"/>
      <c r="M106" s="69"/>
    </row>
    <row r="107" spans="1:13">
      <c r="A107" s="4" t="s">
        <v>330</v>
      </c>
      <c r="B107" s="71"/>
      <c r="C107" s="71"/>
      <c r="D107" s="71"/>
      <c r="E107" s="71"/>
      <c r="F107" s="71"/>
      <c r="G107" s="71"/>
      <c r="H107" s="71"/>
      <c r="I107" s="71"/>
      <c r="J107" s="71">
        <f>+IFERROR(VLOOKUP(A107,[1]BalanceSheet!A$8:B$154,2,0),0)</f>
        <v>0</v>
      </c>
      <c r="L107" s="71"/>
      <c r="M107" s="69"/>
    </row>
    <row r="108" spans="1:13">
      <c r="A108" s="5" t="s">
        <v>329</v>
      </c>
      <c r="B108" s="72">
        <v>0</v>
      </c>
      <c r="C108" s="72">
        <v>0</v>
      </c>
      <c r="D108" s="72">
        <v>0</v>
      </c>
      <c r="E108" s="72">
        <v>0</v>
      </c>
      <c r="F108" s="72">
        <v>0</v>
      </c>
      <c r="G108" s="72">
        <v>59414.93</v>
      </c>
      <c r="H108" s="72">
        <v>109189.82</v>
      </c>
      <c r="I108" s="72">
        <v>12825.42</v>
      </c>
      <c r="J108" s="72">
        <f>+IFERROR(VLOOKUP(A108,[1]BalanceSheet!A$8:B$154,2,0),0)</f>
        <v>114079.91</v>
      </c>
      <c r="K108" s="20">
        <v>15.1</v>
      </c>
      <c r="L108" s="72"/>
      <c r="M108" s="69"/>
    </row>
    <row r="109" spans="1:13">
      <c r="A109" s="5" t="s">
        <v>328</v>
      </c>
      <c r="B109" s="72">
        <v>0</v>
      </c>
      <c r="C109" s="72">
        <v>0</v>
      </c>
      <c r="D109" s="72">
        <v>0</v>
      </c>
      <c r="E109" s="72">
        <v>0</v>
      </c>
      <c r="F109" s="72">
        <v>0</v>
      </c>
      <c r="G109" s="72">
        <v>0</v>
      </c>
      <c r="H109" s="72">
        <v>2652.33</v>
      </c>
      <c r="I109" s="72">
        <v>0</v>
      </c>
      <c r="J109" s="72">
        <f>+IFERROR(VLOOKUP(A109,[1]BalanceSheet!A$8:B$154,2,0),0)</f>
        <v>2652.33</v>
      </c>
      <c r="K109" s="20">
        <v>15.3</v>
      </c>
      <c r="L109" s="72"/>
      <c r="M109" s="69"/>
    </row>
    <row r="110" spans="1:13">
      <c r="A110" s="5" t="s">
        <v>327</v>
      </c>
      <c r="B110" s="72">
        <v>0</v>
      </c>
      <c r="C110" s="72">
        <v>516.61</v>
      </c>
      <c r="D110" s="72">
        <v>0</v>
      </c>
      <c r="E110" s="72">
        <v>0</v>
      </c>
      <c r="F110" s="72">
        <v>0</v>
      </c>
      <c r="G110" s="72">
        <v>16499.37</v>
      </c>
      <c r="H110" s="72">
        <v>1906</v>
      </c>
      <c r="I110" s="72">
        <v>0</v>
      </c>
      <c r="J110" s="72">
        <f>+IFERROR(VLOOKUP(A110,[1]BalanceSheet!A$8:B$154,2,0),0)</f>
        <v>1906</v>
      </c>
      <c r="K110" s="20">
        <v>15.2</v>
      </c>
      <c r="L110" s="72"/>
      <c r="M110" s="69"/>
    </row>
    <row r="111" spans="1:13">
      <c r="A111" s="5" t="s">
        <v>326</v>
      </c>
      <c r="B111" s="72">
        <v>0</v>
      </c>
      <c r="C111" s="72">
        <v>559.98</v>
      </c>
      <c r="D111" s="72">
        <v>0</v>
      </c>
      <c r="E111" s="72">
        <v>0</v>
      </c>
      <c r="F111" s="72">
        <v>0</v>
      </c>
      <c r="G111" s="72">
        <v>5179.72</v>
      </c>
      <c r="H111" s="72">
        <v>7892</v>
      </c>
      <c r="I111" s="72">
        <v>1526.64</v>
      </c>
      <c r="J111" s="72">
        <f>+IFERROR(VLOOKUP(A111,[1]BalanceSheet!A$8:B$154,2,0),0)</f>
        <v>7892</v>
      </c>
      <c r="K111" s="20">
        <v>15.1</v>
      </c>
      <c r="L111" s="72"/>
      <c r="M111" s="69"/>
    </row>
    <row r="112" spans="1:13">
      <c r="A112" s="79" t="s">
        <v>325</v>
      </c>
      <c r="B112" s="73">
        <v>0</v>
      </c>
      <c r="C112" s="73">
        <v>1076.5900000000001</v>
      </c>
      <c r="D112" s="73">
        <v>0</v>
      </c>
      <c r="E112" s="73">
        <v>0</v>
      </c>
      <c r="F112" s="73">
        <v>0</v>
      </c>
      <c r="G112" s="73">
        <v>81094.02</v>
      </c>
      <c r="H112" s="73">
        <v>121640.15000000001</v>
      </c>
      <c r="I112" s="73">
        <v>14352.06</v>
      </c>
      <c r="J112" s="73">
        <f>+IFERROR(VLOOKUP(A112,[1]BalanceSheet!A$8:B$154,2,0),0)</f>
        <v>126530.24000000001</v>
      </c>
      <c r="K112" s="20">
        <v>15</v>
      </c>
      <c r="L112" s="73"/>
      <c r="M112" s="69"/>
    </row>
    <row r="113" spans="1:13">
      <c r="A113" s="4" t="s">
        <v>324</v>
      </c>
      <c r="B113" s="71"/>
      <c r="C113" s="71"/>
      <c r="D113" s="71"/>
      <c r="E113" s="71"/>
      <c r="F113" s="71"/>
      <c r="G113" s="71"/>
      <c r="H113" s="71"/>
      <c r="I113" s="71"/>
      <c r="J113" s="71">
        <f>+IFERROR(VLOOKUP(A113,[1]BalanceSheet!A$8:B$154,2,0),0)</f>
        <v>0</v>
      </c>
      <c r="L113" s="71"/>
      <c r="M113" s="69"/>
    </row>
    <row r="114" spans="1:13">
      <c r="A114" s="5" t="s">
        <v>323</v>
      </c>
      <c r="B114" s="72">
        <v>0</v>
      </c>
      <c r="C114" s="72">
        <v>0</v>
      </c>
      <c r="D114" s="72">
        <v>0</v>
      </c>
      <c r="E114" s="72">
        <v>0</v>
      </c>
      <c r="F114" s="72">
        <v>0</v>
      </c>
      <c r="G114" s="72">
        <v>-5663.88</v>
      </c>
      <c r="H114" s="72">
        <v>-57275.519999999997</v>
      </c>
      <c r="I114" s="72">
        <v>-5734.26</v>
      </c>
      <c r="J114" s="72">
        <f>+IFERROR(VLOOKUP(A114,[1]BalanceSheet!A$8:B$154,2,0),0)</f>
        <v>-42435.5</v>
      </c>
      <c r="K114" s="20">
        <v>15.4</v>
      </c>
      <c r="L114" s="72"/>
      <c r="M114" s="69"/>
    </row>
    <row r="115" spans="1:13">
      <c r="A115" s="5" t="s">
        <v>322</v>
      </c>
      <c r="B115" s="72">
        <v>0</v>
      </c>
      <c r="C115" s="72">
        <v>0</v>
      </c>
      <c r="D115" s="72">
        <v>0</v>
      </c>
      <c r="E115" s="72">
        <v>0</v>
      </c>
      <c r="F115" s="72">
        <v>0</v>
      </c>
      <c r="G115" s="72">
        <v>0</v>
      </c>
      <c r="H115" s="72">
        <v>-2652</v>
      </c>
      <c r="I115" s="72">
        <v>0</v>
      </c>
      <c r="J115" s="72">
        <f>+IFERROR(VLOOKUP(A115,[1]BalanceSheet!A$8:B$154,2,0),0)</f>
        <v>-2652</v>
      </c>
      <c r="K115" s="20">
        <v>15.4</v>
      </c>
      <c r="L115" s="72"/>
      <c r="M115" s="69"/>
    </row>
    <row r="116" spans="1:13">
      <c r="A116" s="5" t="s">
        <v>321</v>
      </c>
      <c r="B116" s="72">
        <v>0</v>
      </c>
      <c r="C116" s="72">
        <v>-12.08</v>
      </c>
      <c r="D116" s="72">
        <v>0</v>
      </c>
      <c r="E116" s="72">
        <v>0</v>
      </c>
      <c r="F116" s="72">
        <v>0</v>
      </c>
      <c r="G116" s="72">
        <v>-17543.099999999999</v>
      </c>
      <c r="H116" s="72">
        <v>-708.32</v>
      </c>
      <c r="I116" s="72">
        <v>0</v>
      </c>
      <c r="J116" s="72">
        <f>+IFERROR(VLOOKUP(A116,[1]BalanceSheet!A$8:B$154,2,0),0)</f>
        <v>-17152.53</v>
      </c>
      <c r="K116" s="20">
        <v>15.4</v>
      </c>
      <c r="L116" s="72"/>
      <c r="M116" s="69"/>
    </row>
    <row r="117" spans="1:13">
      <c r="A117" s="5" t="s">
        <v>320</v>
      </c>
      <c r="B117" s="72">
        <v>0</v>
      </c>
      <c r="C117" s="72">
        <v>-28</v>
      </c>
      <c r="D117" s="72">
        <v>0</v>
      </c>
      <c r="E117" s="72">
        <v>0</v>
      </c>
      <c r="F117" s="72">
        <v>0</v>
      </c>
      <c r="G117" s="72">
        <v>-556.1</v>
      </c>
      <c r="H117" s="72">
        <v>-5685.77</v>
      </c>
      <c r="I117" s="72">
        <v>-9.49</v>
      </c>
      <c r="J117" s="72">
        <f>+IFERROR(VLOOKUP(A117,[1]BalanceSheet!A$8:B$154,2,0),0)</f>
        <v>-4074</v>
      </c>
      <c r="K117" s="20">
        <v>15.4</v>
      </c>
      <c r="L117" s="72"/>
      <c r="M117" s="69"/>
    </row>
    <row r="118" spans="1:13">
      <c r="A118" s="79" t="s">
        <v>319</v>
      </c>
      <c r="B118" s="73">
        <v>0</v>
      </c>
      <c r="C118" s="73">
        <v>-40.08</v>
      </c>
      <c r="D118" s="73">
        <v>0</v>
      </c>
      <c r="E118" s="73">
        <v>0</v>
      </c>
      <c r="F118" s="73">
        <v>0</v>
      </c>
      <c r="G118" s="73">
        <v>-23763.079999999998</v>
      </c>
      <c r="H118" s="73">
        <v>-66321.61</v>
      </c>
      <c r="I118" s="73">
        <v>-5743.75</v>
      </c>
      <c r="J118" s="73">
        <f>+IFERROR(VLOOKUP(A118,[1]BalanceSheet!A$8:B$154,2,0),0)</f>
        <v>-66314.03</v>
      </c>
      <c r="K118" s="20">
        <v>15</v>
      </c>
      <c r="L118" s="73"/>
      <c r="M118" s="69"/>
    </row>
    <row r="119" spans="1:13">
      <c r="A119" s="83" t="s">
        <v>318</v>
      </c>
      <c r="B119" s="73">
        <v>0</v>
      </c>
      <c r="C119" s="73">
        <v>1036.5100000000002</v>
      </c>
      <c r="D119" s="73">
        <v>0</v>
      </c>
      <c r="E119" s="73">
        <v>0</v>
      </c>
      <c r="F119" s="73">
        <v>0</v>
      </c>
      <c r="G119" s="73">
        <v>57330.94</v>
      </c>
      <c r="H119" s="73">
        <v>55318.540000000008</v>
      </c>
      <c r="I119" s="73">
        <v>8608.31</v>
      </c>
      <c r="J119" s="73">
        <f>+IFERROR(VLOOKUP(A119,[1]BalanceSheet!A$8:B$154,2,0),0)</f>
        <v>60216.210000000006</v>
      </c>
      <c r="L119" s="73"/>
      <c r="M119" s="69"/>
    </row>
    <row r="120" spans="1:13">
      <c r="A120" s="2" t="s">
        <v>317</v>
      </c>
      <c r="B120" s="71"/>
      <c r="C120" s="71"/>
      <c r="D120" s="71"/>
      <c r="E120" s="71"/>
      <c r="F120" s="71"/>
      <c r="G120" s="71"/>
      <c r="H120" s="71"/>
      <c r="I120" s="71"/>
      <c r="J120" s="71">
        <f>+IFERROR(VLOOKUP(A120,[1]BalanceSheet!A$8:B$154,2,0),0)</f>
        <v>0</v>
      </c>
      <c r="L120" s="71"/>
      <c r="M120" s="69"/>
    </row>
    <row r="121" spans="1:13">
      <c r="A121" s="4" t="s">
        <v>316</v>
      </c>
      <c r="B121" s="71"/>
      <c r="C121" s="71"/>
      <c r="D121" s="71"/>
      <c r="E121" s="71"/>
      <c r="F121" s="71"/>
      <c r="G121" s="71"/>
      <c r="H121" s="71"/>
      <c r="I121" s="71"/>
      <c r="J121" s="71">
        <f>+IFERROR(VLOOKUP(A121,[1]BalanceSheet!A$8:B$154,2,0),0)</f>
        <v>0</v>
      </c>
      <c r="L121" s="71"/>
      <c r="M121" s="69"/>
    </row>
    <row r="122" spans="1:13">
      <c r="A122" s="77" t="s">
        <v>315</v>
      </c>
      <c r="B122" s="71"/>
      <c r="C122" s="71"/>
      <c r="D122" s="71"/>
      <c r="E122" s="71"/>
      <c r="F122" s="71"/>
      <c r="G122" s="71"/>
      <c r="H122" s="71"/>
      <c r="I122" s="71"/>
      <c r="J122" s="71">
        <f>+IFERROR(VLOOKUP(A122,[1]BalanceSheet!A$8:B$154,2,0),0)</f>
        <v>0</v>
      </c>
      <c r="L122" s="71"/>
      <c r="M122" s="69"/>
    </row>
    <row r="123" spans="1:13">
      <c r="A123" s="7" t="s">
        <v>314</v>
      </c>
      <c r="B123" s="72">
        <v>0</v>
      </c>
      <c r="C123" s="72">
        <v>37909.68</v>
      </c>
      <c r="D123" s="72">
        <v>0</v>
      </c>
      <c r="E123" s="72">
        <v>0</v>
      </c>
      <c r="F123" s="72">
        <v>0</v>
      </c>
      <c r="G123" s="72">
        <v>34022.449999999997</v>
      </c>
      <c r="H123" s="72">
        <v>106423.57</v>
      </c>
      <c r="I123" s="72">
        <v>11256.91</v>
      </c>
      <c r="J123" s="72">
        <f>+IFERROR(VLOOKUP(A123,[1]BalanceSheet!A$8:B$154,2,0),0)</f>
        <v>119261.92</v>
      </c>
      <c r="L123" s="72"/>
      <c r="M123" s="69"/>
    </row>
    <row r="124" spans="1:13">
      <c r="A124" s="78" t="s">
        <v>313</v>
      </c>
      <c r="B124" s="73">
        <v>0</v>
      </c>
      <c r="C124" s="73">
        <v>37909.68</v>
      </c>
      <c r="D124" s="73">
        <v>0</v>
      </c>
      <c r="E124" s="73">
        <v>0</v>
      </c>
      <c r="F124" s="73">
        <v>0</v>
      </c>
      <c r="G124" s="73">
        <v>34022.449999999997</v>
      </c>
      <c r="H124" s="73">
        <v>106423.57</v>
      </c>
      <c r="I124" s="73">
        <v>11256.91</v>
      </c>
      <c r="J124" s="73">
        <f>+IFERROR(VLOOKUP(A124,[1]BalanceSheet!A$8:B$154,2,0),0)</f>
        <v>117559.92</v>
      </c>
      <c r="L124" s="73"/>
      <c r="M124" s="69"/>
    </row>
    <row r="125" spans="1:13">
      <c r="A125" s="77" t="s">
        <v>312</v>
      </c>
      <c r="B125" s="71"/>
      <c r="C125" s="71"/>
      <c r="D125" s="71"/>
      <c r="E125" s="71"/>
      <c r="F125" s="71"/>
      <c r="G125" s="71"/>
      <c r="H125" s="71"/>
      <c r="I125" s="71"/>
      <c r="J125" s="71">
        <f>+IFERROR(VLOOKUP(A125,[1]BalanceSheet!A$8:B$154,2,0),0)</f>
        <v>0</v>
      </c>
      <c r="L125" s="71"/>
      <c r="M125" s="69"/>
    </row>
    <row r="126" spans="1:13">
      <c r="A126" s="7" t="s">
        <v>311</v>
      </c>
      <c r="B126" s="72">
        <v>-28375.56</v>
      </c>
      <c r="C126" s="72">
        <v>0</v>
      </c>
      <c r="D126" s="72">
        <v>0</v>
      </c>
      <c r="E126" s="72">
        <v>0</v>
      </c>
      <c r="F126" s="72">
        <v>0</v>
      </c>
      <c r="G126" s="72">
        <v>0</v>
      </c>
      <c r="H126" s="72">
        <v>28375.56</v>
      </c>
      <c r="I126" s="72">
        <v>0</v>
      </c>
      <c r="J126" s="72">
        <f>+IFERROR(VLOOKUP(A126,[1]BalanceSheet!A$8:B$154,2,0),0)</f>
        <v>0</v>
      </c>
      <c r="L126" s="72"/>
      <c r="M126" s="69"/>
    </row>
    <row r="127" spans="1:13">
      <c r="A127" s="78" t="s">
        <v>310</v>
      </c>
      <c r="B127" s="73">
        <v>-28375.56</v>
      </c>
      <c r="C127" s="73">
        <v>0</v>
      </c>
      <c r="D127" s="73">
        <v>0</v>
      </c>
      <c r="E127" s="73">
        <v>0</v>
      </c>
      <c r="F127" s="73">
        <v>0</v>
      </c>
      <c r="G127" s="73">
        <v>0</v>
      </c>
      <c r="H127" s="73">
        <v>28375.56</v>
      </c>
      <c r="I127" s="73">
        <v>0</v>
      </c>
      <c r="J127" s="73">
        <f>+IFERROR(VLOOKUP(A127,[1]BalanceSheet!A$8:B$154,2,0),0)</f>
        <v>0</v>
      </c>
      <c r="L127" s="73"/>
      <c r="M127" s="69"/>
    </row>
    <row r="128" spans="1:13">
      <c r="A128" s="79" t="s">
        <v>309</v>
      </c>
      <c r="B128" s="73">
        <v>-28375.56</v>
      </c>
      <c r="C128" s="73">
        <v>37909.68</v>
      </c>
      <c r="D128" s="73">
        <v>0</v>
      </c>
      <c r="E128" s="73">
        <v>0</v>
      </c>
      <c r="F128" s="73">
        <v>0</v>
      </c>
      <c r="G128" s="73">
        <v>34022.449999999997</v>
      </c>
      <c r="H128" s="73">
        <v>134799.13</v>
      </c>
      <c r="I128" s="73">
        <v>11256.91</v>
      </c>
      <c r="J128" s="73">
        <f>+IFERROR(VLOOKUP(A128,[1]BalanceSheet!A$8:B$154,2,0),0)</f>
        <v>117559.92</v>
      </c>
      <c r="K128" s="20">
        <v>16</v>
      </c>
      <c r="L128" s="73"/>
      <c r="M128" s="69"/>
    </row>
    <row r="129" spans="1:13">
      <c r="A129" s="4" t="s">
        <v>308</v>
      </c>
      <c r="B129" s="71"/>
      <c r="C129" s="71"/>
      <c r="D129" s="71"/>
      <c r="E129" s="71"/>
      <c r="F129" s="71"/>
      <c r="G129" s="71"/>
      <c r="H129" s="71"/>
      <c r="I129" s="71"/>
      <c r="J129" s="71">
        <f>+IFERROR(VLOOKUP(A129,[1]BalanceSheet!A$8:B$154,2,0),0)</f>
        <v>0</v>
      </c>
      <c r="L129" s="71"/>
      <c r="M129" s="69"/>
    </row>
    <row r="130" spans="1:13">
      <c r="A130" s="77" t="s">
        <v>307</v>
      </c>
      <c r="B130" s="71"/>
      <c r="C130" s="71"/>
      <c r="D130" s="71"/>
      <c r="E130" s="71"/>
      <c r="F130" s="71"/>
      <c r="G130" s="71"/>
      <c r="H130" s="71"/>
      <c r="I130" s="71"/>
      <c r="J130" s="71">
        <f>+IFERROR(VLOOKUP(A130,[1]BalanceSheet!A$8:B$154,2,0),0)</f>
        <v>0</v>
      </c>
      <c r="L130" s="71"/>
      <c r="M130" s="69"/>
    </row>
    <row r="131" spans="1:13">
      <c r="A131" s="7" t="s">
        <v>306</v>
      </c>
      <c r="B131" s="72">
        <v>0</v>
      </c>
      <c r="C131" s="72">
        <v>0</v>
      </c>
      <c r="D131" s="72">
        <v>0</v>
      </c>
      <c r="E131" s="72">
        <v>0</v>
      </c>
      <c r="F131" s="72">
        <v>0</v>
      </c>
      <c r="G131" s="72">
        <v>0</v>
      </c>
      <c r="H131" s="72">
        <v>-1630.72</v>
      </c>
      <c r="I131" s="72">
        <v>0</v>
      </c>
      <c r="J131" s="72">
        <f>+IFERROR(VLOOKUP(A131,[1]BalanceSheet!A$8:B$154,2,0),0)</f>
        <v>0</v>
      </c>
      <c r="L131" s="72"/>
      <c r="M131" s="69"/>
    </row>
    <row r="132" spans="1:13">
      <c r="A132" s="7" t="s">
        <v>305</v>
      </c>
      <c r="B132" s="72">
        <v>0</v>
      </c>
      <c r="C132" s="72">
        <v>0</v>
      </c>
      <c r="D132" s="72">
        <v>0</v>
      </c>
      <c r="E132" s="72">
        <v>0</v>
      </c>
      <c r="F132" s="72">
        <v>0</v>
      </c>
      <c r="G132" s="72">
        <v>0</v>
      </c>
      <c r="H132" s="72">
        <v>-4363.74</v>
      </c>
      <c r="I132" s="72">
        <v>0</v>
      </c>
      <c r="J132" s="72">
        <f>+IFERROR(VLOOKUP(A132,[1]BalanceSheet!A$8:B$154,2,0),0)</f>
        <v>4663.59</v>
      </c>
      <c r="L132" s="72"/>
      <c r="M132" s="69"/>
    </row>
    <row r="133" spans="1:13">
      <c r="A133" s="7" t="s">
        <v>304</v>
      </c>
      <c r="B133" s="72">
        <v>0</v>
      </c>
      <c r="C133" s="72">
        <v>0</v>
      </c>
      <c r="D133" s="72">
        <v>0</v>
      </c>
      <c r="E133" s="72">
        <v>0</v>
      </c>
      <c r="F133" s="72">
        <v>0</v>
      </c>
      <c r="G133" s="72">
        <v>0</v>
      </c>
      <c r="H133" s="72">
        <v>-2971.74</v>
      </c>
      <c r="I133" s="72">
        <v>0</v>
      </c>
      <c r="J133" s="72">
        <f>+IFERROR(VLOOKUP(A133,[1]BalanceSheet!A$8:B$154,2,0),0)</f>
        <v>0</v>
      </c>
      <c r="L133" s="72"/>
      <c r="M133" s="69"/>
    </row>
    <row r="134" spans="1:13">
      <c r="A134" s="7" t="s">
        <v>303</v>
      </c>
      <c r="B134" s="72">
        <v>0</v>
      </c>
      <c r="C134" s="72">
        <v>0</v>
      </c>
      <c r="D134" s="72">
        <v>0</v>
      </c>
      <c r="E134" s="72">
        <v>0</v>
      </c>
      <c r="F134" s="72">
        <v>0</v>
      </c>
      <c r="G134" s="72">
        <v>0</v>
      </c>
      <c r="H134" s="72">
        <v>0.78</v>
      </c>
      <c r="I134" s="72">
        <v>0</v>
      </c>
      <c r="J134" s="72">
        <f>+IFERROR(VLOOKUP(A134,[1]BalanceSheet!A$8:B$154,2,0),0)</f>
        <v>326.69</v>
      </c>
      <c r="L134" s="72"/>
      <c r="M134" s="69"/>
    </row>
    <row r="135" spans="1:13">
      <c r="A135" s="7" t="s">
        <v>302</v>
      </c>
      <c r="B135" s="72">
        <v>0</v>
      </c>
      <c r="C135" s="72">
        <v>0</v>
      </c>
      <c r="D135" s="72">
        <v>0</v>
      </c>
      <c r="E135" s="72">
        <v>0</v>
      </c>
      <c r="F135" s="72">
        <v>0</v>
      </c>
      <c r="G135" s="72">
        <v>0</v>
      </c>
      <c r="H135" s="72">
        <v>941.35</v>
      </c>
      <c r="I135" s="72">
        <v>0</v>
      </c>
      <c r="J135" s="72">
        <f>+IFERROR(VLOOKUP(A135,[1]BalanceSheet!A$8:B$154,2,0),0)</f>
        <v>1569.4</v>
      </c>
      <c r="L135" s="72"/>
      <c r="M135" s="69"/>
    </row>
    <row r="136" spans="1:13">
      <c r="A136" s="7" t="s">
        <v>301</v>
      </c>
      <c r="B136" s="72">
        <v>0</v>
      </c>
      <c r="C136" s="72">
        <v>0</v>
      </c>
      <c r="D136" s="72">
        <v>0</v>
      </c>
      <c r="E136" s="72">
        <v>0</v>
      </c>
      <c r="F136" s="72">
        <v>0</v>
      </c>
      <c r="G136" s="72">
        <v>-1011.93</v>
      </c>
      <c r="H136" s="72">
        <v>0</v>
      </c>
      <c r="I136" s="72">
        <v>0</v>
      </c>
      <c r="J136" s="72">
        <f>+IFERROR(VLOOKUP(A136,[1]BalanceSheet!A$8:B$154,2,0),0)</f>
        <v>0</v>
      </c>
      <c r="L136" s="72"/>
      <c r="M136" s="69"/>
    </row>
    <row r="137" spans="1:13">
      <c r="A137" s="7" t="s">
        <v>300</v>
      </c>
      <c r="B137" s="72">
        <v>0</v>
      </c>
      <c r="C137" s="72">
        <v>0</v>
      </c>
      <c r="D137" s="72">
        <v>0</v>
      </c>
      <c r="E137" s="72">
        <v>0</v>
      </c>
      <c r="F137" s="72">
        <v>0</v>
      </c>
      <c r="G137" s="72">
        <v>0</v>
      </c>
      <c r="H137" s="72">
        <v>3549.74</v>
      </c>
      <c r="I137" s="72">
        <v>0</v>
      </c>
      <c r="J137" s="72">
        <f>+IFERROR(VLOOKUP(A137,[1]BalanceSheet!A$8:B$154,2,0),0)</f>
        <v>4133.62</v>
      </c>
      <c r="L137" s="72"/>
      <c r="M137" s="69"/>
    </row>
    <row r="138" spans="1:13">
      <c r="A138" s="7" t="s">
        <v>299</v>
      </c>
      <c r="B138" s="72">
        <v>0</v>
      </c>
      <c r="C138" s="72">
        <v>0</v>
      </c>
      <c r="D138" s="72">
        <v>0</v>
      </c>
      <c r="E138" s="72">
        <v>0</v>
      </c>
      <c r="F138" s="72">
        <v>0</v>
      </c>
      <c r="G138" s="72">
        <v>0</v>
      </c>
      <c r="H138" s="72">
        <v>3468.48</v>
      </c>
      <c r="I138" s="72">
        <v>0</v>
      </c>
      <c r="J138" s="72">
        <f>+IFERROR(VLOOKUP(A138,[1]BalanceSheet!A$8:B$154,2,0),0)</f>
        <v>627.14</v>
      </c>
      <c r="L138" s="72"/>
      <c r="M138" s="69"/>
    </row>
    <row r="139" spans="1:13">
      <c r="A139" s="7" t="s">
        <v>298</v>
      </c>
      <c r="B139" s="72">
        <v>0</v>
      </c>
      <c r="C139" s="72">
        <v>0</v>
      </c>
      <c r="D139" s="72">
        <v>0</v>
      </c>
      <c r="E139" s="72">
        <v>0</v>
      </c>
      <c r="F139" s="72">
        <v>0</v>
      </c>
      <c r="G139" s="72">
        <v>0</v>
      </c>
      <c r="H139" s="72">
        <v>-2.0299999999999998</v>
      </c>
      <c r="I139" s="72">
        <v>0</v>
      </c>
      <c r="J139" s="72">
        <f>+IFERROR(VLOOKUP(A139,[1]BalanceSheet!A$8:B$154,2,0),0)</f>
        <v>0</v>
      </c>
      <c r="L139" s="72"/>
      <c r="M139" s="69"/>
    </row>
    <row r="140" spans="1:13">
      <c r="A140" s="7" t="s">
        <v>297</v>
      </c>
      <c r="B140" s="72">
        <v>0</v>
      </c>
      <c r="C140" s="72">
        <v>0</v>
      </c>
      <c r="D140" s="72">
        <v>0</v>
      </c>
      <c r="E140" s="72">
        <v>0</v>
      </c>
      <c r="F140" s="72">
        <v>0</v>
      </c>
      <c r="G140" s="72">
        <v>0</v>
      </c>
      <c r="H140" s="72">
        <v>-732.99</v>
      </c>
      <c r="I140" s="72">
        <v>0</v>
      </c>
      <c r="J140" s="72">
        <f>+IFERROR(VLOOKUP(A140,[1]BalanceSheet!A$8:B$154,2,0),0)</f>
        <v>0</v>
      </c>
      <c r="L140" s="72"/>
      <c r="M140" s="69"/>
    </row>
    <row r="141" spans="1:13">
      <c r="A141" s="78" t="s">
        <v>296</v>
      </c>
      <c r="B141" s="73">
        <v>0</v>
      </c>
      <c r="C141" s="73">
        <v>0</v>
      </c>
      <c r="D141" s="73">
        <v>0</v>
      </c>
      <c r="E141" s="73">
        <v>0</v>
      </c>
      <c r="F141" s="73">
        <v>0</v>
      </c>
      <c r="G141" s="73">
        <v>-1011.93</v>
      </c>
      <c r="H141" s="73">
        <v>-1740.87</v>
      </c>
      <c r="I141" s="73">
        <v>0</v>
      </c>
      <c r="J141" s="73">
        <f>+IFERROR(VLOOKUP(A141,[1]BalanceSheet!A$8:B$154,2,0),0)</f>
        <v>11344.519999999999</v>
      </c>
      <c r="L141" s="73"/>
      <c r="M141" s="69"/>
    </row>
    <row r="142" spans="1:13">
      <c r="A142" s="79" t="s">
        <v>295</v>
      </c>
      <c r="B142" s="73">
        <v>0</v>
      </c>
      <c r="C142" s="73">
        <v>0</v>
      </c>
      <c r="D142" s="73">
        <v>0</v>
      </c>
      <c r="E142" s="73">
        <v>0</v>
      </c>
      <c r="F142" s="73">
        <v>0</v>
      </c>
      <c r="G142" s="73">
        <v>-1011.93</v>
      </c>
      <c r="H142" s="73">
        <v>-1740.87</v>
      </c>
      <c r="I142" s="73">
        <v>0</v>
      </c>
      <c r="J142" s="73">
        <f>+IFERROR(VLOOKUP(A142,[1]BalanceSheet!A$8:B$154,2,0),0)</f>
        <v>11344.519999999999</v>
      </c>
      <c r="K142" s="94" t="s">
        <v>455</v>
      </c>
      <c r="L142" s="73"/>
      <c r="M142" s="69"/>
    </row>
    <row r="143" spans="1:13">
      <c r="A143" s="4" t="s">
        <v>294</v>
      </c>
      <c r="B143" s="71"/>
      <c r="C143" s="71"/>
      <c r="D143" s="71"/>
      <c r="E143" s="71"/>
      <c r="F143" s="71"/>
      <c r="G143" s="71"/>
      <c r="H143" s="71"/>
      <c r="I143" s="71"/>
      <c r="J143" s="71">
        <f>+IFERROR(VLOOKUP(A143,[1]BalanceSheet!A$8:B$154,2,0),0)</f>
        <v>0</v>
      </c>
      <c r="L143" s="71"/>
      <c r="M143" s="69"/>
    </row>
    <row r="144" spans="1:13">
      <c r="A144" s="77" t="s">
        <v>293</v>
      </c>
      <c r="B144" s="71"/>
      <c r="C144" s="71"/>
      <c r="D144" s="71"/>
      <c r="E144" s="71"/>
      <c r="F144" s="71"/>
      <c r="G144" s="71"/>
      <c r="H144" s="71"/>
      <c r="I144" s="71"/>
      <c r="J144" s="71">
        <f>+IFERROR(VLOOKUP(A144,[1]BalanceSheet!A$8:B$154,2,0),0)</f>
        <v>0</v>
      </c>
      <c r="L144" s="71"/>
      <c r="M144" s="69"/>
    </row>
    <row r="145" spans="1:13">
      <c r="A145" s="7" t="s">
        <v>292</v>
      </c>
      <c r="B145" s="72">
        <v>-4635684.16</v>
      </c>
      <c r="C145" s="72">
        <v>15878.25</v>
      </c>
      <c r="D145" s="72">
        <v>0</v>
      </c>
      <c r="E145" s="72">
        <v>0</v>
      </c>
      <c r="F145" s="72">
        <v>0</v>
      </c>
      <c r="G145" s="72">
        <v>2334852.67</v>
      </c>
      <c r="H145" s="72">
        <v>2284953.2400000002</v>
      </c>
      <c r="I145" s="72">
        <v>0</v>
      </c>
      <c r="J145" s="72">
        <f>+IFERROR(VLOOKUP(A145,[1]BalanceSheet!A$8:B$154,2,0),0)</f>
        <v>0</v>
      </c>
      <c r="L145" s="72"/>
      <c r="M145" s="69"/>
    </row>
    <row r="146" spans="1:13">
      <c r="A146" s="7" t="s">
        <v>291</v>
      </c>
      <c r="B146" s="72">
        <v>-1659959.1</v>
      </c>
      <c r="C146" s="72">
        <v>0</v>
      </c>
      <c r="D146" s="72">
        <v>0</v>
      </c>
      <c r="E146" s="72">
        <v>0</v>
      </c>
      <c r="F146" s="72">
        <v>0</v>
      </c>
      <c r="G146" s="72">
        <v>0</v>
      </c>
      <c r="H146" s="72">
        <v>799214.12</v>
      </c>
      <c r="I146" s="72">
        <v>865505.1</v>
      </c>
      <c r="J146" s="72">
        <f>+IFERROR(VLOOKUP(A146,[1]BalanceSheet!A$8:B$154,2,0),0)</f>
        <v>0</v>
      </c>
      <c r="L146" s="72"/>
      <c r="M146" s="69"/>
    </row>
    <row r="147" spans="1:13">
      <c r="A147" s="7" t="s">
        <v>290</v>
      </c>
      <c r="B147" s="72">
        <v>-53268.63</v>
      </c>
      <c r="C147" s="72">
        <v>0</v>
      </c>
      <c r="D147" s="72">
        <v>0</v>
      </c>
      <c r="E147" s="72">
        <v>0</v>
      </c>
      <c r="F147" s="72">
        <v>330.61</v>
      </c>
      <c r="G147" s="72">
        <v>0</v>
      </c>
      <c r="H147" s="72">
        <v>48177.9</v>
      </c>
      <c r="I147" s="72">
        <v>0</v>
      </c>
      <c r="J147" s="72">
        <f>+IFERROR(VLOOKUP(A147,[1]BalanceSheet!A$8:B$154,2,0),0)</f>
        <v>0</v>
      </c>
      <c r="L147" s="72"/>
      <c r="M147" s="69"/>
    </row>
    <row r="148" spans="1:13">
      <c r="A148" s="7" t="s">
        <v>289</v>
      </c>
      <c r="B148" s="72">
        <v>-330.61</v>
      </c>
      <c r="C148" s="72">
        <v>0</v>
      </c>
      <c r="D148" s="72">
        <v>0</v>
      </c>
      <c r="E148" s="72">
        <v>330.61</v>
      </c>
      <c r="F148" s="72">
        <v>0</v>
      </c>
      <c r="G148" s="72">
        <v>0</v>
      </c>
      <c r="H148" s="72">
        <v>0</v>
      </c>
      <c r="I148" s="72">
        <v>0</v>
      </c>
      <c r="J148" s="72">
        <f>+IFERROR(VLOOKUP(A148,[1]BalanceSheet!A$8:B$154,2,0),0)</f>
        <v>0</v>
      </c>
      <c r="L148" s="72"/>
      <c r="M148" s="69"/>
    </row>
    <row r="149" spans="1:13">
      <c r="A149" s="7" t="s">
        <v>288</v>
      </c>
      <c r="B149" s="72">
        <v>-4789.6099999999997</v>
      </c>
      <c r="C149" s="72">
        <v>0</v>
      </c>
      <c r="D149" s="72">
        <v>330.61</v>
      </c>
      <c r="E149" s="72">
        <v>0</v>
      </c>
      <c r="F149" s="72">
        <v>0</v>
      </c>
      <c r="G149" s="72">
        <v>0</v>
      </c>
      <c r="H149" s="72">
        <v>4459</v>
      </c>
      <c r="I149" s="72">
        <v>0</v>
      </c>
      <c r="J149" s="72">
        <f>+IFERROR(VLOOKUP(A149,[1]BalanceSheet!A$8:B$154,2,0),0)</f>
        <v>0</v>
      </c>
      <c r="L149" s="72"/>
      <c r="M149" s="69"/>
    </row>
    <row r="150" spans="1:13">
      <c r="A150" s="7" t="s">
        <v>287</v>
      </c>
      <c r="B150" s="72">
        <v>-1380878.9</v>
      </c>
      <c r="C150" s="72">
        <v>843433.48</v>
      </c>
      <c r="D150" s="72">
        <v>0</v>
      </c>
      <c r="E150" s="72">
        <v>0</v>
      </c>
      <c r="F150" s="72">
        <v>0</v>
      </c>
      <c r="G150" s="72">
        <v>0</v>
      </c>
      <c r="H150" s="72">
        <v>537445.42000000004</v>
      </c>
      <c r="I150" s="72">
        <v>0</v>
      </c>
      <c r="J150" s="72">
        <f>+IFERROR(VLOOKUP(A150,[1]BalanceSheet!A$8:B$154,2,0),0)</f>
        <v>0</v>
      </c>
      <c r="L150" s="72"/>
      <c r="M150" s="69"/>
    </row>
    <row r="151" spans="1:13">
      <c r="A151" s="78" t="s">
        <v>286</v>
      </c>
      <c r="B151" s="73">
        <v>-7734911.0099999998</v>
      </c>
      <c r="C151" s="73">
        <v>859311.73</v>
      </c>
      <c r="D151" s="73">
        <v>330.61</v>
      </c>
      <c r="E151" s="73">
        <v>330.61</v>
      </c>
      <c r="F151" s="73">
        <v>330.61</v>
      </c>
      <c r="G151" s="73">
        <v>2334852.67</v>
      </c>
      <c r="H151" s="73">
        <v>3674249.68</v>
      </c>
      <c r="I151" s="73">
        <v>865505.1</v>
      </c>
      <c r="J151" s="73">
        <f>+IFERROR(VLOOKUP(A151,[1]BalanceSheet!A$8:B$154,2,0),0)</f>
        <v>0</v>
      </c>
      <c r="K151" s="20">
        <v>17</v>
      </c>
      <c r="L151" s="73"/>
      <c r="M151" s="69"/>
    </row>
    <row r="152" spans="1:13">
      <c r="A152" s="5" t="s">
        <v>285</v>
      </c>
      <c r="B152" s="72">
        <v>0</v>
      </c>
      <c r="C152" s="72">
        <v>6714.04</v>
      </c>
      <c r="D152" s="72">
        <v>0</v>
      </c>
      <c r="E152" s="72">
        <v>0</v>
      </c>
      <c r="F152" s="72">
        <v>0</v>
      </c>
      <c r="G152" s="72">
        <v>59353.41</v>
      </c>
      <c r="H152" s="72">
        <v>0</v>
      </c>
      <c r="I152" s="72">
        <v>-379.19</v>
      </c>
      <c r="J152" s="72">
        <f>+IFERROR(VLOOKUP(A152,[1]BalanceSheet!A$8:B$154,2,0),0)</f>
        <v>31638.13</v>
      </c>
      <c r="K152" s="20">
        <v>17</v>
      </c>
      <c r="L152" s="72"/>
      <c r="M152" s="69"/>
    </row>
    <row r="153" spans="1:13">
      <c r="A153" s="77" t="s">
        <v>284</v>
      </c>
      <c r="B153" s="71"/>
      <c r="C153" s="71"/>
      <c r="D153" s="71"/>
      <c r="E153" s="71"/>
      <c r="F153" s="71"/>
      <c r="G153" s="71"/>
      <c r="H153" s="71"/>
      <c r="I153" s="71"/>
      <c r="J153" s="71">
        <f>+IFERROR(VLOOKUP(A153,[1]BalanceSheet!A$8:B$154,2,0),0)</f>
        <v>0</v>
      </c>
      <c r="L153" s="71"/>
      <c r="M153" s="69"/>
    </row>
    <row r="154" spans="1:13">
      <c r="A154" s="7" t="s">
        <v>283</v>
      </c>
      <c r="B154" s="72">
        <v>0</v>
      </c>
      <c r="C154" s="72">
        <v>-232.5</v>
      </c>
      <c r="D154" s="72">
        <v>0</v>
      </c>
      <c r="E154" s="72">
        <v>0</v>
      </c>
      <c r="F154" s="72">
        <v>0</v>
      </c>
      <c r="G154" s="72">
        <v>0</v>
      </c>
      <c r="H154" s="72">
        <v>147136.60999999999</v>
      </c>
      <c r="I154" s="72">
        <v>-5300.06</v>
      </c>
      <c r="J154" s="72">
        <f>+IFERROR(VLOOKUP(A154,[1]BalanceSheet!A$8:B$154,2,0),0)</f>
        <v>178386.02</v>
      </c>
      <c r="K154" s="20">
        <v>17.100000000000001</v>
      </c>
      <c r="L154" s="72"/>
      <c r="M154" s="69"/>
    </row>
    <row r="155" spans="1:13">
      <c r="A155" s="7" t="s">
        <v>282</v>
      </c>
      <c r="B155" s="72">
        <v>0</v>
      </c>
      <c r="C155" s="72">
        <v>0</v>
      </c>
      <c r="D155" s="72">
        <v>0</v>
      </c>
      <c r="E155" s="72">
        <v>0</v>
      </c>
      <c r="F155" s="72">
        <v>0</v>
      </c>
      <c r="G155" s="72">
        <v>0</v>
      </c>
      <c r="H155" s="72">
        <v>146671.97</v>
      </c>
      <c r="I155" s="72">
        <v>18189.68</v>
      </c>
      <c r="J155" s="72">
        <f>+IFERROR(VLOOKUP(A155,[1]BalanceSheet!A$8:B$154,2,0),0)</f>
        <v>135418.63</v>
      </c>
      <c r="K155" s="20">
        <v>17.100000000000001</v>
      </c>
      <c r="L155" s="72"/>
      <c r="M155" s="69"/>
    </row>
    <row r="156" spans="1:13">
      <c r="A156" s="7" t="s">
        <v>281</v>
      </c>
      <c r="B156" s="72">
        <v>0</v>
      </c>
      <c r="C156" s="72">
        <v>0</v>
      </c>
      <c r="D156" s="72">
        <v>0</v>
      </c>
      <c r="E156" s="72">
        <v>0</v>
      </c>
      <c r="F156" s="72">
        <v>0</v>
      </c>
      <c r="G156" s="72">
        <v>0</v>
      </c>
      <c r="H156" s="72">
        <v>0</v>
      </c>
      <c r="I156" s="72">
        <v>7491.19</v>
      </c>
      <c r="J156" s="72">
        <f>+IFERROR(VLOOKUP(A156,[1]BalanceSheet!A$8:B$154,2,0),0)</f>
        <v>7942.68</v>
      </c>
      <c r="K156" s="20">
        <v>17.100000000000001</v>
      </c>
      <c r="L156" s="72"/>
      <c r="M156" s="69"/>
    </row>
    <row r="157" spans="1:13">
      <c r="A157" s="7" t="s">
        <v>280</v>
      </c>
      <c r="B157" s="72">
        <v>0</v>
      </c>
      <c r="C157" s="72">
        <v>0</v>
      </c>
      <c r="D157" s="72">
        <v>0</v>
      </c>
      <c r="E157" s="72">
        <v>0</v>
      </c>
      <c r="F157" s="72">
        <v>0</v>
      </c>
      <c r="G157" s="72">
        <v>416.1</v>
      </c>
      <c r="H157" s="72">
        <v>0</v>
      </c>
      <c r="I157" s="72">
        <v>0</v>
      </c>
      <c r="J157" s="72">
        <f>+IFERROR(VLOOKUP(A157,[1]BalanceSheet!A$8:B$154,2,0),0)</f>
        <v>0</v>
      </c>
      <c r="K157" s="20">
        <v>17.100000000000001</v>
      </c>
      <c r="L157" s="72"/>
      <c r="M157" s="69"/>
    </row>
    <row r="158" spans="1:13">
      <c r="A158" s="78" t="s">
        <v>279</v>
      </c>
      <c r="B158" s="73">
        <v>0</v>
      </c>
      <c r="C158" s="73">
        <v>-232.5</v>
      </c>
      <c r="D158" s="73">
        <v>0</v>
      </c>
      <c r="E158" s="73">
        <v>0</v>
      </c>
      <c r="F158" s="73">
        <v>0</v>
      </c>
      <c r="G158" s="73">
        <v>416.1</v>
      </c>
      <c r="H158" s="73">
        <v>293808.57999999996</v>
      </c>
      <c r="I158" s="73">
        <v>20380.809999999998</v>
      </c>
      <c r="J158" s="73">
        <f>+IFERROR(VLOOKUP(A158,[1]BalanceSheet!A$8:B$154,2,0),0)</f>
        <v>321747.33</v>
      </c>
      <c r="K158" s="20">
        <v>17</v>
      </c>
      <c r="L158" s="73"/>
      <c r="M158" s="69"/>
    </row>
    <row r="159" spans="1:13">
      <c r="A159" s="77" t="s">
        <v>278</v>
      </c>
      <c r="B159" s="71"/>
      <c r="C159" s="71"/>
      <c r="D159" s="71"/>
      <c r="E159" s="71"/>
      <c r="F159" s="71"/>
      <c r="G159" s="71"/>
      <c r="H159" s="71"/>
      <c r="I159" s="71"/>
      <c r="J159" s="71">
        <f>+IFERROR(VLOOKUP(A159,[1]BalanceSheet!A$8:B$154,2,0),0)</f>
        <v>0</v>
      </c>
      <c r="L159" s="71"/>
      <c r="M159" s="69"/>
    </row>
    <row r="160" spans="1:13">
      <c r="A160" s="7" t="s">
        <v>277</v>
      </c>
      <c r="B160" s="72">
        <v>0</v>
      </c>
      <c r="C160" s="72">
        <v>2896.24</v>
      </c>
      <c r="D160" s="72">
        <v>0</v>
      </c>
      <c r="E160" s="72">
        <v>0</v>
      </c>
      <c r="F160" s="72">
        <v>0</v>
      </c>
      <c r="G160" s="72">
        <v>1957.23</v>
      </c>
      <c r="H160" s="72">
        <v>53865.05</v>
      </c>
      <c r="I160" s="72">
        <v>21354.28</v>
      </c>
      <c r="J160" s="72">
        <f>+IFERROR(VLOOKUP(A160,[1]BalanceSheet!A$8:B$154,2,0),0)</f>
        <v>37479.919999999998</v>
      </c>
      <c r="K160" s="20">
        <v>17.100000000000001</v>
      </c>
      <c r="L160" s="72"/>
      <c r="M160" s="69"/>
    </row>
    <row r="161" spans="1:13">
      <c r="A161" s="7" t="s">
        <v>276</v>
      </c>
      <c r="B161" s="72">
        <v>0</v>
      </c>
      <c r="C161" s="72">
        <v>0</v>
      </c>
      <c r="D161" s="72">
        <v>0</v>
      </c>
      <c r="E161" s="72">
        <v>0</v>
      </c>
      <c r="F161" s="72">
        <v>0</v>
      </c>
      <c r="G161" s="72">
        <v>0</v>
      </c>
      <c r="H161" s="72">
        <v>8474.9</v>
      </c>
      <c r="I161" s="72">
        <v>3476.27</v>
      </c>
      <c r="J161" s="72">
        <f>+IFERROR(VLOOKUP(A161,[1]BalanceSheet!A$8:B$154,2,0),0)</f>
        <v>15776.9</v>
      </c>
      <c r="K161" s="20">
        <v>17.100000000000001</v>
      </c>
      <c r="L161" s="72"/>
      <c r="M161" s="69"/>
    </row>
    <row r="162" spans="1:13">
      <c r="A162" s="7" t="s">
        <v>275</v>
      </c>
      <c r="B162" s="72">
        <v>0</v>
      </c>
      <c r="C162" s="72">
        <v>0</v>
      </c>
      <c r="D162" s="72">
        <v>0</v>
      </c>
      <c r="E162" s="72">
        <v>0</v>
      </c>
      <c r="F162" s="72">
        <v>0</v>
      </c>
      <c r="G162" s="72">
        <v>0</v>
      </c>
      <c r="H162" s="72">
        <v>0</v>
      </c>
      <c r="I162" s="72">
        <v>1446.85</v>
      </c>
      <c r="J162" s="72">
        <f>+IFERROR(VLOOKUP(A162,[1]BalanceSheet!A$8:B$154,2,0),0)</f>
        <v>472.02</v>
      </c>
      <c r="K162" s="20">
        <v>17.100000000000001</v>
      </c>
      <c r="L162" s="72"/>
      <c r="M162" s="69"/>
    </row>
    <row r="163" spans="1:13">
      <c r="A163" s="78" t="s">
        <v>274</v>
      </c>
      <c r="B163" s="73">
        <v>0</v>
      </c>
      <c r="C163" s="73">
        <v>2896.24</v>
      </c>
      <c r="D163" s="73">
        <v>0</v>
      </c>
      <c r="E163" s="73">
        <v>0</v>
      </c>
      <c r="F163" s="73">
        <v>0</v>
      </c>
      <c r="G163" s="73">
        <v>1957.23</v>
      </c>
      <c r="H163" s="73">
        <v>62339.950000000004</v>
      </c>
      <c r="I163" s="73">
        <v>26277.399999999998</v>
      </c>
      <c r="J163" s="73">
        <f>+IFERROR(VLOOKUP(A163,[1]BalanceSheet!A$8:B$154,2,0),0)</f>
        <v>69116.08</v>
      </c>
      <c r="K163" s="20">
        <v>17</v>
      </c>
      <c r="L163" s="73"/>
      <c r="M163" s="69"/>
    </row>
    <row r="164" spans="1:13">
      <c r="A164" s="77" t="s">
        <v>273</v>
      </c>
      <c r="B164" s="71"/>
      <c r="C164" s="71"/>
      <c r="D164" s="71"/>
      <c r="E164" s="71"/>
      <c r="F164" s="71"/>
      <c r="G164" s="71"/>
      <c r="H164" s="71"/>
      <c r="I164" s="71"/>
      <c r="J164" s="71">
        <f>+IFERROR(VLOOKUP(A164,[1]BalanceSheet!A$8:B$154,2,0),0)</f>
        <v>0</v>
      </c>
      <c r="L164" s="71"/>
      <c r="M164" s="69"/>
    </row>
    <row r="165" spans="1:13">
      <c r="A165" s="7" t="s">
        <v>272</v>
      </c>
      <c r="B165" s="72">
        <v>0</v>
      </c>
      <c r="C165" s="72">
        <v>32.29</v>
      </c>
      <c r="D165" s="72">
        <v>0</v>
      </c>
      <c r="E165" s="72">
        <v>0</v>
      </c>
      <c r="F165" s="72">
        <v>0</v>
      </c>
      <c r="G165" s="72">
        <v>1.1499999999999999</v>
      </c>
      <c r="H165" s="72">
        <v>36075.94</v>
      </c>
      <c r="I165" s="72">
        <v>25202.63</v>
      </c>
      <c r="J165" s="72">
        <f>+IFERROR(VLOOKUP(A165,[1]BalanceSheet!A$8:B$154,2,0),0)</f>
        <v>41269.86</v>
      </c>
      <c r="K165" s="20">
        <v>17.100000000000001</v>
      </c>
      <c r="L165" s="72"/>
      <c r="M165" s="69"/>
    </row>
    <row r="166" spans="1:13">
      <c r="A166" s="7" t="s">
        <v>271</v>
      </c>
      <c r="B166" s="72">
        <v>0</v>
      </c>
      <c r="C166" s="72">
        <v>868.67</v>
      </c>
      <c r="D166" s="72">
        <v>0</v>
      </c>
      <c r="E166" s="72">
        <v>0</v>
      </c>
      <c r="F166" s="72">
        <v>0</v>
      </c>
      <c r="G166" s="72">
        <v>-6811.51</v>
      </c>
      <c r="H166" s="72">
        <v>79193.850000000006</v>
      </c>
      <c r="I166" s="72">
        <v>368.36</v>
      </c>
      <c r="J166" s="72">
        <f>+IFERROR(VLOOKUP(A166,[1]BalanceSheet!A$8:B$154,2,0),0)</f>
        <v>63526.66</v>
      </c>
      <c r="K166" s="20">
        <v>17.100000000000001</v>
      </c>
      <c r="L166" s="72"/>
      <c r="M166" s="69"/>
    </row>
    <row r="167" spans="1:13">
      <c r="A167" s="78" t="s">
        <v>270</v>
      </c>
      <c r="B167" s="73">
        <v>0</v>
      </c>
      <c r="C167" s="73">
        <v>900.95999999999992</v>
      </c>
      <c r="D167" s="73">
        <v>0</v>
      </c>
      <c r="E167" s="73">
        <v>0</v>
      </c>
      <c r="F167" s="73">
        <v>0</v>
      </c>
      <c r="G167" s="73">
        <v>-6810.3600000000006</v>
      </c>
      <c r="H167" s="73">
        <v>115269.79000000001</v>
      </c>
      <c r="I167" s="73">
        <v>25570.99</v>
      </c>
      <c r="J167" s="73">
        <f>+IFERROR(VLOOKUP(A167,[1]BalanceSheet!A$8:B$154,2,0),0)</f>
        <v>104796.52</v>
      </c>
      <c r="K167" s="20">
        <v>17</v>
      </c>
      <c r="L167" s="73"/>
      <c r="M167" s="69"/>
    </row>
    <row r="168" spans="1:13">
      <c r="A168" s="77" t="s">
        <v>269</v>
      </c>
      <c r="B168" s="71"/>
      <c r="C168" s="71"/>
      <c r="D168" s="71"/>
      <c r="E168" s="71"/>
      <c r="F168" s="71"/>
      <c r="G168" s="71"/>
      <c r="H168" s="71"/>
      <c r="I168" s="71"/>
      <c r="J168" s="71">
        <f>+IFERROR(VLOOKUP(A168,[1]BalanceSheet!A$8:B$154,2,0),0)</f>
        <v>0</v>
      </c>
      <c r="L168" s="71"/>
      <c r="M168" s="69"/>
    </row>
    <row r="169" spans="1:13">
      <c r="A169" s="7" t="s">
        <v>268</v>
      </c>
      <c r="B169" s="72">
        <v>0</v>
      </c>
      <c r="C169" s="72">
        <v>0</v>
      </c>
      <c r="D169" s="72">
        <v>0</v>
      </c>
      <c r="E169" s="72">
        <v>0</v>
      </c>
      <c r="F169" s="72">
        <v>0</v>
      </c>
      <c r="G169" s="72">
        <v>8037.19</v>
      </c>
      <c r="H169" s="72">
        <v>72000.679999999993</v>
      </c>
      <c r="I169" s="72">
        <v>56382.29</v>
      </c>
      <c r="J169" s="72">
        <f>+IFERROR(VLOOKUP(A169,[1]BalanceSheet!A$8:B$154,2,0),0)</f>
        <v>171665.04</v>
      </c>
      <c r="K169" s="20">
        <v>17.2</v>
      </c>
      <c r="L169" s="72"/>
      <c r="M169" s="69"/>
    </row>
    <row r="170" spans="1:13">
      <c r="A170" s="78" t="s">
        <v>267</v>
      </c>
      <c r="B170" s="73">
        <v>0</v>
      </c>
      <c r="C170" s="73">
        <v>0</v>
      </c>
      <c r="D170" s="73">
        <v>0</v>
      </c>
      <c r="E170" s="73">
        <v>0</v>
      </c>
      <c r="F170" s="73">
        <v>0</v>
      </c>
      <c r="G170" s="73">
        <v>8037.19</v>
      </c>
      <c r="H170" s="73">
        <v>72000.679999999993</v>
      </c>
      <c r="I170" s="73">
        <v>56382.29</v>
      </c>
      <c r="J170" s="73">
        <f>+IFERROR(VLOOKUP(A170,[1]BalanceSheet!A$8:B$154,2,0),0)</f>
        <v>171665.04</v>
      </c>
      <c r="K170" s="20">
        <v>17</v>
      </c>
      <c r="L170" s="73"/>
      <c r="M170" s="69"/>
    </row>
    <row r="171" spans="1:13">
      <c r="A171" s="5" t="s">
        <v>266</v>
      </c>
      <c r="B171" s="72">
        <v>0</v>
      </c>
      <c r="C171" s="72">
        <v>0</v>
      </c>
      <c r="D171" s="72">
        <v>0</v>
      </c>
      <c r="E171" s="72">
        <v>0</v>
      </c>
      <c r="F171" s="72">
        <v>8276.7199999999993</v>
      </c>
      <c r="G171" s="72">
        <v>2783.76</v>
      </c>
      <c r="H171" s="72">
        <v>-3638.94</v>
      </c>
      <c r="I171" s="72">
        <v>0</v>
      </c>
      <c r="J171" s="72">
        <f>+IFERROR(VLOOKUP(A171,[1]BalanceSheet!A$8:B$154,2,0),0)</f>
        <v>65419.27</v>
      </c>
      <c r="K171" s="20">
        <v>17</v>
      </c>
      <c r="L171" s="72"/>
      <c r="M171" s="69"/>
    </row>
    <row r="172" spans="1:13">
      <c r="A172" s="77" t="s">
        <v>265</v>
      </c>
      <c r="B172" s="71"/>
      <c r="C172" s="71"/>
      <c r="D172" s="71"/>
      <c r="E172" s="71"/>
      <c r="F172" s="71"/>
      <c r="G172" s="71"/>
      <c r="H172" s="71"/>
      <c r="I172" s="71"/>
      <c r="J172" s="71">
        <f>+IFERROR(VLOOKUP(A172,[1]BalanceSheet!A$8:B$154,2,0),0)</f>
        <v>0</v>
      </c>
      <c r="L172" s="71"/>
      <c r="M172" s="69"/>
    </row>
    <row r="173" spans="1:13">
      <c r="A173" s="7" t="s">
        <v>264</v>
      </c>
      <c r="B173" s="72">
        <v>0</v>
      </c>
      <c r="C173" s="72">
        <v>0</v>
      </c>
      <c r="D173" s="72">
        <v>0</v>
      </c>
      <c r="E173" s="72">
        <v>0</v>
      </c>
      <c r="F173" s="72">
        <v>0</v>
      </c>
      <c r="G173" s="72">
        <v>0</v>
      </c>
      <c r="H173" s="72">
        <v>73404.259999999995</v>
      </c>
      <c r="I173" s="72">
        <v>0</v>
      </c>
      <c r="J173" s="72">
        <f>+IFERROR(VLOOKUP(A173,[1]BalanceSheet!A$8:B$154,2,0),0)</f>
        <v>43970</v>
      </c>
      <c r="K173" s="20">
        <v>17.399999999999999</v>
      </c>
      <c r="L173" s="72"/>
      <c r="M173" s="69"/>
    </row>
    <row r="174" spans="1:13">
      <c r="A174" s="7" t="s">
        <v>263</v>
      </c>
      <c r="B174" s="72">
        <v>0</v>
      </c>
      <c r="C174" s="72">
        <v>0</v>
      </c>
      <c r="D174" s="72">
        <v>0</v>
      </c>
      <c r="E174" s="72">
        <v>0</v>
      </c>
      <c r="F174" s="72">
        <v>0</v>
      </c>
      <c r="G174" s="72">
        <v>0</v>
      </c>
      <c r="H174" s="72">
        <v>-20670</v>
      </c>
      <c r="I174" s="72">
        <v>0</v>
      </c>
      <c r="J174" s="72">
        <f>+IFERROR(VLOOKUP(A174,[1]BalanceSheet!A$8:B$154,2,0),0)</f>
        <v>-43969.38</v>
      </c>
      <c r="K174" s="20">
        <v>17.399999999999999</v>
      </c>
      <c r="L174" s="46" t="s">
        <v>533</v>
      </c>
      <c r="M174" s="69"/>
    </row>
    <row r="175" spans="1:13">
      <c r="A175" s="78" t="s">
        <v>262</v>
      </c>
      <c r="B175" s="73">
        <v>0</v>
      </c>
      <c r="C175" s="73">
        <v>0</v>
      </c>
      <c r="D175" s="73">
        <v>0</v>
      </c>
      <c r="E175" s="73">
        <v>0</v>
      </c>
      <c r="F175" s="73">
        <v>0</v>
      </c>
      <c r="G175" s="73">
        <v>0</v>
      </c>
      <c r="H175" s="73">
        <v>52734.259999999995</v>
      </c>
      <c r="I175" s="73">
        <v>0</v>
      </c>
      <c r="J175" s="73">
        <f>+IFERROR(VLOOKUP(A175,[1]BalanceSheet!A$8:B$154,2,0),0)</f>
        <v>0.62000000000261934</v>
      </c>
      <c r="K175" s="20">
        <v>17</v>
      </c>
      <c r="L175" s="73"/>
      <c r="M175" s="69"/>
    </row>
    <row r="176" spans="1:13">
      <c r="A176" s="5" t="s">
        <v>261</v>
      </c>
      <c r="B176" s="72">
        <v>0</v>
      </c>
      <c r="C176" s="72">
        <v>0</v>
      </c>
      <c r="D176" s="72">
        <v>0</v>
      </c>
      <c r="E176" s="72">
        <v>0</v>
      </c>
      <c r="F176" s="72">
        <v>0</v>
      </c>
      <c r="G176" s="72">
        <v>0</v>
      </c>
      <c r="H176" s="72">
        <v>414497.66</v>
      </c>
      <c r="I176" s="72">
        <v>49.23</v>
      </c>
      <c r="J176" s="72">
        <f>+IFERROR(VLOOKUP(A176,[1]BalanceSheet!A$8:B$154,2,0),0)</f>
        <v>393230.19</v>
      </c>
      <c r="K176" s="20">
        <v>18</v>
      </c>
      <c r="L176" s="72" t="s">
        <v>572</v>
      </c>
      <c r="M176" s="69"/>
    </row>
    <row r="177" spans="1:13">
      <c r="A177" s="5" t="s">
        <v>260</v>
      </c>
      <c r="B177" s="72">
        <v>-261263.83</v>
      </c>
      <c r="C177" s="72">
        <v>0</v>
      </c>
      <c r="D177" s="72">
        <v>0</v>
      </c>
      <c r="E177" s="72">
        <v>261263.83</v>
      </c>
      <c r="F177" s="72">
        <v>0</v>
      </c>
      <c r="G177" s="72">
        <v>0</v>
      </c>
      <c r="H177" s="72">
        <v>0</v>
      </c>
      <c r="I177" s="72">
        <v>0</v>
      </c>
      <c r="J177" s="72">
        <f>+IFERROR(VLOOKUP(A177,[1]BalanceSheet!A$8:B$154,2,0),0)</f>
        <v>0</v>
      </c>
      <c r="K177" s="20">
        <v>18</v>
      </c>
      <c r="L177" s="72"/>
      <c r="M177" s="69"/>
    </row>
    <row r="178" spans="1:13">
      <c r="A178" s="79" t="s">
        <v>259</v>
      </c>
      <c r="B178" s="73">
        <v>-7996174.8399999999</v>
      </c>
      <c r="C178" s="73">
        <v>869590.47</v>
      </c>
      <c r="D178" s="73">
        <v>330.61</v>
      </c>
      <c r="E178" s="73">
        <v>261594.43999999997</v>
      </c>
      <c r="F178" s="73">
        <v>8607.33</v>
      </c>
      <c r="G178" s="73">
        <v>2400590</v>
      </c>
      <c r="H178" s="73">
        <v>4681261.66</v>
      </c>
      <c r="I178" s="73">
        <v>993786.63</v>
      </c>
      <c r="J178" s="73">
        <f>+IFERROR(VLOOKUP(A178,[1]BalanceSheet!A$8:B$154,2,0),0)</f>
        <v>1157613.1800000002</v>
      </c>
      <c r="K178"/>
      <c r="L178" s="73"/>
      <c r="M178" s="69"/>
    </row>
    <row r="179" spans="1:13">
      <c r="A179" s="2" t="s">
        <v>258</v>
      </c>
      <c r="B179" s="71">
        <v>-8024550.3999999994</v>
      </c>
      <c r="C179" s="71">
        <v>907500.15</v>
      </c>
      <c r="D179" s="71">
        <v>330.61</v>
      </c>
      <c r="E179" s="71">
        <v>261594.43999999997</v>
      </c>
      <c r="F179" s="71">
        <v>8607.33</v>
      </c>
      <c r="G179" s="71">
        <v>2433600.52</v>
      </c>
      <c r="H179" s="71">
        <v>4814319.92</v>
      </c>
      <c r="I179" s="71">
        <v>1005043.54</v>
      </c>
      <c r="J179" s="71">
        <f>+IFERROR(VLOOKUP(A179,[1]BalanceSheet!A$8:B$154,2,0),0)</f>
        <v>1286517.6200000001</v>
      </c>
      <c r="L179" s="71"/>
      <c r="M179" s="69"/>
    </row>
    <row r="180" spans="1:13">
      <c r="A180" s="2" t="s">
        <v>257</v>
      </c>
      <c r="B180" s="71">
        <v>0</v>
      </c>
      <c r="C180" s="71">
        <v>30296.869999999995</v>
      </c>
      <c r="D180" s="71">
        <v>47660.69</v>
      </c>
      <c r="E180" s="71">
        <v>-261080.68999999997</v>
      </c>
      <c r="F180" s="71">
        <v>40131.040000000001</v>
      </c>
      <c r="G180" s="71">
        <v>674153.06</v>
      </c>
      <c r="H180" s="71">
        <v>19482468.709999993</v>
      </c>
      <c r="I180" s="71">
        <v>257261.02000000002</v>
      </c>
      <c r="J180" s="71">
        <f>+IFERROR(VLOOKUP(A180,[1]BalanceSheet!A$8:B$154,2,0),0)</f>
        <v>27439635.840000004</v>
      </c>
      <c r="L180" s="71"/>
      <c r="M180" s="69"/>
    </row>
    <row r="181" spans="1:13">
      <c r="A181" s="2" t="s">
        <v>256</v>
      </c>
      <c r="B181" s="71">
        <v>0</v>
      </c>
      <c r="C181" s="71">
        <v>31333.379999999997</v>
      </c>
      <c r="D181" s="71">
        <v>47660.69</v>
      </c>
      <c r="E181" s="71">
        <v>-261080.68999999997</v>
      </c>
      <c r="F181" s="71">
        <v>40131.040000000001</v>
      </c>
      <c r="G181" s="71">
        <v>731484</v>
      </c>
      <c r="H181" s="71">
        <v>19537787.249999993</v>
      </c>
      <c r="I181" s="71">
        <v>265869.33</v>
      </c>
      <c r="J181" s="71">
        <f>+IFERROR(VLOOKUP(A181,[1]BalanceSheet!A$8:B$154,2,0),0)</f>
        <v>27499852.050000004</v>
      </c>
      <c r="L181" s="71"/>
      <c r="M181" s="69"/>
    </row>
    <row r="182" spans="1:13">
      <c r="A182" s="2" t="s">
        <v>255</v>
      </c>
      <c r="B182" s="71">
        <v>0</v>
      </c>
      <c r="C182" s="71">
        <v>31333.379999999997</v>
      </c>
      <c r="D182" s="71">
        <v>47660.69</v>
      </c>
      <c r="E182" s="71">
        <v>-261080.68999999997</v>
      </c>
      <c r="F182" s="71">
        <v>40131.040000000001</v>
      </c>
      <c r="G182" s="71">
        <v>731484</v>
      </c>
      <c r="H182" s="71">
        <v>19537787.249999993</v>
      </c>
      <c r="I182" s="71">
        <v>265869.33</v>
      </c>
      <c r="J182" s="71">
        <f>+IFERROR(VLOOKUP(A182,[1]BalanceSheet!A$8:B$154,2,0),0)</f>
        <v>27499852.050000004</v>
      </c>
      <c r="L182" s="71"/>
      <c r="M182" s="69"/>
    </row>
    <row r="183" spans="1:13">
      <c r="A183" s="2" t="s">
        <v>254</v>
      </c>
      <c r="B183" s="71"/>
      <c r="C183" s="71"/>
      <c r="D183" s="71"/>
      <c r="E183" s="71"/>
      <c r="F183" s="71"/>
      <c r="G183" s="71"/>
      <c r="H183" s="71"/>
      <c r="I183" s="71"/>
      <c r="J183" s="71">
        <f>+IFERROR(VLOOKUP(A183,[1]BalanceSheet!A$8:B$154,2,0),0)</f>
        <v>0</v>
      </c>
      <c r="L183" s="71"/>
      <c r="M183" s="69"/>
    </row>
    <row r="184" spans="1:13" hidden="1">
      <c r="A184" s="2" t="s">
        <v>254</v>
      </c>
      <c r="B184" s="71"/>
      <c r="C184" s="71"/>
      <c r="D184" s="71"/>
      <c r="E184" s="71"/>
      <c r="F184" s="71"/>
      <c r="G184" s="71"/>
      <c r="H184" s="71"/>
      <c r="I184" s="71"/>
      <c r="J184" s="71">
        <f>+IFERROR(VLOOKUP(A184,[1]BalanceSheet!A$8:B$154,2,0),0)</f>
        <v>0</v>
      </c>
      <c r="L184" s="71"/>
      <c r="M184" s="69"/>
    </row>
    <row r="185" spans="1:13">
      <c r="A185" s="4" t="s">
        <v>253</v>
      </c>
      <c r="B185" s="71"/>
      <c r="C185" s="71"/>
      <c r="D185" s="71"/>
      <c r="E185" s="71"/>
      <c r="F185" s="71"/>
      <c r="G185" s="71"/>
      <c r="H185" s="71"/>
      <c r="I185" s="71"/>
      <c r="J185" s="71">
        <f>+IFERROR(VLOOKUP(A185,[1]BalanceSheet!A$8:B$154,2,0),0)</f>
        <v>0</v>
      </c>
      <c r="L185" s="71"/>
      <c r="M185" s="69"/>
    </row>
    <row r="186" spans="1:13">
      <c r="A186" s="5" t="s">
        <v>252</v>
      </c>
      <c r="B186" s="72">
        <v>0</v>
      </c>
      <c r="C186" s="72">
        <v>0</v>
      </c>
      <c r="D186" s="72">
        <v>600244.31000000006</v>
      </c>
      <c r="E186" s="72">
        <v>27.32</v>
      </c>
      <c r="F186" s="72">
        <v>1000280.62</v>
      </c>
      <c r="G186" s="72">
        <v>0</v>
      </c>
      <c r="H186" s="72">
        <v>59818.91</v>
      </c>
      <c r="I186" s="72">
        <v>1227</v>
      </c>
      <c r="J186" s="72">
        <f>+IFERROR(VLOOKUP(A186,[1]BalanceSheet!A$8:B$154,2,0),0)</f>
        <v>1661592.22</v>
      </c>
      <c r="K186" s="20">
        <v>19.100000000000001</v>
      </c>
      <c r="L186" s="72"/>
      <c r="M186" s="69"/>
    </row>
    <row r="187" spans="1:13">
      <c r="A187" s="79" t="s">
        <v>251</v>
      </c>
      <c r="B187" s="73">
        <v>0</v>
      </c>
      <c r="C187" s="73">
        <v>0</v>
      </c>
      <c r="D187" s="73">
        <v>600244.31000000006</v>
      </c>
      <c r="E187" s="73">
        <v>27.32</v>
      </c>
      <c r="F187" s="73">
        <v>1000280.62</v>
      </c>
      <c r="G187" s="73">
        <v>0</v>
      </c>
      <c r="H187" s="73">
        <v>59818.91</v>
      </c>
      <c r="I187" s="73">
        <v>1227</v>
      </c>
      <c r="J187" s="73">
        <f>+IFERROR(VLOOKUP(A187,[1]BalanceSheet!A$8:B$154,2,0),0)</f>
        <v>0</v>
      </c>
      <c r="K187" s="46">
        <v>19</v>
      </c>
      <c r="L187" s="73"/>
      <c r="M187" s="69"/>
    </row>
    <row r="188" spans="1:13">
      <c r="A188" s="4" t="s">
        <v>250</v>
      </c>
      <c r="B188" s="71"/>
      <c r="C188" s="71"/>
      <c r="D188" s="71"/>
      <c r="E188" s="71"/>
      <c r="F188" s="71"/>
      <c r="G188" s="71"/>
      <c r="H188" s="71"/>
      <c r="I188" s="71"/>
      <c r="J188" s="71">
        <f>+IFERROR(VLOOKUP(A188,[1]BalanceSheet!A$8:B$154,2,0),0)</f>
        <v>0</v>
      </c>
      <c r="L188" s="71"/>
      <c r="M188" s="69"/>
    </row>
    <row r="189" spans="1:13">
      <c r="A189" s="5" t="s">
        <v>249</v>
      </c>
      <c r="B189" s="72">
        <v>0</v>
      </c>
      <c r="C189" s="72">
        <v>0</v>
      </c>
      <c r="D189" s="72">
        <v>0</v>
      </c>
      <c r="E189" s="72">
        <v>0</v>
      </c>
      <c r="F189" s="72">
        <v>0</v>
      </c>
      <c r="G189" s="72">
        <v>0</v>
      </c>
      <c r="H189" s="72">
        <v>1099977.5</v>
      </c>
      <c r="I189" s="72">
        <v>0</v>
      </c>
      <c r="J189" s="72">
        <f>+IFERROR(VLOOKUP(A189,[1]BalanceSheet!A$8:B$154,2,0),0)</f>
        <v>1099977.5</v>
      </c>
      <c r="K189" s="20">
        <v>19.3</v>
      </c>
      <c r="L189" s="72"/>
      <c r="M189" s="69"/>
    </row>
    <row r="190" spans="1:13">
      <c r="A190" s="5" t="s">
        <v>248</v>
      </c>
      <c r="B190" s="72">
        <v>0</v>
      </c>
      <c r="C190" s="72">
        <v>0</v>
      </c>
      <c r="D190" s="72">
        <v>0</v>
      </c>
      <c r="E190" s="72">
        <v>0</v>
      </c>
      <c r="F190" s="72">
        <v>0</v>
      </c>
      <c r="G190" s="72">
        <v>0</v>
      </c>
      <c r="H190" s="72">
        <v>6911859.6200000001</v>
      </c>
      <c r="I190" s="72">
        <v>0</v>
      </c>
      <c r="J190" s="72">
        <f>+IFERROR(VLOOKUP(A190,[1]BalanceSheet!A$8:B$154,2,0),0)</f>
        <v>6911859.6200000001</v>
      </c>
      <c r="K190" s="20">
        <v>19.3</v>
      </c>
      <c r="L190" s="72"/>
      <c r="M190" s="69"/>
    </row>
    <row r="191" spans="1:13">
      <c r="A191" s="5" t="s">
        <v>247</v>
      </c>
      <c r="B191" s="72">
        <v>0</v>
      </c>
      <c r="C191" s="72">
        <v>0</v>
      </c>
      <c r="D191" s="72">
        <v>0</v>
      </c>
      <c r="E191" s="72">
        <v>0</v>
      </c>
      <c r="F191" s="72">
        <v>0</v>
      </c>
      <c r="G191" s="72">
        <v>0</v>
      </c>
      <c r="H191" s="72">
        <v>29463107.91</v>
      </c>
      <c r="I191" s="72">
        <v>0</v>
      </c>
      <c r="J191" s="72">
        <f>+IFERROR(VLOOKUP(A191,[1]BalanceSheet!A$8:B$154,2,0),0)</f>
        <v>29463107.91</v>
      </c>
      <c r="K191" s="20">
        <v>19.100000000000001</v>
      </c>
      <c r="L191" s="72"/>
      <c r="M191" s="69"/>
    </row>
    <row r="192" spans="1:13">
      <c r="A192" s="5" t="s">
        <v>246</v>
      </c>
      <c r="B192" s="72">
        <v>0</v>
      </c>
      <c r="C192" s="72">
        <v>0</v>
      </c>
      <c r="D192" s="72">
        <v>0</v>
      </c>
      <c r="E192" s="72">
        <v>0</v>
      </c>
      <c r="F192" s="72">
        <v>0</v>
      </c>
      <c r="G192" s="72">
        <v>0</v>
      </c>
      <c r="H192" s="72">
        <v>7295.69</v>
      </c>
      <c r="I192" s="72">
        <v>0</v>
      </c>
      <c r="J192" s="72">
        <f>+IFERROR(VLOOKUP(A192,[1]BalanceSheet!A$8:B$154,2,0),0)</f>
        <v>0</v>
      </c>
      <c r="K192" s="20">
        <v>19.3</v>
      </c>
      <c r="L192" s="72"/>
      <c r="M192" s="69"/>
    </row>
    <row r="193" spans="1:13">
      <c r="A193" s="5" t="s">
        <v>245</v>
      </c>
      <c r="B193" s="72">
        <v>0</v>
      </c>
      <c r="C193" s="72">
        <v>0</v>
      </c>
      <c r="D193" s="72">
        <v>0</v>
      </c>
      <c r="E193" s="72">
        <v>0</v>
      </c>
      <c r="F193" s="72">
        <v>0</v>
      </c>
      <c r="G193" s="72">
        <v>0</v>
      </c>
      <c r="H193" s="72">
        <v>1654137.23</v>
      </c>
      <c r="I193" s="72">
        <v>0</v>
      </c>
      <c r="J193" s="72">
        <f>+IFERROR(VLOOKUP(A193,[1]BalanceSheet!A$8:B$154,2,0),0)</f>
        <v>1397190</v>
      </c>
      <c r="K193" s="20">
        <v>19.2</v>
      </c>
      <c r="L193" s="72"/>
      <c r="M193" s="69"/>
    </row>
    <row r="194" spans="1:13">
      <c r="A194" s="5" t="s">
        <v>244</v>
      </c>
      <c r="B194" s="72">
        <v>0</v>
      </c>
      <c r="C194" s="72">
        <v>0</v>
      </c>
      <c r="D194" s="72">
        <v>0</v>
      </c>
      <c r="E194" s="72">
        <v>0</v>
      </c>
      <c r="F194" s="72">
        <v>0</v>
      </c>
      <c r="G194" s="72">
        <v>0</v>
      </c>
      <c r="H194" s="72">
        <v>-595402</v>
      </c>
      <c r="I194" s="72">
        <v>0</v>
      </c>
      <c r="J194" s="72">
        <f>+IFERROR(VLOOKUP(A194,[1]BalanceSheet!A$8:B$154,2,0),0)</f>
        <v>-595402</v>
      </c>
      <c r="K194" s="20">
        <v>19.3</v>
      </c>
      <c r="L194" s="72"/>
      <c r="M194" s="69"/>
    </row>
    <row r="195" spans="1:13">
      <c r="A195" s="5" t="s">
        <v>243</v>
      </c>
      <c r="B195" s="72">
        <v>0</v>
      </c>
      <c r="C195" s="72">
        <v>0</v>
      </c>
      <c r="D195" s="72">
        <v>0</v>
      </c>
      <c r="E195" s="72">
        <v>0</v>
      </c>
      <c r="F195" s="72">
        <v>0</v>
      </c>
      <c r="G195" s="72">
        <v>0</v>
      </c>
      <c r="H195" s="72">
        <v>1922733.5</v>
      </c>
      <c r="I195" s="72">
        <v>0</v>
      </c>
      <c r="J195" s="72">
        <f>+IFERROR(VLOOKUP(A195,[1]BalanceSheet!A$8:B$154,2,0),0)</f>
        <v>1922733.5</v>
      </c>
      <c r="K195" s="20">
        <v>19.3</v>
      </c>
      <c r="L195" s="72"/>
      <c r="M195" s="69"/>
    </row>
    <row r="196" spans="1:13">
      <c r="A196" s="79" t="s">
        <v>242</v>
      </c>
      <c r="B196" s="73">
        <v>0</v>
      </c>
      <c r="C196" s="73">
        <v>0</v>
      </c>
      <c r="D196" s="73">
        <v>0</v>
      </c>
      <c r="E196" s="73">
        <v>0</v>
      </c>
      <c r="F196" s="73">
        <v>0</v>
      </c>
      <c r="G196" s="73">
        <v>0</v>
      </c>
      <c r="H196" s="73">
        <v>40463709.449999996</v>
      </c>
      <c r="I196" s="73">
        <v>0</v>
      </c>
      <c r="J196" s="73">
        <f>+IFERROR(VLOOKUP(A196,[1]BalanceSheet!A$8:B$154,2,0),0)</f>
        <v>0</v>
      </c>
      <c r="K196" s="20">
        <v>19</v>
      </c>
      <c r="L196" s="73"/>
      <c r="M196" s="69"/>
    </row>
    <row r="197" spans="1:13" hidden="1">
      <c r="A197" s="83" t="s">
        <v>241</v>
      </c>
      <c r="B197" s="73">
        <v>0</v>
      </c>
      <c r="C197" s="73">
        <v>0</v>
      </c>
      <c r="D197" s="73">
        <v>600244.31000000006</v>
      </c>
      <c r="E197" s="73">
        <v>27.32</v>
      </c>
      <c r="F197" s="73">
        <v>1000280.62</v>
      </c>
      <c r="G197" s="73">
        <v>0</v>
      </c>
      <c r="H197" s="73">
        <v>40523528.359999992</v>
      </c>
      <c r="I197" s="73">
        <v>1227</v>
      </c>
      <c r="J197" s="73">
        <f>+IFERROR(VLOOKUP(A197,[1]BalanceSheet!A$8:B$154,2,0),0)</f>
        <v>0</v>
      </c>
      <c r="L197" s="73"/>
      <c r="M197" s="69"/>
    </row>
    <row r="198" spans="1:13">
      <c r="A198" s="3" t="s">
        <v>240</v>
      </c>
      <c r="B198" s="72">
        <v>0</v>
      </c>
      <c r="C198" s="72">
        <v>0</v>
      </c>
      <c r="D198" s="72">
        <v>-552178.6</v>
      </c>
      <c r="E198" s="72">
        <v>-260642.84000000003</v>
      </c>
      <c r="F198" s="72">
        <v>-960017.55</v>
      </c>
      <c r="G198" s="72">
        <v>93807.959999999992</v>
      </c>
      <c r="H198" s="72">
        <v>-12805931.700000001</v>
      </c>
      <c r="I198" s="72">
        <v>123756.03000000003</v>
      </c>
      <c r="J198" s="72">
        <f>+IFERROR(VLOOKUP(A198,[1]BalanceSheet!A$8:B$154,2,0),0)</f>
        <v>-11090757.92</v>
      </c>
      <c r="K198" s="20">
        <v>21</v>
      </c>
      <c r="L198" s="72"/>
      <c r="M198" s="69"/>
    </row>
    <row r="199" spans="1:13">
      <c r="A199" s="3" t="s">
        <v>28</v>
      </c>
      <c r="B199" s="72">
        <v>0</v>
      </c>
      <c r="C199" s="72">
        <v>31333.380000000016</v>
      </c>
      <c r="D199" s="72">
        <v>-405.02</v>
      </c>
      <c r="E199" s="72">
        <v>-465.16999999999996</v>
      </c>
      <c r="F199" s="72">
        <v>-132.03000000000003</v>
      </c>
      <c r="G199" s="72">
        <v>637676.0400000005</v>
      </c>
      <c r="H199" s="72">
        <v>-8179809.4099999964</v>
      </c>
      <c r="I199" s="72">
        <v>140886.2999999999</v>
      </c>
      <c r="J199" s="72">
        <f>+IFERROR(VLOOKUP(A199,[1]BalanceSheet!A$8:B$154,2,0),0)</f>
        <v>-3270448.780000004</v>
      </c>
      <c r="K199" s="20">
        <v>21</v>
      </c>
      <c r="L199" s="72"/>
      <c r="M199" s="69"/>
    </row>
    <row r="200" spans="1:13">
      <c r="A200" s="6" t="s">
        <v>239</v>
      </c>
      <c r="B200" s="74">
        <v>0</v>
      </c>
      <c r="C200" s="74">
        <v>31333.380000000016</v>
      </c>
      <c r="D200" s="74">
        <v>47660.690000000082</v>
      </c>
      <c r="E200" s="74">
        <v>-261080.69000000003</v>
      </c>
      <c r="F200" s="74">
        <v>40131.03999999995</v>
      </c>
      <c r="G200" s="74">
        <v>731484.00000000047</v>
      </c>
      <c r="H200" s="74">
        <v>19537787.249999993</v>
      </c>
      <c r="I200" s="74">
        <v>265869.32999999996</v>
      </c>
      <c r="J200" s="74">
        <f>+IFERROR(VLOOKUP(A200,[1]BalanceSheet!A$8:B$154,2,0),0)</f>
        <v>-14361206.700000003</v>
      </c>
      <c r="L200" s="74"/>
      <c r="M200" s="69"/>
    </row>
    <row r="201" spans="1:13">
      <c r="L201" s="48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3D3EEFC98176C439B4D93FB31067809" ma:contentTypeVersion="17" ma:contentTypeDescription="Create a new document." ma:contentTypeScope="" ma:versionID="7d23a4a72fbca9773660d3ee4c267b99">
  <xsd:schema xmlns:xsd="http://www.w3.org/2001/XMLSchema" xmlns:xs="http://www.w3.org/2001/XMLSchema" xmlns:p="http://schemas.microsoft.com/office/2006/metadata/properties" xmlns:ns2="09a4bfd6-2025-4f7f-bea2-a66d41067acd" xmlns:ns3="a0311e08-2aa7-424d-ba8f-ddcdb582a5ed" targetNamespace="http://schemas.microsoft.com/office/2006/metadata/properties" ma:root="true" ma:fieldsID="109620c982b388a495c0055970d92042" ns2:_="" ns3:_="">
    <xsd:import namespace="09a4bfd6-2025-4f7f-bea2-a66d41067acd"/>
    <xsd:import namespace="a0311e08-2aa7-424d-ba8f-ddcdb582a5e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TaxCatchAll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a4bfd6-2025-4f7f-bea2-a66d41067a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311e08-2aa7-424d-ba8f-ddcdb582a5ed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c9354efd-0bd9-4e24-926e-4b743674c370}" ma:internalName="TaxCatchAll" ma:showField="CatchAllData" ma:web="a0311e08-2aa7-424d-ba8f-ddcdb582a5e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311e08-2aa7-424d-ba8f-ddcdb582a5e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E458A29-F5C5-411C-B2AD-E8DB2B41DA6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9a4bfd6-2025-4f7f-bea2-a66d41067acd"/>
    <ds:schemaRef ds:uri="a0311e08-2aa7-424d-ba8f-ddcdb582a5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582CA92-434B-4A72-B822-658D8BC6E07C}">
  <ds:schemaRefs>
    <ds:schemaRef ds:uri="http://schemas.microsoft.com/office/2006/documentManagement/types"/>
    <ds:schemaRef ds:uri="http://purl.org/dc/elements/1.1/"/>
    <ds:schemaRef ds:uri="a0311e08-2aa7-424d-ba8f-ddcdb582a5ed"/>
    <ds:schemaRef ds:uri="http://schemas.openxmlformats.org/package/2006/metadata/core-properties"/>
    <ds:schemaRef ds:uri="09a4bfd6-2025-4f7f-bea2-a66d41067acd"/>
    <ds:schemaRef ds:uri="http://schemas.microsoft.com/office/infopath/2007/PartnerControls"/>
    <ds:schemaRef ds:uri="http://purl.org/dc/terms/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4BE2F9AC-9EFE-4ACF-9AD8-F5350C02256B}">
  <ds:schemaRefs>
    <ds:schemaRef ds:uri="http://schemas.microsoft.com/sharepoint/v3/contenttype/forms"/>
  </ds:schemaRefs>
</ds:datastoreItem>
</file>

<file path=docProps/CustomMKOP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KProdID">
    <vt:lpwstr>ZMOutlook</vt:lpwstr>
  </property>
  <property fmtid="{D5CDD505-2E9C-101B-9397-08002B2CF9AE}" pid="3" name="SizeBefore">
    <vt:lpwstr>302873</vt:lpwstr>
  </property>
  <property fmtid="{D5CDD505-2E9C-101B-9397-08002B2CF9AE}" pid="4" name="OptimizationTime">
    <vt:lpwstr>20240520_1509</vt:lpwstr>
  </property>
</Propertie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BS USD</vt:lpstr>
      <vt:lpstr>P&amp;L</vt:lpstr>
      <vt:lpstr>CF</vt:lpstr>
      <vt:lpstr>Change in Equity</vt:lpstr>
      <vt:lpstr>JE'S</vt:lpstr>
      <vt:lpstr>NOTES-Conso</vt:lpstr>
      <vt:lpstr>Options -Outstanding Awards</vt:lpstr>
      <vt:lpstr>Full BS-USD</vt:lpstr>
      <vt:lpstr>Full P&amp;L-USD</vt:lpstr>
      <vt:lpstr>Solo---&gt;</vt:lpstr>
      <vt:lpstr>Change in Equity ILS</vt:lpstr>
      <vt:lpstr>P&amp;L ILS</vt:lpstr>
      <vt:lpstr>BS ILS</vt:lpstr>
      <vt:lpstr>WRD Solo P&amp;L</vt:lpstr>
      <vt:lpstr>WRD Solo BS</vt:lpstr>
      <vt:lpstr>NOTES-Solo</vt:lpstr>
      <vt:lpstr>Full BS-USD (2)</vt:lpstr>
    </vt:vector>
  </TitlesOfParts>
  <Company>NetSuite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NetSuite Reports</dc:creator>
  <cp:lastModifiedBy>Ohad Yoel</cp:lastModifiedBy>
  <dcterms:created xsi:type="dcterms:W3CDTF">2023-06-19T09:45:40Z</dcterms:created>
  <dcterms:modified xsi:type="dcterms:W3CDTF">2024-05-09T11:20:20Z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0x01010073D3EEFC98176C439B4D93FB31067809</vt:lpwstr>
  </property>
</Properties>
</file>