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tes.ey.com/sites/IL-DoronAvraham/Shared Documents/Doron_A/GETCTRL Ltd/2023/Audit/PBC/Cons/"/>
    </mc:Choice>
  </mc:AlternateContent>
  <xr:revisionPtr revIDLastSave="14" documentId="8_{6483D67B-23E9-4A4B-A231-BBB9A4FB4164}" xr6:coauthVersionLast="47" xr6:coauthVersionMax="47" xr10:uidLastSave="{EFB57E16-70BE-4E89-9716-5813EFD9B8A7}"/>
  <bookViews>
    <workbookView minimized="1" xWindow="7930" yWindow="400" windowWidth="11610" windowHeight="10390" firstSheet="3" activeTab="4" xr2:uid="{00000000-000D-0000-FFFF-FFFF00000000}"/>
  </bookViews>
  <sheets>
    <sheet name="Summary" sheetId="5" r:id="rId1"/>
    <sheet name="BS" sheetId="6" r:id="rId2"/>
    <sheet name="CF" sheetId="4" state="hidden" r:id="rId3"/>
    <sheet name="P&amp;L" sheetId="8" r:id="rId4"/>
    <sheet name="TB" sheetId="7" r:id="rId5"/>
    <sheet name="AJE" sheetId="10" r:id="rId6"/>
    <sheet name="TB UK" sheetId="13" r:id="rId7"/>
    <sheet name="TB US" sheetId="14" r:id="rId8"/>
    <sheet name="BS (consolidate)" sheetId="11" r:id="rId9"/>
    <sheet name="P&amp;L (consolidate)" sheetId="12" r:id="rId10"/>
    <sheet name="Payroll Israel + allocation" sheetId="15" r:id="rId11"/>
    <sheet name="אלוקציה הוצ" sheetId="16" r:id="rId12"/>
  </sheets>
  <externalReferences>
    <externalReference r:id="rId13"/>
  </externalReferences>
  <definedNames>
    <definedName name="_xlnm._FilterDatabase" localSheetId="4" hidden="1">TB!$A$1:$Y$121</definedName>
    <definedName name="_xlnm._FilterDatabase" localSheetId="6" hidden="1">'TB UK'!$A$1:$J$64</definedName>
    <definedName name="_xlnm._FilterDatabase" localSheetId="7" hidden="1">'TB US'!$B$6:$M$6</definedName>
    <definedName name="_xlnm.Print_Area" localSheetId="1">BS!$A$1:$J$77</definedName>
    <definedName name="_xlnm.Print_Area" localSheetId="8">'BS (consolidate)'!$A$1:$K$72</definedName>
    <definedName name="_xlnm.Print_Area" localSheetId="2">CF!$A$1:$K$56</definedName>
    <definedName name="_xlnm.Print_Area" localSheetId="3">'P&amp;L'!$A$1:$W$87</definedName>
    <definedName name="_xlnm.Print_Area" localSheetId="9">'P&amp;L (consolidate)'!$A$1:$I$85</definedName>
    <definedName name="_xlnm.Print_Area" localSheetId="0">Summary!$A$1:$L$62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8" i="7" l="1"/>
  <c r="C6" i="14" l="1"/>
  <c r="R38" i="11" l="1"/>
  <c r="R37" i="11"/>
  <c r="E66" i="13" l="1"/>
  <c r="H66" i="13"/>
  <c r="H64" i="13"/>
  <c r="U68" i="13"/>
  <c r="T68" i="13"/>
  <c r="G63" i="13" l="1"/>
  <c r="D61" i="13" l="1"/>
  <c r="F61" i="13" s="1"/>
  <c r="G61" i="13"/>
  <c r="I61" i="13" s="1"/>
  <c r="D62" i="13"/>
  <c r="F62" i="13" s="1"/>
  <c r="G62" i="13"/>
  <c r="I62" i="13" s="1"/>
  <c r="D58" i="13"/>
  <c r="F58" i="13" s="1"/>
  <c r="G58" i="13"/>
  <c r="I58" i="13" s="1"/>
  <c r="D45" i="13"/>
  <c r="F45" i="13" s="1"/>
  <c r="G45" i="13"/>
  <c r="I45" i="13" s="1"/>
  <c r="D36" i="13"/>
  <c r="F36" i="13" s="1"/>
  <c r="G36" i="13"/>
  <c r="I36" i="13" s="1"/>
  <c r="D52" i="13"/>
  <c r="F52" i="13" s="1"/>
  <c r="G52" i="13"/>
  <c r="I52" i="13" s="1"/>
  <c r="D29" i="13"/>
  <c r="F29" i="13" s="1"/>
  <c r="G29" i="13"/>
  <c r="I29" i="13" s="1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4" i="13"/>
  <c r="G4" i="13" l="1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30" i="13"/>
  <c r="G31" i="13"/>
  <c r="G32" i="13"/>
  <c r="G33" i="13"/>
  <c r="G34" i="13"/>
  <c r="G35" i="13"/>
  <c r="G37" i="13"/>
  <c r="G38" i="13"/>
  <c r="G39" i="13"/>
  <c r="G40" i="13"/>
  <c r="G41" i="13"/>
  <c r="G42" i="13"/>
  <c r="G43" i="13"/>
  <c r="G44" i="13"/>
  <c r="G46" i="13"/>
  <c r="G47" i="13"/>
  <c r="G48" i="13"/>
  <c r="G49" i="13"/>
  <c r="G50" i="13"/>
  <c r="G51" i="13"/>
  <c r="G53" i="13"/>
  <c r="G54" i="13"/>
  <c r="G55" i="13"/>
  <c r="G56" i="13"/>
  <c r="G57" i="13"/>
  <c r="G59" i="13"/>
  <c r="G60" i="13"/>
  <c r="G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30" i="13"/>
  <c r="D31" i="13"/>
  <c r="D32" i="13"/>
  <c r="D33" i="13"/>
  <c r="D34" i="13"/>
  <c r="D35" i="13"/>
  <c r="D37" i="13"/>
  <c r="D38" i="13"/>
  <c r="D39" i="13"/>
  <c r="D40" i="13"/>
  <c r="D41" i="13"/>
  <c r="D42" i="13"/>
  <c r="D43" i="13"/>
  <c r="D44" i="13"/>
  <c r="D46" i="13"/>
  <c r="D47" i="13"/>
  <c r="D48" i="13"/>
  <c r="D49" i="13"/>
  <c r="D50" i="13"/>
  <c r="D51" i="13"/>
  <c r="D53" i="13"/>
  <c r="D54" i="13"/>
  <c r="D55" i="13"/>
  <c r="D56" i="13"/>
  <c r="D57" i="13"/>
  <c r="D59" i="13"/>
  <c r="D60" i="13"/>
  <c r="D63" i="13"/>
  <c r="D3" i="13"/>
  <c r="G66" i="13" l="1"/>
  <c r="D66" i="13"/>
  <c r="E69" i="13"/>
  <c r="D70" i="13"/>
  <c r="D11" i="10" l="1"/>
  <c r="E11" i="10" s="1"/>
  <c r="E12" i="10"/>
  <c r="D13" i="10"/>
  <c r="E13" i="10" s="1"/>
  <c r="J13" i="10" s="1"/>
  <c r="E19" i="10"/>
  <c r="E20" i="10"/>
  <c r="E21" i="10"/>
  <c r="E22" i="10"/>
  <c r="E23" i="10"/>
  <c r="E24" i="10"/>
  <c r="E25" i="10"/>
  <c r="E26" i="10"/>
  <c r="E27" i="10"/>
  <c r="H13" i="10"/>
  <c r="E90" i="13"/>
  <c r="I13" i="10" l="1"/>
  <c r="D80" i="13"/>
  <c r="J32" i="10"/>
  <c r="S38" i="11"/>
  <c r="F73" i="12"/>
  <c r="F61" i="12"/>
  <c r="F60" i="12"/>
  <c r="F55" i="12"/>
  <c r="F45" i="12"/>
  <c r="F44" i="12"/>
  <c r="F43" i="12"/>
  <c r="F41" i="12"/>
  <c r="F40" i="12"/>
  <c r="F38" i="12"/>
  <c r="F29" i="12"/>
  <c r="F30" i="12"/>
  <c r="F31" i="12"/>
  <c r="F32" i="12"/>
  <c r="F33" i="12"/>
  <c r="F34" i="12"/>
  <c r="F54" i="11"/>
  <c r="F53" i="11"/>
  <c r="F52" i="11"/>
  <c r="F51" i="11"/>
  <c r="F50" i="11"/>
  <c r="F46" i="11"/>
  <c r="F45" i="11"/>
  <c r="F38" i="11"/>
  <c r="F41" i="11"/>
  <c r="F36" i="11"/>
  <c r="F25" i="11"/>
  <c r="F18" i="11"/>
  <c r="F21" i="11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30" i="13"/>
  <c r="I31" i="13"/>
  <c r="I32" i="13"/>
  <c r="I33" i="13"/>
  <c r="I34" i="13"/>
  <c r="I35" i="13"/>
  <c r="I37" i="13"/>
  <c r="I38" i="13"/>
  <c r="I39" i="13"/>
  <c r="I40" i="13"/>
  <c r="I41" i="13"/>
  <c r="I42" i="13"/>
  <c r="I43" i="13"/>
  <c r="I44" i="13"/>
  <c r="I46" i="13"/>
  <c r="I47" i="13"/>
  <c r="I48" i="13"/>
  <c r="I49" i="13"/>
  <c r="I51" i="13"/>
  <c r="I53" i="13"/>
  <c r="I54" i="13"/>
  <c r="I55" i="13"/>
  <c r="I56" i="13"/>
  <c r="I57" i="13"/>
  <c r="I59" i="13"/>
  <c r="I60" i="13"/>
  <c r="I63" i="13"/>
  <c r="G6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30" i="13"/>
  <c r="F31" i="13"/>
  <c r="F32" i="13"/>
  <c r="F33" i="13"/>
  <c r="F34" i="13"/>
  <c r="F35" i="13"/>
  <c r="F37" i="13"/>
  <c r="F38" i="13"/>
  <c r="F39" i="13"/>
  <c r="F40" i="13"/>
  <c r="F41" i="13"/>
  <c r="F42" i="13"/>
  <c r="F43" i="13"/>
  <c r="F44" i="13"/>
  <c r="F46" i="13"/>
  <c r="F47" i="13"/>
  <c r="F48" i="13"/>
  <c r="F49" i="13"/>
  <c r="F51" i="13"/>
  <c r="F53" i="13"/>
  <c r="F54" i="13"/>
  <c r="F55" i="13"/>
  <c r="F56" i="13"/>
  <c r="F57" i="13"/>
  <c r="F59" i="13"/>
  <c r="F60" i="13"/>
  <c r="F63" i="13"/>
  <c r="D69" i="13" l="1"/>
  <c r="E70" i="13"/>
  <c r="E74" i="13" s="1"/>
  <c r="E30" i="10" s="1"/>
  <c r="D30" i="10" s="1"/>
  <c r="I30" i="10" s="1"/>
  <c r="F59" i="12"/>
  <c r="F55" i="11"/>
  <c r="F42" i="12"/>
  <c r="F39" i="12"/>
  <c r="F53" i="12"/>
  <c r="F51" i="12"/>
  <c r="F56" i="12"/>
  <c r="F20" i="11"/>
  <c r="F54" i="12"/>
  <c r="F63" i="12"/>
  <c r="F50" i="12"/>
  <c r="F19" i="11"/>
  <c r="F52" i="12"/>
  <c r="F64" i="12"/>
  <c r="F28" i="12"/>
  <c r="F26" i="11"/>
  <c r="F39" i="11"/>
  <c r="F57" i="12"/>
  <c r="F17" i="11"/>
  <c r="F69" i="12"/>
  <c r="F37" i="11"/>
  <c r="F58" i="12"/>
  <c r="E71" i="13" l="1"/>
  <c r="E75" i="13" s="1"/>
  <c r="E76" i="13" s="1"/>
  <c r="J30" i="10"/>
  <c r="I50" i="13"/>
  <c r="U41" i="11" s="1"/>
  <c r="I4" i="13"/>
  <c r="I3" i="13"/>
  <c r="I66" i="13" s="1"/>
  <c r="I64" i="13" l="1"/>
  <c r="E31" i="10"/>
  <c r="D31" i="10" s="1"/>
  <c r="I31" i="10" s="1"/>
  <c r="F62" i="12"/>
  <c r="F40" i="11"/>
  <c r="F46" i="12"/>
  <c r="C12" i="14"/>
  <c r="C11" i="14"/>
  <c r="C10" i="14"/>
  <c r="C9" i="14"/>
  <c r="J31" i="10" l="1"/>
  <c r="G52" i="12"/>
  <c r="G64" i="12"/>
  <c r="L46" i="13"/>
  <c r="R58" i="7" l="1"/>
  <c r="D45" i="7"/>
  <c r="E45" i="7"/>
  <c r="G45" i="7"/>
  <c r="H45" i="7"/>
  <c r="D44" i="7"/>
  <c r="E44" i="7"/>
  <c r="G44" i="7"/>
  <c r="H44" i="7"/>
  <c r="D73" i="7"/>
  <c r="E73" i="7"/>
  <c r="G73" i="7"/>
  <c r="H73" i="7"/>
  <c r="D72" i="7"/>
  <c r="E72" i="7"/>
  <c r="G72" i="7"/>
  <c r="H72" i="7"/>
  <c r="D3" i="7"/>
  <c r="E3" i="7"/>
  <c r="G3" i="7"/>
  <c r="D4" i="7"/>
  <c r="E4" i="7"/>
  <c r="G4" i="7"/>
  <c r="D5" i="7"/>
  <c r="E5" i="7"/>
  <c r="G5" i="7"/>
  <c r="D6" i="7"/>
  <c r="E6" i="7"/>
  <c r="G6" i="7"/>
  <c r="D7" i="7"/>
  <c r="E7" i="7"/>
  <c r="G7" i="7"/>
  <c r="D8" i="7"/>
  <c r="E8" i="7"/>
  <c r="G8" i="7"/>
  <c r="D9" i="7"/>
  <c r="E9" i="7"/>
  <c r="G9" i="7"/>
  <c r="D10" i="7"/>
  <c r="E10" i="7"/>
  <c r="G10" i="7"/>
  <c r="D11" i="7"/>
  <c r="E11" i="7"/>
  <c r="G11" i="7"/>
  <c r="D12" i="7"/>
  <c r="E12" i="7"/>
  <c r="G12" i="7"/>
  <c r="D13" i="7"/>
  <c r="E13" i="7"/>
  <c r="G13" i="7"/>
  <c r="D14" i="7"/>
  <c r="E14" i="7"/>
  <c r="G14" i="7"/>
  <c r="D15" i="7"/>
  <c r="E15" i="7"/>
  <c r="G15" i="7"/>
  <c r="D16" i="7"/>
  <c r="E16" i="7"/>
  <c r="G16" i="7"/>
  <c r="D17" i="7"/>
  <c r="E17" i="7"/>
  <c r="G17" i="7"/>
  <c r="D18" i="7"/>
  <c r="E18" i="7"/>
  <c r="G18" i="7"/>
  <c r="E19" i="7"/>
  <c r="D20" i="7"/>
  <c r="E20" i="7"/>
  <c r="G20" i="7"/>
  <c r="D21" i="7"/>
  <c r="E21" i="7"/>
  <c r="G21" i="7"/>
  <c r="D23" i="7"/>
  <c r="E23" i="7"/>
  <c r="G23" i="7"/>
  <c r="D24" i="7"/>
  <c r="E24" i="7"/>
  <c r="G24" i="7"/>
  <c r="D25" i="7"/>
  <c r="E25" i="7"/>
  <c r="G25" i="7"/>
  <c r="D26" i="7"/>
  <c r="E26" i="7"/>
  <c r="G26" i="7"/>
  <c r="D27" i="7"/>
  <c r="E27" i="7"/>
  <c r="G27" i="7"/>
  <c r="D28" i="7"/>
  <c r="E28" i="7"/>
  <c r="G28" i="7"/>
  <c r="D29" i="7"/>
  <c r="E29" i="7"/>
  <c r="G29" i="7"/>
  <c r="D30" i="7"/>
  <c r="E30" i="7"/>
  <c r="G30" i="7"/>
  <c r="D31" i="7"/>
  <c r="E31" i="7"/>
  <c r="G31" i="7"/>
  <c r="D32" i="7"/>
  <c r="G32" i="7"/>
  <c r="D33" i="7"/>
  <c r="E33" i="7"/>
  <c r="G33" i="7"/>
  <c r="D34" i="7"/>
  <c r="G34" i="7"/>
  <c r="D35" i="7"/>
  <c r="E35" i="7"/>
  <c r="G35" i="7"/>
  <c r="D36" i="7"/>
  <c r="G36" i="7"/>
  <c r="D37" i="7"/>
  <c r="E37" i="7"/>
  <c r="G37" i="7"/>
  <c r="D38" i="7"/>
  <c r="G38" i="7"/>
  <c r="D39" i="7"/>
  <c r="E39" i="7"/>
  <c r="G39" i="7"/>
  <c r="D40" i="7"/>
  <c r="E40" i="7"/>
  <c r="G40" i="7"/>
  <c r="D41" i="7"/>
  <c r="E41" i="7"/>
  <c r="G41" i="7"/>
  <c r="D42" i="7"/>
  <c r="G42" i="7"/>
  <c r="D43" i="7"/>
  <c r="E43" i="7"/>
  <c r="G43" i="7"/>
  <c r="D46" i="7"/>
  <c r="E46" i="7"/>
  <c r="G46" i="7"/>
  <c r="D47" i="7"/>
  <c r="G47" i="7"/>
  <c r="D48" i="7"/>
  <c r="G48" i="7"/>
  <c r="D49" i="7"/>
  <c r="G49" i="7"/>
  <c r="D50" i="7"/>
  <c r="E50" i="7"/>
  <c r="G50" i="7"/>
  <c r="D51" i="7"/>
  <c r="E51" i="7"/>
  <c r="G51" i="7"/>
  <c r="D52" i="7"/>
  <c r="G52" i="7"/>
  <c r="D53" i="7"/>
  <c r="E53" i="7"/>
  <c r="G53" i="7"/>
  <c r="D54" i="7"/>
  <c r="E54" i="7"/>
  <c r="G54" i="7"/>
  <c r="D55" i="7"/>
  <c r="E55" i="7"/>
  <c r="G55" i="7"/>
  <c r="D56" i="7"/>
  <c r="E56" i="7"/>
  <c r="G56" i="7"/>
  <c r="D57" i="7"/>
  <c r="E57" i="7"/>
  <c r="G57" i="7"/>
  <c r="D58" i="7"/>
  <c r="E58" i="7"/>
  <c r="G58" i="7"/>
  <c r="D59" i="7"/>
  <c r="E59" i="7"/>
  <c r="G59" i="7"/>
  <c r="D60" i="7"/>
  <c r="E60" i="7"/>
  <c r="G60" i="7"/>
  <c r="D61" i="7"/>
  <c r="E61" i="7"/>
  <c r="G61" i="7"/>
  <c r="D62" i="7"/>
  <c r="E62" i="7"/>
  <c r="G62" i="7"/>
  <c r="D63" i="7"/>
  <c r="E63" i="7"/>
  <c r="G63" i="7"/>
  <c r="D64" i="7"/>
  <c r="E64" i="7"/>
  <c r="G64" i="7"/>
  <c r="D65" i="7"/>
  <c r="E65" i="7"/>
  <c r="G65" i="7"/>
  <c r="D66" i="7"/>
  <c r="E66" i="7"/>
  <c r="G66" i="7"/>
  <c r="D67" i="7"/>
  <c r="E67" i="7"/>
  <c r="G67" i="7"/>
  <c r="D68" i="7"/>
  <c r="E68" i="7"/>
  <c r="G68" i="7"/>
  <c r="D69" i="7"/>
  <c r="E69" i="7"/>
  <c r="G69" i="7"/>
  <c r="D70" i="7"/>
  <c r="E70" i="7"/>
  <c r="G70" i="7"/>
  <c r="D71" i="7"/>
  <c r="E71" i="7"/>
  <c r="G71" i="7"/>
  <c r="D74" i="7"/>
  <c r="E74" i="7"/>
  <c r="G74" i="7"/>
  <c r="D75" i="7"/>
  <c r="E75" i="7"/>
  <c r="G75" i="7"/>
  <c r="D76" i="7"/>
  <c r="E76" i="7"/>
  <c r="G76" i="7"/>
  <c r="D77" i="7"/>
  <c r="E77" i="7"/>
  <c r="G77" i="7"/>
  <c r="D78" i="7"/>
  <c r="E78" i="7"/>
  <c r="G78" i="7"/>
  <c r="D79" i="7"/>
  <c r="E79" i="7"/>
  <c r="G79" i="7"/>
  <c r="D80" i="7"/>
  <c r="E80" i="7"/>
  <c r="G80" i="7"/>
  <c r="D81" i="7"/>
  <c r="E81" i="7"/>
  <c r="G81" i="7"/>
  <c r="E82" i="7"/>
  <c r="D83" i="7"/>
  <c r="E83" i="7"/>
  <c r="G83" i="7"/>
  <c r="D84" i="7"/>
  <c r="E84" i="7"/>
  <c r="G84" i="7"/>
  <c r="D85" i="7"/>
  <c r="E85" i="7"/>
  <c r="G85" i="7"/>
  <c r="E86" i="7"/>
  <c r="D87" i="7"/>
  <c r="E87" i="7"/>
  <c r="G87" i="7"/>
  <c r="D88" i="7"/>
  <c r="E88" i="7"/>
  <c r="G88" i="7"/>
  <c r="D89" i="7"/>
  <c r="E89" i="7"/>
  <c r="G89" i="7"/>
  <c r="D90" i="7"/>
  <c r="E90" i="7"/>
  <c r="G90" i="7"/>
  <c r="D91" i="7"/>
  <c r="G91" i="7"/>
  <c r="D92" i="7"/>
  <c r="E92" i="7"/>
  <c r="G92" i="7"/>
  <c r="D93" i="7"/>
  <c r="E93" i="7"/>
  <c r="G93" i="7"/>
  <c r="D94" i="7"/>
  <c r="E94" i="7"/>
  <c r="G94" i="7"/>
  <c r="D95" i="7"/>
  <c r="E95" i="7"/>
  <c r="G95" i="7"/>
  <c r="D96" i="7"/>
  <c r="E96" i="7"/>
  <c r="G96" i="7"/>
  <c r="D97" i="7"/>
  <c r="E97" i="7"/>
  <c r="G97" i="7"/>
  <c r="D98" i="7"/>
  <c r="E98" i="7"/>
  <c r="G98" i="7"/>
  <c r="D99" i="7"/>
  <c r="E99" i="7"/>
  <c r="G99" i="7"/>
  <c r="D100" i="7"/>
  <c r="E100" i="7"/>
  <c r="G100" i="7"/>
  <c r="D101" i="7"/>
  <c r="E101" i="7"/>
  <c r="G101" i="7"/>
  <c r="D102" i="7"/>
  <c r="E102" i="7"/>
  <c r="G102" i="7"/>
  <c r="D103" i="7"/>
  <c r="E103" i="7"/>
  <c r="G103" i="7"/>
  <c r="D104" i="7"/>
  <c r="E104" i="7"/>
  <c r="G104" i="7"/>
  <c r="D105" i="7"/>
  <c r="E105" i="7"/>
  <c r="G105" i="7"/>
  <c r="D106" i="7"/>
  <c r="E106" i="7"/>
  <c r="G106" i="7"/>
  <c r="E107" i="7"/>
  <c r="D108" i="7"/>
  <c r="E108" i="7"/>
  <c r="G108" i="7"/>
  <c r="D111" i="7"/>
  <c r="E111" i="7"/>
  <c r="G111" i="7"/>
  <c r="D112" i="7"/>
  <c r="E112" i="7"/>
  <c r="G112" i="7"/>
  <c r="D113" i="7"/>
  <c r="E113" i="7"/>
  <c r="G113" i="7"/>
  <c r="D114" i="7"/>
  <c r="E114" i="7"/>
  <c r="G114" i="7"/>
  <c r="D115" i="7"/>
  <c r="E115" i="7"/>
  <c r="G115" i="7"/>
  <c r="D116" i="7"/>
  <c r="E116" i="7"/>
  <c r="G116" i="7"/>
  <c r="D117" i="7"/>
  <c r="E117" i="7"/>
  <c r="G117" i="7"/>
  <c r="D118" i="7"/>
  <c r="E118" i="7"/>
  <c r="G118" i="7"/>
  <c r="E119" i="7"/>
  <c r="D120" i="7"/>
  <c r="E120" i="7"/>
  <c r="G120" i="7"/>
  <c r="E121" i="7"/>
  <c r="G2" i="7"/>
  <c r="D2" i="7"/>
  <c r="D125" i="7" l="1"/>
  <c r="G125" i="7"/>
  <c r="D133" i="7"/>
  <c r="K73" i="7"/>
  <c r="K72" i="7"/>
  <c r="I45" i="7"/>
  <c r="F45" i="7"/>
  <c r="I44" i="7"/>
  <c r="F40" i="7"/>
  <c r="F44" i="7"/>
  <c r="F73" i="7"/>
  <c r="I73" i="7"/>
  <c r="F43" i="7"/>
  <c r="F16" i="7"/>
  <c r="I72" i="7"/>
  <c r="F72" i="7"/>
  <c r="F107" i="7"/>
  <c r="F99" i="7"/>
  <c r="F79" i="7"/>
  <c r="F15" i="7"/>
  <c r="F8" i="7"/>
  <c r="F101" i="7"/>
  <c r="F93" i="7"/>
  <c r="F29" i="7"/>
  <c r="F114" i="7"/>
  <c r="F77" i="7"/>
  <c r="F103" i="7"/>
  <c r="F95" i="7"/>
  <c r="F87" i="7"/>
  <c r="F10" i="7"/>
  <c r="F9" i="7"/>
  <c r="F118" i="7"/>
  <c r="F25" i="7"/>
  <c r="F6" i="7"/>
  <c r="F66" i="7"/>
  <c r="F58" i="7"/>
  <c r="F112" i="7"/>
  <c r="F75" i="7"/>
  <c r="F53" i="7"/>
  <c r="F31" i="7"/>
  <c r="F23" i="7"/>
  <c r="F17" i="7"/>
  <c r="F120" i="7"/>
  <c r="F83" i="7"/>
  <c r="F68" i="7"/>
  <c r="F60" i="7"/>
  <c r="F85" i="7"/>
  <c r="F70" i="7"/>
  <c r="F62" i="7"/>
  <c r="F54" i="7"/>
  <c r="F13" i="7"/>
  <c r="F21" i="7"/>
  <c r="F117" i="7"/>
  <c r="F106" i="7"/>
  <c r="F98" i="7"/>
  <c r="F90" i="7"/>
  <c r="F82" i="7"/>
  <c r="F74" i="7"/>
  <c r="F65" i="7"/>
  <c r="F57" i="7"/>
  <c r="F35" i="7"/>
  <c r="F28" i="7"/>
  <c r="F20" i="7"/>
  <c r="F12" i="7"/>
  <c r="F5" i="7"/>
  <c r="F119" i="7"/>
  <c r="F111" i="7"/>
  <c r="F84" i="7"/>
  <c r="F76" i="7"/>
  <c r="F67" i="7"/>
  <c r="F59" i="7"/>
  <c r="F50" i="7"/>
  <c r="F30" i="7"/>
  <c r="F14" i="7"/>
  <c r="F7" i="7"/>
  <c r="F116" i="7"/>
  <c r="F105" i="7"/>
  <c r="F97" i="7"/>
  <c r="F89" i="7"/>
  <c r="F81" i="7"/>
  <c r="F64" i="7"/>
  <c r="F56" i="7"/>
  <c r="F46" i="7"/>
  <c r="F41" i="7"/>
  <c r="F27" i="7"/>
  <c r="F19" i="7"/>
  <c r="F4" i="7"/>
  <c r="F108" i="7"/>
  <c r="F100" i="7"/>
  <c r="F92" i="7"/>
  <c r="F121" i="7"/>
  <c r="F113" i="7"/>
  <c r="F102" i="7"/>
  <c r="F94" i="7"/>
  <c r="F86" i="7"/>
  <c r="F78" i="7"/>
  <c r="F69" i="7"/>
  <c r="F61" i="7"/>
  <c r="F39" i="7"/>
  <c r="F37" i="7"/>
  <c r="F24" i="7"/>
  <c r="F115" i="7"/>
  <c r="F104" i="7"/>
  <c r="F96" i="7"/>
  <c r="F88" i="7"/>
  <c r="F80" i="7"/>
  <c r="F71" i="7"/>
  <c r="F63" i="7"/>
  <c r="F55" i="7"/>
  <c r="F51" i="7"/>
  <c r="F33" i="7"/>
  <c r="F26" i="7"/>
  <c r="F18" i="7"/>
  <c r="F11" i="7"/>
  <c r="F3" i="7"/>
  <c r="C5" i="14"/>
  <c r="L28" i="14" l="1"/>
  <c r="F79" i="11"/>
  <c r="G79" i="11"/>
  <c r="G80" i="11" s="1"/>
  <c r="E79" i="11"/>
  <c r="L42" i="13" l="1"/>
  <c r="L41" i="13"/>
  <c r="L44" i="13"/>
  <c r="L40" i="13"/>
  <c r="N46" i="13"/>
  <c r="O88" i="12" l="1"/>
  <c r="L88" i="12"/>
  <c r="M88" i="12"/>
  <c r="N88" i="12"/>
  <c r="N40" i="13"/>
  <c r="N41" i="13"/>
  <c r="N42" i="13"/>
  <c r="N43" i="13"/>
  <c r="N44" i="13"/>
  <c r="J29" i="8" l="1"/>
  <c r="J30" i="8"/>
  <c r="J31" i="8"/>
  <c r="J32" i="8"/>
  <c r="J33" i="8"/>
  <c r="J34" i="8"/>
  <c r="J35" i="8"/>
  <c r="I36" i="8"/>
  <c r="J36" i="8"/>
  <c r="I37" i="8"/>
  <c r="J37" i="8"/>
  <c r="J38" i="8"/>
  <c r="J39" i="8"/>
  <c r="J40" i="8"/>
  <c r="J41" i="8"/>
  <c r="J42" i="8"/>
  <c r="J43" i="8"/>
  <c r="J44" i="8"/>
  <c r="J45" i="8"/>
  <c r="J46" i="8"/>
  <c r="I47" i="8"/>
  <c r="J47" i="8"/>
  <c r="I48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I64" i="8"/>
  <c r="J64" i="8"/>
  <c r="J65" i="8"/>
  <c r="I66" i="8"/>
  <c r="J66" i="8"/>
  <c r="J67" i="8"/>
  <c r="I68" i="8"/>
  <c r="J68" i="8"/>
  <c r="J69" i="8"/>
  <c r="I70" i="8"/>
  <c r="J70" i="8"/>
  <c r="J71" i="8"/>
  <c r="I72" i="8"/>
  <c r="J72" i="8"/>
  <c r="J73" i="8"/>
  <c r="I74" i="8"/>
  <c r="J74" i="8"/>
  <c r="I75" i="8"/>
  <c r="J75" i="8"/>
  <c r="J76" i="8"/>
  <c r="J28" i="8"/>
  <c r="J86" i="8" l="1"/>
  <c r="E91" i="7"/>
  <c r="I12" i="10"/>
  <c r="H12" i="10"/>
  <c r="J12" i="10"/>
  <c r="J26" i="10"/>
  <c r="J27" i="10"/>
  <c r="H52" i="7" s="1"/>
  <c r="I26" i="10"/>
  <c r="E36" i="7" s="1"/>
  <c r="F36" i="7" s="1"/>
  <c r="I27" i="10"/>
  <c r="E52" i="7" s="1"/>
  <c r="F52" i="7" s="1"/>
  <c r="H113" i="7"/>
  <c r="H50" i="7"/>
  <c r="H51" i="7"/>
  <c r="H53" i="7"/>
  <c r="E20" i="6"/>
  <c r="G20" i="6"/>
  <c r="H11" i="7"/>
  <c r="K66" i="12"/>
  <c r="K77" i="12"/>
  <c r="F91" i="7" l="1"/>
  <c r="I53" i="7"/>
  <c r="I52" i="7"/>
  <c r="I113" i="7"/>
  <c r="K52" i="7"/>
  <c r="I51" i="7"/>
  <c r="I50" i="7"/>
  <c r="K53" i="7"/>
  <c r="U37" i="11"/>
  <c r="K11" i="7" l="1"/>
  <c r="K50" i="7"/>
  <c r="I11" i="7"/>
  <c r="K51" i="7"/>
  <c r="K29" i="8" l="1"/>
  <c r="L29" i="8"/>
  <c r="K30" i="8"/>
  <c r="L30" i="8"/>
  <c r="K31" i="8"/>
  <c r="L31" i="8"/>
  <c r="K32" i="8"/>
  <c r="L32" i="8"/>
  <c r="K33" i="8"/>
  <c r="L33" i="8"/>
  <c r="K34" i="8"/>
  <c r="L34" i="8"/>
  <c r="K35" i="8"/>
  <c r="L35" i="8"/>
  <c r="K36" i="8"/>
  <c r="L36" i="8"/>
  <c r="K37" i="8"/>
  <c r="L37" i="8"/>
  <c r="K38" i="8"/>
  <c r="L38" i="8"/>
  <c r="K39" i="8"/>
  <c r="L39" i="8"/>
  <c r="K40" i="8"/>
  <c r="L40" i="8"/>
  <c r="K41" i="8"/>
  <c r="L41" i="8"/>
  <c r="K42" i="8"/>
  <c r="L42" i="8"/>
  <c r="K43" i="8"/>
  <c r="L43" i="8"/>
  <c r="K44" i="8"/>
  <c r="L44" i="8"/>
  <c r="K45" i="8"/>
  <c r="L45" i="8"/>
  <c r="K46" i="8"/>
  <c r="L46" i="8"/>
  <c r="K47" i="8"/>
  <c r="L47" i="8"/>
  <c r="K48" i="8"/>
  <c r="L48" i="8"/>
  <c r="K49" i="8"/>
  <c r="L49" i="8"/>
  <c r="K50" i="8"/>
  <c r="L50" i="8"/>
  <c r="K51" i="8"/>
  <c r="L51" i="8"/>
  <c r="K52" i="8"/>
  <c r="L52" i="8"/>
  <c r="K53" i="8"/>
  <c r="L53" i="8"/>
  <c r="K54" i="8"/>
  <c r="L54" i="8"/>
  <c r="K55" i="8"/>
  <c r="L55" i="8"/>
  <c r="K56" i="8"/>
  <c r="L56" i="8"/>
  <c r="K57" i="8"/>
  <c r="L57" i="8"/>
  <c r="K58" i="8"/>
  <c r="L58" i="8"/>
  <c r="K59" i="8"/>
  <c r="L59" i="8"/>
  <c r="K60" i="8"/>
  <c r="L60" i="8"/>
  <c r="K61" i="8"/>
  <c r="L61" i="8"/>
  <c r="K62" i="8"/>
  <c r="L62" i="8"/>
  <c r="K63" i="8"/>
  <c r="L63" i="8"/>
  <c r="K64" i="8"/>
  <c r="L64" i="8"/>
  <c r="K65" i="8"/>
  <c r="L65" i="8"/>
  <c r="K66" i="8"/>
  <c r="L66" i="8"/>
  <c r="K67" i="8"/>
  <c r="L67" i="8"/>
  <c r="K68" i="8"/>
  <c r="L68" i="8"/>
  <c r="K69" i="8"/>
  <c r="L69" i="8"/>
  <c r="K70" i="8"/>
  <c r="L70" i="8"/>
  <c r="K71" i="8"/>
  <c r="L71" i="8"/>
  <c r="K72" i="8"/>
  <c r="L72" i="8"/>
  <c r="K73" i="8"/>
  <c r="L73" i="8"/>
  <c r="K74" i="8"/>
  <c r="L74" i="8"/>
  <c r="K75" i="8"/>
  <c r="L75" i="8"/>
  <c r="K76" i="8"/>
  <c r="L76" i="8"/>
  <c r="L28" i="8"/>
  <c r="K28" i="8"/>
  <c r="I22" i="10"/>
  <c r="E32" i="7" s="1"/>
  <c r="F32" i="7" s="1"/>
  <c r="I23" i="10"/>
  <c r="E47" i="7" s="1"/>
  <c r="F47" i="7" s="1"/>
  <c r="I24" i="10"/>
  <c r="E48" i="7" s="1"/>
  <c r="F48" i="7" s="1"/>
  <c r="I25" i="10"/>
  <c r="E49" i="7" s="1"/>
  <c r="F49" i="7" s="1"/>
  <c r="J22" i="10"/>
  <c r="J23" i="10"/>
  <c r="H47" i="7" s="1"/>
  <c r="J24" i="10"/>
  <c r="H48" i="7" s="1"/>
  <c r="J25" i="10"/>
  <c r="H49" i="7" s="1"/>
  <c r="H111" i="7"/>
  <c r="H112" i="7"/>
  <c r="L86" i="8" l="1"/>
  <c r="K86" i="8"/>
  <c r="K49" i="7"/>
  <c r="I47" i="7"/>
  <c r="I111" i="7"/>
  <c r="I49" i="7"/>
  <c r="I112" i="7"/>
  <c r="I48" i="7"/>
  <c r="K48" i="7"/>
  <c r="K47" i="7"/>
  <c r="H57" i="11"/>
  <c r="H47" i="11"/>
  <c r="H42" i="11"/>
  <c r="G28" i="11"/>
  <c r="H60" i="11" l="1"/>
  <c r="H74" i="11" s="1"/>
  <c r="H11" i="10"/>
  <c r="K43" i="15"/>
  <c r="J20" i="10"/>
  <c r="J21" i="10"/>
  <c r="I20" i="10"/>
  <c r="E34" i="7" s="1"/>
  <c r="F34" i="7" s="1"/>
  <c r="I21" i="10"/>
  <c r="E38" i="7" s="1"/>
  <c r="F38" i="7" s="1"/>
  <c r="H107" i="7"/>
  <c r="I107" i="7" s="1"/>
  <c r="H108" i="7"/>
  <c r="H46" i="7"/>
  <c r="H9" i="7"/>
  <c r="H7" i="8"/>
  <c r="J11" i="10" l="1"/>
  <c r="I11" i="10"/>
  <c r="E22" i="7" s="1"/>
  <c r="F22" i="7" s="1"/>
  <c r="I108" i="7"/>
  <c r="I46" i="7"/>
  <c r="K44" i="7"/>
  <c r="K46" i="7"/>
  <c r="K45" i="7"/>
  <c r="I9" i="7"/>
  <c r="K9" i="7"/>
  <c r="H26" i="7" l="1"/>
  <c r="H27" i="7"/>
  <c r="H25" i="7"/>
  <c r="C7" i="14" l="1"/>
  <c r="I27" i="7" l="1"/>
  <c r="E28" i="6"/>
  <c r="E53" i="6"/>
  <c r="I26" i="7"/>
  <c r="I25" i="7"/>
  <c r="C4" i="14"/>
  <c r="C36" i="14"/>
  <c r="C3" i="14" s="1"/>
  <c r="G51" i="11" l="1"/>
  <c r="C40" i="14"/>
  <c r="G28" i="6"/>
  <c r="E27" i="11"/>
  <c r="I27" i="11" s="1"/>
  <c r="G53" i="6"/>
  <c r="E52" i="11"/>
  <c r="I52" i="11" s="1"/>
  <c r="J19" i="10"/>
  <c r="H42" i="7" s="1"/>
  <c r="I19" i="10"/>
  <c r="E42" i="7" s="1"/>
  <c r="F42" i="7" s="1"/>
  <c r="H118" i="7"/>
  <c r="H35" i="7"/>
  <c r="H36" i="7"/>
  <c r="H37" i="7"/>
  <c r="H38" i="7"/>
  <c r="H39" i="7"/>
  <c r="H40" i="7"/>
  <c r="H41" i="7"/>
  <c r="H43" i="7"/>
  <c r="H21" i="7"/>
  <c r="G53" i="11"/>
  <c r="G40" i="11"/>
  <c r="C35" i="10"/>
  <c r="H35" i="10"/>
  <c r="M17" i="15"/>
  <c r="M16" i="15"/>
  <c r="M15" i="15"/>
  <c r="M14" i="15"/>
  <c r="M13" i="15"/>
  <c r="M12" i="15"/>
  <c r="M10" i="15"/>
  <c r="M4" i="15"/>
  <c r="K22" i="15"/>
  <c r="C13" i="14" l="1"/>
  <c r="M18" i="15"/>
  <c r="M22" i="15" s="1"/>
  <c r="M23" i="15" s="1"/>
  <c r="I37" i="7"/>
  <c r="I38" i="7"/>
  <c r="I43" i="7"/>
  <c r="I118" i="7"/>
  <c r="K118" i="7"/>
  <c r="K43" i="7"/>
  <c r="I40" i="7"/>
  <c r="I39" i="7"/>
  <c r="K42" i="7"/>
  <c r="I35" i="7"/>
  <c r="I41" i="7"/>
  <c r="I42" i="7"/>
  <c r="K41" i="7"/>
  <c r="K40" i="7"/>
  <c r="K39" i="7"/>
  <c r="K35" i="7"/>
  <c r="I36" i="7"/>
  <c r="K36" i="7"/>
  <c r="K38" i="7"/>
  <c r="K37" i="7"/>
  <c r="I21" i="7"/>
  <c r="T39" i="11" l="1"/>
  <c r="T37" i="11"/>
  <c r="G17" i="11"/>
  <c r="H89" i="7" l="1"/>
  <c r="E62" i="12" l="1"/>
  <c r="H62" i="12" s="1"/>
  <c r="K62" i="12" s="1"/>
  <c r="I89" i="7"/>
  <c r="H82" i="7" l="1"/>
  <c r="H71" i="7"/>
  <c r="I71" i="7" l="1"/>
  <c r="K71" i="7"/>
  <c r="I82" i="7"/>
  <c r="H120" i="7" l="1"/>
  <c r="H81" i="7"/>
  <c r="H60" i="7"/>
  <c r="H61" i="7"/>
  <c r="H62" i="7"/>
  <c r="E21" i="6"/>
  <c r="G21" i="6"/>
  <c r="H12" i="5"/>
  <c r="I120" i="7" l="1"/>
  <c r="K120" i="7"/>
  <c r="I81" i="7"/>
  <c r="K81" i="7"/>
  <c r="I61" i="7"/>
  <c r="I62" i="7"/>
  <c r="I60" i="7"/>
  <c r="H117" i="7" l="1"/>
  <c r="H119" i="7"/>
  <c r="H54" i="7"/>
  <c r="I54" i="7" l="1"/>
  <c r="I119" i="7"/>
  <c r="I117" i="7"/>
  <c r="K117" i="7"/>
  <c r="K119" i="7"/>
  <c r="K62" i="7"/>
  <c r="K54" i="7"/>
  <c r="H34" i="7" l="1"/>
  <c r="I34" i="7" s="1"/>
  <c r="H16" i="7"/>
  <c r="K34" i="7" l="1"/>
  <c r="I16" i="7"/>
  <c r="K16" i="7"/>
  <c r="H20" i="7" l="1"/>
  <c r="K20" i="7" l="1"/>
  <c r="I20" i="7"/>
  <c r="Q56" i="7" l="1"/>
  <c r="Q57" i="7"/>
  <c r="Q58" i="7"/>
  <c r="Q55" i="7"/>
  <c r="S58" i="7" l="1"/>
  <c r="P58" i="7"/>
  <c r="S57" i="7"/>
  <c r="P57" i="7"/>
  <c r="S56" i="7"/>
  <c r="P56" i="7"/>
  <c r="S55" i="7"/>
  <c r="P55" i="7"/>
  <c r="H33" i="7" l="1"/>
  <c r="I33" i="7" l="1"/>
  <c r="K33" i="7"/>
  <c r="H21" i="12" l="1"/>
  <c r="H23" i="12" s="1"/>
  <c r="F80" i="11"/>
  <c r="E59" i="12"/>
  <c r="E44" i="12"/>
  <c r="E59" i="8"/>
  <c r="I59" i="8" s="1"/>
  <c r="F59" i="8"/>
  <c r="G65" i="12"/>
  <c r="G47" i="12"/>
  <c r="G35" i="12"/>
  <c r="F21" i="12"/>
  <c r="F23" i="12" s="1"/>
  <c r="G21" i="12"/>
  <c r="G23" i="12" s="1"/>
  <c r="G22" i="11"/>
  <c r="G47" i="11"/>
  <c r="G42" i="11"/>
  <c r="F28" i="11" l="1"/>
  <c r="G67" i="12"/>
  <c r="G71" i="12" s="1"/>
  <c r="G88" i="12" s="1"/>
  <c r="G31" i="11"/>
  <c r="F47" i="11"/>
  <c r="H44" i="12"/>
  <c r="K44" i="12" s="1"/>
  <c r="H59" i="12"/>
  <c r="K59" i="12" s="1"/>
  <c r="F42" i="11"/>
  <c r="F22" i="11"/>
  <c r="F65" i="12"/>
  <c r="F35" i="12"/>
  <c r="F47" i="12"/>
  <c r="E73" i="12"/>
  <c r="E63" i="12"/>
  <c r="H63" i="12" s="1"/>
  <c r="K63" i="12" s="1"/>
  <c r="E55" i="12"/>
  <c r="H55" i="12" s="1"/>
  <c r="K55" i="12" s="1"/>
  <c r="E46" i="12"/>
  <c r="H46" i="12" s="1"/>
  <c r="K46" i="12" s="1"/>
  <c r="E45" i="12"/>
  <c r="H45" i="12" s="1"/>
  <c r="K45" i="12" s="1"/>
  <c r="E43" i="12"/>
  <c r="H43" i="12" s="1"/>
  <c r="K43" i="12" s="1"/>
  <c r="E42" i="12"/>
  <c r="H42" i="12" s="1"/>
  <c r="K42" i="12" s="1"/>
  <c r="E40" i="12"/>
  <c r="H40" i="12" s="1"/>
  <c r="K40" i="12" s="1"/>
  <c r="E38" i="12"/>
  <c r="E32" i="12"/>
  <c r="H32" i="12" s="1"/>
  <c r="K32" i="12" s="1"/>
  <c r="E30" i="12"/>
  <c r="H30" i="12" s="1"/>
  <c r="K30" i="12" s="1"/>
  <c r="E20" i="12"/>
  <c r="E19" i="12"/>
  <c r="E18" i="12"/>
  <c r="E15" i="12"/>
  <c r="H7" i="12"/>
  <c r="B6" i="12"/>
  <c r="E54" i="11"/>
  <c r="I54" i="11" s="1"/>
  <c r="E53" i="11"/>
  <c r="I53" i="11" s="1"/>
  <c r="E51" i="11"/>
  <c r="I51" i="11" s="1"/>
  <c r="E50" i="11"/>
  <c r="I50" i="11" s="1"/>
  <c r="E46" i="11"/>
  <c r="I46" i="11" s="1"/>
  <c r="I47" i="11" s="1"/>
  <c r="E45" i="11"/>
  <c r="E41" i="11"/>
  <c r="I41" i="11" s="1"/>
  <c r="E36" i="11"/>
  <c r="I36" i="11" s="1"/>
  <c r="E19" i="11"/>
  <c r="I19" i="11" s="1"/>
  <c r="E18" i="11"/>
  <c r="I18" i="11" s="1"/>
  <c r="J7" i="11"/>
  <c r="B6" i="11"/>
  <c r="R51" i="11" l="1"/>
  <c r="E11" i="11"/>
  <c r="I11" i="11"/>
  <c r="F11" i="11"/>
  <c r="G11" i="11"/>
  <c r="H38" i="12"/>
  <c r="K38" i="12" s="1"/>
  <c r="E11" i="12"/>
  <c r="H11" i="12"/>
  <c r="F11" i="12"/>
  <c r="G11" i="12"/>
  <c r="G78" i="12"/>
  <c r="F31" i="11"/>
  <c r="G73" i="12"/>
  <c r="H73" i="12" s="1"/>
  <c r="K73" i="12" s="1"/>
  <c r="F67" i="12"/>
  <c r="F71" i="12" s="1"/>
  <c r="F88" i="12" s="1"/>
  <c r="E47" i="11"/>
  <c r="E21" i="12"/>
  <c r="E23" i="12" s="1"/>
  <c r="F75" i="12" l="1"/>
  <c r="F56" i="11" s="1"/>
  <c r="F57" i="11" s="1"/>
  <c r="F60" i="11" s="1"/>
  <c r="F74" i="11" s="1"/>
  <c r="F78" i="12"/>
  <c r="G75" i="12"/>
  <c r="G56" i="11" l="1"/>
  <c r="G57" i="11" s="1"/>
  <c r="G60" i="11" s="1"/>
  <c r="G74" i="11" s="1"/>
  <c r="H106" i="7" l="1"/>
  <c r="H100" i="7"/>
  <c r="H101" i="7"/>
  <c r="H86" i="7"/>
  <c r="H79" i="7"/>
  <c r="H32" i="7"/>
  <c r="H24" i="7"/>
  <c r="I100" i="7" l="1"/>
  <c r="I106" i="7"/>
  <c r="I86" i="7"/>
  <c r="I101" i="7"/>
  <c r="I79" i="7"/>
  <c r="E50" i="12"/>
  <c r="H50" i="12" s="1"/>
  <c r="K50" i="12" s="1"/>
  <c r="K85" i="7"/>
  <c r="K106" i="7"/>
  <c r="K101" i="7"/>
  <c r="K100" i="7"/>
  <c r="K79" i="7"/>
  <c r="K86" i="7"/>
  <c r="K24" i="7"/>
  <c r="I32" i="7"/>
  <c r="K32" i="7"/>
  <c r="I24" i="7"/>
  <c r="S41" i="11" s="1"/>
  <c r="R41" i="11" s="1"/>
  <c r="K84" i="7" l="1"/>
  <c r="H12" i="7" l="1"/>
  <c r="I12" i="7" s="1"/>
  <c r="H85" i="7"/>
  <c r="I85" i="7" s="1"/>
  <c r="H22" i="7" l="1"/>
  <c r="I22" i="7" s="1"/>
  <c r="E38" i="11" s="1"/>
  <c r="I38" i="11" s="1"/>
  <c r="H59" i="7"/>
  <c r="I59" i="7" s="1"/>
  <c r="E55" i="11" s="1"/>
  <c r="H84" i="7"/>
  <c r="I84" i="7" s="1"/>
  <c r="E53" i="12" s="1"/>
  <c r="H53" i="12" s="1"/>
  <c r="K53" i="12" s="1"/>
  <c r="C121" i="7"/>
  <c r="A121" i="7"/>
  <c r="C116" i="7"/>
  <c r="A116" i="7"/>
  <c r="C115" i="7"/>
  <c r="A115" i="7"/>
  <c r="C114" i="7"/>
  <c r="A114" i="7"/>
  <c r="C105" i="7"/>
  <c r="A105" i="7"/>
  <c r="C104" i="7"/>
  <c r="A104" i="7"/>
  <c r="C103" i="7"/>
  <c r="A103" i="7"/>
  <c r="C102" i="7"/>
  <c r="A102" i="7"/>
  <c r="C99" i="7"/>
  <c r="A99" i="7"/>
  <c r="C98" i="7"/>
  <c r="A98" i="7"/>
  <c r="C97" i="7"/>
  <c r="A97" i="7"/>
  <c r="C96" i="7"/>
  <c r="A96" i="7"/>
  <c r="C95" i="7"/>
  <c r="A95" i="7"/>
  <c r="C94" i="7"/>
  <c r="A94" i="7"/>
  <c r="C93" i="7"/>
  <c r="A93" i="7"/>
  <c r="C92" i="7"/>
  <c r="A92" i="7"/>
  <c r="C91" i="7"/>
  <c r="A91" i="7"/>
  <c r="C90" i="7"/>
  <c r="A90" i="7"/>
  <c r="C88" i="7"/>
  <c r="A88" i="7"/>
  <c r="C87" i="7"/>
  <c r="A87" i="7"/>
  <c r="C83" i="7"/>
  <c r="A83" i="7"/>
  <c r="C80" i="7"/>
  <c r="A80" i="7"/>
  <c r="C78" i="7"/>
  <c r="A78" i="7"/>
  <c r="C77" i="7"/>
  <c r="A77" i="7"/>
  <c r="C76" i="7"/>
  <c r="A76" i="7"/>
  <c r="C75" i="7"/>
  <c r="A75" i="7"/>
  <c r="C74" i="7"/>
  <c r="A74" i="7"/>
  <c r="C70" i="7"/>
  <c r="A70" i="7"/>
  <c r="C69" i="7"/>
  <c r="A69" i="7"/>
  <c r="C68" i="7"/>
  <c r="A68" i="7"/>
  <c r="C67" i="7"/>
  <c r="A67" i="7"/>
  <c r="C66" i="7"/>
  <c r="A66" i="7"/>
  <c r="C65" i="7"/>
  <c r="A65" i="7"/>
  <c r="C64" i="7"/>
  <c r="A64" i="7"/>
  <c r="C63" i="7"/>
  <c r="A63" i="7"/>
  <c r="C58" i="7"/>
  <c r="A58" i="7"/>
  <c r="C57" i="7"/>
  <c r="A57" i="7"/>
  <c r="C56" i="7"/>
  <c r="A56" i="7"/>
  <c r="C55" i="7"/>
  <c r="A55" i="7"/>
  <c r="C31" i="7"/>
  <c r="A31" i="7"/>
  <c r="C30" i="7"/>
  <c r="A30" i="7"/>
  <c r="C29" i="7"/>
  <c r="A29" i="7"/>
  <c r="C28" i="7"/>
  <c r="A28" i="7"/>
  <c r="C23" i="7"/>
  <c r="A23" i="7"/>
  <c r="C19" i="7"/>
  <c r="A19" i="7"/>
  <c r="C18" i="7"/>
  <c r="A18" i="7"/>
  <c r="C17" i="7"/>
  <c r="A17" i="7"/>
  <c r="C15" i="7"/>
  <c r="A15" i="7"/>
  <c r="C14" i="7"/>
  <c r="A14" i="7"/>
  <c r="C13" i="7"/>
  <c r="A13" i="7"/>
  <c r="C10" i="7"/>
  <c r="A10" i="7"/>
  <c r="C8" i="7"/>
  <c r="A8" i="7"/>
  <c r="C7" i="7"/>
  <c r="A7" i="7"/>
  <c r="C6" i="7"/>
  <c r="A6" i="7"/>
  <c r="C5" i="7"/>
  <c r="A5" i="7"/>
  <c r="C4" i="7"/>
  <c r="A4" i="7"/>
  <c r="C3" i="7"/>
  <c r="A3" i="7"/>
  <c r="C2" i="7"/>
  <c r="A2" i="7"/>
  <c r="I55" i="11" l="1"/>
  <c r="E80" i="11"/>
  <c r="K29" i="7"/>
  <c r="K30" i="7"/>
  <c r="K31" i="7"/>
  <c r="K55" i="7"/>
  <c r="K56" i="7"/>
  <c r="K57" i="7"/>
  <c r="K58" i="7"/>
  <c r="K63" i="7"/>
  <c r="K64" i="7"/>
  <c r="K65" i="7"/>
  <c r="K66" i="7"/>
  <c r="K67" i="7"/>
  <c r="K68" i="7"/>
  <c r="K69" i="7"/>
  <c r="K70" i="7"/>
  <c r="K74" i="7"/>
  <c r="K75" i="7"/>
  <c r="K76" i="7"/>
  <c r="K77" i="7"/>
  <c r="K78" i="7"/>
  <c r="K80" i="7"/>
  <c r="K83" i="7"/>
  <c r="K87" i="7"/>
  <c r="K88" i="7"/>
  <c r="K90" i="7"/>
  <c r="K91" i="7"/>
  <c r="K92" i="7"/>
  <c r="K93" i="7"/>
  <c r="K94" i="7"/>
  <c r="K95" i="7"/>
  <c r="K96" i="7"/>
  <c r="K97" i="7"/>
  <c r="K98" i="7"/>
  <c r="K99" i="7"/>
  <c r="K102" i="7"/>
  <c r="K103" i="7"/>
  <c r="K104" i="7"/>
  <c r="K105" i="7"/>
  <c r="K114" i="7"/>
  <c r="K115" i="7"/>
  <c r="K116" i="7"/>
  <c r="K121" i="7"/>
  <c r="D123" i="7" l="1"/>
  <c r="D135" i="7"/>
  <c r="K19" i="7" l="1"/>
  <c r="K5" i="7"/>
  <c r="K10" i="7"/>
  <c r="E39" i="6" l="1"/>
  <c r="E31" i="8"/>
  <c r="I31" i="8" s="1"/>
  <c r="H2" i="7"/>
  <c r="I2" i="7" s="1"/>
  <c r="H8" i="7"/>
  <c r="I8" i="7" s="1"/>
  <c r="H17" i="7"/>
  <c r="I17" i="7" s="1"/>
  <c r="H30" i="7"/>
  <c r="I30" i="7" s="1"/>
  <c r="H57" i="7"/>
  <c r="I57" i="7" s="1"/>
  <c r="H67" i="7"/>
  <c r="I67" i="7" s="1"/>
  <c r="H76" i="7"/>
  <c r="I76" i="7" s="1"/>
  <c r="H87" i="7"/>
  <c r="I87" i="7" s="1"/>
  <c r="H94" i="7"/>
  <c r="I94" i="7" s="1"/>
  <c r="H99" i="7"/>
  <c r="I99" i="7" s="1"/>
  <c r="E21" i="11"/>
  <c r="I21" i="11" s="1"/>
  <c r="H69" i="7"/>
  <c r="I69" i="7" s="1"/>
  <c r="H90" i="7"/>
  <c r="I90" i="7" s="1"/>
  <c r="E52" i="12" s="1"/>
  <c r="H52" i="12" s="1"/>
  <c r="K52" i="12" s="1"/>
  <c r="H114" i="7"/>
  <c r="I114" i="7" s="1"/>
  <c r="H14" i="7"/>
  <c r="I14" i="7" s="1"/>
  <c r="H55" i="7"/>
  <c r="H83" i="7"/>
  <c r="I83" i="7" s="1"/>
  <c r="E39" i="12" s="1"/>
  <c r="H97" i="7"/>
  <c r="I97" i="7" s="1"/>
  <c r="E29" i="12" s="1"/>
  <c r="H29" i="12" s="1"/>
  <c r="K29" i="12" s="1"/>
  <c r="H75" i="7"/>
  <c r="I75" i="7" s="1"/>
  <c r="H98" i="7"/>
  <c r="H3" i="7"/>
  <c r="I3" i="7" s="1"/>
  <c r="H10" i="7"/>
  <c r="I10" i="7" s="1"/>
  <c r="E25" i="11" s="1"/>
  <c r="H18" i="7"/>
  <c r="I18" i="7" s="1"/>
  <c r="H28" i="7"/>
  <c r="I28" i="7" s="1"/>
  <c r="H29" i="7"/>
  <c r="I29" i="7" s="1"/>
  <c r="G39" i="6"/>
  <c r="H58" i="7"/>
  <c r="I58" i="7" s="1"/>
  <c r="H68" i="7"/>
  <c r="I68" i="7" s="1"/>
  <c r="H77" i="7"/>
  <c r="I77" i="7" s="1"/>
  <c r="H88" i="7"/>
  <c r="I88" i="7" s="1"/>
  <c r="H4" i="7"/>
  <c r="I4" i="7" s="1"/>
  <c r="H19" i="7"/>
  <c r="I19" i="7" s="1"/>
  <c r="H63" i="7"/>
  <c r="H78" i="7"/>
  <c r="I78" i="7" s="1"/>
  <c r="H95" i="7"/>
  <c r="I95" i="7" s="1"/>
  <c r="E58" i="12" s="1"/>
  <c r="H58" i="12" s="1"/>
  <c r="K58" i="12" s="1"/>
  <c r="H102" i="7"/>
  <c r="I102" i="7" s="1"/>
  <c r="H31" i="7"/>
  <c r="I31" i="7" s="1"/>
  <c r="H65" i="7"/>
  <c r="I65" i="7" s="1"/>
  <c r="H92" i="7"/>
  <c r="I92" i="7" s="1"/>
  <c r="H104" i="7"/>
  <c r="I104" i="7" s="1"/>
  <c r="H7" i="7"/>
  <c r="I7" i="7" s="1"/>
  <c r="H66" i="7"/>
  <c r="I66" i="7" s="1"/>
  <c r="H93" i="7"/>
  <c r="I93" i="7" s="1"/>
  <c r="H105" i="7"/>
  <c r="I105" i="7" s="1"/>
  <c r="H13" i="7"/>
  <c r="I13" i="7" s="1"/>
  <c r="H23" i="7"/>
  <c r="I23" i="7" s="1"/>
  <c r="H64" i="7"/>
  <c r="I64" i="7" s="1"/>
  <c r="H70" i="7"/>
  <c r="I70" i="7" s="1"/>
  <c r="H80" i="7"/>
  <c r="I80" i="7" s="1"/>
  <c r="E41" i="12" s="1"/>
  <c r="H41" i="12" s="1"/>
  <c r="K41" i="12" s="1"/>
  <c r="H91" i="7"/>
  <c r="I91" i="7" s="1"/>
  <c r="E51" i="12" s="1"/>
  <c r="H51" i="12" s="1"/>
  <c r="K51" i="12" s="1"/>
  <c r="H96" i="7"/>
  <c r="I96" i="7" s="1"/>
  <c r="H115" i="7"/>
  <c r="I115" i="7" s="1"/>
  <c r="H6" i="7"/>
  <c r="I6" i="7" s="1"/>
  <c r="H74" i="7"/>
  <c r="I74" i="7" s="1"/>
  <c r="H116" i="7"/>
  <c r="I116" i="7" s="1"/>
  <c r="H15" i="7"/>
  <c r="I15" i="7" s="1"/>
  <c r="H56" i="7"/>
  <c r="I56" i="7" s="1"/>
  <c r="H121" i="7"/>
  <c r="I121" i="7" s="1"/>
  <c r="H5" i="7"/>
  <c r="I5" i="7" s="1"/>
  <c r="G32" i="4"/>
  <c r="E32" i="4"/>
  <c r="G27" i="4"/>
  <c r="E27" i="4"/>
  <c r="G23" i="4"/>
  <c r="E22" i="4"/>
  <c r="E23" i="4" s="1"/>
  <c r="K7" i="4"/>
  <c r="E11" i="4" s="1"/>
  <c r="B6" i="4"/>
  <c r="F71" i="8"/>
  <c r="E71" i="8"/>
  <c r="I71" i="8" s="1"/>
  <c r="F61" i="8"/>
  <c r="E61" i="8"/>
  <c r="I61" i="8" s="1"/>
  <c r="F45" i="8"/>
  <c r="E45" i="8"/>
  <c r="I45" i="8" s="1"/>
  <c r="F44" i="8"/>
  <c r="E44" i="8"/>
  <c r="I44" i="8" s="1"/>
  <c r="F43" i="8"/>
  <c r="E43" i="8"/>
  <c r="I43" i="8" s="1"/>
  <c r="F40" i="8"/>
  <c r="E40" i="8"/>
  <c r="I40" i="8" s="1"/>
  <c r="F32" i="8"/>
  <c r="E32" i="8"/>
  <c r="I32" i="8" s="1"/>
  <c r="F30" i="8"/>
  <c r="E30" i="8"/>
  <c r="I30" i="8" s="1"/>
  <c r="F20" i="8"/>
  <c r="E20" i="8"/>
  <c r="F19" i="8"/>
  <c r="E19" i="8"/>
  <c r="F18" i="8"/>
  <c r="E18" i="8"/>
  <c r="E12" i="8"/>
  <c r="F12" i="8" s="1"/>
  <c r="B6" i="8"/>
  <c r="G42" i="6"/>
  <c r="E42" i="6"/>
  <c r="G37" i="6"/>
  <c r="E37" i="6"/>
  <c r="G18" i="6"/>
  <c r="E18" i="6"/>
  <c r="I7" i="6"/>
  <c r="B6" i="6"/>
  <c r="H55" i="5"/>
  <c r="G55" i="5"/>
  <c r="H37" i="5"/>
  <c r="G37" i="5"/>
  <c r="E30" i="5"/>
  <c r="I63" i="7" l="1"/>
  <c r="S39" i="11"/>
  <c r="R39" i="11" s="1"/>
  <c r="I25" i="11"/>
  <c r="E11" i="6"/>
  <c r="G11" i="6"/>
  <c r="H39" i="12"/>
  <c r="K39" i="12" s="1"/>
  <c r="K47" i="12" s="1"/>
  <c r="E40" i="11"/>
  <c r="I40" i="11" s="1"/>
  <c r="E56" i="12"/>
  <c r="H56" i="12" s="1"/>
  <c r="K56" i="12" s="1"/>
  <c r="E60" i="12"/>
  <c r="H60" i="12" s="1"/>
  <c r="K60" i="12" s="1"/>
  <c r="E20" i="11"/>
  <c r="I20" i="11" s="1"/>
  <c r="E26" i="11"/>
  <c r="E28" i="11" s="1"/>
  <c r="F31" i="8"/>
  <c r="E31" i="12"/>
  <c r="H31" i="12" s="1"/>
  <c r="K31" i="12" s="1"/>
  <c r="E34" i="12"/>
  <c r="H34" i="12" s="1"/>
  <c r="K34" i="12" s="1"/>
  <c r="E54" i="12"/>
  <c r="H54" i="12" s="1"/>
  <c r="K54" i="12" s="1"/>
  <c r="E17" i="11"/>
  <c r="E28" i="12"/>
  <c r="E69" i="12"/>
  <c r="H69" i="12" s="1"/>
  <c r="K69" i="12" s="1"/>
  <c r="E37" i="11"/>
  <c r="I37" i="11" s="1"/>
  <c r="I55" i="7"/>
  <c r="E39" i="11" s="1"/>
  <c r="I39" i="11" s="1"/>
  <c r="H103" i="7"/>
  <c r="I103" i="7" s="1"/>
  <c r="E64" i="12" s="1"/>
  <c r="H64" i="12" s="1"/>
  <c r="K64" i="12" s="1"/>
  <c r="I98" i="7"/>
  <c r="E41" i="8"/>
  <c r="I41" i="8" s="1"/>
  <c r="F41" i="8"/>
  <c r="F39" i="8"/>
  <c r="E39" i="8"/>
  <c r="I39" i="8" s="1"/>
  <c r="G41" i="6"/>
  <c r="G17" i="6"/>
  <c r="E38" i="8"/>
  <c r="I38" i="8" s="1"/>
  <c r="E55" i="6"/>
  <c r="E54" i="6"/>
  <c r="E47" i="6"/>
  <c r="E34" i="4"/>
  <c r="G34" i="4"/>
  <c r="G38" i="4" s="1"/>
  <c r="F38" i="8"/>
  <c r="G54" i="6"/>
  <c r="G55" i="6"/>
  <c r="G26" i="6"/>
  <c r="E2" i="7"/>
  <c r="G47" i="6"/>
  <c r="F21" i="8"/>
  <c r="H16" i="5" s="1"/>
  <c r="E21" i="8"/>
  <c r="G16" i="5" s="1"/>
  <c r="H28" i="12" l="1"/>
  <c r="K28" i="12" s="1"/>
  <c r="I42" i="11"/>
  <c r="E22" i="11"/>
  <c r="I17" i="11"/>
  <c r="I22" i="11" s="1"/>
  <c r="I26" i="11"/>
  <c r="I28" i="11" s="1"/>
  <c r="E42" i="11"/>
  <c r="F15" i="8"/>
  <c r="H15" i="5" s="1"/>
  <c r="H17" i="5" s="1"/>
  <c r="E57" i="12"/>
  <c r="E15" i="8"/>
  <c r="G15" i="5" s="1"/>
  <c r="G17" i="5" s="1"/>
  <c r="E51" i="8"/>
  <c r="I51" i="8" s="1"/>
  <c r="E57" i="8"/>
  <c r="I57" i="8" s="1"/>
  <c r="E55" i="8"/>
  <c r="I55" i="8" s="1"/>
  <c r="E54" i="8"/>
  <c r="I54" i="8" s="1"/>
  <c r="E52" i="8"/>
  <c r="I52" i="8" s="1"/>
  <c r="E42" i="8"/>
  <c r="I42" i="8" s="1"/>
  <c r="E22" i="6"/>
  <c r="E51" i="6"/>
  <c r="E17" i="6"/>
  <c r="E56" i="8"/>
  <c r="I56" i="8" s="1"/>
  <c r="E50" i="8"/>
  <c r="I50" i="8" s="1"/>
  <c r="E41" i="6"/>
  <c r="E53" i="8"/>
  <c r="I53" i="8" s="1"/>
  <c r="E29" i="8"/>
  <c r="I29" i="8" s="1"/>
  <c r="G51" i="6"/>
  <c r="F53" i="8"/>
  <c r="F2" i="7"/>
  <c r="F29" i="8"/>
  <c r="F57" i="8"/>
  <c r="F51" i="8"/>
  <c r="F42" i="8"/>
  <c r="F54" i="8"/>
  <c r="F50" i="8"/>
  <c r="G22" i="6"/>
  <c r="G123" i="7"/>
  <c r="K6" i="7"/>
  <c r="K17" i="7"/>
  <c r="K4" i="7"/>
  <c r="K28" i="7"/>
  <c r="K13" i="7"/>
  <c r="K18" i="7"/>
  <c r="K15" i="7"/>
  <c r="K8" i="7"/>
  <c r="K2" i="7"/>
  <c r="K7" i="7"/>
  <c r="F56" i="8"/>
  <c r="F52" i="8"/>
  <c r="F55" i="8"/>
  <c r="K23" i="7"/>
  <c r="K14" i="7"/>
  <c r="E46" i="6"/>
  <c r="E48" i="6" s="1"/>
  <c r="G46" i="6"/>
  <c r="G48" i="6" s="1"/>
  <c r="C3" i="16" l="1"/>
  <c r="C4" i="16"/>
  <c r="C5" i="16"/>
  <c r="C6" i="16"/>
  <c r="E31" i="11"/>
  <c r="H57" i="12"/>
  <c r="K57" i="12" s="1"/>
  <c r="I31" i="11"/>
  <c r="F23" i="8"/>
  <c r="E23" i="8"/>
  <c r="E26" i="6"/>
  <c r="E58" i="8"/>
  <c r="F34" i="8"/>
  <c r="F28" i="8"/>
  <c r="E28" i="8"/>
  <c r="I28" i="8" s="1"/>
  <c r="F58" i="8"/>
  <c r="K3" i="7"/>
  <c r="G19" i="6"/>
  <c r="G40" i="6"/>
  <c r="E19" i="6"/>
  <c r="F49" i="8"/>
  <c r="E62" i="8"/>
  <c r="I62" i="8" s="1"/>
  <c r="E34" i="8"/>
  <c r="I34" i="8" s="1"/>
  <c r="E27" i="6"/>
  <c r="E56" i="6"/>
  <c r="E16" i="6"/>
  <c r="G56" i="6"/>
  <c r="G52" i="6"/>
  <c r="F62" i="8"/>
  <c r="E49" i="8"/>
  <c r="I49" i="8" s="1"/>
  <c r="E40" i="6"/>
  <c r="E67" i="8"/>
  <c r="I67" i="8" s="1"/>
  <c r="E38" i="6"/>
  <c r="F67" i="8"/>
  <c r="G27" i="6"/>
  <c r="G29" i="6" s="1"/>
  <c r="E52" i="6"/>
  <c r="G38" i="6"/>
  <c r="G16" i="6"/>
  <c r="H30" i="5" s="1"/>
  <c r="I58" i="8" l="1"/>
  <c r="C7" i="16"/>
  <c r="C8" i="16"/>
  <c r="E29" i="6"/>
  <c r="G43" i="6"/>
  <c r="E23" i="6"/>
  <c r="G30" i="5"/>
  <c r="E43" i="6"/>
  <c r="G23" i="6"/>
  <c r="G32" i="6" s="1"/>
  <c r="C9" i="16" l="1"/>
  <c r="C13" i="16" s="1"/>
  <c r="D35" i="10" s="1"/>
  <c r="E35" i="10" s="1"/>
  <c r="H110" i="7" s="1"/>
  <c r="I110" i="7" s="1"/>
  <c r="E32" i="6"/>
  <c r="I35" i="10" l="1"/>
  <c r="E109" i="7" s="1"/>
  <c r="F109" i="7" s="1"/>
  <c r="E60" i="8" s="1"/>
  <c r="I60" i="8" s="1"/>
  <c r="E110" i="7"/>
  <c r="F110" i="7" s="1"/>
  <c r="E33" i="8" s="1"/>
  <c r="I33" i="8" s="1"/>
  <c r="J35" i="10"/>
  <c r="H109" i="7" s="1"/>
  <c r="F33" i="8"/>
  <c r="F35" i="8" s="1"/>
  <c r="H20" i="5" s="1"/>
  <c r="E33" i="12"/>
  <c r="F46" i="8"/>
  <c r="E46" i="8"/>
  <c r="I46" i="8" s="1"/>
  <c r="I109" i="7" l="1"/>
  <c r="I123" i="7" s="1"/>
  <c r="H125" i="7"/>
  <c r="E35" i="8"/>
  <c r="I35" i="8" s="1"/>
  <c r="E125" i="7"/>
  <c r="F125" i="7"/>
  <c r="E123" i="7"/>
  <c r="F123" i="7"/>
  <c r="H123" i="7"/>
  <c r="E63" i="8"/>
  <c r="H33" i="12"/>
  <c r="K33" i="12" s="1"/>
  <c r="K35" i="12" s="1"/>
  <c r="E35" i="12"/>
  <c r="G21" i="5"/>
  <c r="H21" i="5"/>
  <c r="E47" i="12"/>
  <c r="G20" i="5" l="1"/>
  <c r="I125" i="7"/>
  <c r="E61" i="12"/>
  <c r="F60" i="8"/>
  <c r="F63" i="8" s="1"/>
  <c r="E65" i="8"/>
  <c r="I65" i="8" s="1"/>
  <c r="I63" i="8"/>
  <c r="G22" i="5"/>
  <c r="H35" i="12"/>
  <c r="H47" i="12"/>
  <c r="G23" i="5" l="1"/>
  <c r="H22" i="5"/>
  <c r="F65" i="8"/>
  <c r="E76" i="8"/>
  <c r="I76" i="8" s="1"/>
  <c r="E69" i="8"/>
  <c r="I69" i="8" s="1"/>
  <c r="I86" i="8" s="1"/>
  <c r="H61" i="12"/>
  <c r="E65" i="12"/>
  <c r="E67" i="12" s="1"/>
  <c r="E71" i="12" s="1"/>
  <c r="E88" i="12" s="1"/>
  <c r="G25" i="5" l="1"/>
  <c r="G39" i="5" s="1"/>
  <c r="G42" i="5" s="1"/>
  <c r="E75" i="12"/>
  <c r="K61" i="12"/>
  <c r="K65" i="12" s="1"/>
  <c r="K67" i="12" s="1"/>
  <c r="H65" i="12"/>
  <c r="H67" i="12" s="1"/>
  <c r="H78" i="12" s="1"/>
  <c r="E78" i="12"/>
  <c r="E73" i="8"/>
  <c r="I73" i="8" s="1"/>
  <c r="F69" i="8"/>
  <c r="F76" i="8"/>
  <c r="H25" i="5" s="1"/>
  <c r="H39" i="5" s="1"/>
  <c r="H42" i="5" s="1"/>
  <c r="H23" i="5"/>
  <c r="H71" i="12" l="1"/>
  <c r="H88" i="12" s="1"/>
  <c r="J21" i="5"/>
  <c r="J20" i="5"/>
  <c r="F86" i="8"/>
  <c r="F73" i="8"/>
  <c r="E57" i="6"/>
  <c r="E58" i="6" s="1"/>
  <c r="E61" i="6" s="1"/>
  <c r="E75" i="6" s="1"/>
  <c r="K71" i="12"/>
  <c r="K78" i="12"/>
  <c r="J22" i="5"/>
  <c r="D74" i="13"/>
  <c r="D64" i="13"/>
  <c r="H75" i="12" l="1"/>
  <c r="K75" i="12"/>
  <c r="K88" i="12"/>
  <c r="E56" i="11"/>
  <c r="G57" i="6"/>
  <c r="G58" i="6" s="1"/>
  <c r="G61" i="6" s="1"/>
  <c r="G75" i="6" s="1"/>
  <c r="D71" i="13"/>
  <c r="D75" i="13" s="1"/>
  <c r="F4" i="13" s="1"/>
  <c r="I56" i="11" l="1"/>
  <c r="I57" i="11" s="1"/>
  <c r="E57" i="11"/>
  <c r="E60" i="11" s="1"/>
  <c r="E74" i="11" s="1"/>
  <c r="D76" i="13"/>
  <c r="F3" i="13"/>
  <c r="F66" i="13" s="1"/>
  <c r="F50" i="13"/>
  <c r="I60" i="11" l="1"/>
  <c r="I74" i="11" s="1"/>
  <c r="F64" i="13"/>
  <c r="U38" i="11"/>
  <c r="E6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</author>
  </authors>
  <commentList>
    <comment ref="E28" authorId="0" shapeId="0" xr:uid="{A7A6956D-7DAA-4BE4-81B4-3FB51B4D7411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כמות העובדים ירדה ברבעון 3 </t>
        </r>
      </text>
    </comment>
    <comment ref="I28" authorId="0" shapeId="0" xr:uid="{99674229-9E16-4765-AE1C-EF9B3C3E8FA3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פחות עובד וגם החזרי מילואים</t>
        </r>
      </text>
    </comment>
    <comment ref="N28" authorId="0" shapeId="0" xr:uid="{D57F56C8-C18F-435F-9EAD-2704F60C396F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כמות העובדים ירדה ברבעון 3 </t>
        </r>
      </text>
    </comment>
    <comment ref="Q28" authorId="0" shapeId="0" xr:uid="{C9E656DE-424F-452C-8E1E-11621552577E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כמות העובדים ירדה ברבעון השני </t>
        </r>
      </text>
    </comment>
    <comment ref="E29" authorId="0" shapeId="0" xr:uid="{B04B5CC0-6115-4FF7-9410-EC5CB5DD1315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בוצע ב 12/22 הפרשה ביתר </t>
        </r>
      </text>
    </comment>
    <comment ref="N29" authorId="0" shapeId="0" xr:uid="{5E99FF2F-1B44-45A9-8EF7-13CEA93E4D5A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בוצע ב 12/22 הפרשה ביתר </t>
        </r>
      </text>
    </comment>
    <comment ref="Q29" authorId="0" shapeId="0" xr:uid="{B497724C-2759-4933-BF72-7A827C44A520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בוצע ב 12/22 הפרשה ביתר </t>
        </r>
      </text>
    </comment>
    <comment ref="I49" authorId="0" shapeId="0" xr:uid="{2E37A575-3195-4FE4-9F0A-BCA2895D81B9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יעל היתה בכל הרבעון בחופשת לידה </t>
        </r>
      </text>
    </comment>
    <comment ref="I56" authorId="0" shapeId="0" xr:uid="{58768E09-0C24-409B-8AF2-83AA8E10F9EF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טעות במיון עם השיווק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</author>
  </authors>
  <commentList>
    <comment ref="R58" authorId="0" shapeId="0" xr:uid="{E6908F7C-E19D-46EA-82A9-78B25D2FC1FE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תשלום בבנק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</author>
  </authors>
  <commentList>
    <comment ref="E28" authorId="0" shapeId="0" xr:uid="{C08F3BA1-9A30-4BAF-861F-E764A60A3374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כמות העובדים ירדה ברבעון השני</t>
        </r>
      </text>
    </comment>
    <comment ref="E29" authorId="0" shapeId="0" xr:uid="{E92B7192-48AE-4E34-A9FA-F4D4E46471D1}">
      <text>
        <r>
          <rPr>
            <b/>
            <sz val="9"/>
            <color indexed="81"/>
            <rFont val="Tahoma"/>
            <family val="2"/>
          </rPr>
          <t>Adi:</t>
        </r>
        <r>
          <rPr>
            <sz val="9"/>
            <color indexed="81"/>
            <rFont val="Tahoma"/>
            <family val="2"/>
          </rPr>
          <t xml:space="preserve">
ביטול הפרשה שהיתה ב 12/22
הפרשה לא נכונה </t>
        </r>
      </text>
    </comment>
  </commentList>
</comments>
</file>

<file path=xl/sharedStrings.xml><?xml version="1.0" encoding="utf-8"?>
<sst xmlns="http://schemas.openxmlformats.org/spreadsheetml/2006/main" count="1273" uniqueCount="429">
  <si>
    <t>YTD</t>
  </si>
  <si>
    <t>Revenues</t>
  </si>
  <si>
    <t>Cost of revenues</t>
  </si>
  <si>
    <t>Gross profit</t>
  </si>
  <si>
    <t>Operating expenses</t>
  </si>
  <si>
    <t>Research and development-</t>
  </si>
  <si>
    <t>Sales and marketing-</t>
  </si>
  <si>
    <t>General and administrative-</t>
  </si>
  <si>
    <t>G&amp;A overhead</t>
  </si>
  <si>
    <t>Travel</t>
  </si>
  <si>
    <t>Marketing</t>
  </si>
  <si>
    <t xml:space="preserve">Advertising </t>
  </si>
  <si>
    <t>Insurance</t>
  </si>
  <si>
    <t>Rent (Inc. Tax)</t>
  </si>
  <si>
    <t>Maintenance</t>
  </si>
  <si>
    <t>Recruiting &amp; HR</t>
  </si>
  <si>
    <t xml:space="preserve">Overhead set off </t>
  </si>
  <si>
    <t>Total R&amp;D</t>
  </si>
  <si>
    <t>Total S&amp;M</t>
  </si>
  <si>
    <t>Total G&amp;A</t>
  </si>
  <si>
    <t>Total Operating Expenses</t>
  </si>
  <si>
    <t>Note</t>
  </si>
  <si>
    <t>(1)</t>
  </si>
  <si>
    <t>(2)</t>
  </si>
  <si>
    <t>(3)</t>
  </si>
  <si>
    <t>Notes</t>
  </si>
  <si>
    <t>ASSETS</t>
  </si>
  <si>
    <t>Current Assets</t>
  </si>
  <si>
    <t xml:space="preserve">Cash and cash equivalents </t>
  </si>
  <si>
    <t>Accounts receivable</t>
  </si>
  <si>
    <t>Prepaid expenses</t>
  </si>
  <si>
    <t>Other current assets</t>
  </si>
  <si>
    <t>Total current assets</t>
  </si>
  <si>
    <t>Property and Equipment, Net</t>
  </si>
  <si>
    <t xml:space="preserve">LIABILITIES AND SHAREHOLDERS' EQUITY </t>
  </si>
  <si>
    <t>Current Liabilities</t>
  </si>
  <si>
    <t>Short term loans</t>
  </si>
  <si>
    <t xml:space="preserve">Accounts payable </t>
  </si>
  <si>
    <t xml:space="preserve">Accrued expenses </t>
  </si>
  <si>
    <t>Other short term liabilities</t>
  </si>
  <si>
    <t>Total Current Liabilities</t>
  </si>
  <si>
    <t>Long Term Liabilities</t>
  </si>
  <si>
    <t>Total Long Term Liabilities</t>
  </si>
  <si>
    <t xml:space="preserve">Shareholders' Equity </t>
  </si>
  <si>
    <t>Accumulated deficit</t>
  </si>
  <si>
    <t>Profit (loss) this year</t>
  </si>
  <si>
    <t xml:space="preserve">Total Shareholders' Equity </t>
  </si>
  <si>
    <t>TOTAL ASSETS</t>
  </si>
  <si>
    <t xml:space="preserve">TOTAL LIABILITIES AND </t>
  </si>
  <si>
    <t xml:space="preserve">SHAREHOLDERS' EQUITY </t>
  </si>
  <si>
    <t>R&amp;D expenses</t>
  </si>
  <si>
    <t>S&amp;M expenses</t>
  </si>
  <si>
    <t>G&amp;A expenses</t>
  </si>
  <si>
    <t xml:space="preserve">PR </t>
  </si>
  <si>
    <t>EBITDA</t>
  </si>
  <si>
    <t>Cash Flow (K$)</t>
  </si>
  <si>
    <t>Cash Flows from Operating Activities</t>
  </si>
  <si>
    <t>Net Income (Loss)</t>
  </si>
  <si>
    <t>Adjustments to reconcile loss to net cash flow-</t>
  </si>
  <si>
    <t>Expenses not involving cash flow:</t>
  </si>
  <si>
    <t>Decrease (Increase) in Receivables</t>
  </si>
  <si>
    <t>Increase (Decrease) in Liabilities</t>
  </si>
  <si>
    <t>Depreciation</t>
  </si>
  <si>
    <t>Total Adjustments</t>
  </si>
  <si>
    <t>Net cash used in operating activities</t>
  </si>
  <si>
    <t>Purchase of fixed assets</t>
  </si>
  <si>
    <t>Net cash used in investment activities</t>
  </si>
  <si>
    <t>Cash Flows from Financing Activities</t>
  </si>
  <si>
    <t>Net cash provided by financing activities</t>
  </si>
  <si>
    <t>Issuance of share capital</t>
  </si>
  <si>
    <t>Increase (decrease) in cash</t>
  </si>
  <si>
    <t>Cash at beginning of period</t>
  </si>
  <si>
    <t>Cash at end of the period</t>
  </si>
  <si>
    <t>CAPEX</t>
  </si>
  <si>
    <t>Burn rate for period</t>
  </si>
  <si>
    <t>Head Count</t>
  </si>
  <si>
    <t>Total head count</t>
  </si>
  <si>
    <t>R&amp;D</t>
  </si>
  <si>
    <t>M&amp;S</t>
  </si>
  <si>
    <t>G&amp;A</t>
  </si>
  <si>
    <t>(*) EBITDA</t>
  </si>
  <si>
    <t xml:space="preserve">(*) Earnings Before Interest, Tax, Depreciation and Amortization </t>
  </si>
  <si>
    <t xml:space="preserve">Receipt of loans </t>
  </si>
  <si>
    <t xml:space="preserve">Cash Status as of </t>
  </si>
  <si>
    <t>Cost of sales</t>
  </si>
  <si>
    <t>Cogs Payroll and social benefits</t>
  </si>
  <si>
    <t>Allocation cogs</t>
  </si>
  <si>
    <t>Total Cost of revenues</t>
  </si>
  <si>
    <t>Travel R&amp;D</t>
  </si>
  <si>
    <t xml:space="preserve">Unaudited Consilidated Managerial Financial Report for the Month ended - </t>
  </si>
  <si>
    <t>Employee payables &amp; institutions</t>
  </si>
  <si>
    <t>Non current assets</t>
  </si>
  <si>
    <t>Total Non current assets</t>
  </si>
  <si>
    <t>IT&amp; communications</t>
  </si>
  <si>
    <t>Month ended</t>
  </si>
  <si>
    <t>Cogs</t>
  </si>
  <si>
    <t>Increase (Decrease) in deferred revenue</t>
  </si>
  <si>
    <t>Increase in restricted cash</t>
  </si>
  <si>
    <t xml:space="preserve">The above mentioned cash flow is based on unaudited ledger </t>
  </si>
  <si>
    <t>חשבון</t>
  </si>
  <si>
    <t>תאור החשבון</t>
  </si>
  <si>
    <t>יתרה בשקלים</t>
  </si>
  <si>
    <t>יתרה בדולרים</t>
  </si>
  <si>
    <t>Account Receivable-VAT+TAX</t>
  </si>
  <si>
    <t>Related party</t>
  </si>
  <si>
    <t>Severance, Net</t>
  </si>
  <si>
    <t>Legal &amp; Professional Services</t>
  </si>
  <si>
    <t>Salaries and social benefits - R&amp;D</t>
  </si>
  <si>
    <t>Salaries and social benefits - S&amp;M</t>
  </si>
  <si>
    <t>Salaries and social benefits - G&amp;A</t>
  </si>
  <si>
    <t>PL</t>
  </si>
  <si>
    <t>Other - G&amp;A</t>
  </si>
  <si>
    <t>AJE</t>
  </si>
  <si>
    <t>Total NIS</t>
  </si>
  <si>
    <t>Total USD</t>
  </si>
  <si>
    <t>Additional Entries</t>
  </si>
  <si>
    <t>Debit</t>
  </si>
  <si>
    <t>Credit</t>
  </si>
  <si>
    <t>Description</t>
  </si>
  <si>
    <t>Account #</t>
  </si>
  <si>
    <t>Account name</t>
  </si>
  <si>
    <t>₪</t>
  </si>
  <si>
    <t>$</t>
  </si>
  <si>
    <t>NIS</t>
  </si>
  <si>
    <t>USD</t>
  </si>
  <si>
    <t>בדיקה</t>
  </si>
  <si>
    <t>Share capital</t>
  </si>
  <si>
    <t>Additional paid-in capital</t>
  </si>
  <si>
    <t>Equity expenses</t>
  </si>
  <si>
    <t>Profit &amp; Loss Summary</t>
  </si>
  <si>
    <t xml:space="preserve">The above mentioned P&amp;L is based on unaudited ledger </t>
  </si>
  <si>
    <t>The above mentioned balance sheet is based on unaudited ledger</t>
  </si>
  <si>
    <t>Restricted cash</t>
  </si>
  <si>
    <t>Financial expenses (income)</t>
  </si>
  <si>
    <t>Income (loss) before taxes</t>
  </si>
  <si>
    <t>Tax expenses (income)</t>
  </si>
  <si>
    <t>Net Income (loss)</t>
  </si>
  <si>
    <t>Averge</t>
  </si>
  <si>
    <t>Monthly average Burn Rate(K$)</t>
  </si>
  <si>
    <t>Consultants S&amp;M</t>
  </si>
  <si>
    <t>Accounting &amp; Financial Services</t>
  </si>
  <si>
    <t xml:space="preserve">Unaudited Managerial Financial Report for the Month ended - </t>
  </si>
  <si>
    <t xml:space="preserve">Unaudited Managerial Financial Report as of - </t>
  </si>
  <si>
    <t>Other Long term liabilities</t>
  </si>
  <si>
    <t>IIA Expenses</t>
  </si>
  <si>
    <t>Car maintenance</t>
  </si>
  <si>
    <t>Welfare</t>
  </si>
  <si>
    <t>מדוח תמחיר</t>
  </si>
  <si>
    <t>מאזן</t>
  </si>
  <si>
    <t>הפרש</t>
  </si>
  <si>
    <t>בדיקת הוצ שכר</t>
  </si>
  <si>
    <t>Average Expenses for mont in the peroid</t>
  </si>
  <si>
    <t>Capital reserve</t>
  </si>
  <si>
    <t>סעיף;</t>
  </si>
  <si>
    <t>Subcontractors</t>
  </si>
  <si>
    <t>Other S&amp;M</t>
  </si>
  <si>
    <t>מתאים לבנק</t>
  </si>
  <si>
    <t>GetCtrl LTD</t>
  </si>
  <si>
    <t>Recrutment</t>
  </si>
  <si>
    <t xml:space="preserve">ביטוח </t>
  </si>
  <si>
    <t>מתאים לפקודת שכר\</t>
  </si>
  <si>
    <t>לשלם</t>
  </si>
  <si>
    <t>מראש</t>
  </si>
  <si>
    <t>UK Getctrl LTD</t>
  </si>
  <si>
    <t>אוטומט איט מלם תים בע"מ</t>
  </si>
  <si>
    <t>תוכנות מחשב R&amp;D</t>
  </si>
  <si>
    <t>ארנונה</t>
  </si>
  <si>
    <t>אירוח בחו"ל</t>
  </si>
  <si>
    <t>מתנות לעובדים</t>
  </si>
  <si>
    <t>אירועי חברה</t>
  </si>
  <si>
    <t>תוכנות מחשב GA</t>
  </si>
  <si>
    <t>אנגליה</t>
  </si>
  <si>
    <t>GPB</t>
  </si>
  <si>
    <t>Israel</t>
  </si>
  <si>
    <t>UK</t>
  </si>
  <si>
    <t>US</t>
  </si>
  <si>
    <t>Rent Deposit</t>
  </si>
  <si>
    <t>Prepayments</t>
  </si>
  <si>
    <t>Payroll Income Tax</t>
  </si>
  <si>
    <t>Pension</t>
  </si>
  <si>
    <t>Input VAT</t>
  </si>
  <si>
    <t>S&amp;M - Base Salary</t>
  </si>
  <si>
    <t>S&amp;M - Pension</t>
  </si>
  <si>
    <t>G&amp;A - Base Salary</t>
  </si>
  <si>
    <t>G&amp;A - National Insurance</t>
  </si>
  <si>
    <t>G&amp;A - Pension</t>
  </si>
  <si>
    <t>G&amp;A - Office Equipment And Miscellaneous</t>
  </si>
  <si>
    <t>G&amp;A - Legal Fees</t>
  </si>
  <si>
    <t>G&amp;A - Rent Expenses</t>
  </si>
  <si>
    <t>G&amp;A - Travel</t>
  </si>
  <si>
    <t>G&amp;A - Travel Abroad</t>
  </si>
  <si>
    <t>G&amp;A - Depreciation Expenses</t>
  </si>
  <si>
    <t>Finance - Exchange Rate Differences</t>
  </si>
  <si>
    <t>Travel G&amp;A</t>
  </si>
  <si>
    <t>Recrutment S&amp;M</t>
  </si>
  <si>
    <t xml:space="preserve">Unaudited Consolidated Managerial Financial Report as of - </t>
  </si>
  <si>
    <t xml:space="preserve">Unaudited Consolidated Managerial Financial Report for the Month ended - </t>
  </si>
  <si>
    <t>Consolidated</t>
  </si>
  <si>
    <t>יתרת רווח שנים קודמות</t>
  </si>
  <si>
    <t>Salary</t>
  </si>
  <si>
    <t>Employees Reimbursment</t>
  </si>
  <si>
    <t>Retained Earnings</t>
  </si>
  <si>
    <t>S&amp;M - Employer Taxes</t>
  </si>
  <si>
    <t>Finance - Bank Charges And Fees</t>
  </si>
  <si>
    <t>Finance - Interest</t>
  </si>
  <si>
    <t>Average Expenses for month in the peroid</t>
  </si>
  <si>
    <t>G&amp;A - Insurance</t>
  </si>
  <si>
    <t>G&amp;A - Refreshments</t>
  </si>
  <si>
    <t>עודפות 2021</t>
  </si>
  <si>
    <t>פחת נצבר</t>
  </si>
  <si>
    <t>LinkedIN -ש"ח</t>
  </si>
  <si>
    <t>תגמולי מילואים</t>
  </si>
  <si>
    <t>הכנסות ריבית</t>
  </si>
  <si>
    <t>הפרשים/קנסות מוסדות</t>
  </si>
  <si>
    <t xml:space="preserve">ספרים </t>
  </si>
  <si>
    <t>ארהב</t>
  </si>
  <si>
    <t>ישראל</t>
  </si>
  <si>
    <t>מטבע</t>
  </si>
  <si>
    <t xml:space="preserve">אנגליה ישראל </t>
  </si>
  <si>
    <t>אנגליה ארה"ב</t>
  </si>
  <si>
    <t xml:space="preserve">ישראל ארה"ב </t>
  </si>
  <si>
    <t>היתרה בלישט</t>
  </si>
  <si>
    <t>Related party Debit</t>
  </si>
  <si>
    <t>הכנסות מחשבונית עצמית</t>
  </si>
  <si>
    <t>קיזוז הכנסות מחשבונית עצמית</t>
  </si>
  <si>
    <t>הוצאות פרסום</t>
  </si>
  <si>
    <t>הוצ' מחשבונית עצמית ספקי חו"ל</t>
  </si>
  <si>
    <t xml:space="preserve">מתאים לדוח </t>
  </si>
  <si>
    <t>Deposit Account</t>
  </si>
  <si>
    <t>Credit Cards</t>
  </si>
  <si>
    <t>INVEST</t>
  </si>
  <si>
    <t>FullStory,Inc.</t>
  </si>
  <si>
    <t>COST+אנגליה שיווק</t>
  </si>
  <si>
    <t>COST + UK S&amp;M</t>
  </si>
  <si>
    <t xml:space="preserve">פחת </t>
  </si>
  <si>
    <t>COST + UK G&amp;A</t>
  </si>
  <si>
    <t>COST+אנגליה</t>
  </si>
  <si>
    <t>S&amp;M Cost plus revenue</t>
  </si>
  <si>
    <t>G&amp;A Cost plus revenue</t>
  </si>
  <si>
    <t>102 · Cash-Operating</t>
  </si>
  <si>
    <t>125 · Due from Getctrl Ltd Israel Sub</t>
  </si>
  <si>
    <t>126 · Due from Getctrl UK Ltd</t>
  </si>
  <si>
    <t>400 · Capital Stock</t>
  </si>
  <si>
    <t>410 · Equity Expenses</t>
  </si>
  <si>
    <t xml:space="preserve">השקעות שבוצעו השנה בבנק </t>
  </si>
  <si>
    <t xml:space="preserve">מחלקה: 000 - </t>
  </si>
  <si>
    <t>מספר</t>
  </si>
  <si>
    <t>שם העובד</t>
  </si>
  <si>
    <t>תשלומים</t>
  </si>
  <si>
    <t>תגמולי  מעסיק</t>
  </si>
  <si>
    <t>קרן השתלמות</t>
  </si>
  <si>
    <t>פצויים</t>
  </si>
  <si>
    <t>שונות</t>
  </si>
  <si>
    <t>ב.לאומי  מעסיק</t>
  </si>
  <si>
    <t>מס   מעסיקים</t>
  </si>
  <si>
    <t>מס שכר</t>
  </si>
  <si>
    <t>סה"כ עלות</t>
  </si>
  <si>
    <t>זמן עבודה לאורך השנה</t>
  </si>
  <si>
    <t>נחום אביב</t>
  </si>
  <si>
    <t xml:space="preserve"> </t>
  </si>
  <si>
    <t>RD</t>
  </si>
  <si>
    <t>המר ליאור</t>
  </si>
  <si>
    <t>GA</t>
  </si>
  <si>
    <t>יונגר זיו</t>
  </si>
  <si>
    <t>שולדנפרי יפית</t>
  </si>
  <si>
    <t>שלוסברג אליאן</t>
  </si>
  <si>
    <t>לכטמן ליטל</t>
  </si>
  <si>
    <t>לויטן סביאטוסלב אורי</t>
  </si>
  <si>
    <t>מור אורן</t>
  </si>
  <si>
    <t>רוטברג שרית</t>
  </si>
  <si>
    <t>קדרון תומר</t>
  </si>
  <si>
    <t>קליסקי אברהם יעקב</t>
  </si>
  <si>
    <t>ריבל ניקולאי</t>
  </si>
  <si>
    <t>חולוב ברנתן יעל</t>
  </si>
  <si>
    <t>שטרן גילי</t>
  </si>
  <si>
    <t>ברקאי זלדיס שי</t>
  </si>
  <si>
    <t xml:space="preserve">סך למחל. </t>
  </si>
  <si>
    <t>סה"כ לחברה</t>
  </si>
  <si>
    <t>שכר ל GA</t>
  </si>
  <si>
    <t xml:space="preserve">שכר הנהלה </t>
  </si>
  <si>
    <t xml:space="preserve">אלוקציה GA </t>
  </si>
  <si>
    <t>יתרות</t>
  </si>
  <si>
    <t>אחוז העמסת RD מתוך גיליון תמחיר מצטבר</t>
  </si>
  <si>
    <t>אלוקציות הוצאות RD</t>
  </si>
  <si>
    <t>אלוקציות הנהלה</t>
  </si>
  <si>
    <t>אלוקציות RD</t>
  </si>
  <si>
    <t xml:space="preserve">טופס פחת </t>
  </si>
  <si>
    <t xml:space="preserve">פרוט בפקודת יומן גיליון AJE , חסר לי הפרשה ל EY </t>
  </si>
  <si>
    <t xml:space="preserve">מתאים לספרי אנגליה </t>
  </si>
  <si>
    <t>עודפות 2022</t>
  </si>
  <si>
    <t>GETT ג'יטי גטאקסי</t>
  </si>
  <si>
    <t>Amazon.co.UK</t>
  </si>
  <si>
    <t>GBP-SKYPE.COM/GO/BILL Luxembourg</t>
  </si>
  <si>
    <t>HubSpot Ireland Ltd</t>
  </si>
  <si>
    <t>Nickolay Ribal</t>
  </si>
  <si>
    <t>Tricentis</t>
  </si>
  <si>
    <t>PRODUCTBOARD, INC</t>
  </si>
  <si>
    <t>LINKEDIN</t>
  </si>
  <si>
    <t>ATLASSIAN</t>
  </si>
  <si>
    <t>הפרשי התאמות</t>
  </si>
  <si>
    <t>Wise Bank GBP</t>
  </si>
  <si>
    <t>S&amp;M - Vacation Expenses</t>
  </si>
  <si>
    <t>G&amp;A - Fines and penalties</t>
  </si>
  <si>
    <t>השקעות ב 2023</t>
  </si>
  <si>
    <t xml:space="preserve">Capital note </t>
  </si>
  <si>
    <t>שטר הון USA GETCTRL</t>
  </si>
  <si>
    <t>נכס בגין תקן שכירות</t>
  </si>
  <si>
    <t>התחייבות בגין שכירות</t>
  </si>
  <si>
    <t>Other Long term Assets</t>
  </si>
  <si>
    <t>כ"א ויזה 9519 $</t>
  </si>
  <si>
    <t>סלקום</t>
  </si>
  <si>
    <t>יחסי ציבור</t>
  </si>
  <si>
    <t>ביטול הפרשה של אביב בן יוסף בסך 38 אלף ₪ - הם לא עובדים איתו יותר . בעיקורן לא הייתי צריכה לעשות הפרשה</t>
  </si>
  <si>
    <t>S&amp;M - Travel Abroad</t>
  </si>
  <si>
    <t>G&amp;A - Marketing</t>
  </si>
  <si>
    <t>סכום של 10 אלף השקעה התקבל ב 31/5/23 בח WISE וUSD חשבון ששייך לחברה באנגליה</t>
  </si>
  <si>
    <t>Wise Bank USD</t>
  </si>
  <si>
    <t>Q1 2023</t>
  </si>
  <si>
    <t>Q2 2023</t>
  </si>
  <si>
    <t>דורקם סהר</t>
  </si>
  <si>
    <t>NOTION LABS INC</t>
  </si>
  <si>
    <t>GITHUB</t>
  </si>
  <si>
    <t>נסיעות לחו"ל אביב נחום-8/23</t>
  </si>
  <si>
    <t>נסיעות לחו"ל אביב נחום-7/23</t>
  </si>
  <si>
    <t>Currency</t>
  </si>
  <si>
    <t>GBP</t>
  </si>
  <si>
    <t>Account Code</t>
  </si>
  <si>
    <t>Account</t>
  </si>
  <si>
    <t>Account Type</t>
  </si>
  <si>
    <t>Revenue</t>
  </si>
  <si>
    <t>200a</t>
  </si>
  <si>
    <t>Overhead</t>
  </si>
  <si>
    <t>G&amp;A - Audit and Accounting</t>
  </si>
  <si>
    <t>Consulting</t>
  </si>
  <si>
    <t>Entertainment-100% business</t>
  </si>
  <si>
    <t>477a</t>
  </si>
  <si>
    <t>477b</t>
  </si>
  <si>
    <t>479a</t>
  </si>
  <si>
    <t>Recruitment</t>
  </si>
  <si>
    <t>482a</t>
  </si>
  <si>
    <t>Subscriptions</t>
  </si>
  <si>
    <t>494a</t>
  </si>
  <si>
    <t>Bank Revaluations</t>
  </si>
  <si>
    <t>Expense</t>
  </si>
  <si>
    <t>Bank</t>
  </si>
  <si>
    <t>Cash Bank Deposits</t>
  </si>
  <si>
    <t>GetCtrl UK Ltd</t>
  </si>
  <si>
    <t>SVB GBP 20251475</t>
  </si>
  <si>
    <t>Current Asset</t>
  </si>
  <si>
    <t>Office Equipment</t>
  </si>
  <si>
    <t>Fixed Asset</t>
  </si>
  <si>
    <t>Less Accumulated Depreciation on Office Equipment</t>
  </si>
  <si>
    <t>Intercompany Israel</t>
  </si>
  <si>
    <t>Accounts Payable</t>
  </si>
  <si>
    <t>Current Liability</t>
  </si>
  <si>
    <t>Intercompany USA</t>
  </si>
  <si>
    <t>Equity</t>
  </si>
  <si>
    <t>GetCtrl UK Ltd USD HSBC</t>
  </si>
  <si>
    <t>In the bank</t>
  </si>
  <si>
    <t>In TB</t>
  </si>
  <si>
    <t>Diffrences</t>
  </si>
  <si>
    <t xml:space="preserve">Name of the bank </t>
  </si>
  <si>
    <t>IT Software and Consumables</t>
  </si>
  <si>
    <t>GetCtrl UK Ltd USD</t>
  </si>
  <si>
    <t>Q3 2023</t>
  </si>
  <si>
    <t>Q4 2023</t>
  </si>
  <si>
    <t>פקדון בנק לאומי $$</t>
  </si>
  <si>
    <t>Deposit</t>
  </si>
  <si>
    <t>ריט 1 בע"מ REIT1</t>
  </si>
  <si>
    <t>AMAZON.COM</t>
  </si>
  <si>
    <t>מיסאנו רוני</t>
  </si>
  <si>
    <t>אייל אדרעי בע"מ</t>
  </si>
  <si>
    <t>נסיעות לחו"ל אביב נחום-10/23</t>
  </si>
  <si>
    <t>עד דצמבר  2023</t>
  </si>
  <si>
    <t>ארנונה 11+12</t>
  </si>
  <si>
    <t>הוצ לשלם שינדלר 11+12</t>
  </si>
  <si>
    <t>Interest Income</t>
  </si>
  <si>
    <t>Cost of Goods Sold</t>
  </si>
  <si>
    <t>Charitable and Political Donations</t>
  </si>
  <si>
    <t>Unrealised Currency Gains</t>
  </si>
  <si>
    <t>Suspense</t>
  </si>
  <si>
    <t>GetCtrl UK Ltd  HSBC GPB</t>
  </si>
  <si>
    <t>עודפים מבוקרים 31.12.22</t>
  </si>
  <si>
    <t xml:space="preserve">בדיקת עודפים </t>
  </si>
  <si>
    <t>TB us 31.12.23</t>
  </si>
  <si>
    <t>תנועות בבנק</t>
  </si>
  <si>
    <t>חופשה והבאה מופ</t>
  </si>
  <si>
    <t>חופשה והבאה הנהלה</t>
  </si>
  <si>
    <t>Zenleads Inc (dba Apollo.io)</t>
  </si>
  <si>
    <t>LABS Camden Ltd</t>
  </si>
  <si>
    <t>הוכנס ב 31/10 נפרע ב 31/1/24</t>
  </si>
  <si>
    <t xml:space="preserve">בגין עובדת בשם יעל נמצאת בחופשת לידה  </t>
  </si>
  <si>
    <t xml:space="preserve">נייר פרוט </t>
  </si>
  <si>
    <t xml:space="preserve">הפרשה לספקים בחובה </t>
  </si>
  <si>
    <t xml:space="preserve">ללא תזוזה משנה שעברה </t>
  </si>
  <si>
    <t>מתאים דוחות 2022</t>
  </si>
  <si>
    <t>809 · Bank Charges</t>
  </si>
  <si>
    <t>849 · Legal and Accounting</t>
  </si>
  <si>
    <t>863 · Outside Service</t>
  </si>
  <si>
    <t>882 · State Franchise Tax</t>
  </si>
  <si>
    <t xml:space="preserve">מתאים לדוח שנה קודמת </t>
  </si>
  <si>
    <t>Total GPB</t>
  </si>
  <si>
    <t>COST + סכום בלישט 370484</t>
  </si>
  <si>
    <t>COST +סכום בלישט 218276</t>
  </si>
  <si>
    <t xml:space="preserve">הפרשי שער רק בדולרים </t>
  </si>
  <si>
    <t>All eepenses without finance</t>
  </si>
  <si>
    <t xml:space="preserve">Cost + Calculation </t>
  </si>
  <si>
    <t xml:space="preserve">S&amp;M expnses </t>
  </si>
  <si>
    <t xml:space="preserve">G&amp;A expnses </t>
  </si>
  <si>
    <t>Expenses with additional  cost +7% for S&amp;M</t>
  </si>
  <si>
    <t>Expenses with additional  cost +7% for G&amp;A</t>
  </si>
  <si>
    <t>Total payroll</t>
  </si>
  <si>
    <t>הפרשה לחופשה והבראה</t>
  </si>
  <si>
    <t xml:space="preserve">מתאים לנייר עבודה </t>
  </si>
  <si>
    <t>סכומים בלישט</t>
  </si>
  <si>
    <t>רוני מסיאנו 12-23</t>
  </si>
  <si>
    <t>Balance Sheet (K$)</t>
  </si>
  <si>
    <t>Direct Costs</t>
  </si>
  <si>
    <t>Medical Insurance</t>
  </si>
  <si>
    <t>Corporation Tax</t>
  </si>
  <si>
    <t>Intercompany USA.</t>
  </si>
  <si>
    <t>Deposit account- 0401</t>
  </si>
  <si>
    <t>Accounts Receivable</t>
  </si>
  <si>
    <t>Provision for Corporation Tax</t>
  </si>
  <si>
    <t>Deferred Tax</t>
  </si>
  <si>
    <t>Non-current Liability</t>
  </si>
  <si>
    <t>Capital - x,xxx Ordinary Shares</t>
  </si>
  <si>
    <t>Total</t>
  </si>
  <si>
    <t xml:space="preserve">זה בטעות לא נכנס לחישוב של COST + לא מהותי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</si>
</sst>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B1mmm\-yy"/>
    <numFmt numFmtId="167" formatCode="_ * #,##0_ ;_ * \-#,##0_ ;_ * &quot;-&quot;??_ ;_ @_ "/>
    <numFmt numFmtId="168" formatCode="#,##0\ ;\(#,##0\);\-\ \ \ \ ;"/>
    <numFmt numFmtId="169" formatCode="[$-409]d\-mmm\-yy;@"/>
    <numFmt numFmtId="170" formatCode="[$-409]dd\-mmm\-yy;@"/>
    <numFmt numFmtId="171" formatCode="#,##0.0\ ;\(#,##0.0\);\-\ \ \ \ "/>
    <numFmt numFmtId="172" formatCode="#,##0.00\ ;\(#,##0.00\);\-\ \ \ \ "/>
    <numFmt numFmtId="173" formatCode="#,##0.00;[Red]#,##0.00\-"/>
    <numFmt numFmtId="174" formatCode="0.0000"/>
    <numFmt numFmtId="175" formatCode="#,##0.0_ ;[Red]\-#,##0.0\ "/>
    <numFmt numFmtId="176" formatCode="#,##0.000000000000;[Red]#,##0.000000000000\-"/>
    <numFmt numFmtId="177" formatCode="#,##0.0;[Red]#,##0.0\-"/>
    <numFmt numFmtId="178" formatCode="#,##0.00_ ;[Red]\-#,##0.00\ "/>
    <numFmt numFmtId="179" formatCode="_-* #,##0_-;\-* #,##0_-;_-* &quot;-&quot;??_-;_-@_-"/>
    <numFmt numFmtId="180" formatCode="#,##0.00;\(#,##0.00\)"/>
    <numFmt numFmtId="181" formatCode="#,##0.00000000000"/>
  </numFmts>
  <fonts count="33">
    <font>
      <sz val="10"/>
      <name val="Arial"/>
      <charset val="177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9"/>
      <color theme="1"/>
      <name val="Arial"/>
      <family val="2"/>
      <charset val="177"/>
    </font>
    <font>
      <sz val="10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9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6" fillId="0" borderId="0"/>
    <xf numFmtId="0" fontId="7" fillId="0" borderId="0"/>
    <xf numFmtId="0" fontId="20" fillId="0" borderId="0"/>
    <xf numFmtId="43" fontId="7" fillId="0" borderId="0" applyFont="0" applyFill="0" applyBorder="0" applyAlignment="0" applyProtection="0"/>
    <xf numFmtId="0" fontId="5" fillId="0" borderId="0"/>
    <xf numFmtId="0" fontId="4" fillId="0" borderId="0"/>
    <xf numFmtId="0" fontId="7" fillId="0" borderId="0"/>
    <xf numFmtId="0" fontId="3" fillId="0" borderId="0"/>
    <xf numFmtId="0" fontId="2" fillId="0" borderId="0"/>
    <xf numFmtId="9" fontId="24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6" fillId="0" borderId="0"/>
  </cellStyleXfs>
  <cellXfs count="226">
    <xf numFmtId="0" fontId="0" fillId="0" borderId="0" xfId="0"/>
    <xf numFmtId="0" fontId="9" fillId="0" borderId="0" xfId="0" applyFont="1"/>
    <xf numFmtId="166" fontId="9" fillId="2" borderId="1" xfId="0" applyNumberFormat="1" applyFont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9" fillId="2" borderId="0" xfId="0" applyFont="1" applyFill="1" applyBorder="1" applyAlignment="1">
      <alignment horizontal="center"/>
    </xf>
    <xf numFmtId="0" fontId="0" fillId="0" borderId="0" xfId="0" applyFill="1"/>
    <xf numFmtId="0" fontId="9" fillId="0" borderId="0" xfId="0" applyFont="1" applyFill="1" applyBorder="1" applyAlignment="1">
      <alignment horizontal="center"/>
    </xf>
    <xf numFmtId="0" fontId="0" fillId="0" borderId="0" xfId="0" applyBorder="1"/>
    <xf numFmtId="167" fontId="11" fillId="0" borderId="0" xfId="2" applyNumberFormat="1" applyFont="1" applyFill="1" applyBorder="1" applyAlignment="1">
      <alignment horizontal="left"/>
    </xf>
    <xf numFmtId="168" fontId="8" fillId="0" borderId="4" xfId="1" applyNumberFormat="1" applyFont="1" applyBorder="1"/>
    <xf numFmtId="168" fontId="8" fillId="0" borderId="5" xfId="1" applyNumberFormat="1" applyFont="1" applyBorder="1"/>
    <xf numFmtId="168" fontId="8" fillId="0" borderId="6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Fill="1" applyBorder="1"/>
    <xf numFmtId="0" fontId="8" fillId="0" borderId="10" xfId="0" applyFont="1" applyBorder="1"/>
    <xf numFmtId="168" fontId="0" fillId="0" borderId="0" xfId="1" applyNumberFormat="1" applyFont="1" applyBorder="1"/>
    <xf numFmtId="167" fontId="0" fillId="0" borderId="0" xfId="1" applyNumberFormat="1" applyFont="1" applyBorder="1"/>
    <xf numFmtId="0" fontId="9" fillId="0" borderId="10" xfId="0" applyFont="1" applyBorder="1"/>
    <xf numFmtId="0" fontId="10" fillId="0" borderId="10" xfId="0" applyFont="1" applyBorder="1"/>
    <xf numFmtId="49" fontId="8" fillId="0" borderId="0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9" fillId="0" borderId="0" xfId="0" applyFont="1" applyBorder="1"/>
    <xf numFmtId="0" fontId="12" fillId="0" borderId="0" xfId="0" applyFont="1"/>
    <xf numFmtId="0" fontId="13" fillId="0" borderId="0" xfId="0" applyFont="1"/>
    <xf numFmtId="166" fontId="14" fillId="2" borderId="0" xfId="0" applyNumberFormat="1" applyFont="1" applyFill="1" applyAlignment="1">
      <alignment horizontal="centerContinuous"/>
    </xf>
    <xf numFmtId="168" fontId="7" fillId="0" borderId="0" xfId="1" applyNumberFormat="1" applyBorder="1"/>
    <xf numFmtId="167" fontId="7" fillId="0" borderId="0" xfId="1" applyNumberFormat="1" applyBorder="1"/>
    <xf numFmtId="169" fontId="9" fillId="2" borderId="0" xfId="0" applyNumberFormat="1" applyFont="1" applyFill="1" applyBorder="1" applyAlignment="1">
      <alignment horizontal="centerContinuous"/>
    </xf>
    <xf numFmtId="0" fontId="8" fillId="0" borderId="0" xfId="0" applyFont="1" applyBorder="1"/>
    <xf numFmtId="168" fontId="8" fillId="0" borderId="4" xfId="0" applyNumberFormat="1" applyFont="1" applyBorder="1"/>
    <xf numFmtId="168" fontId="7" fillId="0" borderId="5" xfId="1" applyNumberFormat="1" applyBorder="1"/>
    <xf numFmtId="0" fontId="0" fillId="0" borderId="15" xfId="0" applyBorder="1"/>
    <xf numFmtId="0" fontId="0" fillId="0" borderId="4" xfId="0" applyBorder="1"/>
    <xf numFmtId="168" fontId="0" fillId="0" borderId="0" xfId="0" applyNumberFormat="1" applyBorder="1"/>
    <xf numFmtId="0" fontId="14" fillId="0" borderId="0" xfId="0" applyFont="1"/>
    <xf numFmtId="0" fontId="14" fillId="0" borderId="12" xfId="0" applyFont="1" applyBorder="1"/>
    <xf numFmtId="0" fontId="14" fillId="0" borderId="13" xfId="0" applyFont="1" applyBorder="1"/>
    <xf numFmtId="170" fontId="14" fillId="0" borderId="13" xfId="0" applyNumberFormat="1" applyFont="1" applyBorder="1"/>
    <xf numFmtId="0" fontId="14" fillId="0" borderId="14" xfId="0" applyFont="1" applyBorder="1"/>
    <xf numFmtId="0" fontId="16" fillId="0" borderId="0" xfId="0" applyFont="1"/>
    <xf numFmtId="0" fontId="17" fillId="0" borderId="10" xfId="0" applyFont="1" applyBorder="1"/>
    <xf numFmtId="0" fontId="17" fillId="0" borderId="0" xfId="0" applyFont="1" applyBorder="1"/>
    <xf numFmtId="170" fontId="17" fillId="0" borderId="0" xfId="0" applyNumberFormat="1" applyFont="1" applyBorder="1"/>
    <xf numFmtId="0" fontId="12" fillId="0" borderId="0" xfId="0" applyFont="1" applyFill="1"/>
    <xf numFmtId="0" fontId="18" fillId="0" borderId="0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8" fillId="0" borderId="0" xfId="0" applyFont="1" applyBorder="1"/>
    <xf numFmtId="49" fontId="8" fillId="0" borderId="10" xfId="0" applyNumberFormat="1" applyFont="1" applyBorder="1" applyAlignment="1">
      <alignment horizontal="center"/>
    </xf>
    <xf numFmtId="0" fontId="18" fillId="0" borderId="0" xfId="0" applyFont="1" applyFill="1" applyBorder="1"/>
    <xf numFmtId="0" fontId="8" fillId="2" borderId="2" xfId="0" applyFont="1" applyFill="1" applyBorder="1" applyAlignment="1">
      <alignment horizontal="center"/>
    </xf>
    <xf numFmtId="171" fontId="0" fillId="0" borderId="0" xfId="0" applyNumberFormat="1" applyBorder="1"/>
    <xf numFmtId="172" fontId="0" fillId="0" borderId="0" xfId="0" applyNumberFormat="1" applyBorder="1"/>
    <xf numFmtId="0" fontId="18" fillId="0" borderId="0" xfId="5" applyFill="1" applyBorder="1"/>
    <xf numFmtId="0" fontId="18" fillId="0" borderId="0" xfId="5" applyBorder="1"/>
    <xf numFmtId="168" fontId="18" fillId="0" borderId="4" xfId="0" applyNumberFormat="1" applyFont="1" applyBorder="1"/>
    <xf numFmtId="166" fontId="14" fillId="0" borderId="0" xfId="0" applyNumberFormat="1" applyFont="1" applyFill="1" applyAlignment="1">
      <alignment horizontal="centerContinuous"/>
    </xf>
    <xf numFmtId="169" fontId="14" fillId="2" borderId="0" xfId="0" applyNumberFormat="1" applyFont="1" applyFill="1" applyBorder="1" applyAlignment="1">
      <alignment horizontal="left"/>
    </xf>
    <xf numFmtId="168" fontId="0" fillId="0" borderId="0" xfId="0" applyNumberFormat="1"/>
    <xf numFmtId="0" fontId="7" fillId="0" borderId="0" xfId="0" applyFont="1" applyBorder="1"/>
    <xf numFmtId="4" fontId="0" fillId="0" borderId="0" xfId="0" applyNumberFormat="1"/>
    <xf numFmtId="0" fontId="0" fillId="0" borderId="0" xfId="0" applyFont="1"/>
    <xf numFmtId="0" fontId="7" fillId="0" borderId="0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43" fontId="0" fillId="0" borderId="0" xfId="1" applyFont="1"/>
    <xf numFmtId="4" fontId="0" fillId="0" borderId="4" xfId="0" applyNumberFormat="1" applyBorder="1"/>
    <xf numFmtId="43" fontId="0" fillId="0" borderId="0" xfId="0" applyNumberFormat="1"/>
    <xf numFmtId="173" fontId="19" fillId="0" borderId="0" xfId="6" applyNumberFormat="1" applyFont="1" applyAlignment="1">
      <alignment horizontal="right" readingOrder="2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20" fillId="0" borderId="0" xfId="8"/>
    <xf numFmtId="0" fontId="20" fillId="0" borderId="0" xfId="8" applyFill="1" applyBorder="1"/>
    <xf numFmtId="0" fontId="12" fillId="0" borderId="0" xfId="7" applyFont="1"/>
    <xf numFmtId="167" fontId="20" fillId="0" borderId="0" xfId="8" applyNumberFormat="1"/>
    <xf numFmtId="0" fontId="9" fillId="2" borderId="1" xfId="7" applyFont="1" applyFill="1" applyBorder="1" applyAlignment="1">
      <alignment horizontal="centerContinuous"/>
    </xf>
    <xf numFmtId="0" fontId="9" fillId="2" borderId="2" xfId="7" applyFont="1" applyFill="1" applyBorder="1" applyAlignment="1">
      <alignment horizontal="centerContinuous"/>
    </xf>
    <xf numFmtId="0" fontId="9" fillId="2" borderId="3" xfId="7" applyFont="1" applyFill="1" applyBorder="1" applyAlignment="1">
      <alignment horizontal="centerContinuous"/>
    </xf>
    <xf numFmtId="0" fontId="9" fillId="2" borderId="16" xfId="7" applyFont="1" applyFill="1" applyBorder="1" applyAlignment="1">
      <alignment horizontal="center"/>
    </xf>
    <xf numFmtId="0" fontId="9" fillId="0" borderId="0" xfId="7" applyFont="1"/>
    <xf numFmtId="0" fontId="9" fillId="0" borderId="10" xfId="7" applyFont="1" applyBorder="1"/>
    <xf numFmtId="0" fontId="9" fillId="0" borderId="8" xfId="7" applyFont="1" applyBorder="1"/>
    <xf numFmtId="0" fontId="9" fillId="0" borderId="8" xfId="7" applyFont="1" applyBorder="1" applyAlignment="1">
      <alignment horizontal="center"/>
    </xf>
    <xf numFmtId="0" fontId="9" fillId="0" borderId="9" xfId="7" applyFont="1" applyBorder="1" applyAlignment="1">
      <alignment horizontal="center"/>
    </xf>
    <xf numFmtId="0" fontId="9" fillId="0" borderId="0" xfId="7" applyFont="1" applyBorder="1"/>
    <xf numFmtId="0" fontId="9" fillId="0" borderId="0" xfId="7" applyFont="1" applyBorder="1" applyAlignment="1">
      <alignment horizontal="center"/>
    </xf>
    <xf numFmtId="0" fontId="9" fillId="0" borderId="18" xfId="7" applyFont="1" applyFill="1" applyBorder="1"/>
    <xf numFmtId="0" fontId="0" fillId="0" borderId="10" xfId="7" applyFont="1" applyBorder="1"/>
    <xf numFmtId="0" fontId="0" fillId="0" borderId="0" xfId="7" applyFont="1" applyBorder="1"/>
    <xf numFmtId="0" fontId="0" fillId="0" borderId="11" xfId="7" applyFont="1" applyBorder="1"/>
    <xf numFmtId="0" fontId="20" fillId="0" borderId="0" xfId="8" applyBorder="1"/>
    <xf numFmtId="4" fontId="0" fillId="0" borderId="0" xfId="7" applyNumberFormat="1" applyFont="1" applyBorder="1"/>
    <xf numFmtId="0" fontId="20" fillId="0" borderId="19" xfId="8" applyFill="1" applyBorder="1"/>
    <xf numFmtId="43" fontId="0" fillId="0" borderId="0" xfId="1" applyFont="1" applyBorder="1"/>
    <xf numFmtId="43" fontId="0" fillId="0" borderId="11" xfId="1" applyFont="1" applyBorder="1"/>
    <xf numFmtId="167" fontId="0" fillId="0" borderId="0" xfId="9" applyNumberFormat="1" applyFont="1" applyFill="1" applyBorder="1"/>
    <xf numFmtId="0" fontId="0" fillId="0" borderId="0" xfId="7" applyFont="1" applyFill="1"/>
    <xf numFmtId="0" fontId="0" fillId="0" borderId="20" xfId="8" applyFont="1" applyFill="1" applyBorder="1"/>
    <xf numFmtId="0" fontId="20" fillId="0" borderId="0" xfId="8" applyFill="1"/>
    <xf numFmtId="0" fontId="9" fillId="0" borderId="11" xfId="7" applyFont="1" applyFill="1" applyBorder="1" applyAlignment="1">
      <alignment horizontal="center"/>
    </xf>
    <xf numFmtId="0" fontId="0" fillId="0" borderId="11" xfId="7" applyFont="1" applyFill="1" applyBorder="1"/>
    <xf numFmtId="0" fontId="0" fillId="0" borderId="12" xfId="7" applyFont="1" applyBorder="1"/>
    <xf numFmtId="43" fontId="0" fillId="0" borderId="13" xfId="1" applyFont="1" applyBorder="1"/>
    <xf numFmtId="43" fontId="0" fillId="0" borderId="11" xfId="7" applyNumberFormat="1" applyFont="1" applyFill="1" applyBorder="1"/>
    <xf numFmtId="0" fontId="0" fillId="0" borderId="13" xfId="7" applyFont="1" applyBorder="1"/>
    <xf numFmtId="43" fontId="0" fillId="6" borderId="0" xfId="0" applyNumberFormat="1" applyFill="1"/>
    <xf numFmtId="0" fontId="7" fillId="0" borderId="0" xfId="0" applyFont="1" applyFill="1"/>
    <xf numFmtId="0" fontId="0" fillId="0" borderId="10" xfId="0" applyFont="1" applyBorder="1"/>
    <xf numFmtId="0" fontId="0" fillId="0" borderId="0" xfId="0" applyFont="1" applyBorder="1"/>
    <xf numFmtId="0" fontId="19" fillId="0" borderId="10" xfId="0" applyFont="1" applyBorder="1"/>
    <xf numFmtId="168" fontId="22" fillId="0" borderId="6" xfId="4" applyNumberFormat="1" applyFont="1" applyFill="1" applyBorder="1"/>
    <xf numFmtId="14" fontId="7" fillId="4" borderId="1" xfId="8" applyNumberFormat="1" applyFont="1" applyFill="1" applyBorder="1"/>
    <xf numFmtId="0" fontId="7" fillId="0" borderId="0" xfId="8" applyFont="1"/>
    <xf numFmtId="14" fontId="0" fillId="0" borderId="0" xfId="0" applyNumberFormat="1"/>
    <xf numFmtId="4" fontId="0" fillId="3" borderId="0" xfId="0" applyNumberFormat="1" applyFill="1"/>
    <xf numFmtId="168" fontId="7" fillId="0" borderId="0" xfId="1" applyNumberFormat="1" applyFill="1" applyBorder="1"/>
    <xf numFmtId="174" fontId="21" fillId="5" borderId="17" xfId="12" applyNumberFormat="1" applyFont="1" applyFill="1" applyBorder="1" applyAlignment="1">
      <alignment wrapText="1"/>
    </xf>
    <xf numFmtId="173" fontId="19" fillId="0" borderId="0" xfId="13" applyNumberFormat="1" applyFont="1" applyAlignment="1">
      <alignment horizontal="right" readingOrder="2"/>
    </xf>
    <xf numFmtId="4" fontId="0" fillId="0" borderId="0" xfId="0" applyNumberFormat="1" applyFill="1"/>
    <xf numFmtId="168" fontId="0" fillId="0" borderId="0" xfId="1" applyNumberFormat="1" applyFont="1" applyFill="1" applyBorder="1"/>
    <xf numFmtId="43" fontId="0" fillId="0" borderId="0" xfId="1" applyFont="1" applyFill="1"/>
    <xf numFmtId="43" fontId="0" fillId="0" borderId="0" xfId="0" applyNumberFormat="1" applyFill="1"/>
    <xf numFmtId="0" fontId="7" fillId="0" borderId="0" xfId="0" applyFont="1" applyFill="1" applyBorder="1"/>
    <xf numFmtId="166" fontId="9" fillId="2" borderId="0" xfId="0" applyNumberFormat="1" applyFont="1" applyFill="1" applyBorder="1" applyAlignment="1">
      <alignment horizontal="center" wrapText="1"/>
    </xf>
    <xf numFmtId="166" fontId="9" fillId="2" borderId="0" xfId="0" applyNumberFormat="1" applyFont="1" applyFill="1" applyBorder="1" applyAlignment="1">
      <alignment horizontal="centerContinuous"/>
    </xf>
    <xf numFmtId="0" fontId="0" fillId="2" borderId="0" xfId="0" applyFill="1" applyBorder="1" applyAlignment="1">
      <alignment horizontal="centerContinuous"/>
    </xf>
    <xf numFmtId="168" fontId="8" fillId="0" borderId="0" xfId="1" applyNumberFormat="1" applyFont="1" applyBorder="1"/>
    <xf numFmtId="0" fontId="16" fillId="0" borderId="11" xfId="0" applyFont="1" applyBorder="1"/>
    <xf numFmtId="0" fontId="8" fillId="0" borderId="13" xfId="0" applyFont="1" applyBorder="1"/>
    <xf numFmtId="168" fontId="8" fillId="0" borderId="13" xfId="1" applyNumberFormat="1" applyFont="1" applyBorder="1"/>
    <xf numFmtId="43" fontId="0" fillId="3" borderId="0" xfId="1" applyFont="1" applyFill="1" applyBorder="1"/>
    <xf numFmtId="43" fontId="0" fillId="0" borderId="14" xfId="1" applyFont="1" applyFill="1" applyBorder="1"/>
    <xf numFmtId="4" fontId="0" fillId="0" borderId="13" xfId="7" applyNumberFormat="1" applyFont="1" applyBorder="1"/>
    <xf numFmtId="43" fontId="0" fillId="0" borderId="14" xfId="7" applyNumberFormat="1" applyFont="1" applyFill="1" applyBorder="1"/>
    <xf numFmtId="168" fontId="0" fillId="0" borderId="11" xfId="0" applyNumberFormat="1" applyBorder="1"/>
    <xf numFmtId="4" fontId="23" fillId="0" borderId="0" xfId="0" applyNumberFormat="1" applyFont="1" applyFill="1" applyAlignment="1">
      <alignment horizontal="right" vertical="top"/>
    </xf>
    <xf numFmtId="2" fontId="0" fillId="0" borderId="0" xfId="0" applyNumberFormat="1" applyBorder="1"/>
    <xf numFmtId="0" fontId="23" fillId="0" borderId="0" xfId="0" applyFont="1" applyFill="1" applyAlignment="1">
      <alignment horizontal="right" vertical="top"/>
    </xf>
    <xf numFmtId="0" fontId="0" fillId="0" borderId="0" xfId="0"/>
    <xf numFmtId="9" fontId="0" fillId="0" borderId="11" xfId="15" applyFont="1" applyBorder="1"/>
    <xf numFmtId="0" fontId="0" fillId="0" borderId="0" xfId="0"/>
    <xf numFmtId="169" fontId="9" fillId="2" borderId="0" xfId="0" applyNumberFormat="1" applyFont="1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Fill="1"/>
    <xf numFmtId="0" fontId="0" fillId="0" borderId="0" xfId="0" applyNumberFormat="1"/>
    <xf numFmtId="165" fontId="0" fillId="0" borderId="0" xfId="0" applyNumberFormat="1"/>
    <xf numFmtId="169" fontId="9" fillId="2" borderId="0" xfId="0" applyNumberFormat="1" applyFont="1" applyFill="1" applyAlignment="1">
      <alignment horizontal="centerContinuous"/>
    </xf>
    <xf numFmtId="0" fontId="7" fillId="0" borderId="0" xfId="0" applyFont="1" applyAlignment="1">
      <alignment horizontal="left"/>
    </xf>
    <xf numFmtId="0" fontId="0" fillId="0" borderId="0" xfId="0" applyFill="1" applyAlignment="1">
      <alignment horizontal="right"/>
    </xf>
    <xf numFmtId="49" fontId="25" fillId="0" borderId="0" xfId="0" applyNumberFormat="1" applyFont="1"/>
    <xf numFmtId="175" fontId="0" fillId="0" borderId="0" xfId="0" applyNumberFormat="1"/>
    <xf numFmtId="0" fontId="19" fillId="0" borderId="0" xfId="0" applyFont="1" applyAlignment="1">
      <alignment horizontal="right" readingOrder="2"/>
    </xf>
    <xf numFmtId="0" fontId="1" fillId="0" borderId="0" xfId="0" applyFont="1"/>
    <xf numFmtId="0" fontId="0" fillId="2" borderId="0" xfId="0" applyFill="1" applyAlignment="1">
      <alignment horizontal="right" readingOrder="2"/>
    </xf>
    <xf numFmtId="176" fontId="0" fillId="2" borderId="0" xfId="0" applyNumberFormat="1" applyFill="1" applyAlignment="1">
      <alignment horizontal="right" readingOrder="2"/>
    </xf>
    <xf numFmtId="0" fontId="0" fillId="0" borderId="0" xfId="0" applyAlignment="1">
      <alignment horizontal="right" readingOrder="2"/>
    </xf>
    <xf numFmtId="173" fontId="0" fillId="0" borderId="0" xfId="0" applyNumberFormat="1" applyAlignment="1">
      <alignment horizontal="right" readingOrder="2"/>
    </xf>
    <xf numFmtId="177" fontId="19" fillId="0" borderId="0" xfId="0" applyNumberFormat="1" applyFont="1" applyAlignment="1">
      <alignment horizontal="right" readingOrder="2"/>
    </xf>
    <xf numFmtId="173" fontId="19" fillId="0" borderId="0" xfId="0" applyNumberFormat="1" applyFont="1" applyAlignment="1">
      <alignment horizontal="right" readingOrder="2"/>
    </xf>
    <xf numFmtId="40" fontId="0" fillId="0" borderId="0" xfId="0" applyNumberFormat="1"/>
    <xf numFmtId="43" fontId="0" fillId="0" borderId="4" xfId="1" applyFont="1" applyBorder="1"/>
    <xf numFmtId="10" fontId="0" fillId="0" borderId="0" xfId="15" applyNumberFormat="1" applyFont="1"/>
    <xf numFmtId="0" fontId="7" fillId="0" borderId="0" xfId="0" applyFont="1" applyAlignment="1">
      <alignment horizontal="right" readingOrder="2"/>
    </xf>
    <xf numFmtId="178" fontId="0" fillId="0" borderId="0" xfId="0" applyNumberFormat="1"/>
    <xf numFmtId="43" fontId="0" fillId="0" borderId="4" xfId="0" applyNumberFormat="1" applyBorder="1"/>
    <xf numFmtId="166" fontId="9" fillId="2" borderId="0" xfId="0" applyNumberFormat="1" applyFont="1" applyFill="1" applyAlignment="1">
      <alignment horizontal="center" wrapText="1"/>
    </xf>
    <xf numFmtId="0" fontId="9" fillId="0" borderId="0" xfId="0" applyFont="1" applyAlignment="1">
      <alignment horizontal="center"/>
    </xf>
    <xf numFmtId="169" fontId="9" fillId="2" borderId="0" xfId="0" applyNumberFormat="1" applyFont="1" applyFill="1" applyAlignment="1">
      <alignment horizontal="center"/>
    </xf>
    <xf numFmtId="165" fontId="0" fillId="7" borderId="0" xfId="0" applyNumberFormat="1" applyFill="1"/>
    <xf numFmtId="166" fontId="14" fillId="2" borderId="0" xfId="0" applyNumberFormat="1" applyFont="1" applyFill="1" applyAlignment="1">
      <alignment horizontal="left"/>
    </xf>
    <xf numFmtId="169" fontId="9" fillId="2" borderId="0" xfId="0" applyNumberFormat="1" applyFont="1" applyFill="1" applyBorder="1" applyAlignment="1">
      <alignment horizontal="left"/>
    </xf>
    <xf numFmtId="43" fontId="0" fillId="0" borderId="0" xfId="0" applyNumberFormat="1" applyFill="1" applyBorder="1"/>
    <xf numFmtId="164" fontId="0" fillId="0" borderId="0" xfId="0" applyNumberFormat="1"/>
    <xf numFmtId="166" fontId="14" fillId="0" borderId="0" xfId="0" applyNumberFormat="1" applyFont="1" applyFill="1" applyAlignment="1">
      <alignment horizontal="left"/>
    </xf>
    <xf numFmtId="0" fontId="0" fillId="0" borderId="0" xfId="7" applyFont="1" applyFill="1" applyBorder="1"/>
    <xf numFmtId="173" fontId="0" fillId="8" borderId="0" xfId="0" applyNumberFormat="1" applyFill="1" applyAlignment="1">
      <alignment horizontal="right" readingOrder="2"/>
    </xf>
    <xf numFmtId="0" fontId="0" fillId="0" borderId="0" xfId="0" applyFont="1" applyFill="1" applyBorder="1"/>
    <xf numFmtId="0" fontId="30" fillId="9" borderId="6" xfId="6" applyFont="1" applyFill="1" applyBorder="1" applyAlignment="1">
      <alignment horizontal="left" vertical="center"/>
    </xf>
    <xf numFmtId="0" fontId="30" fillId="9" borderId="6" xfId="6" applyFont="1" applyFill="1" applyBorder="1" applyAlignment="1">
      <alignment horizontal="center" vertical="center"/>
    </xf>
    <xf numFmtId="179" fontId="30" fillId="9" borderId="6" xfId="1" applyNumberFormat="1" applyFont="1" applyFill="1" applyBorder="1" applyAlignment="1">
      <alignment horizontal="center" vertical="center"/>
    </xf>
    <xf numFmtId="0" fontId="30" fillId="0" borderId="21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180" fontId="31" fillId="0" borderId="22" xfId="0" applyNumberFormat="1" applyFont="1" applyBorder="1" applyAlignment="1">
      <alignment horizontal="right" vertical="center"/>
    </xf>
    <xf numFmtId="0" fontId="31" fillId="0" borderId="22" xfId="0" applyFont="1" applyBorder="1" applyAlignment="1">
      <alignment horizontal="left" vertical="center"/>
    </xf>
    <xf numFmtId="0" fontId="31" fillId="0" borderId="22" xfId="0" applyFont="1" applyBorder="1" applyAlignment="1">
      <alignment vertical="center"/>
    </xf>
    <xf numFmtId="180" fontId="32" fillId="9" borderId="22" xfId="0" applyNumberFormat="1" applyFont="1" applyFill="1" applyBorder="1" applyAlignment="1">
      <alignment horizontal="right" vertical="center"/>
    </xf>
    <xf numFmtId="180" fontId="31" fillId="0" borderId="22" xfId="0" applyNumberFormat="1" applyFont="1" applyBorder="1" applyAlignment="1">
      <alignment horizontal="left" vertical="center"/>
    </xf>
    <xf numFmtId="0" fontId="31" fillId="0" borderId="22" xfId="0" applyFont="1" applyFill="1" applyBorder="1" applyAlignment="1">
      <alignment vertical="center"/>
    </xf>
    <xf numFmtId="43" fontId="7" fillId="0" borderId="0" xfId="1" applyFont="1" applyFill="1"/>
    <xf numFmtId="168" fontId="0" fillId="3" borderId="0" xfId="0" applyNumberFormat="1" applyFill="1" applyBorder="1"/>
    <xf numFmtId="14" fontId="30" fillId="0" borderId="21" xfId="6" applyNumberFormat="1" applyFont="1" applyBorder="1" applyAlignment="1">
      <alignment horizontal="right" vertical="center"/>
    </xf>
    <xf numFmtId="0" fontId="21" fillId="0" borderId="22" xfId="0" applyFont="1" applyBorder="1" applyAlignment="1">
      <alignment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vertical="center"/>
    </xf>
    <xf numFmtId="180" fontId="31" fillId="0" borderId="0" xfId="0" applyNumberFormat="1" applyFont="1" applyBorder="1" applyAlignment="1">
      <alignment horizontal="right" vertical="center"/>
    </xf>
    <xf numFmtId="167" fontId="0" fillId="0" borderId="0" xfId="1" applyNumberFormat="1" applyFont="1"/>
    <xf numFmtId="167" fontId="7" fillId="0" borderId="0" xfId="1" applyNumberFormat="1" applyFont="1"/>
    <xf numFmtId="0" fontId="0" fillId="10" borderId="0" xfId="0" applyFill="1"/>
    <xf numFmtId="0" fontId="0" fillId="11" borderId="0" xfId="0" applyFill="1"/>
    <xf numFmtId="0" fontId="31" fillId="3" borderId="22" xfId="0" applyFont="1" applyFill="1" applyBorder="1" applyAlignment="1">
      <alignment vertical="center"/>
    </xf>
    <xf numFmtId="180" fontId="0" fillId="0" borderId="0" xfId="0" applyNumberFormat="1"/>
    <xf numFmtId="179" fontId="30" fillId="9" borderId="0" xfId="1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67" fontId="0" fillId="0" borderId="4" xfId="1" applyNumberFormat="1" applyFont="1" applyBorder="1"/>
    <xf numFmtId="4" fontId="31" fillId="0" borderId="0" xfId="0" applyNumberFormat="1" applyFont="1" applyBorder="1" applyAlignment="1">
      <alignment horizontal="left" vertical="center"/>
    </xf>
    <xf numFmtId="180" fontId="0" fillId="0" borderId="4" xfId="0" applyNumberFormat="1" applyBorder="1"/>
    <xf numFmtId="0" fontId="12" fillId="0" borderId="0" xfId="0" applyFont="1" applyAlignment="1">
      <alignment horizontal="left"/>
    </xf>
    <xf numFmtId="15" fontId="30" fillId="0" borderId="21" xfId="6" applyNumberFormat="1" applyFont="1" applyBorder="1" applyAlignment="1">
      <alignment horizontal="right" vertical="center"/>
    </xf>
    <xf numFmtId="180" fontId="30" fillId="9" borderId="6" xfId="6" applyNumberFormat="1" applyFont="1" applyFill="1" applyBorder="1" applyAlignment="1">
      <alignment horizontal="center" vertical="center"/>
    </xf>
    <xf numFmtId="181" fontId="0" fillId="0" borderId="0" xfId="0" applyNumberFormat="1"/>
    <xf numFmtId="180" fontId="0" fillId="0" borderId="0" xfId="0" applyNumberFormat="1" applyBorder="1"/>
    <xf numFmtId="4" fontId="0" fillId="0" borderId="0" xfId="0" applyNumberFormat="1" applyBorder="1"/>
    <xf numFmtId="180" fontId="31" fillId="0" borderId="0" xfId="0" applyNumberFormat="1" applyFont="1" applyFill="1" applyBorder="1" applyAlignment="1">
      <alignment horizontal="right" vertical="center"/>
    </xf>
    <xf numFmtId="0" fontId="31" fillId="0" borderId="0" xfId="0" applyFont="1" applyFill="1" applyBorder="1" applyAlignment="1">
      <alignment vertical="center"/>
    </xf>
    <xf numFmtId="43" fontId="7" fillId="0" borderId="0" xfId="0" applyNumberFormat="1" applyFont="1"/>
    <xf numFmtId="0" fontId="10" fillId="0" borderId="0" xfId="0" applyFont="1" applyBorder="1" applyAlignment="1">
      <alignment wrapText="1"/>
    </xf>
    <xf numFmtId="0" fontId="0" fillId="0" borderId="0" xfId="0" applyAlignment="1">
      <alignment wrapText="1"/>
    </xf>
  </cellXfs>
  <cellStyles count="19">
    <cellStyle name="$" xfId="7" xr:uid="{00000000-0005-0000-0000-000000000000}"/>
    <cellStyle name="Comma" xfId="1" builtinId="3"/>
    <cellStyle name="Comma 2 2" xfId="9" xr:uid="{00000000-0005-0000-0000-000002000000}"/>
    <cellStyle name="Comma 3" xfId="4" xr:uid="{00000000-0005-0000-0000-000003000000}"/>
    <cellStyle name="Comma 4" xfId="3" xr:uid="{00000000-0005-0000-0000-000004000000}"/>
    <cellStyle name="Comma_Jan 05 Tehuti" xfId="2" xr:uid="{00000000-0005-0000-0000-000005000000}"/>
    <cellStyle name="Hyperlink 2" xfId="17" xr:uid="{082F014D-44D0-4F01-9CA5-084D8D1E5B11}"/>
    <cellStyle name="Normal" xfId="0" builtinId="0"/>
    <cellStyle name="Normal 2" xfId="6" xr:uid="{00000000-0005-0000-0000-000007000000}"/>
    <cellStyle name="Normal 2 2" xfId="8" xr:uid="{00000000-0005-0000-0000-000008000000}"/>
    <cellStyle name="Normal 2 2 2 6" xfId="12" xr:uid="{00000000-0005-0000-0000-000009000000}"/>
    <cellStyle name="Normal 2 3" xfId="5" xr:uid="{00000000-0005-0000-0000-00000A000000}"/>
    <cellStyle name="Normal 2 4" xfId="18" xr:uid="{0D431F7E-B353-4DEE-8E73-0FAC17583935}"/>
    <cellStyle name="Normal 3" xfId="10" xr:uid="{00000000-0005-0000-0000-00000B000000}"/>
    <cellStyle name="Normal 4" xfId="11" xr:uid="{00000000-0005-0000-0000-00000C000000}"/>
    <cellStyle name="Normal 5" xfId="13" xr:uid="{00000000-0005-0000-0000-00000D000000}"/>
    <cellStyle name="Normal 6" xfId="14" xr:uid="{00000000-0005-0000-0000-00000E000000}"/>
    <cellStyle name="Normal 7" xfId="16" xr:uid="{B9F33762-9E0C-4C61-96C5-9A505DF254D4}"/>
    <cellStyle name="Percent" xfId="15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Customers-%20Active\Getctrl\&#1495;&#1513;&#1489;&#1497;&#1501;\2023\FS%2012-23\&#1502;&#1488;&#1494;&#1503;%20&#1489;&#1493;&#1495;&#1503;%2012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heet"/>
    </sheetNames>
    <sheetDataSet>
      <sheetData sheetId="0">
        <row r="2">
          <cell r="E2">
            <v>1000</v>
          </cell>
          <cell r="F2" t="str">
            <v>בנק לאומי שח 864/01880046</v>
          </cell>
          <cell r="G2">
            <v>130855.81</v>
          </cell>
          <cell r="H2">
            <v>36078.25</v>
          </cell>
        </row>
        <row r="3">
          <cell r="E3">
            <v>1001</v>
          </cell>
          <cell r="F3" t="str">
            <v>בנק לאומי 864/01880046 $$</v>
          </cell>
          <cell r="G3">
            <v>1019378.22</v>
          </cell>
          <cell r="H3">
            <v>281052.71999999997</v>
          </cell>
        </row>
        <row r="4">
          <cell r="E4">
            <v>1003</v>
          </cell>
          <cell r="F4" t="str">
            <v>כ"א ויזה 9519 ש"ח</v>
          </cell>
          <cell r="G4">
            <v>-15738.04</v>
          </cell>
          <cell r="H4">
            <v>-4339.13</v>
          </cell>
        </row>
        <row r="5">
          <cell r="E5">
            <v>1004</v>
          </cell>
          <cell r="F5" t="str">
            <v>כ"א ויזה 9311 ש"ח</v>
          </cell>
          <cell r="G5">
            <v>-2121.21</v>
          </cell>
          <cell r="H5">
            <v>-584.84</v>
          </cell>
        </row>
        <row r="6">
          <cell r="E6">
            <v>1005</v>
          </cell>
          <cell r="F6" t="str">
            <v>כ"א ויזה 7413 ש"ח</v>
          </cell>
          <cell r="G6">
            <v>-664.38</v>
          </cell>
          <cell r="H6">
            <v>-183.18</v>
          </cell>
        </row>
        <row r="7">
          <cell r="E7">
            <v>1006</v>
          </cell>
          <cell r="F7" t="str">
            <v>בנק לאומי GBP 864/01880046</v>
          </cell>
          <cell r="G7">
            <v>0.42</v>
          </cell>
          <cell r="H7">
            <v>0.11</v>
          </cell>
        </row>
        <row r="8">
          <cell r="E8">
            <v>1007</v>
          </cell>
          <cell r="F8" t="str">
            <v>כ"א ויזה 7413 $</v>
          </cell>
          <cell r="G8">
            <v>-15236.05</v>
          </cell>
          <cell r="H8">
            <v>-4200.7299999999996</v>
          </cell>
        </row>
        <row r="9">
          <cell r="E9">
            <v>1008</v>
          </cell>
          <cell r="F9" t="str">
            <v>כ"א ויזה 9519 $</v>
          </cell>
          <cell r="G9">
            <v>-18669.98</v>
          </cell>
          <cell r="H9">
            <v>-5147.5</v>
          </cell>
        </row>
        <row r="10">
          <cell r="E10">
            <v>1011</v>
          </cell>
          <cell r="F10" t="str">
            <v>פקדון בנק לאומי פק"מ</v>
          </cell>
          <cell r="G10">
            <v>145977.01999999999</v>
          </cell>
          <cell r="H10">
            <v>40247.32</v>
          </cell>
        </row>
        <row r="11">
          <cell r="E11">
            <v>1012</v>
          </cell>
          <cell r="F11" t="str">
            <v>פקדון בנק לאומי $$</v>
          </cell>
          <cell r="G11">
            <v>1648707.15</v>
          </cell>
          <cell r="H11">
            <v>454564.97</v>
          </cell>
        </row>
        <row r="12">
          <cell r="E12">
            <v>1500</v>
          </cell>
          <cell r="F12" t="str">
            <v>מחשבים ותוכנות</v>
          </cell>
          <cell r="G12">
            <v>200238.09</v>
          </cell>
          <cell r="H12">
            <v>60215.91</v>
          </cell>
        </row>
        <row r="13">
          <cell r="E13">
            <v>1501</v>
          </cell>
          <cell r="F13" t="str">
            <v>ריהוט וציוד</v>
          </cell>
          <cell r="G13">
            <v>152525.54</v>
          </cell>
          <cell r="H13">
            <v>46915.77</v>
          </cell>
        </row>
        <row r="14">
          <cell r="E14">
            <v>1502</v>
          </cell>
          <cell r="F14" t="str">
            <v>שיפורים במושכר</v>
          </cell>
          <cell r="G14">
            <v>113554.22</v>
          </cell>
          <cell r="H14">
            <v>35016.339999999997</v>
          </cell>
        </row>
        <row r="15">
          <cell r="E15">
            <v>1550</v>
          </cell>
          <cell r="F15" t="str">
            <v>פחת נצבר</v>
          </cell>
          <cell r="G15">
            <v>-177419</v>
          </cell>
          <cell r="H15">
            <v>-54557</v>
          </cell>
        </row>
        <row r="16">
          <cell r="E16">
            <v>1701</v>
          </cell>
          <cell r="F16" t="str">
            <v>הוצאות מראש</v>
          </cell>
          <cell r="G16">
            <v>100360.02</v>
          </cell>
          <cell r="H16">
            <v>27670.25</v>
          </cell>
        </row>
        <row r="17">
          <cell r="E17">
            <v>1704</v>
          </cell>
          <cell r="F17" t="str">
            <v>נכס בגין תקן שכירות</v>
          </cell>
          <cell r="G17">
            <v>563565</v>
          </cell>
          <cell r="H17">
            <v>160149.19</v>
          </cell>
        </row>
        <row r="18">
          <cell r="E18">
            <v>2500</v>
          </cell>
          <cell r="F18" t="str">
            <v>מע'מ חו'ז</v>
          </cell>
          <cell r="G18">
            <v>61128.31</v>
          </cell>
          <cell r="H18">
            <v>16853.68</v>
          </cell>
        </row>
        <row r="19">
          <cell r="E19">
            <v>2502</v>
          </cell>
          <cell r="F19" t="str">
            <v>מע'מ תשומות</v>
          </cell>
          <cell r="G19">
            <v>2237.4499999999998</v>
          </cell>
          <cell r="H19">
            <v>616.89</v>
          </cell>
        </row>
        <row r="20">
          <cell r="E20">
            <v>2610</v>
          </cell>
          <cell r="F20" t="str">
            <v>עודפות 2021</v>
          </cell>
          <cell r="G20">
            <v>7038</v>
          </cell>
          <cell r="H20">
            <v>1940.45</v>
          </cell>
        </row>
        <row r="21">
          <cell r="E21">
            <v>2611</v>
          </cell>
          <cell r="F21" t="str">
            <v>עודפות 2022</v>
          </cell>
          <cell r="G21">
            <v>41031</v>
          </cell>
          <cell r="H21">
            <v>11312.66</v>
          </cell>
        </row>
        <row r="22">
          <cell r="E22">
            <v>2704</v>
          </cell>
          <cell r="F22" t="str">
            <v>התחייבות בגין שכירות</v>
          </cell>
          <cell r="G22">
            <v>-569697</v>
          </cell>
          <cell r="H22">
            <v>-161891.73000000001</v>
          </cell>
        </row>
        <row r="23">
          <cell r="E23">
            <v>2801</v>
          </cell>
          <cell r="F23" t="str">
            <v>USA GETCTRL INC</v>
          </cell>
          <cell r="G23">
            <v>-5156583.3099999996</v>
          </cell>
          <cell r="H23">
            <v>-1434999.34</v>
          </cell>
        </row>
        <row r="24">
          <cell r="E24">
            <v>2803</v>
          </cell>
          <cell r="F24" t="str">
            <v>UK Getctrl LTD</v>
          </cell>
          <cell r="G24">
            <v>2360099.9500000002</v>
          </cell>
          <cell r="H24">
            <v>650703.05000000005</v>
          </cell>
        </row>
        <row r="25">
          <cell r="E25">
            <v>2804</v>
          </cell>
          <cell r="F25" t="str">
            <v>שטר הון USA GETCTRL</v>
          </cell>
          <cell r="G25">
            <v>-22281920</v>
          </cell>
          <cell r="H25">
            <v>-6600000</v>
          </cell>
        </row>
        <row r="26">
          <cell r="E26">
            <v>3003</v>
          </cell>
          <cell r="F26" t="str">
            <v>סודקסו פאס ישראל בע"מ CIBUS</v>
          </cell>
          <cell r="G26">
            <v>-6571</v>
          </cell>
          <cell r="H26">
            <v>-1811.69</v>
          </cell>
        </row>
        <row r="27">
          <cell r="E27">
            <v>3016</v>
          </cell>
          <cell r="F27" t="str">
            <v>GETT ג'יטי גטאקסי</v>
          </cell>
          <cell r="G27">
            <v>-125</v>
          </cell>
          <cell r="H27">
            <v>-34.46</v>
          </cell>
        </row>
        <row r="28">
          <cell r="E28">
            <v>3017</v>
          </cell>
          <cell r="F28" t="str">
            <v>תכן חברה כלכלית של הקיבוץ הארצי בע"מ</v>
          </cell>
          <cell r="G28">
            <v>-5868</v>
          </cell>
          <cell r="H28">
            <v>-1617.87</v>
          </cell>
        </row>
        <row r="29">
          <cell r="E29">
            <v>3026</v>
          </cell>
          <cell r="F29" t="str">
            <v>נ.פ.א סוכנות לביטוח (2001) בע"מ</v>
          </cell>
          <cell r="G29">
            <v>-350</v>
          </cell>
          <cell r="H29">
            <v>-96.5</v>
          </cell>
        </row>
        <row r="30">
          <cell r="E30">
            <v>3048</v>
          </cell>
          <cell r="F30" t="str">
            <v>ריט 1 בע"מ REIT1</v>
          </cell>
          <cell r="G30">
            <v>-110904.21</v>
          </cell>
          <cell r="H30">
            <v>-30577.39</v>
          </cell>
        </row>
        <row r="31">
          <cell r="E31">
            <v>3099</v>
          </cell>
          <cell r="F31" t="str">
            <v>אוטומט איט מלם תים בע"מ-Automat-IT</v>
          </cell>
          <cell r="G31">
            <v>15461.12</v>
          </cell>
          <cell r="H31">
            <v>4262.78</v>
          </cell>
        </row>
        <row r="32">
          <cell r="E32">
            <v>3139</v>
          </cell>
          <cell r="F32" t="str">
            <v>Amazon.co.UK</v>
          </cell>
          <cell r="G32">
            <v>1669.21</v>
          </cell>
          <cell r="H32">
            <v>460.22</v>
          </cell>
        </row>
        <row r="33">
          <cell r="E33">
            <v>3180</v>
          </cell>
          <cell r="F33" t="str">
            <v>FullStory,Inc.</v>
          </cell>
          <cell r="G33">
            <v>-27933.99</v>
          </cell>
          <cell r="H33">
            <v>-7701.68</v>
          </cell>
        </row>
        <row r="34">
          <cell r="E34">
            <v>3191</v>
          </cell>
          <cell r="F34" t="str">
            <v>GBP-SKYPE.COM/GO/BILL Luxembourg</v>
          </cell>
          <cell r="G34">
            <v>-10.63</v>
          </cell>
          <cell r="H34">
            <v>-2.93</v>
          </cell>
        </row>
        <row r="35">
          <cell r="E35">
            <v>3245</v>
          </cell>
          <cell r="F35" t="str">
            <v>LinkedIN -ש"ח</v>
          </cell>
          <cell r="G35">
            <v>7273.84</v>
          </cell>
          <cell r="H35">
            <v>2005.47</v>
          </cell>
        </row>
        <row r="36">
          <cell r="E36">
            <v>3256</v>
          </cell>
          <cell r="F36" t="str">
            <v>סלקום</v>
          </cell>
          <cell r="G36">
            <v>33.93</v>
          </cell>
          <cell r="H36">
            <v>9.35</v>
          </cell>
        </row>
        <row r="37">
          <cell r="E37">
            <v>3277</v>
          </cell>
          <cell r="F37" t="str">
            <v>HubSpot Ireland Ltd</v>
          </cell>
          <cell r="G37">
            <v>1813.5</v>
          </cell>
          <cell r="H37">
            <v>500</v>
          </cell>
        </row>
        <row r="38">
          <cell r="E38">
            <v>3279</v>
          </cell>
          <cell r="F38" t="str">
            <v>AMAZON.COM</v>
          </cell>
          <cell r="G38">
            <v>300.52999999999997</v>
          </cell>
          <cell r="H38">
            <v>82.86</v>
          </cell>
        </row>
        <row r="39">
          <cell r="E39">
            <v>3302</v>
          </cell>
          <cell r="F39" t="str">
            <v>Nickolay Ribal</v>
          </cell>
          <cell r="G39">
            <v>-37478.080000000002</v>
          </cell>
          <cell r="H39">
            <v>-10333.08</v>
          </cell>
        </row>
        <row r="40">
          <cell r="E40">
            <v>3303</v>
          </cell>
          <cell r="F40" t="str">
            <v>Tricentis Israel Ltd</v>
          </cell>
          <cell r="G40">
            <v>-25362.16</v>
          </cell>
          <cell r="H40">
            <v>-6992.6</v>
          </cell>
        </row>
        <row r="41">
          <cell r="E41">
            <v>3314</v>
          </cell>
          <cell r="F41" t="str">
            <v>דורקם סהר</v>
          </cell>
          <cell r="G41">
            <v>5461</v>
          </cell>
          <cell r="H41">
            <v>1505.65</v>
          </cell>
        </row>
        <row r="42">
          <cell r="E42">
            <v>3322</v>
          </cell>
          <cell r="F42" t="str">
            <v>Zenleads Inc (dba Apollo.io)</v>
          </cell>
          <cell r="G42">
            <v>-700.01</v>
          </cell>
          <cell r="H42">
            <v>-193</v>
          </cell>
        </row>
        <row r="43">
          <cell r="E43">
            <v>3338</v>
          </cell>
          <cell r="F43" t="str">
            <v>מיסאנו רוני</v>
          </cell>
          <cell r="G43">
            <v>3506.76</v>
          </cell>
          <cell r="H43">
            <v>966.85</v>
          </cell>
        </row>
        <row r="44">
          <cell r="E44">
            <v>3347</v>
          </cell>
          <cell r="F44" t="str">
            <v>אייל אדרעי בע"מ</v>
          </cell>
          <cell r="G44">
            <v>210</v>
          </cell>
          <cell r="H44">
            <v>57.9</v>
          </cell>
        </row>
        <row r="45">
          <cell r="E45">
            <v>3350</v>
          </cell>
          <cell r="F45" t="str">
            <v>LABS Camden Ltd</v>
          </cell>
          <cell r="G45">
            <v>-1444.03</v>
          </cell>
          <cell r="H45">
            <v>-398.13</v>
          </cell>
        </row>
        <row r="46">
          <cell r="E46">
            <v>3109</v>
          </cell>
          <cell r="F46" t="str">
            <v>PRODUCTBOARD, INC</v>
          </cell>
          <cell r="G46">
            <v>217.62</v>
          </cell>
          <cell r="H46">
            <v>60</v>
          </cell>
        </row>
        <row r="47">
          <cell r="E47">
            <v>3110</v>
          </cell>
          <cell r="F47" t="str">
            <v>LINKEDIN</v>
          </cell>
          <cell r="G47">
            <v>147034.74</v>
          </cell>
          <cell r="H47">
            <v>40538.94</v>
          </cell>
        </row>
        <row r="48">
          <cell r="E48">
            <v>3119</v>
          </cell>
          <cell r="F48" t="str">
            <v>NOTION LABS INC</v>
          </cell>
          <cell r="G48">
            <v>5787.57</v>
          </cell>
          <cell r="H48">
            <v>1595.69</v>
          </cell>
        </row>
        <row r="49">
          <cell r="E49">
            <v>3120</v>
          </cell>
          <cell r="F49" t="str">
            <v>GOOGLE</v>
          </cell>
          <cell r="G49">
            <v>-25.82</v>
          </cell>
          <cell r="H49">
            <v>-7.12</v>
          </cell>
        </row>
        <row r="50">
          <cell r="E50">
            <v>3123</v>
          </cell>
          <cell r="F50" t="str">
            <v>GITHUB</v>
          </cell>
          <cell r="G50">
            <v>1094.8499999999999</v>
          </cell>
          <cell r="H50">
            <v>301.86</v>
          </cell>
        </row>
        <row r="51">
          <cell r="E51">
            <v>3125</v>
          </cell>
          <cell r="F51" t="str">
            <v>ATLASSIAN</v>
          </cell>
          <cell r="G51">
            <v>906.75</v>
          </cell>
          <cell r="H51">
            <v>250</v>
          </cell>
        </row>
        <row r="52">
          <cell r="E52">
            <v>4000</v>
          </cell>
          <cell r="F52" t="str">
            <v>הפרשה לחופשה והראה</v>
          </cell>
          <cell r="G52">
            <v>-119009</v>
          </cell>
          <cell r="H52">
            <v>-38156.879999999997</v>
          </cell>
        </row>
        <row r="53">
          <cell r="E53">
            <v>4100</v>
          </cell>
          <cell r="F53" t="str">
            <v>ביטוח לאומי</v>
          </cell>
          <cell r="G53">
            <v>-27832.06</v>
          </cell>
          <cell r="H53">
            <v>-7673.58</v>
          </cell>
        </row>
        <row r="54">
          <cell r="E54">
            <v>4101</v>
          </cell>
          <cell r="F54" t="str">
            <v>מס הכנסה עובדים</v>
          </cell>
          <cell r="G54">
            <v>-30983</v>
          </cell>
          <cell r="H54">
            <v>-8542.32</v>
          </cell>
        </row>
        <row r="55">
          <cell r="E55">
            <v>4510</v>
          </cell>
          <cell r="F55" t="str">
            <v>חו"ז קופות גמל עובדים</v>
          </cell>
          <cell r="G55">
            <v>-47527.98</v>
          </cell>
          <cell r="H55">
            <v>-13103.94</v>
          </cell>
        </row>
        <row r="56">
          <cell r="E56">
            <v>5001</v>
          </cell>
          <cell r="F56" t="str">
            <v>חו"ז עובדים</v>
          </cell>
          <cell r="G56">
            <v>-94761.69</v>
          </cell>
          <cell r="H56">
            <v>-26126.74</v>
          </cell>
        </row>
        <row r="57">
          <cell r="E57">
            <v>6100</v>
          </cell>
          <cell r="F57" t="str">
            <v>יתרת רווח שנים קודמות</v>
          </cell>
          <cell r="G57">
            <v>16123542.890000001</v>
          </cell>
          <cell r="H57">
            <v>4866459.41</v>
          </cell>
        </row>
        <row r="58">
          <cell r="E58">
            <v>6502</v>
          </cell>
          <cell r="F58" t="str">
            <v>הכנסות מחשבונית עצמית</v>
          </cell>
          <cell r="G58">
            <v>-1190888</v>
          </cell>
          <cell r="H58">
            <v>-321084.36</v>
          </cell>
        </row>
        <row r="59">
          <cell r="E59">
            <v>6503</v>
          </cell>
          <cell r="F59" t="str">
            <v>קיזוז הכנסות מחשבונית עצמית</v>
          </cell>
          <cell r="G59">
            <v>1190888</v>
          </cell>
          <cell r="H59">
            <v>321084.36</v>
          </cell>
        </row>
        <row r="60">
          <cell r="E60">
            <v>7103</v>
          </cell>
          <cell r="F60" t="str">
            <v>תגמולי מילואים</v>
          </cell>
          <cell r="G60">
            <v>-88935</v>
          </cell>
          <cell r="H60">
            <v>-24111.360000000001</v>
          </cell>
        </row>
        <row r="61">
          <cell r="E61">
            <v>7200</v>
          </cell>
          <cell r="F61" t="str">
            <v>שכר עבודה מופ</v>
          </cell>
          <cell r="G61">
            <v>2745021.09</v>
          </cell>
          <cell r="H61">
            <v>746043.59</v>
          </cell>
        </row>
        <row r="62">
          <cell r="E62">
            <v>7201</v>
          </cell>
          <cell r="F62" t="str">
            <v>הכנסות זקופות חובה מופ</v>
          </cell>
          <cell r="G62">
            <v>126732.19</v>
          </cell>
          <cell r="H62">
            <v>34224.71</v>
          </cell>
        </row>
        <row r="63">
          <cell r="E63">
            <v>7202</v>
          </cell>
          <cell r="F63" t="str">
            <v>הכנסות זקופות זכות מופ</v>
          </cell>
          <cell r="G63">
            <v>-126732.19</v>
          </cell>
          <cell r="H63">
            <v>-34224.71</v>
          </cell>
        </row>
        <row r="64">
          <cell r="E64">
            <v>7203</v>
          </cell>
          <cell r="F64" t="str">
            <v>הוצאות ביטוח לאומי מעביד מופ</v>
          </cell>
          <cell r="G64">
            <v>222186.71</v>
          </cell>
          <cell r="H64">
            <v>60396.29</v>
          </cell>
        </row>
        <row r="65">
          <cell r="E65">
            <v>7204</v>
          </cell>
          <cell r="F65" t="str">
            <v>הוצאות גמל מעביד מופ</v>
          </cell>
          <cell r="G65">
            <v>210148.88</v>
          </cell>
          <cell r="H65">
            <v>57052.6</v>
          </cell>
        </row>
        <row r="66">
          <cell r="E66">
            <v>7205</v>
          </cell>
          <cell r="F66" t="str">
            <v>הוצאות קרן השתלמות מעביד מופ</v>
          </cell>
          <cell r="G66">
            <v>136458.75</v>
          </cell>
          <cell r="H66">
            <v>36991.4</v>
          </cell>
        </row>
        <row r="67">
          <cell r="E67">
            <v>7206</v>
          </cell>
          <cell r="F67" t="str">
            <v>הוצאות פיצויים מעביד מופ</v>
          </cell>
          <cell r="G67">
            <v>272579.77</v>
          </cell>
          <cell r="H67">
            <v>74014.070000000007</v>
          </cell>
        </row>
        <row r="68">
          <cell r="E68">
            <v>7207</v>
          </cell>
          <cell r="F68" t="str">
            <v>הוצאות ביטוח א.כ.ע מעביד מופ</v>
          </cell>
          <cell r="G68">
            <v>2548.44</v>
          </cell>
          <cell r="H68">
            <v>701.47</v>
          </cell>
        </row>
        <row r="69">
          <cell r="E69">
            <v>7208</v>
          </cell>
          <cell r="F69" t="str">
            <v>חופשה והבראה מופ</v>
          </cell>
          <cell r="G69">
            <v>-88001</v>
          </cell>
          <cell r="H69">
            <v>-24262.75</v>
          </cell>
        </row>
        <row r="70">
          <cell r="E70">
            <v>7301</v>
          </cell>
          <cell r="F70" t="str">
            <v>פיתוח אחר</v>
          </cell>
          <cell r="G70">
            <v>131271.6</v>
          </cell>
          <cell r="H70">
            <v>35583.86</v>
          </cell>
        </row>
        <row r="71">
          <cell r="E71">
            <v>7303</v>
          </cell>
          <cell r="F71" t="str">
            <v>אירוח שרתים</v>
          </cell>
          <cell r="G71">
            <v>20529</v>
          </cell>
          <cell r="H71">
            <v>5400</v>
          </cell>
        </row>
        <row r="72">
          <cell r="E72">
            <v>7305</v>
          </cell>
          <cell r="F72" t="str">
            <v>פיתוח תוכנה</v>
          </cell>
          <cell r="G72">
            <v>689442.52</v>
          </cell>
          <cell r="H72">
            <v>186864.06</v>
          </cell>
        </row>
        <row r="73">
          <cell r="E73">
            <v>7306</v>
          </cell>
          <cell r="F73" t="str">
            <v>עיצוב גרפי</v>
          </cell>
          <cell r="G73">
            <v>16324.31</v>
          </cell>
          <cell r="H73">
            <v>4341</v>
          </cell>
        </row>
        <row r="74">
          <cell r="E74">
            <v>7307</v>
          </cell>
          <cell r="F74" t="str">
            <v>יעוץ פיתוח מוצר</v>
          </cell>
          <cell r="G74">
            <v>36752.339999999997</v>
          </cell>
          <cell r="H74">
            <v>9671.44</v>
          </cell>
        </row>
        <row r="75">
          <cell r="E75">
            <v>7308</v>
          </cell>
          <cell r="F75" t="str">
            <v>תוכנות מחשב R&amp;D</v>
          </cell>
          <cell r="G75">
            <v>221.15</v>
          </cell>
          <cell r="H75">
            <v>59.4</v>
          </cell>
        </row>
        <row r="76">
          <cell r="E76">
            <v>7450</v>
          </cell>
          <cell r="F76" t="str">
            <v>שיווק ומכירות</v>
          </cell>
          <cell r="G76">
            <v>283743.5</v>
          </cell>
          <cell r="H76">
            <v>76452.06</v>
          </cell>
        </row>
        <row r="77">
          <cell r="E77">
            <v>7501</v>
          </cell>
          <cell r="F77" t="str">
            <v>הוצאות פרסום</v>
          </cell>
          <cell r="G77">
            <v>48</v>
          </cell>
          <cell r="H77">
            <v>13.15</v>
          </cell>
        </row>
        <row r="78">
          <cell r="E78">
            <v>7600</v>
          </cell>
          <cell r="F78" t="str">
            <v>נסיעות לחול</v>
          </cell>
          <cell r="G78">
            <v>31869.439999999999</v>
          </cell>
          <cell r="H78">
            <v>8677.19</v>
          </cell>
        </row>
        <row r="79">
          <cell r="E79">
            <v>7613</v>
          </cell>
          <cell r="F79" t="str">
            <v>נסיעות לחו"ל אביב נחום-8/23</v>
          </cell>
          <cell r="G79">
            <v>18529.88</v>
          </cell>
          <cell r="H79">
            <v>5029.46</v>
          </cell>
        </row>
        <row r="80">
          <cell r="E80">
            <v>7614</v>
          </cell>
          <cell r="F80" t="str">
            <v>נסיעות לחו"ל אביב נחום-7/23</v>
          </cell>
          <cell r="G80">
            <v>372.02</v>
          </cell>
          <cell r="H80">
            <v>102.27</v>
          </cell>
        </row>
        <row r="81">
          <cell r="E81">
            <v>7615</v>
          </cell>
          <cell r="F81" t="str">
            <v>נסיעות לחו"ל אביב נחום-10/23</v>
          </cell>
          <cell r="G81">
            <v>2138.52</v>
          </cell>
          <cell r="H81">
            <v>550.80999999999995</v>
          </cell>
        </row>
        <row r="82">
          <cell r="E82">
            <v>7862</v>
          </cell>
          <cell r="F82" t="str">
            <v>יחסי ציבור</v>
          </cell>
          <cell r="G82">
            <v>10000</v>
          </cell>
          <cell r="H82">
            <v>2721.08</v>
          </cell>
        </row>
        <row r="83">
          <cell r="E83">
            <v>7700</v>
          </cell>
          <cell r="F83" t="str">
            <v>שכר עבודה הנהלה וכלליות</v>
          </cell>
          <cell r="G83">
            <v>554135</v>
          </cell>
          <cell r="H83">
            <v>150990</v>
          </cell>
        </row>
        <row r="84">
          <cell r="E84">
            <v>7708</v>
          </cell>
          <cell r="F84" t="str">
            <v>חופשה והבראה הנהלה וכלליות</v>
          </cell>
          <cell r="G84">
            <v>9871</v>
          </cell>
          <cell r="H84">
            <v>2721.53</v>
          </cell>
        </row>
        <row r="85">
          <cell r="E85">
            <v>7801</v>
          </cell>
          <cell r="F85" t="str">
            <v>ביטוחים</v>
          </cell>
          <cell r="G85">
            <v>5349.75</v>
          </cell>
          <cell r="H85">
            <v>1474.03</v>
          </cell>
        </row>
        <row r="86">
          <cell r="E86">
            <v>7805</v>
          </cell>
          <cell r="F86" t="str">
            <v>ארנונה</v>
          </cell>
          <cell r="G86">
            <v>27306.17</v>
          </cell>
          <cell r="H86">
            <v>7676.81</v>
          </cell>
        </row>
        <row r="87">
          <cell r="E87">
            <v>7806</v>
          </cell>
          <cell r="F87" t="str">
            <v>אחזקת מחשבים</v>
          </cell>
          <cell r="G87">
            <v>3105.57</v>
          </cell>
          <cell r="H87">
            <v>853.32</v>
          </cell>
        </row>
        <row r="88">
          <cell r="E88">
            <v>7807</v>
          </cell>
          <cell r="F88" t="str">
            <v>טלפון ותקשורת</v>
          </cell>
          <cell r="G88">
            <v>38878.17</v>
          </cell>
          <cell r="H88">
            <v>10563.46</v>
          </cell>
        </row>
        <row r="89">
          <cell r="E89">
            <v>7808</v>
          </cell>
          <cell r="F89" t="str">
            <v>פחת</v>
          </cell>
          <cell r="G89">
            <v>81476</v>
          </cell>
          <cell r="H89">
            <v>24780</v>
          </cell>
        </row>
        <row r="90">
          <cell r="E90">
            <v>7809</v>
          </cell>
          <cell r="F90" t="str">
            <v>משפטיות</v>
          </cell>
          <cell r="G90">
            <v>101137.93</v>
          </cell>
          <cell r="H90">
            <v>27086.2</v>
          </cell>
        </row>
        <row r="91">
          <cell r="E91">
            <v>7810</v>
          </cell>
          <cell r="F91" t="str">
            <v>הנהלת חשבונות וביקורת</v>
          </cell>
          <cell r="G91">
            <v>131000</v>
          </cell>
          <cell r="H91">
            <v>35919.11</v>
          </cell>
        </row>
        <row r="92">
          <cell r="E92">
            <v>7811</v>
          </cell>
          <cell r="F92" t="str">
            <v>ביטולי יתרות</v>
          </cell>
          <cell r="G92">
            <v>14.33</v>
          </cell>
          <cell r="H92">
            <v>4.04</v>
          </cell>
        </row>
        <row r="93">
          <cell r="E93">
            <v>7812</v>
          </cell>
          <cell r="F93" t="str">
            <v>כיבודים</v>
          </cell>
          <cell r="G93">
            <v>49159.6</v>
          </cell>
          <cell r="H93">
            <v>13452.08</v>
          </cell>
        </row>
        <row r="94">
          <cell r="E94">
            <v>7813</v>
          </cell>
          <cell r="F94" t="str">
            <v>אירוח בארץ</v>
          </cell>
          <cell r="G94">
            <v>9552.9</v>
          </cell>
          <cell r="H94">
            <v>2788.56</v>
          </cell>
        </row>
        <row r="95">
          <cell r="E95">
            <v>7821</v>
          </cell>
          <cell r="F95" t="str">
            <v>ארוחות עובדים</v>
          </cell>
          <cell r="G95">
            <v>107442</v>
          </cell>
          <cell r="H95">
            <v>29133.07</v>
          </cell>
        </row>
        <row r="96">
          <cell r="E96">
            <v>7822</v>
          </cell>
          <cell r="F96" t="str">
            <v>דמי שכירות</v>
          </cell>
          <cell r="G96">
            <v>418819.98</v>
          </cell>
          <cell r="H96">
            <v>113438.59</v>
          </cell>
        </row>
        <row r="97">
          <cell r="E97">
            <v>7823</v>
          </cell>
          <cell r="F97" t="str">
            <v>יעוץ מקצועי</v>
          </cell>
          <cell r="G97">
            <v>-35550</v>
          </cell>
          <cell r="H97">
            <v>-10104.27</v>
          </cell>
        </row>
        <row r="98">
          <cell r="E98">
            <v>7824</v>
          </cell>
          <cell r="F98" t="str">
            <v>אחזקת משרד</v>
          </cell>
          <cell r="G98">
            <v>44175.6</v>
          </cell>
          <cell r="H98">
            <v>12067.96</v>
          </cell>
        </row>
        <row r="99">
          <cell r="E99">
            <v>7825</v>
          </cell>
          <cell r="F99" t="str">
            <v>נסיעות ומוניות</v>
          </cell>
          <cell r="G99">
            <v>4949.74</v>
          </cell>
          <cell r="H99">
            <v>1337.12</v>
          </cell>
        </row>
        <row r="100">
          <cell r="E100">
            <v>7827</v>
          </cell>
          <cell r="F100" t="str">
            <v>מתנות לעובדים</v>
          </cell>
          <cell r="G100">
            <v>16279.02</v>
          </cell>
          <cell r="H100">
            <v>4426.8999999999996</v>
          </cell>
        </row>
        <row r="101">
          <cell r="E101">
            <v>7829</v>
          </cell>
          <cell r="F101" t="str">
            <v>משרדיות</v>
          </cell>
          <cell r="G101">
            <v>1301.74</v>
          </cell>
          <cell r="H101">
            <v>368</v>
          </cell>
        </row>
        <row r="102">
          <cell r="E102">
            <v>7831</v>
          </cell>
          <cell r="F102" t="str">
            <v>אגרות</v>
          </cell>
          <cell r="G102">
            <v>1215</v>
          </cell>
          <cell r="H102">
            <v>346.94</v>
          </cell>
        </row>
        <row r="103">
          <cell r="E103">
            <v>7832</v>
          </cell>
          <cell r="F103" t="str">
            <v>דמי סליקה/שירות פנסיוני</v>
          </cell>
          <cell r="G103">
            <v>5647.83</v>
          </cell>
          <cell r="H103">
            <v>1535.69</v>
          </cell>
        </row>
        <row r="104">
          <cell r="E104">
            <v>7833</v>
          </cell>
          <cell r="F104" t="str">
            <v>חניה</v>
          </cell>
          <cell r="G104">
            <v>4163.17</v>
          </cell>
          <cell r="H104">
            <v>1144.8900000000001</v>
          </cell>
        </row>
        <row r="105">
          <cell r="E105">
            <v>7836</v>
          </cell>
          <cell r="F105" t="str">
            <v>אירועי חברה</v>
          </cell>
          <cell r="G105">
            <v>14647.5</v>
          </cell>
          <cell r="H105">
            <v>4011.77</v>
          </cell>
        </row>
        <row r="106">
          <cell r="E106">
            <v>7838</v>
          </cell>
          <cell r="F106" t="str">
            <v>תוכנות מחשב GA</v>
          </cell>
          <cell r="G106">
            <v>1973.3</v>
          </cell>
          <cell r="H106">
            <v>530.11</v>
          </cell>
        </row>
        <row r="107">
          <cell r="E107">
            <v>7999</v>
          </cell>
          <cell r="F107" t="str">
            <v>הוצ' מחשבונית עצמית ספקי חו"ל</v>
          </cell>
          <cell r="G107">
            <v>0</v>
          </cell>
          <cell r="H107">
            <v>-0.02</v>
          </cell>
        </row>
        <row r="108">
          <cell r="E108">
            <v>9001</v>
          </cell>
          <cell r="F108" t="str">
            <v>הכנסות ריבית</v>
          </cell>
          <cell r="G108">
            <v>-38564.870000000003</v>
          </cell>
          <cell r="H108">
            <v>-11798.69</v>
          </cell>
        </row>
        <row r="109">
          <cell r="E109">
            <v>9002</v>
          </cell>
          <cell r="F109" t="str">
            <v>הפרשי שער</v>
          </cell>
          <cell r="G109">
            <v>-308254.33</v>
          </cell>
          <cell r="H109">
            <v>-13194.73</v>
          </cell>
        </row>
        <row r="110">
          <cell r="E110">
            <v>9003</v>
          </cell>
          <cell r="F110" t="str">
            <v>הפרשי התאמות</v>
          </cell>
          <cell r="G110">
            <v>0.16</v>
          </cell>
          <cell r="H110">
            <v>0.05</v>
          </cell>
        </row>
        <row r="111">
          <cell r="E111">
            <v>9004</v>
          </cell>
          <cell r="F111" t="str">
            <v>עמלות בנקים וכרטיסי אשראי</v>
          </cell>
          <cell r="G111">
            <v>7214.09</v>
          </cell>
          <cell r="H111">
            <v>1959.66</v>
          </cell>
        </row>
        <row r="112">
          <cell r="E112">
            <v>9005</v>
          </cell>
          <cell r="F112" t="str">
            <v>עמלות ערבות</v>
          </cell>
          <cell r="G112">
            <v>4228.8500000000004</v>
          </cell>
          <cell r="H112">
            <v>1075.55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6:J57"/>
  <sheetViews>
    <sheetView zoomScaleNormal="100" workbookViewId="0">
      <selection activeCell="G12" sqref="G12"/>
    </sheetView>
  </sheetViews>
  <sheetFormatPr defaultRowHeight="12.5"/>
  <cols>
    <col min="1" max="1" width="2.453125" customWidth="1"/>
    <col min="2" max="2" width="4.54296875" customWidth="1"/>
    <col min="3" max="4" width="7.54296875" customWidth="1"/>
    <col min="5" max="5" width="21" customWidth="1"/>
    <col min="6" max="6" width="3.81640625" customWidth="1"/>
    <col min="7" max="7" width="11.81640625" bestFit="1" customWidth="1"/>
    <col min="8" max="8" width="12.1796875" bestFit="1" customWidth="1"/>
    <col min="9" max="9" width="2" customWidth="1"/>
    <col min="10" max="10" width="8.81640625" bestFit="1" customWidth="1"/>
    <col min="11" max="11" width="9.453125" customWidth="1"/>
    <col min="12" max="12" width="9.1796875" customWidth="1"/>
  </cols>
  <sheetData>
    <row r="6" spans="2:10" ht="15.5">
      <c r="B6" s="51" t="s">
        <v>157</v>
      </c>
      <c r="C6" s="31"/>
      <c r="D6" s="31"/>
      <c r="E6" s="31"/>
      <c r="F6" s="31"/>
      <c r="G6" s="31"/>
      <c r="H6" s="31"/>
      <c r="I6" s="31"/>
    </row>
    <row r="7" spans="2:10" ht="15.5">
      <c r="B7" s="30" t="s">
        <v>141</v>
      </c>
      <c r="C7" s="31"/>
      <c r="D7" s="31"/>
      <c r="E7" s="31"/>
      <c r="I7" s="31"/>
      <c r="J7" s="32">
        <v>45291</v>
      </c>
    </row>
    <row r="8" spans="2:10" ht="15.5">
      <c r="B8" s="30" t="s">
        <v>129</v>
      </c>
      <c r="C8" s="31"/>
      <c r="D8" s="31"/>
      <c r="E8" s="31"/>
      <c r="F8" s="31"/>
      <c r="G8" s="31"/>
      <c r="H8" s="31"/>
      <c r="I8" s="31"/>
    </row>
    <row r="9" spans="2:10" ht="13.5" thickBot="1">
      <c r="B9" s="1"/>
    </row>
    <row r="10" spans="2:10">
      <c r="B10" s="12"/>
      <c r="C10" s="13"/>
      <c r="D10" s="13"/>
      <c r="E10" s="13"/>
      <c r="F10" s="13"/>
      <c r="G10" s="13"/>
      <c r="H10" s="13"/>
      <c r="I10" s="13"/>
      <c r="J10" s="14"/>
    </row>
    <row r="11" spans="2:10" ht="13">
      <c r="B11" s="15"/>
      <c r="C11" s="7"/>
      <c r="D11" s="7"/>
      <c r="E11" s="7"/>
      <c r="F11" s="7"/>
      <c r="G11" s="132" t="s">
        <v>0</v>
      </c>
      <c r="H11" s="133"/>
      <c r="I11" s="7"/>
      <c r="J11" s="16"/>
    </row>
    <row r="12" spans="2:10" ht="13">
      <c r="B12" s="15"/>
      <c r="C12" s="7"/>
      <c r="D12" s="7"/>
      <c r="E12" s="7"/>
      <c r="F12" s="7"/>
      <c r="G12" s="35">
        <v>45291</v>
      </c>
      <c r="H12" s="35">
        <f>G12</f>
        <v>45291</v>
      </c>
      <c r="I12" s="7"/>
      <c r="J12" s="16"/>
    </row>
    <row r="13" spans="2:10" ht="13">
      <c r="B13" s="15"/>
      <c r="C13" s="7"/>
      <c r="D13" s="7"/>
      <c r="E13" s="7"/>
      <c r="F13" s="7"/>
      <c r="G13" s="35" t="s">
        <v>123</v>
      </c>
      <c r="H13" s="35" t="s">
        <v>124</v>
      </c>
      <c r="I13" s="7"/>
      <c r="J13" s="16"/>
    </row>
    <row r="14" spans="2:10" s="5" customFormat="1" ht="13">
      <c r="B14" s="17"/>
      <c r="C14" s="18"/>
      <c r="D14" s="18"/>
      <c r="E14" s="18"/>
      <c r="F14" s="18"/>
      <c r="G14" s="6"/>
      <c r="H14" s="6"/>
      <c r="I14" s="18"/>
      <c r="J14" s="19"/>
    </row>
    <row r="15" spans="2:10" ht="13">
      <c r="B15" s="20" t="s">
        <v>1</v>
      </c>
      <c r="C15" s="7"/>
      <c r="D15" s="7"/>
      <c r="E15" s="7"/>
      <c r="F15" s="34"/>
      <c r="G15" s="33">
        <f>'P&amp;L'!E15</f>
        <v>0</v>
      </c>
      <c r="H15" s="33">
        <f>'P&amp;L'!F15</f>
        <v>0</v>
      </c>
      <c r="I15" s="7"/>
      <c r="J15" s="16"/>
    </row>
    <row r="16" spans="2:10" ht="13">
      <c r="B16" s="20" t="s">
        <v>2</v>
      </c>
      <c r="C16" s="7"/>
      <c r="D16" s="7"/>
      <c r="E16" s="7"/>
      <c r="F16" s="34"/>
      <c r="G16" s="33">
        <f>'P&amp;L'!E21</f>
        <v>0</v>
      </c>
      <c r="H16" s="33">
        <f>'P&amp;L'!F21</f>
        <v>0</v>
      </c>
      <c r="I16" s="7"/>
      <c r="J16" s="16"/>
    </row>
    <row r="17" spans="2:10" ht="13">
      <c r="B17" s="20" t="s">
        <v>3</v>
      </c>
      <c r="C17" s="7"/>
      <c r="D17" s="7"/>
      <c r="E17" s="7"/>
      <c r="F17" s="34"/>
      <c r="G17" s="134">
        <f>G15-G16</f>
        <v>0</v>
      </c>
      <c r="H17" s="134">
        <f>H15-H16</f>
        <v>0</v>
      </c>
      <c r="I17" s="7"/>
      <c r="J17" s="16"/>
    </row>
    <row r="18" spans="2:10">
      <c r="B18" s="15"/>
      <c r="C18" s="7"/>
      <c r="D18" s="7"/>
      <c r="E18" s="7"/>
      <c r="F18" s="34"/>
      <c r="G18" s="34"/>
      <c r="H18" s="34"/>
      <c r="I18" s="7"/>
      <c r="J18" s="16"/>
    </row>
    <row r="19" spans="2:10" ht="13">
      <c r="B19" s="23" t="s">
        <v>4</v>
      </c>
      <c r="C19" s="7"/>
      <c r="D19" s="7"/>
      <c r="E19" s="7"/>
      <c r="F19" s="34"/>
      <c r="G19" s="34"/>
      <c r="H19" s="34"/>
      <c r="I19" s="7"/>
      <c r="J19" s="16"/>
    </row>
    <row r="20" spans="2:10" ht="13">
      <c r="B20" s="20"/>
      <c r="C20" s="36" t="s">
        <v>50</v>
      </c>
      <c r="D20" s="36"/>
      <c r="E20" s="7"/>
      <c r="F20" s="34"/>
      <c r="G20" s="33">
        <f>'P&amp;L'!E35</f>
        <v>4940779.5369999995</v>
      </c>
      <c r="H20" s="33">
        <f>'P&amp;L'!F35</f>
        <v>1343306.0817755722</v>
      </c>
      <c r="I20" s="7"/>
      <c r="J20" s="147">
        <f>H20/$H$23</f>
        <v>0.53528066321637535</v>
      </c>
    </row>
    <row r="21" spans="2:10" ht="13">
      <c r="B21" s="20"/>
      <c r="C21" s="36" t="s">
        <v>51</v>
      </c>
      <c r="D21" s="36"/>
      <c r="E21" s="7"/>
      <c r="F21" s="34"/>
      <c r="G21" s="33">
        <f>'P&amp;L'!E46</f>
        <v>2228851.162155835</v>
      </c>
      <c r="H21" s="33">
        <f>'P&amp;L'!F46</f>
        <v>612473.45373472164</v>
      </c>
      <c r="I21" s="7"/>
      <c r="J21" s="147">
        <f t="shared" ref="J21:J22" si="0">H21/$H$23</f>
        <v>0.24405844726333883</v>
      </c>
    </row>
    <row r="22" spans="2:10" ht="13">
      <c r="B22" s="20"/>
      <c r="C22" s="36" t="s">
        <v>52</v>
      </c>
      <c r="D22" s="36"/>
      <c r="E22" s="7"/>
      <c r="F22" s="34"/>
      <c r="G22" s="33">
        <f>'P&amp;L'!E63</f>
        <v>2012572.6511588863</v>
      </c>
      <c r="H22" s="33">
        <f>'P&amp;L'!F63</f>
        <v>553756.44082025858</v>
      </c>
      <c r="I22" s="7"/>
      <c r="J22" s="147">
        <f t="shared" si="0"/>
        <v>0.22066088952028581</v>
      </c>
    </row>
    <row r="23" spans="2:10" ht="13.5" thickBot="1">
      <c r="B23" s="20" t="s">
        <v>20</v>
      </c>
      <c r="C23" s="7"/>
      <c r="D23" s="7"/>
      <c r="E23" s="7"/>
      <c r="F23" s="34"/>
      <c r="G23" s="9">
        <f>SUM(G20:G22)</f>
        <v>9182203.3503147215</v>
      </c>
      <c r="H23" s="9">
        <f>SUM(H20:H22)</f>
        <v>2509535.9763305523</v>
      </c>
      <c r="I23" s="7"/>
      <c r="J23" s="16"/>
    </row>
    <row r="24" spans="2:10" ht="13" thickTop="1">
      <c r="B24" s="15"/>
      <c r="C24" s="7"/>
      <c r="D24" s="7"/>
      <c r="E24" s="7"/>
      <c r="F24" s="34"/>
      <c r="G24" s="34"/>
      <c r="H24" s="34"/>
      <c r="I24" s="7"/>
      <c r="J24" s="16"/>
    </row>
    <row r="25" spans="2:10" ht="13">
      <c r="B25" s="20" t="s">
        <v>80</v>
      </c>
      <c r="C25" s="7"/>
      <c r="D25" s="7"/>
      <c r="E25" s="7"/>
      <c r="F25" s="34"/>
      <c r="G25" s="134">
        <f>'P&amp;L'!E76</f>
        <v>-9100727.3503147215</v>
      </c>
      <c r="H25" s="134">
        <f>'P&amp;L'!F76</f>
        <v>-2484755.9763305523</v>
      </c>
      <c r="I25" s="7"/>
      <c r="J25" s="16"/>
    </row>
    <row r="26" spans="2:10" ht="13" thickBot="1">
      <c r="B26" s="26"/>
      <c r="C26" s="27"/>
      <c r="D26" s="27"/>
      <c r="E26" s="27"/>
      <c r="F26" s="27"/>
      <c r="G26" s="27"/>
      <c r="H26" s="27"/>
      <c r="I26" s="27"/>
      <c r="J26" s="28"/>
    </row>
    <row r="27" spans="2:10">
      <c r="B27" t="s">
        <v>81</v>
      </c>
    </row>
    <row r="28" spans="2:10" ht="13" thickBot="1"/>
    <row r="29" spans="2:10">
      <c r="B29" s="12"/>
      <c r="C29" s="13"/>
      <c r="D29" s="13"/>
      <c r="E29" s="13"/>
      <c r="F29" s="13"/>
      <c r="G29" s="13"/>
      <c r="H29" s="13"/>
      <c r="I29" s="13"/>
      <c r="J29" s="14"/>
    </row>
    <row r="30" spans="2:10" s="47" customFormat="1" ht="14">
      <c r="B30" s="48" t="s">
        <v>83</v>
      </c>
      <c r="C30" s="49"/>
      <c r="D30" s="49"/>
      <c r="E30" s="50">
        <f>J7</f>
        <v>45291</v>
      </c>
      <c r="F30" s="49"/>
      <c r="G30" s="33">
        <f>BS!E16</f>
        <v>2798941.5999999996</v>
      </c>
      <c r="H30" s="33">
        <f>BS!G16</f>
        <v>771696.04999999993</v>
      </c>
      <c r="I30" s="49"/>
      <c r="J30" s="135"/>
    </row>
    <row r="31" spans="2:10" s="42" customFormat="1" ht="16" thickBot="1">
      <c r="B31" s="43"/>
      <c r="C31" s="44"/>
      <c r="D31" s="44"/>
      <c r="E31" s="44"/>
      <c r="F31" s="44"/>
      <c r="G31" s="45"/>
      <c r="H31" s="44"/>
      <c r="I31" s="44"/>
      <c r="J31" s="46"/>
    </row>
    <row r="33" spans="2:10" ht="15.5">
      <c r="B33" s="30" t="s">
        <v>138</v>
      </c>
    </row>
    <row r="34" spans="2:10" ht="13" thickBot="1"/>
    <row r="35" spans="2:10">
      <c r="B35" s="12"/>
      <c r="C35" s="13"/>
      <c r="D35" s="13"/>
      <c r="E35" s="13"/>
      <c r="F35" s="13"/>
      <c r="G35" s="13"/>
      <c r="H35" s="13"/>
      <c r="I35" s="13"/>
      <c r="J35" s="14"/>
    </row>
    <row r="36" spans="2:10" ht="13">
      <c r="B36" s="15"/>
      <c r="C36" s="7"/>
      <c r="D36" s="7"/>
      <c r="E36" s="7"/>
      <c r="F36" s="7"/>
      <c r="G36" s="132" t="s">
        <v>0</v>
      </c>
      <c r="H36" s="133"/>
      <c r="I36" s="7"/>
      <c r="J36" s="16"/>
    </row>
    <row r="37" spans="2:10" ht="13">
      <c r="B37" s="15"/>
      <c r="C37" s="7"/>
      <c r="D37" s="7"/>
      <c r="E37" s="7"/>
      <c r="F37" s="7"/>
      <c r="G37" s="35">
        <f>G12</f>
        <v>45291</v>
      </c>
      <c r="H37" s="35">
        <f>H12</f>
        <v>45291</v>
      </c>
      <c r="I37" s="7"/>
      <c r="J37" s="16"/>
    </row>
    <row r="38" spans="2:10" ht="13">
      <c r="B38" s="15"/>
      <c r="C38" s="7"/>
      <c r="D38" s="7"/>
      <c r="E38" s="7"/>
      <c r="F38" s="7"/>
      <c r="G38" s="35" t="s">
        <v>123</v>
      </c>
      <c r="H38" s="35" t="s">
        <v>124</v>
      </c>
      <c r="I38" s="7"/>
      <c r="J38" s="16"/>
    </row>
    <row r="39" spans="2:10" ht="13">
      <c r="B39" s="15"/>
      <c r="C39" s="36" t="s">
        <v>54</v>
      </c>
      <c r="D39" s="36"/>
      <c r="E39" s="7"/>
      <c r="F39" s="7"/>
      <c r="G39" s="41">
        <f>G25/9</f>
        <v>-1011191.9278127468</v>
      </c>
      <c r="H39" s="41">
        <f>H25/9</f>
        <v>-276083.99737006135</v>
      </c>
      <c r="I39" s="7"/>
      <c r="J39" s="16"/>
    </row>
    <row r="40" spans="2:10" ht="13">
      <c r="B40" s="15"/>
      <c r="C40" s="36" t="s">
        <v>73</v>
      </c>
      <c r="D40" s="36"/>
      <c r="E40" s="7"/>
      <c r="F40" s="7"/>
      <c r="G40" s="33">
        <v>0</v>
      </c>
      <c r="H40" s="33">
        <v>0</v>
      </c>
      <c r="I40" s="7"/>
      <c r="J40" s="16"/>
    </row>
    <row r="41" spans="2:10">
      <c r="B41" s="15"/>
      <c r="C41" s="7"/>
      <c r="D41" s="7"/>
      <c r="E41" s="7"/>
      <c r="F41" s="7"/>
      <c r="G41" s="7"/>
      <c r="H41" s="7"/>
      <c r="I41" s="7"/>
      <c r="J41" s="16"/>
    </row>
    <row r="42" spans="2:10" ht="13.5" thickBot="1">
      <c r="B42" s="26"/>
      <c r="C42" s="136" t="s">
        <v>74</v>
      </c>
      <c r="D42" s="136"/>
      <c r="E42" s="27"/>
      <c r="F42" s="27"/>
      <c r="G42" s="137">
        <f>G39+G40</f>
        <v>-1011191.9278127468</v>
      </c>
      <c r="H42" s="137">
        <f>H39+H40</f>
        <v>-276083.99737006135</v>
      </c>
      <c r="I42" s="27"/>
      <c r="J42" s="28"/>
    </row>
    <row r="43" spans="2:10">
      <c r="B43" s="7"/>
      <c r="C43" s="7"/>
      <c r="D43" s="7"/>
      <c r="E43" s="7"/>
      <c r="F43" s="7"/>
      <c r="G43" s="7"/>
      <c r="H43" s="7"/>
      <c r="I43" s="7"/>
    </row>
    <row r="46" spans="2:10" ht="15.5" hidden="1">
      <c r="B46" s="30" t="s">
        <v>75</v>
      </c>
    </row>
    <row r="47" spans="2:10" hidden="1"/>
    <row r="48" spans="2:10" hidden="1">
      <c r="B48" s="12"/>
      <c r="C48" s="13"/>
      <c r="D48" s="13"/>
      <c r="E48" s="13"/>
      <c r="F48" s="13"/>
      <c r="G48" s="13"/>
      <c r="H48" s="13"/>
      <c r="I48" s="14"/>
    </row>
    <row r="49" spans="2:9" ht="13.5" hidden="1" thickBot="1">
      <c r="B49" s="15"/>
      <c r="C49" s="7"/>
      <c r="D49" s="7"/>
      <c r="E49" s="7"/>
      <c r="F49" s="7"/>
      <c r="G49" s="2"/>
      <c r="H49" s="58" t="s">
        <v>94</v>
      </c>
      <c r="I49" s="16"/>
    </row>
    <row r="50" spans="2:9" ht="13" hidden="1">
      <c r="B50" s="15"/>
      <c r="C50" s="7"/>
      <c r="D50" s="7"/>
      <c r="E50" s="7"/>
      <c r="F50" s="7"/>
      <c r="G50" s="35">
        <v>43190</v>
      </c>
      <c r="H50" s="35">
        <v>43465</v>
      </c>
      <c r="I50" s="16"/>
    </row>
    <row r="51" spans="2:9" ht="13" hidden="1">
      <c r="B51" s="15"/>
      <c r="C51" s="36" t="s">
        <v>95</v>
      </c>
      <c r="D51" s="36"/>
      <c r="E51" s="7"/>
      <c r="F51" s="7"/>
      <c r="G51" s="60">
        <v>0.05</v>
      </c>
      <c r="H51" s="59">
        <v>0.4</v>
      </c>
      <c r="I51" s="16"/>
    </row>
    <row r="52" spans="2:9" ht="13" hidden="1">
      <c r="B52" s="15"/>
      <c r="C52" s="36" t="s">
        <v>77</v>
      </c>
      <c r="D52" s="36"/>
      <c r="E52" s="7"/>
      <c r="F52" s="7"/>
      <c r="G52" s="59">
        <v>8.3000000000000007</v>
      </c>
      <c r="H52" s="59">
        <v>5.6</v>
      </c>
      <c r="I52" s="16"/>
    </row>
    <row r="53" spans="2:9" ht="13" hidden="1">
      <c r="B53" s="15"/>
      <c r="C53" s="36" t="s">
        <v>78</v>
      </c>
      <c r="D53" s="36"/>
      <c r="E53" s="7"/>
      <c r="F53" s="7"/>
      <c r="G53" s="7">
        <v>1.05</v>
      </c>
      <c r="H53" s="59">
        <v>0.7</v>
      </c>
      <c r="I53" s="16"/>
    </row>
    <row r="54" spans="2:9" ht="13" hidden="1">
      <c r="B54" s="15"/>
      <c r="C54" s="36" t="s">
        <v>79</v>
      </c>
      <c r="D54" s="36"/>
      <c r="E54" s="7"/>
      <c r="F54" s="7"/>
      <c r="G54" s="7">
        <v>1.6</v>
      </c>
      <c r="H54" s="59">
        <v>1.3</v>
      </c>
      <c r="I54" s="16"/>
    </row>
    <row r="55" spans="2:9" ht="13.5" hidden="1" thickBot="1">
      <c r="B55" s="15"/>
      <c r="C55" s="36" t="s">
        <v>76</v>
      </c>
      <c r="D55" s="36"/>
      <c r="E55" s="7"/>
      <c r="F55" s="7"/>
      <c r="G55" s="11">
        <f>SUM(G52:G54)</f>
        <v>10.950000000000001</v>
      </c>
      <c r="H55" s="11">
        <f>SUM(H52:H54)</f>
        <v>7.6</v>
      </c>
      <c r="I55" s="16"/>
    </row>
    <row r="56" spans="2:9" ht="13" hidden="1" thickBot="1">
      <c r="B56" s="26"/>
      <c r="C56" s="27"/>
      <c r="D56" s="27"/>
      <c r="E56" s="27"/>
      <c r="F56" s="27"/>
      <c r="G56" s="27"/>
      <c r="H56" s="27"/>
      <c r="I56" s="28"/>
    </row>
    <row r="57" spans="2:9" hidden="1"/>
  </sheetData>
  <phoneticPr fontId="15" type="noConversion"/>
  <pageMargins left="0.74803149606299213" right="0.74803149606299213" top="0.98425196850393704" bottom="0.98425196850393704" header="0.51181102362204722" footer="0.51181102362204722"/>
  <pageSetup paperSize="9" scale="90" orientation="portrait" r:id="rId1"/>
  <headerFooter scaleWithDoc="0"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6:AI78"/>
  <sheetViews>
    <sheetView topLeftCell="B14" zoomScaleNormal="100" workbookViewId="0">
      <selection activeCell="D20" sqref="D20"/>
    </sheetView>
  </sheetViews>
  <sheetFormatPr defaultRowHeight="12.5"/>
  <cols>
    <col min="1" max="1" width="2" customWidth="1"/>
    <col min="2" max="2" width="3.81640625" customWidth="1"/>
    <col min="3" max="3" width="4.1796875" customWidth="1"/>
    <col min="4" max="4" width="31.1796875" customWidth="1"/>
    <col min="5" max="5" width="12.453125" customWidth="1"/>
    <col min="6" max="6" width="2.81640625" customWidth="1"/>
    <col min="7" max="7" width="12.453125" customWidth="1"/>
    <col min="8" max="8" width="5" customWidth="1"/>
    <col min="9" max="9" width="13.453125" bestFit="1" customWidth="1"/>
    <col min="10" max="10" width="5" customWidth="1"/>
    <col min="11" max="11" width="12.453125" style="148" customWidth="1"/>
    <col min="12" max="12" width="2.81640625" style="148" customWidth="1"/>
    <col min="13" max="13" width="12.453125" style="148" customWidth="1"/>
    <col min="14" max="14" width="5" style="148" customWidth="1"/>
    <col min="15" max="15" width="12.453125" style="148" customWidth="1"/>
    <col min="16" max="16" width="2.81640625" style="148" customWidth="1"/>
    <col min="17" max="17" width="12.453125" style="148" customWidth="1"/>
    <col min="18" max="18" width="5" style="148" customWidth="1"/>
    <col min="19" max="19" width="11.453125" style="148" bestFit="1" customWidth="1"/>
    <col min="20" max="20" width="1.6328125" style="148" customWidth="1"/>
    <col min="21" max="21" width="10.453125" style="148" bestFit="1" customWidth="1"/>
    <col min="22" max="22" width="5" style="148" customWidth="1"/>
    <col min="23" max="23" width="12.453125" style="148" customWidth="1"/>
    <col min="24" max="24" width="2.81640625" style="148" customWidth="1"/>
    <col min="25" max="25" width="12.453125" style="148" customWidth="1"/>
    <col min="26" max="26" width="13.1796875" style="148" bestFit="1" customWidth="1"/>
    <col min="27" max="27" width="12.453125" style="148" customWidth="1"/>
    <col min="28" max="28" width="2.81640625" style="148" customWidth="1"/>
    <col min="29" max="29" width="12.453125" style="148" customWidth="1"/>
    <col min="31" max="31" width="13.54296875" bestFit="1" customWidth="1"/>
    <col min="32" max="32" width="4.54296875" bestFit="1" customWidth="1"/>
    <col min="33" max="33" width="13.1796875" bestFit="1" customWidth="1"/>
    <col min="34" max="34" width="11" bestFit="1" customWidth="1"/>
  </cols>
  <sheetData>
    <row r="6" spans="2:29" ht="15.5">
      <c r="B6" s="51" t="str">
        <f>Summary!B6</f>
        <v>GetCtrl LTD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31"/>
    </row>
    <row r="7" spans="2:29" ht="15.5">
      <c r="B7" s="30" t="s">
        <v>142</v>
      </c>
      <c r="C7" s="31"/>
      <c r="D7" s="31"/>
      <c r="E7" s="31"/>
      <c r="F7" s="31"/>
      <c r="H7" s="64"/>
      <c r="I7" s="65">
        <f>Summary!J7</f>
        <v>45291</v>
      </c>
      <c r="J7" s="31"/>
      <c r="K7" s="31"/>
      <c r="L7" s="31"/>
      <c r="N7" s="31"/>
      <c r="O7" s="31"/>
      <c r="P7" s="31"/>
      <c r="R7" s="31"/>
      <c r="S7" s="31"/>
      <c r="T7" s="31"/>
      <c r="U7" s="31"/>
      <c r="V7" s="31"/>
      <c r="W7" s="31"/>
      <c r="X7" s="31"/>
      <c r="AA7" s="31"/>
      <c r="AB7" s="31"/>
    </row>
    <row r="8" spans="2:29" ht="15.5">
      <c r="B8" s="30" t="s">
        <v>129</v>
      </c>
      <c r="C8" s="31"/>
      <c r="D8" s="31"/>
      <c r="E8" s="30"/>
      <c r="F8" s="31"/>
      <c r="G8" s="30"/>
      <c r="H8" s="31"/>
      <c r="I8" s="31"/>
      <c r="J8" s="31"/>
      <c r="K8" s="30"/>
      <c r="L8" s="31"/>
      <c r="M8" s="30"/>
      <c r="N8" s="31"/>
      <c r="O8" s="30"/>
      <c r="P8" s="31"/>
      <c r="Q8" s="30"/>
      <c r="R8" s="31"/>
      <c r="S8" s="31"/>
      <c r="T8" s="31"/>
      <c r="U8" s="31"/>
      <c r="V8" s="31"/>
      <c r="W8" s="30"/>
      <c r="X8" s="31"/>
      <c r="Y8" s="30"/>
      <c r="AA8" s="30"/>
      <c r="AB8" s="31"/>
      <c r="AC8" s="30"/>
    </row>
    <row r="9" spans="2:29" ht="13.5" thickBot="1">
      <c r="B9" s="1"/>
    </row>
    <row r="10" spans="2:29">
      <c r="B10" s="12"/>
      <c r="C10" s="13"/>
      <c r="D10" s="13"/>
      <c r="E10" s="71"/>
      <c r="F10" s="13"/>
      <c r="G10" s="13"/>
      <c r="H10" s="13"/>
      <c r="I10" s="14"/>
      <c r="K10" s="71"/>
      <c r="L10" s="13"/>
      <c r="M10" s="13"/>
      <c r="O10" s="71"/>
      <c r="P10" s="13"/>
      <c r="Q10" s="13"/>
      <c r="W10" s="71"/>
      <c r="X10" s="13"/>
      <c r="Y10" s="13"/>
      <c r="AA10" s="71"/>
      <c r="AB10" s="13"/>
      <c r="AC10" s="13"/>
    </row>
    <row r="11" spans="2:29" ht="13">
      <c r="B11" s="15"/>
      <c r="C11" s="7"/>
      <c r="D11" s="7"/>
      <c r="E11" s="35">
        <f>I7</f>
        <v>45291</v>
      </c>
      <c r="F11" s="7"/>
      <c r="G11" s="35">
        <f>I7</f>
        <v>45291</v>
      </c>
      <c r="H11" s="7"/>
      <c r="I11" s="16"/>
      <c r="K11" s="35">
        <v>45199</v>
      </c>
      <c r="L11" s="7"/>
      <c r="M11" s="35">
        <v>45199</v>
      </c>
      <c r="O11" s="35">
        <v>45107</v>
      </c>
      <c r="P11" s="7"/>
      <c r="Q11" s="35">
        <v>45107</v>
      </c>
      <c r="S11" s="154">
        <v>45016</v>
      </c>
      <c r="U11" s="154">
        <v>45016</v>
      </c>
      <c r="W11" s="154">
        <v>44926</v>
      </c>
      <c r="Y11" s="154">
        <v>44926</v>
      </c>
      <c r="AA11" s="154">
        <v>44561</v>
      </c>
      <c r="AC11" s="154">
        <v>44561</v>
      </c>
    </row>
    <row r="12" spans="2:29" ht="13">
      <c r="B12" s="15"/>
      <c r="C12" s="7"/>
      <c r="D12" s="7"/>
      <c r="E12" s="35" t="s">
        <v>123</v>
      </c>
      <c r="F12" s="7"/>
      <c r="G12" s="35" t="s">
        <v>124</v>
      </c>
      <c r="H12" s="7"/>
      <c r="I12" s="16"/>
      <c r="K12" s="35" t="s">
        <v>123</v>
      </c>
      <c r="L12" s="7"/>
      <c r="M12" s="35" t="s">
        <v>124</v>
      </c>
      <c r="O12" s="35" t="s">
        <v>123</v>
      </c>
      <c r="P12" s="7"/>
      <c r="Q12" s="35" t="s">
        <v>124</v>
      </c>
      <c r="S12" s="154" t="s">
        <v>123</v>
      </c>
      <c r="U12" s="154" t="s">
        <v>124</v>
      </c>
      <c r="W12" s="154" t="s">
        <v>123</v>
      </c>
      <c r="Y12" s="154" t="s">
        <v>124</v>
      </c>
      <c r="AA12" s="154" t="s">
        <v>123</v>
      </c>
      <c r="AC12" s="154" t="s">
        <v>124</v>
      </c>
    </row>
    <row r="13" spans="2:29" ht="13">
      <c r="B13" s="20" t="s">
        <v>26</v>
      </c>
      <c r="C13" s="7"/>
      <c r="D13" s="7"/>
      <c r="E13" s="33"/>
      <c r="F13" s="7"/>
      <c r="G13" s="33"/>
      <c r="H13" s="7"/>
      <c r="I13" s="16"/>
      <c r="K13" s="33"/>
      <c r="L13" s="7"/>
      <c r="M13" s="33"/>
      <c r="O13" s="33"/>
      <c r="P13" s="7"/>
      <c r="Q13" s="33"/>
      <c r="S13" s="33"/>
      <c r="U13" s="33"/>
      <c r="W13" s="33"/>
      <c r="Y13" s="33"/>
      <c r="AA13" s="33"/>
      <c r="AC13" s="33"/>
    </row>
    <row r="14" spans="2:29" ht="5.25" customHeight="1">
      <c r="B14" s="20"/>
      <c r="C14" s="7"/>
      <c r="D14" s="7"/>
      <c r="E14" s="33"/>
      <c r="F14" s="7"/>
      <c r="G14" s="33"/>
      <c r="H14" s="7"/>
      <c r="I14" s="16"/>
      <c r="K14" s="33"/>
      <c r="L14" s="7"/>
      <c r="M14" s="33"/>
      <c r="O14" s="33"/>
      <c r="P14" s="7"/>
      <c r="Q14" s="33"/>
      <c r="S14" s="33"/>
      <c r="U14" s="33"/>
      <c r="W14" s="33"/>
      <c r="Y14" s="33"/>
      <c r="AA14" s="33"/>
      <c r="AC14" s="33"/>
    </row>
    <row r="15" spans="2:29" ht="13">
      <c r="B15" s="24"/>
      <c r="C15" s="29" t="s">
        <v>27</v>
      </c>
      <c r="D15" s="7"/>
      <c r="E15" s="34"/>
      <c r="F15" s="7"/>
      <c r="G15" s="34"/>
      <c r="H15" s="7"/>
      <c r="I15" s="16"/>
      <c r="K15" s="34"/>
      <c r="L15" s="7"/>
      <c r="M15" s="34"/>
      <c r="O15" s="34"/>
      <c r="P15" s="7"/>
      <c r="Q15" s="34"/>
      <c r="S15" s="34"/>
      <c r="U15" s="34"/>
      <c r="W15" s="34"/>
      <c r="Y15" s="34"/>
      <c r="AA15" s="34"/>
      <c r="AC15" s="34"/>
    </row>
    <row r="16" spans="2:29">
      <c r="B16" s="15"/>
      <c r="C16" s="7"/>
      <c r="D16" s="7" t="s">
        <v>28</v>
      </c>
      <c r="E16" s="33">
        <f>SUMIF(TB!$J$2:$J$121,D16,TB!$F$2:$F$121)</f>
        <v>2798941.5999999996</v>
      </c>
      <c r="F16" s="7"/>
      <c r="G16" s="33">
        <f>SUMIF(TB!$J$2:$J$121,D16,TB!$I$2:$I121)</f>
        <v>771696.04999999993</v>
      </c>
      <c r="H16" s="7"/>
      <c r="I16" s="16"/>
      <c r="K16" s="33">
        <v>4215848.1500000004</v>
      </c>
      <c r="L16" s="7"/>
      <c r="M16" s="33">
        <v>1101246.7243243246</v>
      </c>
      <c r="O16" s="33">
        <v>5701783.6099999985</v>
      </c>
      <c r="P16" s="7"/>
      <c r="Q16" s="33">
        <v>1541050.0343243245</v>
      </c>
      <c r="S16" s="33">
        <v>10315135.340000002</v>
      </c>
      <c r="U16" s="33">
        <v>2852307.2793350383</v>
      </c>
      <c r="W16" s="33">
        <v>7141709.9300000006</v>
      </c>
      <c r="Y16" s="33">
        <v>2029479.2093350382</v>
      </c>
      <c r="AA16" s="33">
        <v>3333096.2600000002</v>
      </c>
      <c r="AC16" s="33">
        <v>1071735.1400000001</v>
      </c>
    </row>
    <row r="17" spans="2:29">
      <c r="B17" s="15"/>
      <c r="C17" s="7"/>
      <c r="D17" s="7" t="s">
        <v>29</v>
      </c>
      <c r="E17" s="33">
        <f>SUMIF(TB!$J$2:$J$121,D17,TB!$F$2:$F$121)</f>
        <v>0</v>
      </c>
      <c r="F17" s="7"/>
      <c r="G17" s="33">
        <f>SUMIF(TB!$J$2:$J$121,D17,TB!$I$2:$I122)</f>
        <v>0</v>
      </c>
      <c r="H17" s="7"/>
      <c r="I17" s="16"/>
      <c r="K17" s="33">
        <v>0</v>
      </c>
      <c r="L17" s="7"/>
      <c r="M17" s="33">
        <v>0</v>
      </c>
      <c r="O17" s="33">
        <v>0</v>
      </c>
      <c r="P17" s="7"/>
      <c r="Q17" s="33">
        <v>0</v>
      </c>
      <c r="S17" s="33">
        <v>0</v>
      </c>
      <c r="U17" s="33">
        <v>0</v>
      </c>
      <c r="W17" s="33">
        <v>0</v>
      </c>
      <c r="Y17" s="33">
        <v>0</v>
      </c>
      <c r="AA17" s="33">
        <v>0</v>
      </c>
      <c r="AC17" s="33">
        <v>0</v>
      </c>
    </row>
    <row r="18" spans="2:29">
      <c r="B18" s="15"/>
      <c r="C18" s="7"/>
      <c r="D18" s="7" t="s">
        <v>30</v>
      </c>
      <c r="E18" s="33">
        <f>SUMIF(TB!$J$2:$J$121,D18,TB!$F$2:$F$121)</f>
        <v>0</v>
      </c>
      <c r="F18" s="7"/>
      <c r="G18" s="33">
        <f>SUMIF(TB!$J$2:$J$121,D18,TB!$I$2:$I123)</f>
        <v>0</v>
      </c>
      <c r="H18" s="7"/>
      <c r="I18" s="16"/>
      <c r="K18" s="33">
        <v>0</v>
      </c>
      <c r="L18" s="7"/>
      <c r="M18" s="33">
        <v>0</v>
      </c>
      <c r="O18" s="33">
        <v>0</v>
      </c>
      <c r="P18" s="7"/>
      <c r="Q18" s="33">
        <v>0</v>
      </c>
      <c r="S18" s="33">
        <v>0</v>
      </c>
      <c r="U18" s="33">
        <v>0</v>
      </c>
      <c r="W18" s="33">
        <v>0</v>
      </c>
      <c r="Y18" s="33">
        <v>0</v>
      </c>
      <c r="AA18" s="33">
        <v>0</v>
      </c>
      <c r="AC18" s="33">
        <v>0</v>
      </c>
    </row>
    <row r="19" spans="2:29">
      <c r="B19" s="15"/>
      <c r="C19" s="7"/>
      <c r="D19" s="7" t="s">
        <v>103</v>
      </c>
      <c r="E19" s="33">
        <f>SUMIF(TB!$J$2:$J$121,D19,TB!$F$2:$F$121)</f>
        <v>111434.76</v>
      </c>
      <c r="F19" s="7"/>
      <c r="G19" s="33">
        <f>SUMIF(TB!$J$2:$J$121,D19,TB!$I$2:$I124)</f>
        <v>30723.68</v>
      </c>
      <c r="H19" s="7"/>
      <c r="I19" s="16"/>
      <c r="K19" s="33">
        <v>113888.95</v>
      </c>
      <c r="L19" s="7"/>
      <c r="M19" s="33">
        <v>29782.670000000002</v>
      </c>
      <c r="O19" s="33">
        <v>104315.43</v>
      </c>
      <c r="P19" s="7"/>
      <c r="Q19" s="33">
        <v>28193.350000000002</v>
      </c>
      <c r="S19" s="33">
        <v>87603.37</v>
      </c>
      <c r="U19" s="33">
        <v>24233.309999999998</v>
      </c>
      <c r="W19" s="33">
        <v>104029.47</v>
      </c>
      <c r="Y19" s="33">
        <v>29562.23</v>
      </c>
      <c r="AA19" s="33">
        <v>53258.19</v>
      </c>
      <c r="AC19" s="33">
        <v>17124.82</v>
      </c>
    </row>
    <row r="20" spans="2:29" s="148" customFormat="1">
      <c r="B20" s="15"/>
      <c r="C20" s="7"/>
      <c r="D20" s="67" t="s">
        <v>367</v>
      </c>
      <c r="E20" s="33">
        <f>SUMIF(TB!$J$2:$J$121,D20,TB!$F$2:$F$121)</f>
        <v>0</v>
      </c>
      <c r="F20" s="7"/>
      <c r="G20" s="33">
        <f>SUMIF(TB!$J$2:$J$121,D20,TB!$I$2:$I125)</f>
        <v>0</v>
      </c>
      <c r="H20" s="7"/>
      <c r="I20" s="16"/>
      <c r="K20" s="33"/>
      <c r="L20" s="7"/>
      <c r="M20" s="33"/>
      <c r="O20" s="33"/>
      <c r="P20" s="7"/>
      <c r="Q20" s="33"/>
      <c r="S20" s="33"/>
      <c r="U20" s="33"/>
      <c r="W20" s="33"/>
      <c r="Y20" s="33"/>
      <c r="AA20" s="33"/>
      <c r="AC20" s="33"/>
    </row>
    <row r="21" spans="2:29" s="148" customFormat="1">
      <c r="B21" s="15"/>
      <c r="C21" s="7"/>
      <c r="D21" s="155" t="s">
        <v>222</v>
      </c>
      <c r="E21" s="33">
        <f>SUMIF(TB!$J$2:$J$121,D21,TB!$F$2:$F$121)</f>
        <v>0</v>
      </c>
      <c r="F21" s="7"/>
      <c r="G21" s="33">
        <f>SUMIF(TB!$J$2:$J$121,D21,TB!$I$2:$I125)</f>
        <v>0</v>
      </c>
      <c r="H21" s="7"/>
      <c r="I21" s="16"/>
      <c r="K21" s="33">
        <v>0</v>
      </c>
      <c r="L21" s="7"/>
      <c r="M21" s="33">
        <v>0</v>
      </c>
      <c r="O21" s="33">
        <v>0</v>
      </c>
      <c r="P21" s="7"/>
      <c r="Q21" s="33">
        <v>0</v>
      </c>
      <c r="S21" s="33">
        <v>0</v>
      </c>
      <c r="U21" s="33">
        <v>0</v>
      </c>
      <c r="W21" s="33">
        <v>0</v>
      </c>
      <c r="Y21" s="33">
        <v>0</v>
      </c>
      <c r="AA21" s="33">
        <v>445173.5350585992</v>
      </c>
      <c r="AC21" s="33">
        <v>143142.61950437271</v>
      </c>
    </row>
    <row r="22" spans="2:29">
      <c r="B22" s="15"/>
      <c r="C22" s="7"/>
      <c r="D22" s="7" t="s">
        <v>31</v>
      </c>
      <c r="E22" s="33">
        <f>SUMIF(TB!$J$2:$J$121,D22,TB!$F$2:$F$121)</f>
        <v>100360.02</v>
      </c>
      <c r="F22" s="7"/>
      <c r="G22" s="33">
        <f>SUMIF(TB!$J$2:$J$121,D22,TB!$I$2:$I125)</f>
        <v>27670.25</v>
      </c>
      <c r="H22" s="7"/>
      <c r="I22" s="16"/>
      <c r="K22" s="33">
        <v>30673.79</v>
      </c>
      <c r="L22" s="7"/>
      <c r="M22" s="33">
        <v>8021.39</v>
      </c>
      <c r="O22" s="33">
        <v>38921.410000000003</v>
      </c>
      <c r="P22" s="7"/>
      <c r="Q22" s="33">
        <v>10519.3</v>
      </c>
      <c r="S22" s="33">
        <v>27957.46</v>
      </c>
      <c r="U22" s="33">
        <v>7733.74</v>
      </c>
      <c r="W22" s="33">
        <v>27957.46</v>
      </c>
      <c r="Y22" s="33">
        <v>7944.72</v>
      </c>
      <c r="AA22" s="33">
        <v>1240.75</v>
      </c>
      <c r="AC22" s="33">
        <v>398.95</v>
      </c>
    </row>
    <row r="23" spans="2:29" ht="13">
      <c r="B23" s="20"/>
      <c r="C23" s="36" t="s">
        <v>32</v>
      </c>
      <c r="D23" s="7"/>
      <c r="E23" s="10">
        <f>SUM(E16:E22)</f>
        <v>3010736.3799999994</v>
      </c>
      <c r="F23" s="7"/>
      <c r="G23" s="10">
        <f>SUM(G16:G22)</f>
        <v>830089.98</v>
      </c>
      <c r="H23" s="7"/>
      <c r="I23" s="16"/>
      <c r="K23" s="10">
        <v>4360410.8900000006</v>
      </c>
      <c r="L23" s="7"/>
      <c r="M23" s="10">
        <v>1139050.7843243245</v>
      </c>
      <c r="O23" s="10">
        <v>5845020.4499999983</v>
      </c>
      <c r="P23" s="7"/>
      <c r="Q23" s="10">
        <v>1579762.6843243246</v>
      </c>
      <c r="S23" s="10">
        <v>10430696.170000002</v>
      </c>
      <c r="U23" s="10">
        <v>2884274.3293350386</v>
      </c>
      <c r="W23" s="10">
        <v>7273696.8600000003</v>
      </c>
      <c r="Y23" s="10">
        <v>2066986.1593350382</v>
      </c>
      <c r="AA23" s="10">
        <v>3832768.7350585992</v>
      </c>
      <c r="AC23" s="10">
        <v>1232401.529504373</v>
      </c>
    </row>
    <row r="24" spans="2:29" ht="5.25" customHeight="1">
      <c r="B24" s="15"/>
      <c r="C24" s="7"/>
      <c r="D24" s="7"/>
      <c r="E24" s="34"/>
      <c r="F24" s="7"/>
      <c r="G24" s="34"/>
      <c r="H24" s="7"/>
      <c r="I24" s="16"/>
      <c r="K24" s="34"/>
      <c r="L24" s="7"/>
      <c r="M24" s="34"/>
      <c r="O24" s="34"/>
      <c r="P24" s="7"/>
      <c r="Q24" s="34"/>
      <c r="S24" s="34"/>
      <c r="U24" s="34"/>
      <c r="W24" s="34"/>
      <c r="Y24" s="34"/>
      <c r="AA24" s="34"/>
      <c r="AC24" s="34"/>
    </row>
    <row r="25" spans="2:29" ht="13">
      <c r="B25" s="15"/>
      <c r="C25" s="29" t="s">
        <v>91</v>
      </c>
      <c r="D25" s="7"/>
      <c r="E25" s="7"/>
      <c r="F25" s="7"/>
      <c r="G25" s="7"/>
      <c r="H25" s="7"/>
      <c r="I25" s="16"/>
      <c r="K25" s="7"/>
      <c r="L25" s="7"/>
      <c r="M25" s="7"/>
      <c r="O25" s="7"/>
      <c r="P25" s="7"/>
      <c r="Q25" s="7"/>
    </row>
    <row r="26" spans="2:29" ht="13">
      <c r="B26" s="15"/>
      <c r="C26" s="29"/>
      <c r="D26" s="67" t="s">
        <v>132</v>
      </c>
      <c r="E26" s="33">
        <f>SUMIF(TB!$J$2:$J$121,D26,TB!$F$2:$F$121)</f>
        <v>145977.01999999999</v>
      </c>
      <c r="F26" s="7"/>
      <c r="G26" s="33">
        <f>SUMIF(TB!$J$2:$J$121,D26,TB!$I$2:$I129)</f>
        <v>40247.32</v>
      </c>
      <c r="H26" s="7"/>
      <c r="I26" s="16"/>
      <c r="K26" s="33">
        <v>144210</v>
      </c>
      <c r="L26" s="7"/>
      <c r="M26" s="33">
        <v>38975.675675675673</v>
      </c>
      <c r="O26" s="33">
        <v>144210</v>
      </c>
      <c r="P26" s="7"/>
      <c r="Q26" s="33">
        <v>38975.675675675673</v>
      </c>
      <c r="S26" s="33">
        <v>144210</v>
      </c>
      <c r="U26" s="33">
        <v>40980.392156862741</v>
      </c>
      <c r="W26" s="33">
        <v>144210</v>
      </c>
      <c r="Y26" s="33">
        <v>40980.392156862741</v>
      </c>
      <c r="AA26" s="33">
        <v>144216.47</v>
      </c>
      <c r="AC26" s="33">
        <v>46371.85</v>
      </c>
    </row>
    <row r="27" spans="2:29" ht="13">
      <c r="B27" s="15"/>
      <c r="C27" s="29"/>
      <c r="D27" s="55" t="s">
        <v>33</v>
      </c>
      <c r="E27" s="33">
        <f>SUMIF(TB!$J$2:$J$121,D27,TB!$F$2:$F$121)</f>
        <v>288898.84999999998</v>
      </c>
      <c r="F27" s="7"/>
      <c r="G27" s="33">
        <f>SUMIF(TB!$J$2:$J$121,D27,TB!$I$2:$I130)</f>
        <v>87591.01999999999</v>
      </c>
      <c r="H27" s="7"/>
      <c r="I27" s="16"/>
      <c r="K27" s="33">
        <v>363026.13</v>
      </c>
      <c r="L27" s="7"/>
      <c r="M27" s="33">
        <v>110528.31</v>
      </c>
      <c r="O27" s="33">
        <v>336124.80000000005</v>
      </c>
      <c r="P27" s="7"/>
      <c r="Q27" s="33">
        <v>103326.65</v>
      </c>
      <c r="S27" s="33">
        <v>336124.80000000005</v>
      </c>
      <c r="U27" s="33">
        <v>103326.65</v>
      </c>
      <c r="W27" s="33">
        <v>336124.80000000005</v>
      </c>
      <c r="Y27" s="33">
        <v>103326.65</v>
      </c>
      <c r="Z27" s="66"/>
      <c r="AA27" s="33">
        <v>357746.04000000004</v>
      </c>
      <c r="AC27" s="33">
        <v>110861.09</v>
      </c>
    </row>
    <row r="28" spans="2:29" s="148" customFormat="1" ht="13">
      <c r="B28" s="15"/>
      <c r="C28" s="29"/>
      <c r="D28" s="72" t="s">
        <v>308</v>
      </c>
      <c r="E28" s="33">
        <f>SUMIF(TB!$J$2:$J$121,D28,TB!$F$2:$F$121)</f>
        <v>563565</v>
      </c>
      <c r="F28" s="7"/>
      <c r="G28" s="33">
        <f>SUMIF(TB!$J$2:$J$121,D28,TB!$I$2:$I131)</f>
        <v>160149.19</v>
      </c>
      <c r="H28" s="7"/>
      <c r="I28" s="16"/>
      <c r="K28" s="33">
        <v>563565</v>
      </c>
      <c r="L28" s="7"/>
      <c r="M28" s="33">
        <v>160149.19</v>
      </c>
      <c r="O28" s="33">
        <v>563565</v>
      </c>
      <c r="P28" s="7"/>
      <c r="Q28" s="33">
        <v>160149.19</v>
      </c>
      <c r="S28" s="33"/>
      <c r="U28" s="33"/>
      <c r="W28" s="33">
        <v>563565</v>
      </c>
      <c r="Y28" s="33">
        <v>160149.19011082692</v>
      </c>
      <c r="Z28" s="66"/>
      <c r="AA28" s="33"/>
      <c r="AC28" s="33"/>
    </row>
    <row r="29" spans="2:29" ht="13">
      <c r="B29" s="15"/>
      <c r="C29" s="36" t="s">
        <v>92</v>
      </c>
      <c r="D29" s="7"/>
      <c r="E29" s="10">
        <f>SUM(E26:E28)</f>
        <v>998440.87</v>
      </c>
      <c r="F29" s="7"/>
      <c r="G29" s="10">
        <f>SUM(G26:G28)</f>
        <v>287987.53000000003</v>
      </c>
      <c r="H29" s="7"/>
      <c r="I29" s="16"/>
      <c r="K29" s="10">
        <v>1070801.1299999999</v>
      </c>
      <c r="L29" s="7"/>
      <c r="M29" s="10">
        <v>309653.17567567568</v>
      </c>
      <c r="O29" s="10">
        <v>1043899.8</v>
      </c>
      <c r="P29" s="7"/>
      <c r="Q29" s="10">
        <v>302451.51567567571</v>
      </c>
      <c r="S29" s="10">
        <v>480334.80000000005</v>
      </c>
      <c r="U29" s="10">
        <v>144307.04215686274</v>
      </c>
      <c r="W29" s="10">
        <v>1043899.8</v>
      </c>
      <c r="Y29" s="10">
        <v>304456.23226768966</v>
      </c>
      <c r="AA29" s="10">
        <v>501962.51</v>
      </c>
      <c r="AC29" s="10">
        <v>157232.94</v>
      </c>
    </row>
    <row r="30" spans="2:29">
      <c r="B30" s="15"/>
      <c r="C30" s="7"/>
      <c r="D30" s="7"/>
      <c r="E30" s="7"/>
      <c r="F30" s="7"/>
      <c r="G30" s="7"/>
      <c r="H30" s="7"/>
      <c r="I30" s="16"/>
      <c r="K30" s="7"/>
      <c r="L30" s="7"/>
      <c r="M30" s="7"/>
      <c r="O30" s="7"/>
      <c r="P30" s="7"/>
      <c r="Q30" s="7"/>
    </row>
    <row r="31" spans="2:29" ht="5.25" customHeight="1">
      <c r="B31" s="15"/>
      <c r="C31" s="7"/>
      <c r="D31" s="7"/>
      <c r="E31" s="7"/>
      <c r="F31" s="7"/>
      <c r="G31" s="7"/>
      <c r="H31" s="7"/>
      <c r="I31" s="16"/>
      <c r="K31" s="7"/>
      <c r="L31" s="7"/>
      <c r="M31" s="7"/>
      <c r="O31" s="7"/>
      <c r="P31" s="7"/>
      <c r="Q31" s="7"/>
    </row>
    <row r="32" spans="2:29" ht="13.5" thickBot="1">
      <c r="B32" s="20" t="s">
        <v>47</v>
      </c>
      <c r="C32" s="36"/>
      <c r="D32" s="7"/>
      <c r="E32" s="37">
        <f>E23+E29</f>
        <v>4009177.2499999995</v>
      </c>
      <c r="F32" s="7"/>
      <c r="G32" s="37">
        <f>G23+G29</f>
        <v>1118077.51</v>
      </c>
      <c r="H32" s="7"/>
      <c r="I32" s="16"/>
      <c r="K32" s="37">
        <v>5431212.0200000005</v>
      </c>
      <c r="L32" s="7"/>
      <c r="M32" s="37">
        <v>1448703.9600000002</v>
      </c>
      <c r="O32" s="37">
        <v>6888920.2499999981</v>
      </c>
      <c r="P32" s="7"/>
      <c r="Q32" s="37">
        <v>1882214.2000000002</v>
      </c>
      <c r="S32" s="37">
        <v>10911030.970000003</v>
      </c>
      <c r="U32" s="37">
        <v>3028581.3714919011</v>
      </c>
      <c r="W32" s="37">
        <v>8317596.6600000001</v>
      </c>
      <c r="Y32" s="37">
        <v>2371442.3916027276</v>
      </c>
      <c r="AA32" s="37">
        <v>4334731.2450585989</v>
      </c>
      <c r="AC32" s="37">
        <v>1389634.4695043729</v>
      </c>
    </row>
    <row r="33" spans="2:35" ht="13" thickTop="1">
      <c r="B33" s="15"/>
      <c r="C33" s="7"/>
      <c r="D33" s="7"/>
      <c r="E33" s="7"/>
      <c r="F33" s="7"/>
      <c r="G33" s="7"/>
      <c r="H33" s="7"/>
      <c r="I33" s="16"/>
      <c r="K33" s="7"/>
      <c r="L33" s="7"/>
      <c r="M33" s="7"/>
      <c r="O33" s="7"/>
      <c r="P33" s="7"/>
      <c r="Q33" s="7"/>
    </row>
    <row r="34" spans="2:35" ht="13">
      <c r="B34" s="20" t="s">
        <v>34</v>
      </c>
      <c r="C34" s="7"/>
      <c r="D34" s="7"/>
      <c r="E34" s="7"/>
      <c r="F34" s="7"/>
      <c r="G34" s="7"/>
      <c r="H34" s="7"/>
      <c r="I34" s="16"/>
      <c r="K34" s="7"/>
      <c r="L34" s="7"/>
      <c r="M34" s="7"/>
      <c r="O34" s="7"/>
      <c r="P34" s="7"/>
      <c r="Q34" s="7"/>
    </row>
    <row r="35" spans="2:35" ht="5.25" customHeight="1">
      <c r="B35" s="15"/>
      <c r="C35" s="29"/>
      <c r="D35" s="7"/>
      <c r="E35" s="7"/>
      <c r="F35" s="7"/>
      <c r="G35" s="7"/>
      <c r="H35" s="7"/>
      <c r="I35" s="16"/>
      <c r="K35" s="7"/>
      <c r="L35" s="7"/>
      <c r="M35" s="7"/>
      <c r="O35" s="7"/>
      <c r="P35" s="7"/>
      <c r="Q35" s="7"/>
    </row>
    <row r="36" spans="2:35" ht="13">
      <c r="B36" s="20"/>
      <c r="C36" s="29" t="s">
        <v>35</v>
      </c>
      <c r="D36" s="7"/>
      <c r="E36" s="7"/>
      <c r="F36" s="7"/>
      <c r="G36" s="7"/>
      <c r="H36" s="7"/>
      <c r="I36" s="16"/>
      <c r="K36" s="7"/>
      <c r="L36" s="7"/>
      <c r="M36" s="7"/>
      <c r="O36" s="7"/>
      <c r="P36" s="7"/>
      <c r="Q36" s="7"/>
    </row>
    <row r="37" spans="2:35" ht="13">
      <c r="B37" s="20"/>
      <c r="C37" s="7"/>
      <c r="D37" s="52" t="s">
        <v>36</v>
      </c>
      <c r="E37" s="33">
        <f>-SUMIF(TB!$J$2:$J$121,D37,TB!$F$2:$F$121)</f>
        <v>0</v>
      </c>
      <c r="F37" s="7"/>
      <c r="G37" s="33">
        <f>-SUMIF(TB!$J$2:$J$121,D37,TB!$I$2:$I135)</f>
        <v>0</v>
      </c>
      <c r="H37" s="7"/>
      <c r="I37" s="16"/>
      <c r="K37" s="33">
        <v>0</v>
      </c>
      <c r="L37" s="7"/>
      <c r="M37" s="33">
        <v>0</v>
      </c>
      <c r="O37" s="33">
        <v>0</v>
      </c>
      <c r="P37" s="7"/>
      <c r="Q37" s="33">
        <v>0</v>
      </c>
      <c r="S37" s="33">
        <v>0</v>
      </c>
      <c r="U37" s="33">
        <v>0</v>
      </c>
      <c r="W37" s="33">
        <v>0</v>
      </c>
      <c r="Y37" s="33">
        <v>0</v>
      </c>
      <c r="AA37" s="33">
        <v>0</v>
      </c>
      <c r="AC37" s="33">
        <v>0</v>
      </c>
    </row>
    <row r="38" spans="2:35" ht="13">
      <c r="B38" s="20"/>
      <c r="C38" s="7"/>
      <c r="D38" s="52" t="s">
        <v>37</v>
      </c>
      <c r="E38" s="33">
        <f>-SUMIF(TB!$J$2:$J$121,D38,TB!$F$2:$F$121)</f>
        <v>267533.76</v>
      </c>
      <c r="F38" s="7"/>
      <c r="G38" s="33">
        <f>-SUMIF(TB!$J$2:$J$121,D38,TB!$I$2:$I135)</f>
        <v>73761.726225530743</v>
      </c>
      <c r="H38" s="7"/>
      <c r="I38" s="16"/>
      <c r="K38" s="33">
        <v>128163.42000000001</v>
      </c>
      <c r="L38" s="7"/>
      <c r="M38" s="33">
        <v>33515.522405857744</v>
      </c>
      <c r="O38" s="33">
        <v>119881.80999999995</v>
      </c>
      <c r="P38" s="7"/>
      <c r="Q38" s="33">
        <v>33696.816721991709</v>
      </c>
      <c r="S38" s="33">
        <v>179452.28999999998</v>
      </c>
      <c r="U38" s="33">
        <v>49641.002102351304</v>
      </c>
      <c r="W38" s="33">
        <v>220909.19</v>
      </c>
      <c r="Y38" s="33">
        <v>62776.032546177892</v>
      </c>
      <c r="AA38" s="33">
        <v>47369.139999999992</v>
      </c>
      <c r="AC38" s="33">
        <v>15231.230000000003</v>
      </c>
    </row>
    <row r="39" spans="2:35" ht="13">
      <c r="B39" s="20"/>
      <c r="C39" s="7"/>
      <c r="D39" s="52" t="s">
        <v>38</v>
      </c>
      <c r="E39" s="33">
        <f>-SUMIF(TB!$J$2:$J$121,D39,TB!$F$2:$F$121)</f>
        <v>32627.410256410258</v>
      </c>
      <c r="F39" s="7"/>
      <c r="G39" s="33">
        <f>-SUMIF(TB!$J$2:$J$121,D39,TB!$I$2:$I135)</f>
        <v>8995.7017525255742</v>
      </c>
      <c r="H39" s="7"/>
      <c r="I39" s="16"/>
      <c r="K39" s="33">
        <v>32000</v>
      </c>
      <c r="L39" s="7"/>
      <c r="M39" s="33">
        <v>8648.6486486486483</v>
      </c>
      <c r="O39" s="33">
        <v>40800</v>
      </c>
      <c r="P39" s="7"/>
      <c r="Q39" s="33">
        <v>11027.027027027027</v>
      </c>
      <c r="S39" s="33">
        <v>75555</v>
      </c>
      <c r="U39" s="33">
        <v>20610.908559249787</v>
      </c>
      <c r="W39" s="33">
        <v>75555</v>
      </c>
      <c r="Y39" s="33">
        <v>20610.908559249787</v>
      </c>
      <c r="AA39" s="33">
        <v>66937.5</v>
      </c>
      <c r="AC39" s="33">
        <v>21523.31</v>
      </c>
    </row>
    <row r="40" spans="2:35" ht="13">
      <c r="B40" s="20"/>
      <c r="C40" s="7"/>
      <c r="D40" s="57" t="s">
        <v>90</v>
      </c>
      <c r="E40" s="33">
        <f>-SUMIF(TB!$J$2:$J$121,D40,TB!$F$2:$F$121)</f>
        <v>320113.73</v>
      </c>
      <c r="F40" s="7"/>
      <c r="G40" s="33">
        <f>-SUMIF(TB!$J$2:$J$121,D40,TB!$I$2:$I135)</f>
        <v>93603.46</v>
      </c>
      <c r="H40" s="7"/>
      <c r="I40" s="16"/>
      <c r="K40" s="33">
        <v>460536.81</v>
      </c>
      <c r="L40" s="7"/>
      <c r="M40" s="33">
        <v>128578.28</v>
      </c>
      <c r="O40" s="33">
        <v>342373.27</v>
      </c>
      <c r="P40" s="7"/>
      <c r="Q40" s="33">
        <v>98950.6</v>
      </c>
      <c r="S40" s="33">
        <v>441473.87</v>
      </c>
      <c r="U40" s="33">
        <v>127287.27263711282</v>
      </c>
      <c r="W40" s="33">
        <v>478198.82</v>
      </c>
      <c r="Y40" s="33">
        <v>139567.34263711283</v>
      </c>
      <c r="AA40" s="33">
        <v>516508.38</v>
      </c>
      <c r="AC40" s="33">
        <v>166079.88</v>
      </c>
      <c r="AG40" s="72"/>
      <c r="AH40" s="72"/>
    </row>
    <row r="41" spans="2:35" ht="13">
      <c r="B41" s="20"/>
      <c r="C41" s="7"/>
      <c r="D41" s="70" t="s">
        <v>104</v>
      </c>
      <c r="E41" s="33">
        <f>-SUMIF(TB!$J$2:$J$121,D41,TB!$F$2:$F$121)</f>
        <v>5507655.4900583103</v>
      </c>
      <c r="F41" s="7"/>
      <c r="G41" s="33">
        <f>-SUMIF(TB!$J$2:$J$121,D41,TB!$I$2:$I135)</f>
        <v>1534943.098352496</v>
      </c>
      <c r="H41" s="7"/>
      <c r="I41" s="16"/>
      <c r="K41" s="33">
        <v>2767370.9099999997</v>
      </c>
      <c r="L41" s="7"/>
      <c r="M41" s="33">
        <v>810205.3</v>
      </c>
      <c r="O41" s="33">
        <v>47328010.57</v>
      </c>
      <c r="P41" s="7"/>
      <c r="Q41" s="33">
        <v>13988401.299999999</v>
      </c>
      <c r="S41" s="33">
        <v>28930966.649999999</v>
      </c>
      <c r="U41" s="33">
        <v>8188365.6899999995</v>
      </c>
      <c r="W41" s="33">
        <v>814859.54000000085</v>
      </c>
      <c r="Y41" s="33">
        <v>253055.78999999986</v>
      </c>
      <c r="AA41" s="33">
        <v>7884283.3673999999</v>
      </c>
      <c r="AC41" s="33">
        <v>2535139.34</v>
      </c>
      <c r="AF41" s="72"/>
      <c r="AG41" s="73"/>
      <c r="AH41" s="73"/>
      <c r="AI41" s="72"/>
    </row>
    <row r="42" spans="2:35" ht="13">
      <c r="B42" s="20"/>
      <c r="C42" s="7"/>
      <c r="D42" s="18" t="s">
        <v>39</v>
      </c>
      <c r="E42" s="33">
        <f>-SUMIF(TB!$J$2:$J$121,D42,TB!$F$2:$F$121)</f>
        <v>0</v>
      </c>
      <c r="F42" s="7"/>
      <c r="G42" s="33">
        <f>-SUMIF(TB!$J$2:$J$121,D42,TB!$I$2:$I135)</f>
        <v>0</v>
      </c>
      <c r="H42" s="7"/>
      <c r="I42" s="16"/>
      <c r="K42" s="33">
        <v>0</v>
      </c>
      <c r="L42" s="7"/>
      <c r="M42" s="33">
        <v>0</v>
      </c>
      <c r="O42" s="33">
        <v>0</v>
      </c>
      <c r="P42" s="7"/>
      <c r="Q42" s="33">
        <v>0</v>
      </c>
      <c r="S42" s="33">
        <v>0</v>
      </c>
      <c r="U42" s="33">
        <v>0</v>
      </c>
      <c r="W42" s="33">
        <v>369893</v>
      </c>
      <c r="Y42" s="33">
        <v>105113.10031258879</v>
      </c>
      <c r="AA42" s="33">
        <v>0</v>
      </c>
      <c r="AC42" s="33">
        <v>0</v>
      </c>
      <c r="AF42" s="72"/>
      <c r="AG42" s="73"/>
      <c r="AI42" s="72"/>
    </row>
    <row r="43" spans="2:35" ht="13">
      <c r="B43" s="20"/>
      <c r="C43" s="36" t="s">
        <v>40</v>
      </c>
      <c r="D43" s="7"/>
      <c r="E43" s="10">
        <f>SUM(E37:E42)</f>
        <v>6127930.3903147206</v>
      </c>
      <c r="F43" s="7"/>
      <c r="G43" s="10">
        <f>SUM(G37:G42)</f>
        <v>1711303.9863305525</v>
      </c>
      <c r="H43" s="7"/>
      <c r="I43" s="16"/>
      <c r="K43" s="10">
        <v>3388071.1399999997</v>
      </c>
      <c r="L43" s="7"/>
      <c r="M43" s="10">
        <v>980947.7510545064</v>
      </c>
      <c r="O43" s="10">
        <v>47831065.649999999</v>
      </c>
      <c r="P43" s="7"/>
      <c r="Q43" s="10">
        <v>14132075.743749017</v>
      </c>
      <c r="S43" s="10">
        <v>29627447.809999999</v>
      </c>
      <c r="U43" s="10">
        <v>8385904.873298713</v>
      </c>
      <c r="W43" s="10">
        <v>1959415.5500000007</v>
      </c>
      <c r="Y43" s="10">
        <v>581123.17405512917</v>
      </c>
      <c r="AA43" s="10">
        <v>8515098.3873999994</v>
      </c>
      <c r="AC43" s="10">
        <v>2737973.76</v>
      </c>
      <c r="AG43" s="75"/>
    </row>
    <row r="44" spans="2:35" ht="5.25" customHeight="1">
      <c r="B44" s="15"/>
      <c r="C44" s="7"/>
      <c r="D44" s="7"/>
      <c r="E44" s="34"/>
      <c r="F44" s="7"/>
      <c r="G44" s="34"/>
      <c r="H44" s="7"/>
      <c r="I44" s="16"/>
      <c r="K44" s="34"/>
      <c r="L44" s="7"/>
      <c r="M44" s="34"/>
      <c r="O44" s="34"/>
      <c r="P44" s="7"/>
      <c r="Q44" s="34"/>
      <c r="S44" s="34"/>
      <c r="U44" s="34"/>
      <c r="W44" s="34"/>
      <c r="Y44" s="34"/>
      <c r="AA44" s="34"/>
      <c r="AC44" s="34"/>
    </row>
    <row r="45" spans="2:35" ht="13">
      <c r="B45" s="15"/>
      <c r="C45" s="29" t="s">
        <v>41</v>
      </c>
      <c r="D45" s="7"/>
      <c r="E45" s="7"/>
      <c r="F45" s="7"/>
      <c r="G45" s="7"/>
      <c r="H45" s="7"/>
      <c r="I45" s="16"/>
      <c r="K45" s="7"/>
      <c r="L45" s="7"/>
      <c r="M45" s="7"/>
      <c r="O45" s="7"/>
      <c r="P45" s="7"/>
      <c r="Q45" s="7"/>
    </row>
    <row r="46" spans="2:35" ht="13">
      <c r="B46" s="20"/>
      <c r="C46" s="7"/>
      <c r="D46" s="7" t="s">
        <v>105</v>
      </c>
      <c r="E46" s="33">
        <f>-SUMIF(TB!$J$2:$J$121,D46,TB!$F$2:$F$121)</f>
        <v>0</v>
      </c>
      <c r="F46" s="7"/>
      <c r="G46" s="33">
        <f>-SUMIF(TB!$J$2:$J$121,D46,TB!$I$2:$I135)</f>
        <v>0</v>
      </c>
      <c r="H46" s="7"/>
      <c r="I46" s="16"/>
      <c r="K46" s="33">
        <v>0</v>
      </c>
      <c r="L46" s="7"/>
      <c r="M46" s="33">
        <v>0</v>
      </c>
      <c r="O46" s="33">
        <v>0</v>
      </c>
      <c r="P46" s="7"/>
      <c r="Q46" s="33">
        <v>0</v>
      </c>
      <c r="S46" s="33">
        <v>0</v>
      </c>
      <c r="U46" s="33">
        <v>0</v>
      </c>
      <c r="W46" s="33">
        <v>0</v>
      </c>
      <c r="Y46" s="33">
        <v>0</v>
      </c>
      <c r="AA46" s="33">
        <v>0</v>
      </c>
      <c r="AC46" s="33">
        <v>0</v>
      </c>
    </row>
    <row r="47" spans="2:35" ht="13">
      <c r="B47" s="20"/>
      <c r="C47" s="7"/>
      <c r="D47" s="130" t="s">
        <v>143</v>
      </c>
      <c r="E47" s="33">
        <f>-SUMIF(TB!$J$2:$J$121,D47,TB!$F$2:$F$121)</f>
        <v>569697</v>
      </c>
      <c r="F47" s="7"/>
      <c r="G47" s="123">
        <f>-SUMIF(TB!$J$2:$J$121,D47,TB!$I$2:$I136)</f>
        <v>161891.73000000001</v>
      </c>
      <c r="H47" s="7"/>
      <c r="I47" s="19"/>
      <c r="K47" s="33">
        <v>569697</v>
      </c>
      <c r="L47" s="7"/>
      <c r="M47" s="123">
        <v>161891.73000000001</v>
      </c>
      <c r="O47" s="33">
        <v>569697</v>
      </c>
      <c r="P47" s="7"/>
      <c r="Q47" s="123">
        <v>161891.73000000001</v>
      </c>
      <c r="S47" s="33">
        <v>0</v>
      </c>
      <c r="U47" s="123">
        <v>0</v>
      </c>
      <c r="W47" s="33">
        <v>199804</v>
      </c>
      <c r="Y47" s="123">
        <v>56778.630292696791</v>
      </c>
      <c r="AA47" s="33">
        <v>0</v>
      </c>
      <c r="AC47" s="123">
        <v>0</v>
      </c>
    </row>
    <row r="48" spans="2:35" ht="13">
      <c r="B48" s="20"/>
      <c r="C48" s="36" t="s">
        <v>42</v>
      </c>
      <c r="D48" s="7"/>
      <c r="E48" s="10">
        <f>SUM(E46:E47)</f>
        <v>569697</v>
      </c>
      <c r="F48" s="7"/>
      <c r="G48" s="10">
        <f>SUM(G46:G47)</f>
        <v>161891.73000000001</v>
      </c>
      <c r="H48" s="7"/>
      <c r="I48" s="16"/>
      <c r="K48" s="10">
        <v>569697</v>
      </c>
      <c r="L48" s="7"/>
      <c r="M48" s="10">
        <v>161891.73000000001</v>
      </c>
      <c r="O48" s="10">
        <v>569697</v>
      </c>
      <c r="P48" s="7"/>
      <c r="Q48" s="10">
        <v>161891.73000000001</v>
      </c>
      <c r="S48" s="10">
        <v>0</v>
      </c>
      <c r="U48" s="10">
        <v>0</v>
      </c>
      <c r="W48" s="10">
        <v>199804</v>
      </c>
      <c r="Y48" s="10">
        <v>56778.630292696791</v>
      </c>
      <c r="AA48" s="10">
        <v>0</v>
      </c>
      <c r="AC48" s="10">
        <v>0</v>
      </c>
    </row>
    <row r="49" spans="2:32" ht="5.25" customHeight="1">
      <c r="B49" s="15"/>
      <c r="C49" s="7"/>
      <c r="D49" s="7"/>
      <c r="E49" s="7"/>
      <c r="F49" s="7"/>
      <c r="G49" s="7"/>
      <c r="H49" s="7"/>
      <c r="I49" s="16"/>
      <c r="K49" s="7"/>
      <c r="L49" s="7"/>
      <c r="M49" s="7"/>
      <c r="O49" s="7"/>
      <c r="P49" s="7"/>
      <c r="Q49" s="7"/>
    </row>
    <row r="50" spans="2:32" ht="13">
      <c r="B50" s="15"/>
      <c r="C50" s="29" t="s">
        <v>43</v>
      </c>
      <c r="D50" s="7"/>
      <c r="E50" s="7"/>
      <c r="F50" s="7"/>
      <c r="G50" s="7"/>
      <c r="H50" s="7"/>
      <c r="I50" s="16"/>
      <c r="K50" s="7"/>
      <c r="L50" s="7"/>
      <c r="M50" s="7"/>
      <c r="O50" s="7"/>
      <c r="P50" s="7"/>
      <c r="Q50" s="7"/>
    </row>
    <row r="51" spans="2:32">
      <c r="B51" s="15"/>
      <c r="C51" s="7"/>
      <c r="D51" s="69" t="s">
        <v>126</v>
      </c>
      <c r="E51" s="33">
        <f>-SUMIF(TB!$J$2:$J$121,D51,TB!$F$2:$F$121)</f>
        <v>0</v>
      </c>
      <c r="F51" s="7"/>
      <c r="G51" s="33">
        <f>-SUMIF(TB!$J$2:$J$121,D51,TB!$I$2:$I140)</f>
        <v>0</v>
      </c>
      <c r="H51" s="7"/>
      <c r="I51" s="16"/>
      <c r="K51" s="33">
        <v>0</v>
      </c>
      <c r="L51" s="7"/>
      <c r="M51" s="33">
        <v>0</v>
      </c>
      <c r="O51" s="33">
        <v>0</v>
      </c>
      <c r="P51" s="7"/>
      <c r="Q51" s="33">
        <v>0</v>
      </c>
      <c r="S51" s="33">
        <v>0</v>
      </c>
      <c r="U51" s="33">
        <v>0</v>
      </c>
      <c r="W51" s="33">
        <v>0</v>
      </c>
      <c r="Y51" s="33">
        <v>0</v>
      </c>
      <c r="AA51" s="33">
        <v>0</v>
      </c>
      <c r="AC51" s="33">
        <v>0</v>
      </c>
    </row>
    <row r="52" spans="2:32">
      <c r="B52" s="15"/>
      <c r="C52" s="7"/>
      <c r="D52" s="69" t="s">
        <v>127</v>
      </c>
      <c r="E52" s="33">
        <f>-SUMIF(TB!$J$2:$J$121,D52,TB!$F$2:$F$121)</f>
        <v>0</v>
      </c>
      <c r="F52" s="7"/>
      <c r="G52" s="33">
        <f>-SUMIF(TB!$J$2:$J$121,D52,TB!$I$2:$I141)</f>
        <v>0</v>
      </c>
      <c r="H52" s="7"/>
      <c r="I52" s="16"/>
      <c r="K52" s="33">
        <v>0</v>
      </c>
      <c r="L52" s="7"/>
      <c r="M52" s="33">
        <v>0</v>
      </c>
      <c r="O52" s="33">
        <v>0</v>
      </c>
      <c r="P52" s="7"/>
      <c r="Q52" s="33">
        <v>0</v>
      </c>
      <c r="S52" s="33">
        <v>0</v>
      </c>
      <c r="U52" s="33">
        <v>0</v>
      </c>
      <c r="W52" s="33">
        <v>0</v>
      </c>
      <c r="Y52" s="33">
        <v>0</v>
      </c>
      <c r="AA52" s="33">
        <v>0</v>
      </c>
      <c r="AC52" s="33">
        <v>0</v>
      </c>
    </row>
    <row r="53" spans="2:32" s="148" customFormat="1">
      <c r="B53" s="15"/>
      <c r="C53" s="7"/>
      <c r="D53" s="148" t="s">
        <v>304</v>
      </c>
      <c r="E53" s="33">
        <f>-SUMIF(TB!$J$2:$J$121,D53,TB!$F$2:$F$121)</f>
        <v>22281920</v>
      </c>
      <c r="F53" s="7"/>
      <c r="G53" s="33">
        <f>-SUMIF(TB!$J$2:$J$121,D53,TB!$I$2:$I142)</f>
        <v>6600000</v>
      </c>
      <c r="H53" s="7"/>
      <c r="I53" s="16"/>
      <c r="K53" s="33">
        <v>22281920</v>
      </c>
      <c r="L53" s="7"/>
      <c r="M53" s="33">
        <v>6600000</v>
      </c>
      <c r="O53" s="33">
        <v>-22281920</v>
      </c>
      <c r="P53" s="7"/>
      <c r="Q53" s="33">
        <v>-6600000</v>
      </c>
      <c r="S53" s="33">
        <v>0</v>
      </c>
      <c r="U53" s="123">
        <v>0</v>
      </c>
      <c r="W53" s="33">
        <v>22281920</v>
      </c>
      <c r="Y53" s="33">
        <v>6600000</v>
      </c>
      <c r="AA53" s="33"/>
      <c r="AC53" s="33"/>
    </row>
    <row r="54" spans="2:32">
      <c r="B54" s="15"/>
      <c r="C54" s="7"/>
      <c r="D54" s="72" t="s">
        <v>128</v>
      </c>
      <c r="E54" s="33">
        <f>-SUMIF(TB!$J$2:$J$121,D54,TB!$F$2:$F$121)</f>
        <v>0</v>
      </c>
      <c r="F54" s="7"/>
      <c r="G54" s="123">
        <f>-SUMIF(TB!$J$2:$J$121,D54,TB!$I$2:$I142)</f>
        <v>0</v>
      </c>
      <c r="H54" s="7"/>
      <c r="I54" s="16"/>
      <c r="K54" s="33">
        <v>0</v>
      </c>
      <c r="L54" s="7"/>
      <c r="M54" s="123">
        <v>0</v>
      </c>
      <c r="O54" s="33">
        <v>0</v>
      </c>
      <c r="P54" s="7"/>
      <c r="Q54" s="123">
        <v>0</v>
      </c>
      <c r="S54" s="33">
        <v>0</v>
      </c>
      <c r="U54" s="123">
        <v>0</v>
      </c>
      <c r="W54" s="33">
        <v>0</v>
      </c>
      <c r="Y54" s="123">
        <v>0</v>
      </c>
      <c r="AA54" s="33">
        <v>0</v>
      </c>
      <c r="AC54" s="123">
        <v>0</v>
      </c>
    </row>
    <row r="55" spans="2:32">
      <c r="B55" s="15"/>
      <c r="C55" s="7"/>
      <c r="D55" s="69" t="s">
        <v>152</v>
      </c>
      <c r="E55" s="33">
        <f>-SUMIF(TB!$J$2:$J$121,D55,TB!$F$2:$F$121)</f>
        <v>0</v>
      </c>
      <c r="F55" s="7"/>
      <c r="G55" s="123">
        <f>-SUMIF(TB!$J$2:$J$121,D55,TB!$I$2:$I143)</f>
        <v>0</v>
      </c>
      <c r="H55" s="7"/>
      <c r="I55" s="16"/>
      <c r="K55" s="33">
        <v>0</v>
      </c>
      <c r="L55" s="7"/>
      <c r="M55" s="123">
        <v>0</v>
      </c>
      <c r="O55" s="33">
        <v>0</v>
      </c>
      <c r="P55" s="7"/>
      <c r="Q55" s="123">
        <v>0</v>
      </c>
      <c r="W55" s="33">
        <v>0</v>
      </c>
      <c r="Y55" s="123">
        <v>0</v>
      </c>
      <c r="AA55" s="33">
        <v>0</v>
      </c>
      <c r="AC55" s="123">
        <v>0</v>
      </c>
    </row>
    <row r="56" spans="2:32">
      <c r="B56" s="15"/>
      <c r="C56" s="7"/>
      <c r="D56" s="7" t="s">
        <v>44</v>
      </c>
      <c r="E56" s="33">
        <f>-SUMIF(TB!$J$2:$J$121,D56,TB!$F$2:$F$121)</f>
        <v>-16123542.890000001</v>
      </c>
      <c r="F56" s="7"/>
      <c r="G56" s="33">
        <f>-SUMIF(TB!$J$2:$J$121,D56,TB!$I$2:$I141)</f>
        <v>-4866459.41</v>
      </c>
      <c r="H56" s="7"/>
      <c r="I56" s="16" t="s">
        <v>227</v>
      </c>
      <c r="K56" s="33">
        <v>-16123542.890000001</v>
      </c>
      <c r="L56" s="7"/>
      <c r="M56" s="33">
        <v>-4866459.41</v>
      </c>
      <c r="O56" s="33">
        <v>-16123542.890000001</v>
      </c>
      <c r="P56" s="7"/>
      <c r="Q56" s="33">
        <v>-4866459.41</v>
      </c>
      <c r="S56" s="33">
        <v>-17060468.889999997</v>
      </c>
      <c r="U56" s="33">
        <v>-4864716.8722506389</v>
      </c>
      <c r="W56" s="33">
        <v>-4180367.14</v>
      </c>
      <c r="Y56" s="33">
        <v>-1348339.29</v>
      </c>
      <c r="AA56" s="33">
        <v>0</v>
      </c>
      <c r="AC56" s="33">
        <v>0</v>
      </c>
      <c r="AE56" s="73"/>
      <c r="AF56" s="75"/>
    </row>
    <row r="57" spans="2:32">
      <c r="B57" s="15"/>
      <c r="C57" s="7"/>
      <c r="D57" s="7" t="s">
        <v>45</v>
      </c>
      <c r="E57" s="21">
        <f>'P&amp;L'!E73</f>
        <v>-8846827.2503147218</v>
      </c>
      <c r="F57" s="7"/>
      <c r="G57" s="21">
        <f>'P&amp;L'!F73</f>
        <v>-2488658.7963305521</v>
      </c>
      <c r="H57" s="7"/>
      <c r="I57" s="16"/>
      <c r="K57" s="21">
        <v>-4684933.2300000004</v>
      </c>
      <c r="L57" s="7"/>
      <c r="M57" s="21">
        <v>-1427676.1110545064</v>
      </c>
      <c r="O57" s="21">
        <v>-3106379.51</v>
      </c>
      <c r="P57" s="7"/>
      <c r="Q57" s="21">
        <v>-945293.86374901864</v>
      </c>
      <c r="S57" s="21">
        <v>-1655947.9500000002</v>
      </c>
      <c r="U57" s="21">
        <v>-492606.62955617346</v>
      </c>
      <c r="W57" s="21">
        <v>-11943175.75</v>
      </c>
      <c r="Y57" s="21">
        <v>-3518120.1227450981</v>
      </c>
      <c r="AA57" s="21">
        <v>-4180367.142341401</v>
      </c>
      <c r="AC57" s="21">
        <v>-1348339.2904956273</v>
      </c>
      <c r="AE57" s="73"/>
      <c r="AF57" s="75"/>
    </row>
    <row r="58" spans="2:32" ht="13">
      <c r="B58" s="15"/>
      <c r="C58" s="36" t="s">
        <v>46</v>
      </c>
      <c r="D58" s="7"/>
      <c r="E58" s="10">
        <f>SUM(E51:E57)</f>
        <v>-2688450.1403147224</v>
      </c>
      <c r="F58" s="7"/>
      <c r="G58" s="10">
        <f>SUM(G51:G57)</f>
        <v>-755118.20633055223</v>
      </c>
      <c r="H58" s="7"/>
      <c r="I58" s="16"/>
      <c r="K58" s="10">
        <v>1473443.879999999</v>
      </c>
      <c r="L58" s="7"/>
      <c r="M58" s="10">
        <v>305864.47894549347</v>
      </c>
      <c r="O58" s="10">
        <v>-41511842.399999999</v>
      </c>
      <c r="P58" s="7"/>
      <c r="Q58" s="10">
        <v>-12411753.273749018</v>
      </c>
      <c r="S58" s="10">
        <v>-18716416.839999996</v>
      </c>
      <c r="U58" s="10">
        <v>-5357323.5018068124</v>
      </c>
      <c r="W58" s="10">
        <v>6158377.1099999994</v>
      </c>
      <c r="Y58" s="10">
        <v>1733540.5872549019</v>
      </c>
      <c r="AA58" s="10">
        <v>-4180367.142341401</v>
      </c>
      <c r="AC58" s="10">
        <v>-1348339.2904956273</v>
      </c>
    </row>
    <row r="59" spans="2:32" ht="5.25" customHeight="1">
      <c r="B59" s="15"/>
      <c r="C59" s="7"/>
      <c r="D59" s="7"/>
      <c r="E59" s="7"/>
      <c r="F59" s="7"/>
      <c r="G59" s="7"/>
      <c r="H59" s="7"/>
      <c r="I59" s="16"/>
      <c r="K59" s="7"/>
      <c r="L59" s="7"/>
      <c r="M59" s="7"/>
      <c r="O59" s="7"/>
      <c r="P59" s="7"/>
      <c r="Q59" s="7"/>
    </row>
    <row r="60" spans="2:32" ht="13">
      <c r="B60" s="20" t="s">
        <v>48</v>
      </c>
      <c r="C60" s="7"/>
      <c r="D60" s="7"/>
      <c r="E60" s="7"/>
      <c r="F60" s="7"/>
      <c r="G60" s="7"/>
      <c r="H60" s="7"/>
      <c r="I60" s="16"/>
      <c r="K60" s="7"/>
      <c r="L60" s="7"/>
      <c r="M60" s="7"/>
      <c r="O60" s="7"/>
      <c r="P60" s="7"/>
      <c r="Q60" s="7"/>
    </row>
    <row r="61" spans="2:32" ht="13.5" thickBot="1">
      <c r="B61" s="20" t="s">
        <v>49</v>
      </c>
      <c r="C61" s="7"/>
      <c r="D61" s="7"/>
      <c r="E61" s="37">
        <f>E43+E58+E48</f>
        <v>4009177.2499999981</v>
      </c>
      <c r="F61" s="7"/>
      <c r="G61" s="37">
        <f>G43+G58+G48</f>
        <v>1118077.5100000002</v>
      </c>
      <c r="H61" s="7"/>
      <c r="I61" s="16"/>
      <c r="K61" s="37">
        <v>5431212.0199999986</v>
      </c>
      <c r="L61" s="7"/>
      <c r="M61" s="37">
        <v>1448703.96</v>
      </c>
      <c r="O61" s="37">
        <v>6888920.25</v>
      </c>
      <c r="P61" s="7"/>
      <c r="Q61" s="37">
        <v>1882214.1999999988</v>
      </c>
      <c r="S61" s="37">
        <v>10911030.970000003</v>
      </c>
      <c r="U61" s="37">
        <v>3028581.3714919006</v>
      </c>
      <c r="W61" s="37">
        <v>8317596.6600000001</v>
      </c>
      <c r="Y61" s="37">
        <v>2371442.3916027281</v>
      </c>
      <c r="AA61" s="37">
        <v>4334731.245058598</v>
      </c>
      <c r="AC61" s="37">
        <v>1389634.4695043724</v>
      </c>
    </row>
    <row r="62" spans="2:32" ht="13.5" thickTop="1" thickBot="1">
      <c r="B62" s="26"/>
      <c r="C62" s="27"/>
      <c r="D62" s="27"/>
      <c r="E62" s="27"/>
      <c r="F62" s="27"/>
      <c r="G62" s="27"/>
      <c r="H62" s="27"/>
      <c r="I62" s="28"/>
      <c r="K62" s="27"/>
      <c r="L62" s="27"/>
      <c r="M62" s="27"/>
      <c r="O62" s="27"/>
      <c r="P62" s="27"/>
      <c r="Q62" s="27"/>
      <c r="W62" s="13"/>
      <c r="X62" s="13"/>
      <c r="Y62" s="13"/>
      <c r="AA62" s="13"/>
      <c r="AB62" s="13"/>
      <c r="AC62" s="13"/>
    </row>
    <row r="63" spans="2:32" ht="9" customHeight="1">
      <c r="B63" s="12"/>
      <c r="C63" s="13"/>
      <c r="D63" s="13"/>
      <c r="E63" s="13"/>
      <c r="F63" s="13"/>
      <c r="G63" s="13"/>
      <c r="H63" s="13"/>
      <c r="I63" s="14"/>
      <c r="K63" s="13"/>
      <c r="L63" s="13"/>
      <c r="M63" s="13"/>
      <c r="O63" s="13"/>
      <c r="P63" s="13"/>
      <c r="Q63" s="13"/>
      <c r="W63" s="7"/>
      <c r="X63" s="7"/>
      <c r="Y63" s="7"/>
      <c r="AA63" s="7"/>
      <c r="AB63" s="7"/>
      <c r="AC63" s="7"/>
    </row>
    <row r="64" spans="2:32" ht="13">
      <c r="B64" s="15"/>
      <c r="C64" s="29" t="s">
        <v>25</v>
      </c>
      <c r="D64" s="7"/>
      <c r="E64" s="7"/>
      <c r="F64" s="7"/>
      <c r="G64" s="7"/>
      <c r="H64" s="7"/>
      <c r="I64" s="16"/>
      <c r="K64" s="7"/>
      <c r="L64" s="7"/>
      <c r="M64" s="7"/>
      <c r="O64" s="7"/>
      <c r="P64" s="7"/>
      <c r="Q64" s="7"/>
      <c r="W64" s="7"/>
      <c r="X64" s="7"/>
      <c r="Y64" s="7"/>
      <c r="AA64" s="7"/>
      <c r="AB64" s="7"/>
      <c r="AC64" s="7"/>
      <c r="AE64" s="148" t="s">
        <v>304</v>
      </c>
    </row>
    <row r="65" spans="2:29" ht="6.75" customHeight="1">
      <c r="B65" s="15"/>
      <c r="C65" s="25"/>
      <c r="D65" s="7"/>
      <c r="E65" s="7"/>
      <c r="F65" s="7"/>
      <c r="G65" s="7"/>
      <c r="H65" s="7"/>
      <c r="I65" s="16"/>
      <c r="K65" s="7"/>
      <c r="L65" s="7"/>
      <c r="M65" s="7"/>
      <c r="O65" s="7"/>
      <c r="P65" s="7"/>
      <c r="Q65" s="7"/>
      <c r="W65" s="7"/>
      <c r="X65" s="7"/>
      <c r="Y65" s="7"/>
      <c r="AA65" s="7"/>
      <c r="AB65" s="7"/>
      <c r="AC65" s="7"/>
    </row>
    <row r="66" spans="2:29" ht="13">
      <c r="B66" s="15"/>
      <c r="C66" s="25" t="s">
        <v>22</v>
      </c>
      <c r="D66" s="67" t="s">
        <v>131</v>
      </c>
      <c r="E66" s="7"/>
      <c r="F66" s="7"/>
      <c r="G66" s="7"/>
      <c r="H66" s="7"/>
      <c r="I66" s="16"/>
      <c r="K66" s="7"/>
      <c r="L66" s="7"/>
      <c r="M66" s="7"/>
      <c r="O66" s="7"/>
      <c r="P66" s="7"/>
      <c r="Q66" s="7"/>
      <c r="W66" s="7"/>
      <c r="X66" s="7"/>
      <c r="Y66" s="7"/>
      <c r="AA66" s="7"/>
      <c r="AB66" s="7"/>
      <c r="AC66" s="7"/>
    </row>
    <row r="67" spans="2:29" ht="6.75" customHeight="1">
      <c r="B67" s="15"/>
      <c r="C67" s="7"/>
      <c r="D67" s="7"/>
      <c r="E67" s="7"/>
      <c r="F67" s="7"/>
      <c r="G67" s="7"/>
      <c r="H67" s="7"/>
      <c r="I67" s="16"/>
      <c r="K67" s="7"/>
      <c r="L67" s="7"/>
      <c r="M67" s="7"/>
      <c r="O67" s="7"/>
      <c r="P67" s="7"/>
      <c r="Q67" s="7"/>
      <c r="W67" s="7"/>
      <c r="X67" s="7"/>
      <c r="Y67" s="7"/>
      <c r="AA67" s="7"/>
      <c r="AB67" s="7"/>
      <c r="AC67" s="7"/>
    </row>
    <row r="68" spans="2:29" ht="13" hidden="1">
      <c r="B68" s="15"/>
      <c r="C68" s="25" t="s">
        <v>23</v>
      </c>
      <c r="D68" s="7"/>
      <c r="E68" s="7"/>
      <c r="F68" s="7"/>
      <c r="G68" s="7"/>
      <c r="H68" s="7"/>
      <c r="I68" s="16"/>
      <c r="K68" s="7"/>
      <c r="L68" s="7"/>
      <c r="M68" s="7"/>
      <c r="O68" s="7"/>
      <c r="P68" s="7"/>
      <c r="Q68" s="7"/>
      <c r="W68" s="7"/>
      <c r="X68" s="7"/>
      <c r="Y68" s="7"/>
      <c r="AA68" s="7"/>
      <c r="AB68" s="7"/>
      <c r="AC68" s="7"/>
    </row>
    <row r="69" spans="2:29" ht="6.75" hidden="1" customHeight="1">
      <c r="B69" s="15"/>
      <c r="C69" s="7"/>
      <c r="D69" s="7"/>
      <c r="E69" s="7"/>
      <c r="F69" s="7"/>
      <c r="G69" s="7"/>
      <c r="H69" s="7"/>
      <c r="I69" s="16"/>
      <c r="K69" s="7"/>
      <c r="L69" s="7"/>
      <c r="M69" s="7"/>
      <c r="O69" s="7"/>
      <c r="P69" s="7"/>
      <c r="Q69" s="7"/>
      <c r="W69" s="7"/>
      <c r="X69" s="7"/>
      <c r="Y69" s="7"/>
      <c r="AA69" s="7"/>
      <c r="AB69" s="7"/>
      <c r="AC69" s="7"/>
    </row>
    <row r="70" spans="2:29" ht="13.5" hidden="1" thickBot="1">
      <c r="B70" s="15"/>
      <c r="C70" s="25" t="s">
        <v>24</v>
      </c>
      <c r="D70" s="7"/>
      <c r="E70" s="7"/>
      <c r="F70" s="7"/>
      <c r="G70" s="7"/>
      <c r="H70" s="7"/>
      <c r="I70" s="16"/>
      <c r="K70" s="7"/>
      <c r="L70" s="7"/>
      <c r="M70" s="7"/>
      <c r="O70" s="7"/>
      <c r="P70" s="7"/>
      <c r="Q70" s="7"/>
      <c r="W70" s="27"/>
      <c r="X70" s="27"/>
      <c r="Y70" s="27"/>
      <c r="AA70" s="27"/>
      <c r="AB70" s="27"/>
      <c r="AC70" s="27"/>
    </row>
    <row r="71" spans="2:29" ht="7.5" customHeight="1" thickBot="1">
      <c r="B71" s="26"/>
      <c r="C71" s="27"/>
      <c r="D71" s="27"/>
      <c r="E71" s="27"/>
      <c r="F71" s="27"/>
      <c r="G71" s="27"/>
      <c r="H71" s="27"/>
      <c r="I71" s="28"/>
      <c r="K71" s="27"/>
      <c r="L71" s="27"/>
      <c r="M71" s="27"/>
      <c r="O71" s="27"/>
      <c r="P71" s="27"/>
      <c r="Q71" s="27"/>
    </row>
    <row r="74" spans="2:29">
      <c r="W74" s="66">
        <v>0</v>
      </c>
      <c r="Y74" s="66">
        <v>0</v>
      </c>
      <c r="AA74" s="66">
        <v>0</v>
      </c>
      <c r="AC74" s="66">
        <v>0</v>
      </c>
    </row>
    <row r="75" spans="2:29">
      <c r="E75" s="66">
        <f>E32-E61</f>
        <v>0</v>
      </c>
      <c r="G75" s="66">
        <f>G32-G61</f>
        <v>0</v>
      </c>
      <c r="K75" s="66">
        <v>0</v>
      </c>
      <c r="M75" s="66">
        <v>0</v>
      </c>
      <c r="O75" s="66">
        <v>0</v>
      </c>
      <c r="Q75" s="66">
        <v>0</v>
      </c>
    </row>
    <row r="77" spans="2:29">
      <c r="H77" s="5"/>
      <c r="I77" s="5"/>
    </row>
    <row r="78" spans="2:29">
      <c r="H78" s="5"/>
      <c r="I78" s="5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87" orientation="portrait" r:id="rId1"/>
  <headerFooter scaleWithDoc="0"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6:O49"/>
  <sheetViews>
    <sheetView zoomScaleNormal="100" workbookViewId="0">
      <pane ySplit="11" topLeftCell="A18" activePane="bottomLeft" state="frozen"/>
      <selection activeCell="J30" sqref="J30"/>
      <selection pane="bottomLeft" activeCell="G36" sqref="G36"/>
    </sheetView>
  </sheetViews>
  <sheetFormatPr defaultRowHeight="12.5"/>
  <cols>
    <col min="1" max="1" width="2" customWidth="1"/>
    <col min="2" max="2" width="2.81640625" customWidth="1"/>
    <col min="3" max="3" width="2.1796875" customWidth="1"/>
    <col min="4" max="4" width="35.54296875" customWidth="1"/>
    <col min="5" max="5" width="12.54296875" hidden="1" customWidth="1"/>
    <col min="6" max="6" width="1.453125" hidden="1" customWidth="1"/>
    <col min="7" max="7" width="12.54296875" customWidth="1"/>
    <col min="8" max="8" width="4.453125" customWidth="1"/>
    <col min="9" max="9" width="17.81640625" customWidth="1"/>
    <col min="10" max="10" width="10.81640625" customWidth="1"/>
    <col min="11" max="11" width="9.81640625" bestFit="1" customWidth="1"/>
    <col min="12" max="12" width="9.81640625" customWidth="1"/>
    <col min="13" max="13" width="1.81640625" customWidth="1"/>
    <col min="14" max="14" width="5.1796875" bestFit="1" customWidth="1"/>
    <col min="15" max="15" width="1.81640625" customWidth="1"/>
    <col min="16" max="16" width="3.1796875" customWidth="1"/>
  </cols>
  <sheetData>
    <row r="6" spans="2:15" ht="15.5">
      <c r="B6" s="51" t="str">
        <f>Summary!B6</f>
        <v>GetCtrl LTD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ht="15.5">
      <c r="B7" s="30" t="s">
        <v>89</v>
      </c>
      <c r="C7" s="31"/>
      <c r="D7" s="31"/>
      <c r="E7" s="31"/>
      <c r="F7" s="31"/>
      <c r="G7" s="31"/>
      <c r="H7" s="31"/>
      <c r="K7" s="32">
        <f>Summary!J7</f>
        <v>45291</v>
      </c>
      <c r="L7" s="31"/>
      <c r="M7" s="31"/>
      <c r="N7" s="31"/>
      <c r="O7" s="31"/>
    </row>
    <row r="8" spans="2:15" ht="15.5">
      <c r="B8" s="30" t="s">
        <v>55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15" ht="13.5" thickBot="1">
      <c r="B9" s="1"/>
    </row>
    <row r="10" spans="2:15">
      <c r="B10" s="12"/>
      <c r="C10" s="13"/>
      <c r="D10" s="13"/>
      <c r="E10" s="13"/>
      <c r="F10" s="13"/>
      <c r="G10" s="13"/>
      <c r="H10" s="13"/>
      <c r="I10" s="13"/>
      <c r="J10" s="14"/>
    </row>
    <row r="11" spans="2:15" ht="13">
      <c r="B11" s="15"/>
      <c r="C11" s="7"/>
      <c r="D11" s="7"/>
      <c r="E11" s="35">
        <f>K7</f>
        <v>45291</v>
      </c>
      <c r="F11" s="7"/>
      <c r="G11" s="35" t="s">
        <v>0</v>
      </c>
      <c r="H11" s="7"/>
      <c r="I11" s="6"/>
      <c r="J11" s="16"/>
    </row>
    <row r="12" spans="2:15" ht="13">
      <c r="B12" s="20"/>
      <c r="C12" s="7"/>
      <c r="D12" s="7"/>
      <c r="E12" s="33"/>
      <c r="F12" s="7"/>
      <c r="G12" s="7"/>
      <c r="H12" s="7"/>
      <c r="I12" s="7"/>
      <c r="J12" s="16"/>
    </row>
    <row r="13" spans="2:15" ht="5.25" customHeight="1">
      <c r="B13" s="20"/>
      <c r="C13" s="7"/>
      <c r="D13" s="7"/>
      <c r="E13" s="33"/>
      <c r="F13" s="7"/>
      <c r="G13" s="7"/>
      <c r="H13" s="7"/>
      <c r="I13" s="7"/>
      <c r="J13" s="16"/>
    </row>
    <row r="14" spans="2:15" ht="13">
      <c r="B14" s="24"/>
      <c r="C14" s="29" t="s">
        <v>56</v>
      </c>
      <c r="D14" s="7"/>
      <c r="E14" s="34"/>
      <c r="F14" s="7"/>
      <c r="G14" s="7"/>
      <c r="H14" s="7"/>
      <c r="I14" s="7"/>
      <c r="J14" s="16"/>
    </row>
    <row r="15" spans="2:15">
      <c r="B15" s="15"/>
      <c r="C15" s="7"/>
      <c r="D15" s="7" t="s">
        <v>57</v>
      </c>
      <c r="E15" s="33"/>
      <c r="F15" s="7"/>
      <c r="G15" s="21"/>
      <c r="H15" s="7"/>
      <c r="I15" s="7"/>
      <c r="J15" s="16"/>
    </row>
    <row r="16" spans="2:15" ht="26.25" customHeight="1">
      <c r="B16" s="15"/>
      <c r="C16" s="224" t="s">
        <v>58</v>
      </c>
      <c r="D16" s="225"/>
      <c r="E16" s="33"/>
      <c r="F16" s="7"/>
      <c r="G16" s="21"/>
      <c r="H16" s="7"/>
      <c r="I16" s="7"/>
      <c r="J16" s="16"/>
    </row>
    <row r="17" spans="2:10">
      <c r="B17" s="15"/>
      <c r="C17" s="7"/>
      <c r="D17" s="7" t="s">
        <v>59</v>
      </c>
      <c r="E17" s="33"/>
      <c r="F17" s="7"/>
      <c r="G17" s="21"/>
      <c r="H17" s="7"/>
      <c r="I17" s="7"/>
      <c r="J17" s="16"/>
    </row>
    <row r="18" spans="2:10">
      <c r="B18" s="15"/>
      <c r="C18" s="7"/>
      <c r="D18" s="7" t="s">
        <v>60</v>
      </c>
      <c r="E18" s="33"/>
      <c r="F18" s="7"/>
      <c r="G18" s="21"/>
      <c r="H18" s="7"/>
      <c r="I18" s="7"/>
      <c r="J18" s="16"/>
    </row>
    <row r="19" spans="2:10">
      <c r="B19" s="15"/>
      <c r="C19" s="7"/>
      <c r="D19" s="18" t="s">
        <v>61</v>
      </c>
      <c r="E19" s="33"/>
      <c r="F19" s="7"/>
      <c r="G19" s="21"/>
      <c r="H19" s="7"/>
      <c r="I19" s="7"/>
      <c r="J19" s="16"/>
    </row>
    <row r="20" spans="2:10">
      <c r="B20" s="15"/>
      <c r="C20" s="7"/>
      <c r="D20" s="61" t="s">
        <v>96</v>
      </c>
      <c r="E20" s="33"/>
      <c r="F20" s="7"/>
      <c r="G20" s="21"/>
      <c r="H20" s="7"/>
      <c r="I20" s="7"/>
      <c r="J20" s="16"/>
    </row>
    <row r="21" spans="2:10">
      <c r="B21" s="15"/>
      <c r="C21" s="7"/>
      <c r="D21" s="18" t="s">
        <v>62</v>
      </c>
      <c r="E21" s="33"/>
      <c r="F21" s="7"/>
      <c r="G21" s="18"/>
      <c r="H21" s="7"/>
      <c r="I21" s="7"/>
      <c r="J21" s="16"/>
    </row>
    <row r="22" spans="2:10">
      <c r="B22" s="15"/>
      <c r="C22" s="7" t="s">
        <v>63</v>
      </c>
      <c r="D22" s="18"/>
      <c r="E22" s="38">
        <f>SUM(E18:E21)</f>
        <v>0</v>
      </c>
      <c r="F22" s="7"/>
      <c r="G22" s="38"/>
      <c r="H22" s="7"/>
      <c r="I22" s="7"/>
      <c r="J22" s="16"/>
    </row>
    <row r="23" spans="2:10" ht="13">
      <c r="B23" s="20"/>
      <c r="C23" s="36" t="s">
        <v>64</v>
      </c>
      <c r="D23" s="7"/>
      <c r="E23" s="10">
        <f>E15+E22</f>
        <v>0</v>
      </c>
      <c r="F23" s="7"/>
      <c r="G23" s="10">
        <f>G15+G22</f>
        <v>0</v>
      </c>
      <c r="H23" s="7"/>
      <c r="I23" s="7"/>
      <c r="J23" s="16"/>
    </row>
    <row r="24" spans="2:10" ht="12" customHeight="1">
      <c r="B24" s="15"/>
      <c r="C24" s="7"/>
      <c r="D24" s="7"/>
      <c r="E24" s="34"/>
      <c r="F24" s="7"/>
      <c r="G24" s="34"/>
      <c r="H24" s="7"/>
      <c r="I24" s="7"/>
      <c r="J24" s="16"/>
    </row>
    <row r="25" spans="2:10">
      <c r="B25" s="15"/>
      <c r="C25" s="7"/>
      <c r="D25" s="7" t="s">
        <v>65</v>
      </c>
      <c r="E25" s="7"/>
      <c r="F25" s="7"/>
      <c r="G25" s="7"/>
      <c r="H25" s="7"/>
      <c r="I25" s="7"/>
      <c r="J25" s="16"/>
    </row>
    <row r="26" spans="2:10">
      <c r="B26" s="15"/>
      <c r="C26" s="7"/>
      <c r="D26" s="62" t="s">
        <v>97</v>
      </c>
      <c r="E26" s="7"/>
      <c r="F26" s="7"/>
      <c r="G26" s="21"/>
      <c r="H26" s="7"/>
      <c r="I26" s="7"/>
      <c r="J26" s="16"/>
    </row>
    <row r="27" spans="2:10" ht="13">
      <c r="B27" s="15"/>
      <c r="C27" s="36" t="s">
        <v>66</v>
      </c>
      <c r="D27" s="7"/>
      <c r="E27" s="10">
        <f>E25</f>
        <v>0</v>
      </c>
      <c r="F27" s="7"/>
      <c r="G27" s="10">
        <f>SUM(G25:G26)</f>
        <v>0</v>
      </c>
      <c r="H27" s="7"/>
      <c r="I27" s="7"/>
      <c r="J27" s="16"/>
    </row>
    <row r="28" spans="2:10" ht="12" customHeight="1">
      <c r="B28" s="15"/>
      <c r="C28" s="36"/>
      <c r="D28" s="7"/>
      <c r="E28" s="7"/>
      <c r="F28" s="7"/>
      <c r="G28" s="7"/>
      <c r="H28" s="7"/>
      <c r="I28" s="7"/>
      <c r="J28" s="16"/>
    </row>
    <row r="29" spans="2:10" ht="13">
      <c r="B29" s="15"/>
      <c r="C29" s="29" t="s">
        <v>67</v>
      </c>
      <c r="D29" s="7"/>
      <c r="E29" s="7"/>
      <c r="F29" s="7"/>
      <c r="G29" s="7"/>
      <c r="H29" s="7"/>
      <c r="I29" s="7"/>
      <c r="J29" s="16"/>
    </row>
    <row r="30" spans="2:10">
      <c r="B30" s="15"/>
      <c r="C30" s="7"/>
      <c r="D30" s="7" t="s">
        <v>82</v>
      </c>
      <c r="E30" s="7"/>
      <c r="F30" s="7"/>
      <c r="G30" s="7"/>
      <c r="H30" s="7"/>
      <c r="I30" s="7"/>
      <c r="J30" s="16"/>
    </row>
    <row r="31" spans="2:10">
      <c r="B31" s="15"/>
      <c r="C31" s="7"/>
      <c r="D31" s="7" t="s">
        <v>69</v>
      </c>
      <c r="E31" s="7"/>
      <c r="F31" s="7"/>
      <c r="G31" s="7"/>
      <c r="H31" s="7"/>
      <c r="I31" s="7"/>
      <c r="J31" s="16"/>
    </row>
    <row r="32" spans="2:10" ht="13">
      <c r="B32" s="15"/>
      <c r="C32" s="36" t="s">
        <v>68</v>
      </c>
      <c r="D32" s="7"/>
      <c r="E32" s="10">
        <f>SUM(E30:E31)</f>
        <v>0</v>
      </c>
      <c r="F32" s="7"/>
      <c r="G32" s="10">
        <f>SUM(G30:G31)</f>
        <v>0</v>
      </c>
      <c r="H32" s="7"/>
      <c r="I32" s="7"/>
      <c r="J32" s="16"/>
    </row>
    <row r="33" spans="2:10" ht="12" customHeight="1">
      <c r="B33" s="15"/>
      <c r="C33" s="7"/>
      <c r="D33" s="7"/>
      <c r="E33" s="7"/>
      <c r="F33" s="7"/>
      <c r="G33" s="7"/>
      <c r="H33" s="7"/>
      <c r="I33" s="7"/>
      <c r="J33" s="16"/>
    </row>
    <row r="34" spans="2:10" ht="13.5" thickBot="1">
      <c r="B34" s="15"/>
      <c r="C34" s="36" t="s">
        <v>70</v>
      </c>
      <c r="D34" s="7"/>
      <c r="E34" s="37">
        <f>E23+E27+E32</f>
        <v>0</v>
      </c>
      <c r="F34" s="7"/>
      <c r="G34" s="63">
        <f>G23+G27+G32</f>
        <v>0</v>
      </c>
      <c r="H34" s="7"/>
      <c r="I34" s="7"/>
      <c r="J34" s="16"/>
    </row>
    <row r="35" spans="2:10" ht="12" customHeight="1" thickTop="1">
      <c r="B35" s="15"/>
      <c r="C35" s="7"/>
      <c r="D35" s="7"/>
      <c r="E35" s="7"/>
      <c r="F35" s="7"/>
      <c r="G35" s="7"/>
      <c r="H35" s="7"/>
      <c r="I35" s="7"/>
      <c r="J35" s="16"/>
    </row>
    <row r="36" spans="2:10" ht="13">
      <c r="B36" s="20"/>
      <c r="C36" s="36" t="s">
        <v>71</v>
      </c>
      <c r="E36" s="39"/>
      <c r="F36" s="7"/>
      <c r="G36" s="39"/>
      <c r="H36" s="7"/>
      <c r="I36" s="7"/>
      <c r="J36" s="16"/>
    </row>
    <row r="37" spans="2:10">
      <c r="B37" s="15"/>
      <c r="C37" s="7"/>
      <c r="D37" s="7"/>
      <c r="E37" s="7"/>
      <c r="F37" s="7"/>
      <c r="G37" s="7"/>
      <c r="H37" s="7"/>
      <c r="I37" s="7"/>
      <c r="J37" s="16"/>
    </row>
    <row r="38" spans="2:10" ht="13.5" thickBot="1">
      <c r="B38" s="15"/>
      <c r="C38" s="36" t="s">
        <v>72</v>
      </c>
      <c r="D38" s="7"/>
      <c r="E38" s="40"/>
      <c r="F38" s="7"/>
      <c r="G38" s="37">
        <f>G34+G36</f>
        <v>0</v>
      </c>
      <c r="H38" s="7"/>
      <c r="I38" s="7"/>
      <c r="J38" s="16"/>
    </row>
    <row r="39" spans="2:10" ht="13" thickTop="1">
      <c r="B39" s="15"/>
      <c r="C39" s="7"/>
      <c r="D39" s="7"/>
      <c r="E39" s="7"/>
      <c r="F39" s="7"/>
      <c r="G39" s="7"/>
      <c r="H39" s="7"/>
      <c r="I39" s="7"/>
      <c r="J39" s="16"/>
    </row>
    <row r="40" spans="2:10" ht="13" thickBot="1">
      <c r="B40" s="15"/>
      <c r="C40" s="7"/>
      <c r="D40" s="7"/>
      <c r="E40" s="7"/>
      <c r="F40" s="7"/>
      <c r="G40" s="7"/>
      <c r="H40" s="7"/>
      <c r="I40" s="7"/>
      <c r="J40" s="16"/>
    </row>
    <row r="41" spans="2:10">
      <c r="B41" s="12"/>
      <c r="C41" s="13"/>
      <c r="D41" s="13"/>
      <c r="E41" s="13"/>
      <c r="F41" s="13"/>
      <c r="G41" s="13"/>
      <c r="H41" s="13"/>
      <c r="I41" s="13"/>
      <c r="J41" s="14"/>
    </row>
    <row r="42" spans="2:10" ht="13">
      <c r="B42" s="15"/>
      <c r="C42" s="29" t="s">
        <v>25</v>
      </c>
      <c r="D42" s="7"/>
      <c r="E42" s="7"/>
      <c r="F42" s="7"/>
      <c r="G42" s="7"/>
      <c r="H42" s="7"/>
      <c r="I42" s="7"/>
      <c r="J42" s="16"/>
    </row>
    <row r="43" spans="2:10" ht="6.75" customHeight="1">
      <c r="B43" s="15"/>
      <c r="C43" s="25"/>
      <c r="D43" s="7"/>
      <c r="E43" s="7"/>
      <c r="F43" s="7"/>
      <c r="G43" s="7"/>
      <c r="H43" s="7"/>
      <c r="I43" s="7"/>
      <c r="J43" s="16"/>
    </row>
    <row r="44" spans="2:10" ht="13">
      <c r="B44" s="15"/>
      <c r="C44" s="25" t="s">
        <v>22</v>
      </c>
      <c r="D44" s="67" t="s">
        <v>98</v>
      </c>
      <c r="E44" s="7"/>
      <c r="F44" s="7"/>
      <c r="G44" s="7"/>
      <c r="H44" s="7"/>
      <c r="I44" s="7"/>
      <c r="J44" s="16"/>
    </row>
    <row r="45" spans="2:10" ht="6.75" customHeight="1">
      <c r="B45" s="15"/>
      <c r="C45" s="7"/>
      <c r="D45" s="7"/>
      <c r="E45" s="7"/>
      <c r="F45" s="7"/>
      <c r="G45" s="7"/>
      <c r="H45" s="7"/>
      <c r="I45" s="7"/>
      <c r="J45" s="16"/>
    </row>
    <row r="46" spans="2:10" ht="13" hidden="1">
      <c r="B46" s="15"/>
      <c r="C46" s="25" t="s">
        <v>23</v>
      </c>
      <c r="D46" s="7"/>
      <c r="E46" s="7"/>
      <c r="F46" s="7"/>
      <c r="G46" s="7"/>
      <c r="H46" s="7"/>
      <c r="I46" s="7"/>
      <c r="J46" s="16"/>
    </row>
    <row r="47" spans="2:10" ht="6.75" hidden="1" customHeight="1">
      <c r="B47" s="15"/>
      <c r="C47" s="7"/>
      <c r="D47" s="7"/>
      <c r="E47" s="7"/>
      <c r="F47" s="7"/>
      <c r="G47" s="7"/>
      <c r="H47" s="7"/>
      <c r="I47" s="7"/>
      <c r="J47" s="16"/>
    </row>
    <row r="48" spans="2:10" ht="13" hidden="1">
      <c r="B48" s="15"/>
      <c r="C48" s="25" t="s">
        <v>24</v>
      </c>
      <c r="D48" s="7"/>
      <c r="E48" s="7"/>
      <c r="F48" s="7"/>
      <c r="G48" s="7"/>
      <c r="H48" s="7"/>
      <c r="I48" s="7"/>
      <c r="J48" s="16"/>
    </row>
    <row r="49" spans="2:10" ht="13" thickBot="1">
      <c r="B49" s="26"/>
      <c r="C49" s="27"/>
      <c r="D49" s="27"/>
      <c r="E49" s="27"/>
      <c r="F49" s="27"/>
      <c r="G49" s="27"/>
      <c r="H49" s="27"/>
      <c r="I49" s="27"/>
      <c r="J49" s="28"/>
    </row>
  </sheetData>
  <mergeCells count="1">
    <mergeCell ref="C16:D16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9" orientation="portrait" r:id="rId1"/>
  <headerFooter scaleWithDoc="0">
    <oddHeader>&amp;C&amp;G</oddHead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6:AF88"/>
  <sheetViews>
    <sheetView topLeftCell="A46" zoomScaleNormal="100" workbookViewId="0">
      <selection activeCell="K18" sqref="K18"/>
    </sheetView>
  </sheetViews>
  <sheetFormatPr defaultRowHeight="12.5"/>
  <cols>
    <col min="1" max="1" width="2" customWidth="1"/>
    <col min="2" max="2" width="10" customWidth="1"/>
    <col min="3" max="3" width="18.453125" customWidth="1"/>
    <col min="4" max="4" width="21.453125" customWidth="1"/>
    <col min="5" max="5" width="11.453125" bestFit="1" customWidth="1"/>
    <col min="6" max="6" width="11.81640625" bestFit="1" customWidth="1"/>
    <col min="7" max="7" width="4.81640625" hidden="1" customWidth="1"/>
    <col min="8" max="8" width="8.81640625" bestFit="1" customWidth="1"/>
    <col min="9" max="12" width="11.90625" style="148" bestFit="1" customWidth="1"/>
    <col min="13" max="13" width="9.6328125" style="148" bestFit="1" customWidth="1"/>
    <col min="14" max="14" width="11.453125" style="148" bestFit="1" customWidth="1"/>
    <col min="15" max="15" width="11.81640625" style="148" bestFit="1" customWidth="1"/>
    <col min="16" max="16" width="9.6328125" style="148" customWidth="1"/>
    <col min="17" max="17" width="11.453125" style="148" bestFit="1" customWidth="1"/>
    <col min="18" max="18" width="11.81640625" style="148" bestFit="1" customWidth="1"/>
    <col min="19" max="19" width="9.6328125" style="148" customWidth="1"/>
    <col min="20" max="20" width="11.453125" style="148" bestFit="1" customWidth="1"/>
    <col min="21" max="21" width="9.54296875" style="148" bestFit="1" customWidth="1"/>
    <col min="22" max="22" width="9.81640625" style="148" customWidth="1"/>
    <col min="23" max="23" width="11.453125" style="148" bestFit="1" customWidth="1"/>
    <col min="24" max="24" width="11.81640625" style="148" bestFit="1" customWidth="1"/>
    <col min="25" max="25" width="9.81640625" style="148" customWidth="1"/>
    <col min="26" max="26" width="10.1796875" style="148" bestFit="1" customWidth="1"/>
    <col min="27" max="27" width="11.81640625" style="148" bestFit="1" customWidth="1"/>
  </cols>
  <sheetData>
    <row r="6" spans="2:27" ht="15.5">
      <c r="B6" s="51" t="str">
        <f>Summary!B6</f>
        <v>GetCtrl LTD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W6" s="31"/>
      <c r="X6" s="31"/>
      <c r="Z6" s="31"/>
      <c r="AA6" s="31"/>
    </row>
    <row r="7" spans="2:27" ht="15.5">
      <c r="B7" s="30" t="s">
        <v>141</v>
      </c>
      <c r="C7" s="31"/>
      <c r="D7" s="31"/>
      <c r="F7" s="31"/>
      <c r="H7" s="177">
        <f>Summary!J7</f>
        <v>45291</v>
      </c>
      <c r="I7" s="181"/>
      <c r="J7" s="181"/>
      <c r="K7" s="181"/>
      <c r="L7" s="181"/>
      <c r="M7" s="64"/>
      <c r="O7" s="31"/>
      <c r="P7" s="64"/>
      <c r="R7" s="31"/>
      <c r="S7" s="64"/>
      <c r="T7" s="64"/>
      <c r="U7" s="64"/>
      <c r="X7" s="31"/>
      <c r="AA7" s="31"/>
    </row>
    <row r="8" spans="2:27" ht="15.5">
      <c r="B8" s="30" t="s">
        <v>129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W8" s="31"/>
      <c r="X8" s="31"/>
      <c r="Z8" s="31"/>
      <c r="AA8" s="31"/>
    </row>
    <row r="9" spans="2:27" ht="13.5" thickBot="1">
      <c r="B9" s="1"/>
    </row>
    <row r="10" spans="2:27" ht="13" thickBot="1">
      <c r="B10" s="12"/>
      <c r="C10" s="13"/>
      <c r="D10" s="13"/>
      <c r="E10" s="13"/>
      <c r="F10" s="13"/>
      <c r="G10" s="13"/>
      <c r="H10" s="14"/>
      <c r="I10" s="7"/>
      <c r="J10" s="7"/>
      <c r="K10" s="7"/>
      <c r="L10" s="7"/>
      <c r="M10" s="7"/>
      <c r="N10" s="13"/>
      <c r="O10" s="13"/>
      <c r="P10" s="7"/>
      <c r="Q10" s="13"/>
      <c r="R10" s="13"/>
      <c r="S10" s="7"/>
      <c r="T10" s="7"/>
      <c r="U10" s="7"/>
      <c r="W10" s="13"/>
      <c r="X10" s="13"/>
      <c r="Z10" s="13"/>
      <c r="AA10" s="13"/>
    </row>
    <row r="11" spans="2:27" ht="13.5" thickBot="1">
      <c r="B11" s="15"/>
      <c r="C11" s="7"/>
      <c r="D11" s="7"/>
      <c r="E11" s="2" t="s">
        <v>0</v>
      </c>
      <c r="F11" s="3"/>
      <c r="G11" s="7"/>
      <c r="H11" s="16"/>
      <c r="I11" s="7"/>
      <c r="J11" s="7"/>
      <c r="K11" s="7"/>
      <c r="L11" s="7"/>
      <c r="M11" s="7"/>
      <c r="N11" s="2" t="s">
        <v>0</v>
      </c>
      <c r="O11" s="3"/>
      <c r="P11" s="7"/>
      <c r="Q11" s="2" t="s">
        <v>0</v>
      </c>
      <c r="R11" s="3"/>
      <c r="S11" s="7"/>
      <c r="T11" s="2" t="s">
        <v>0</v>
      </c>
      <c r="U11" s="3"/>
      <c r="W11" s="2" t="s">
        <v>0</v>
      </c>
      <c r="X11" s="3"/>
      <c r="Z11" s="2" t="s">
        <v>0</v>
      </c>
      <c r="AA11" s="3"/>
    </row>
    <row r="12" spans="2:27" ht="13">
      <c r="B12" s="15"/>
      <c r="C12" s="7"/>
      <c r="D12" s="7"/>
      <c r="E12" s="35">
        <f>H7</f>
        <v>45291</v>
      </c>
      <c r="F12" s="35">
        <f>E12</f>
        <v>45291</v>
      </c>
      <c r="G12" s="4" t="s">
        <v>21</v>
      </c>
      <c r="H12" s="16"/>
      <c r="I12" s="7"/>
      <c r="J12" s="7"/>
      <c r="K12" s="7"/>
      <c r="L12" s="7"/>
      <c r="M12" s="7"/>
      <c r="N12" s="35">
        <v>45199</v>
      </c>
      <c r="O12" s="35">
        <v>45199</v>
      </c>
      <c r="P12" s="7"/>
      <c r="Q12" s="35">
        <v>45107</v>
      </c>
      <c r="R12" s="35">
        <v>45107</v>
      </c>
      <c r="S12" s="7"/>
      <c r="T12" s="154">
        <v>45016</v>
      </c>
      <c r="U12" s="154">
        <v>45016</v>
      </c>
      <c r="W12" s="154">
        <v>44926</v>
      </c>
      <c r="X12" s="154">
        <v>44926</v>
      </c>
      <c r="Z12" s="35">
        <v>44561</v>
      </c>
      <c r="AA12" s="35">
        <v>44561</v>
      </c>
    </row>
    <row r="13" spans="2:27" ht="13">
      <c r="B13" s="15"/>
      <c r="C13" s="7"/>
      <c r="D13" s="7"/>
      <c r="E13" s="131" t="s">
        <v>123</v>
      </c>
      <c r="F13" s="131" t="s">
        <v>124</v>
      </c>
      <c r="G13" s="4"/>
      <c r="H13" s="16"/>
      <c r="I13" s="7"/>
      <c r="J13" s="7"/>
      <c r="K13" s="7"/>
      <c r="L13" s="7"/>
      <c r="M13" s="7"/>
      <c r="N13" s="131" t="s">
        <v>123</v>
      </c>
      <c r="O13" s="131" t="s">
        <v>124</v>
      </c>
      <c r="P13" s="7"/>
      <c r="Q13" s="131" t="s">
        <v>123</v>
      </c>
      <c r="R13" s="131" t="s">
        <v>124</v>
      </c>
      <c r="S13" s="7"/>
      <c r="T13" s="173" t="s">
        <v>123</v>
      </c>
      <c r="U13" s="173" t="s">
        <v>124</v>
      </c>
      <c r="W13" s="173" t="s">
        <v>123</v>
      </c>
      <c r="X13" s="173" t="s">
        <v>124</v>
      </c>
      <c r="Z13" s="131" t="s">
        <v>123</v>
      </c>
      <c r="AA13" s="131" t="s">
        <v>124</v>
      </c>
    </row>
    <row r="14" spans="2:27" s="5" customFormat="1" ht="13">
      <c r="B14" s="17"/>
      <c r="C14" s="18"/>
      <c r="D14" s="18"/>
      <c r="E14" s="6"/>
      <c r="F14" s="6"/>
      <c r="G14" s="18"/>
      <c r="H14" s="19"/>
      <c r="I14" s="18"/>
      <c r="J14" s="18"/>
      <c r="K14" s="18"/>
      <c r="L14" s="18"/>
      <c r="M14" s="18"/>
      <c r="N14" s="6"/>
      <c r="O14" s="6"/>
      <c r="P14" s="18"/>
      <c r="Q14" s="6"/>
      <c r="R14" s="6"/>
      <c r="S14" s="18"/>
      <c r="T14" s="174"/>
      <c r="U14" s="174"/>
      <c r="W14" s="174"/>
      <c r="X14" s="174"/>
      <c r="Z14" s="6"/>
      <c r="AA14" s="6"/>
    </row>
    <row r="15" spans="2:27" ht="13">
      <c r="B15" s="20" t="s">
        <v>1</v>
      </c>
      <c r="C15" s="7"/>
      <c r="D15" s="7"/>
      <c r="E15" s="21">
        <f>-SUMIF(TB!$J$2:$J$121,B15,TB!$F$2:$F$121)</f>
        <v>0</v>
      </c>
      <c r="F15" s="21">
        <f>-SUMIF(TB!$J$2:$J$121,B15,TB!$I$2:$I$121)</f>
        <v>0</v>
      </c>
      <c r="G15" s="7"/>
      <c r="H15" s="16"/>
      <c r="I15" s="7"/>
      <c r="J15" s="7"/>
      <c r="K15" s="7"/>
      <c r="L15" s="7"/>
      <c r="M15" s="7"/>
      <c r="N15" s="21">
        <v>0</v>
      </c>
      <c r="O15" s="21">
        <v>0</v>
      </c>
      <c r="P15" s="7"/>
      <c r="Q15" s="21">
        <v>0</v>
      </c>
      <c r="R15" s="21">
        <v>0</v>
      </c>
      <c r="S15" s="7"/>
      <c r="T15" s="21">
        <v>0</v>
      </c>
      <c r="U15" s="21">
        <v>0</v>
      </c>
      <c r="W15" s="21">
        <v>0</v>
      </c>
      <c r="X15" s="21">
        <v>0</v>
      </c>
      <c r="Z15" s="21">
        <v>0</v>
      </c>
      <c r="AA15" s="21">
        <v>0</v>
      </c>
    </row>
    <row r="16" spans="2:27" ht="13">
      <c r="B16" s="20"/>
      <c r="C16" s="7"/>
      <c r="D16" s="7"/>
      <c r="E16" s="21"/>
      <c r="F16" s="21"/>
      <c r="G16" s="7"/>
      <c r="H16" s="16"/>
      <c r="I16" s="7"/>
      <c r="J16" s="7"/>
      <c r="K16" s="7"/>
      <c r="L16" s="7"/>
      <c r="M16" s="7"/>
      <c r="N16" s="21"/>
      <c r="O16" s="21"/>
      <c r="P16" s="7"/>
      <c r="Q16" s="21"/>
      <c r="R16" s="21"/>
      <c r="S16" s="7"/>
      <c r="T16" s="21"/>
      <c r="U16" s="21"/>
      <c r="W16" s="21"/>
      <c r="X16" s="21"/>
      <c r="Z16" s="21"/>
      <c r="AA16" s="21"/>
    </row>
    <row r="17" spans="2:32">
      <c r="B17" s="24" t="s">
        <v>2</v>
      </c>
      <c r="C17" s="7"/>
      <c r="D17" s="7"/>
      <c r="E17" s="21"/>
      <c r="F17" s="21"/>
      <c r="G17" s="7"/>
      <c r="H17" s="16"/>
      <c r="I17" s="7"/>
      <c r="J17" s="7"/>
      <c r="K17" s="7"/>
      <c r="L17" s="7"/>
      <c r="M17" s="7"/>
      <c r="N17" s="21"/>
      <c r="O17" s="21"/>
      <c r="P17" s="7"/>
      <c r="Q17" s="21"/>
      <c r="R17" s="21"/>
      <c r="S17" s="7"/>
      <c r="T17" s="21"/>
      <c r="U17" s="21"/>
      <c r="W17" s="21"/>
      <c r="X17" s="21"/>
      <c r="Z17" s="21"/>
      <c r="AA17" s="21"/>
    </row>
    <row r="18" spans="2:32">
      <c r="B18" s="53" t="s">
        <v>84</v>
      </c>
      <c r="C18" s="7"/>
      <c r="D18" s="7"/>
      <c r="E18" s="21">
        <f>SUMIF(TB!$J$2:$J$121,B18,TB!$F$2:$F$121)</f>
        <v>0</v>
      </c>
      <c r="F18" s="21">
        <f>SUMIF(TB!$J$2:$J$121,B18,TB!$I$2:$I$121)</f>
        <v>0</v>
      </c>
      <c r="G18" s="7"/>
      <c r="H18" s="16"/>
      <c r="I18" s="7"/>
      <c r="J18" s="7"/>
      <c r="K18" s="7"/>
      <c r="L18" s="7"/>
      <c r="M18" s="7"/>
      <c r="N18" s="21">
        <v>0</v>
      </c>
      <c r="O18" s="21">
        <v>0</v>
      </c>
      <c r="P18" s="7"/>
      <c r="Q18" s="21">
        <v>0</v>
      </c>
      <c r="R18" s="21">
        <v>0</v>
      </c>
      <c r="S18" s="7"/>
      <c r="T18" s="21">
        <v>0</v>
      </c>
      <c r="U18" s="21">
        <v>0</v>
      </c>
      <c r="W18" s="21">
        <v>0</v>
      </c>
      <c r="X18" s="21">
        <v>0</v>
      </c>
      <c r="Z18" s="21">
        <v>0</v>
      </c>
      <c r="AA18" s="21">
        <v>0</v>
      </c>
    </row>
    <row r="19" spans="2:32">
      <c r="B19" s="53" t="s">
        <v>85</v>
      </c>
      <c r="C19" s="7"/>
      <c r="D19" s="7"/>
      <c r="E19" s="21">
        <f>SUMIF(TB!$J$2:$J$121,B19,TB!$F$2:$F$121)</f>
        <v>0</v>
      </c>
      <c r="F19" s="21">
        <f>SUMIF(TB!$J$2:$J$121,B19,TB!$I$2:$I$121)</f>
        <v>0</v>
      </c>
      <c r="G19" s="7"/>
      <c r="H19" s="16"/>
      <c r="I19" s="7"/>
      <c r="J19" s="7"/>
      <c r="K19" s="7"/>
      <c r="L19" s="7"/>
      <c r="M19" s="7"/>
      <c r="N19" s="21">
        <v>0</v>
      </c>
      <c r="O19" s="21">
        <v>0</v>
      </c>
      <c r="P19" s="7"/>
      <c r="Q19" s="21">
        <v>0</v>
      </c>
      <c r="R19" s="21">
        <v>0</v>
      </c>
      <c r="S19" s="7"/>
      <c r="T19" s="21">
        <v>0</v>
      </c>
      <c r="U19" s="21">
        <v>0</v>
      </c>
      <c r="W19" s="21">
        <v>0</v>
      </c>
      <c r="X19" s="21">
        <v>0</v>
      </c>
      <c r="Z19" s="21">
        <v>0</v>
      </c>
      <c r="AA19" s="21">
        <v>0</v>
      </c>
    </row>
    <row r="20" spans="2:32">
      <c r="B20" s="53" t="s">
        <v>86</v>
      </c>
      <c r="C20" s="7"/>
      <c r="D20" s="7"/>
      <c r="E20" s="21">
        <f>SUMIF(TB!$J$2:$J$121,B20,TB!$F$2:$F$121)</f>
        <v>0</v>
      </c>
      <c r="F20" s="21">
        <f>SUMIF(TB!$J$2:$J$121,B20,TB!$I$2:$I$121)</f>
        <v>0</v>
      </c>
      <c r="G20" s="7"/>
      <c r="H20" s="16"/>
      <c r="I20" s="7"/>
      <c r="J20" s="7"/>
      <c r="K20" s="7"/>
      <c r="L20" s="7"/>
      <c r="M20" s="7"/>
      <c r="N20" s="21">
        <v>0</v>
      </c>
      <c r="O20" s="21">
        <v>0</v>
      </c>
      <c r="P20" s="7"/>
      <c r="Q20" s="21">
        <v>0</v>
      </c>
      <c r="R20" s="21">
        <v>0</v>
      </c>
      <c r="S20" s="7"/>
      <c r="T20" s="21">
        <v>0</v>
      </c>
      <c r="U20" s="21">
        <v>0</v>
      </c>
      <c r="W20" s="21">
        <v>0</v>
      </c>
      <c r="X20" s="21">
        <v>0</v>
      </c>
      <c r="Z20" s="21">
        <v>0</v>
      </c>
      <c r="AA20" s="21">
        <v>0</v>
      </c>
    </row>
    <row r="21" spans="2:32" ht="13">
      <c r="B21" s="20" t="s">
        <v>87</v>
      </c>
      <c r="C21" s="7"/>
      <c r="D21" s="7"/>
      <c r="E21" s="10">
        <f>SUM(E18:E20)</f>
        <v>0</v>
      </c>
      <c r="F21" s="10">
        <f>SUM(F18:F20)</f>
        <v>0</v>
      </c>
      <c r="G21" s="7"/>
      <c r="H21" s="16"/>
      <c r="I21" s="7"/>
      <c r="J21" s="7"/>
      <c r="K21" s="7"/>
      <c r="L21" s="7"/>
      <c r="M21" s="7"/>
      <c r="N21" s="10">
        <v>0</v>
      </c>
      <c r="O21" s="10">
        <v>0</v>
      </c>
      <c r="P21" s="7"/>
      <c r="Q21" s="10">
        <v>0</v>
      </c>
      <c r="R21" s="10">
        <v>0</v>
      </c>
      <c r="S21" s="7"/>
      <c r="T21" s="10">
        <v>0</v>
      </c>
      <c r="U21" s="10">
        <v>0</v>
      </c>
      <c r="W21" s="10">
        <v>0</v>
      </c>
      <c r="X21" s="10">
        <v>0</v>
      </c>
      <c r="Z21" s="10">
        <v>0</v>
      </c>
      <c r="AA21" s="10">
        <v>0</v>
      </c>
    </row>
    <row r="22" spans="2:32">
      <c r="B22" s="15"/>
      <c r="C22" s="7"/>
      <c r="D22" s="7"/>
      <c r="E22" s="22"/>
      <c r="F22" s="22"/>
      <c r="G22" s="7"/>
      <c r="H22" s="16"/>
      <c r="I22" s="7"/>
      <c r="J22" s="7"/>
      <c r="K22" s="7"/>
      <c r="L22" s="7"/>
      <c r="M22" s="7"/>
      <c r="N22" s="22"/>
      <c r="O22" s="22"/>
      <c r="P22" s="7"/>
      <c r="Q22" s="22"/>
      <c r="R22" s="22"/>
      <c r="S22" s="7"/>
      <c r="T22" s="22"/>
      <c r="U22" s="22"/>
      <c r="W22" s="22"/>
      <c r="X22" s="22"/>
      <c r="Z22" s="22"/>
      <c r="AA22" s="22"/>
    </row>
    <row r="23" spans="2:32" ht="13.5" thickBot="1">
      <c r="B23" s="20" t="s">
        <v>3</v>
      </c>
      <c r="C23" s="7"/>
      <c r="D23" s="7"/>
      <c r="E23" s="9">
        <f>E15-E21</f>
        <v>0</v>
      </c>
      <c r="F23" s="9">
        <f>F15-F21</f>
        <v>0</v>
      </c>
      <c r="G23" s="7"/>
      <c r="H23" s="16"/>
      <c r="I23" s="7"/>
      <c r="J23" s="7"/>
      <c r="K23" s="7"/>
      <c r="L23" s="7"/>
      <c r="M23" s="7"/>
      <c r="N23" s="9">
        <v>0</v>
      </c>
      <c r="O23" s="9">
        <v>0</v>
      </c>
      <c r="P23" s="7"/>
      <c r="Q23" s="9">
        <v>0</v>
      </c>
      <c r="R23" s="9">
        <v>0</v>
      </c>
      <c r="S23" s="7"/>
      <c r="T23" s="9">
        <v>0</v>
      </c>
      <c r="U23" s="9">
        <v>0</v>
      </c>
      <c r="W23" s="9">
        <v>0</v>
      </c>
      <c r="X23" s="9">
        <v>0</v>
      </c>
      <c r="Z23" s="9">
        <v>0</v>
      </c>
      <c r="AA23" s="9">
        <v>0</v>
      </c>
    </row>
    <row r="24" spans="2:32" ht="13" thickTop="1">
      <c r="B24" s="15"/>
      <c r="C24" s="7"/>
      <c r="D24" s="7"/>
      <c r="E24" s="22"/>
      <c r="F24" s="22"/>
      <c r="G24" s="7"/>
      <c r="H24" s="16"/>
      <c r="I24" s="7"/>
      <c r="J24" s="7"/>
      <c r="K24" s="7"/>
      <c r="L24" s="7"/>
      <c r="M24" s="7"/>
      <c r="N24" s="22"/>
      <c r="O24" s="22"/>
      <c r="P24" s="7"/>
      <c r="Q24" s="22"/>
      <c r="R24" s="22"/>
      <c r="S24" s="7"/>
      <c r="T24" s="22"/>
      <c r="U24" s="22"/>
      <c r="W24" s="22"/>
      <c r="X24" s="22"/>
      <c r="Z24" s="22"/>
      <c r="AA24" s="22"/>
    </row>
    <row r="25" spans="2:32" ht="13">
      <c r="B25" s="23" t="s">
        <v>4</v>
      </c>
      <c r="C25" s="7"/>
      <c r="D25" s="7"/>
      <c r="E25" s="22"/>
      <c r="F25" s="22"/>
      <c r="G25" s="7"/>
      <c r="H25" s="16"/>
      <c r="I25" s="7"/>
      <c r="J25" s="7"/>
      <c r="K25" s="7"/>
      <c r="L25" s="7"/>
      <c r="M25" s="7"/>
      <c r="N25" s="22"/>
      <c r="O25" s="22"/>
      <c r="P25" s="7"/>
      <c r="Q25" s="22"/>
      <c r="R25" s="22"/>
      <c r="S25" s="7"/>
      <c r="T25" s="22"/>
      <c r="U25" s="22"/>
      <c r="W25" s="22"/>
      <c r="X25" s="22"/>
      <c r="Z25" s="22"/>
      <c r="AA25" s="22"/>
    </row>
    <row r="26" spans="2:32">
      <c r="B26" s="15"/>
      <c r="C26" s="7"/>
      <c r="D26" s="7"/>
      <c r="E26" s="22"/>
      <c r="F26" s="22"/>
      <c r="G26" s="7"/>
      <c r="H26" s="16"/>
      <c r="I26" s="7"/>
      <c r="J26" s="7"/>
      <c r="K26" s="7"/>
      <c r="L26" s="7"/>
      <c r="M26" s="7"/>
      <c r="N26" s="22"/>
      <c r="O26" s="22"/>
      <c r="P26" s="7"/>
      <c r="Q26" s="22"/>
      <c r="R26" s="22"/>
      <c r="S26" s="7"/>
      <c r="T26" s="22"/>
      <c r="U26" s="22"/>
      <c r="W26" s="22"/>
      <c r="X26" s="22"/>
      <c r="Z26" s="22"/>
      <c r="AA26" s="22"/>
    </row>
    <row r="27" spans="2:32">
      <c r="B27" s="24" t="s">
        <v>5</v>
      </c>
      <c r="C27" s="7"/>
      <c r="D27" s="7"/>
      <c r="E27" s="22"/>
      <c r="F27" s="22"/>
      <c r="G27" s="7"/>
      <c r="H27" s="16"/>
      <c r="I27" s="7"/>
      <c r="J27" s="7"/>
      <c r="K27" s="7"/>
      <c r="L27" s="7"/>
      <c r="M27" s="7"/>
      <c r="N27" s="22"/>
      <c r="O27" s="22"/>
      <c r="P27" s="7"/>
      <c r="Q27" s="22"/>
      <c r="R27" s="22"/>
      <c r="S27" s="7"/>
      <c r="T27" s="22"/>
      <c r="U27" s="22"/>
      <c r="W27" s="22"/>
      <c r="X27" s="22"/>
      <c r="Z27" s="22"/>
      <c r="AA27" s="22"/>
    </row>
    <row r="28" spans="2:32" ht="13">
      <c r="B28" s="15"/>
      <c r="C28" s="67" t="s">
        <v>107</v>
      </c>
      <c r="D28" s="7"/>
      <c r="E28" s="21">
        <f>SUMIF(TB!$J$2:$J$121,C28,TB!$F$2:$F$121)</f>
        <v>3412007.6399999997</v>
      </c>
      <c r="F28" s="21">
        <f>SUMIF(TB!$J$2:$J$121,C28,TB!$I$2:$I$121)</f>
        <v>926825.31</v>
      </c>
      <c r="G28" s="25" t="s">
        <v>22</v>
      </c>
      <c r="H28" s="16"/>
      <c r="I28" s="41">
        <f>E28-N28</f>
        <v>391919.23999999976</v>
      </c>
      <c r="J28" s="41">
        <f>N28-Q28</f>
        <v>827827.16000000015</v>
      </c>
      <c r="K28" s="41">
        <f>Q28-T28</f>
        <v>901590.73999999953</v>
      </c>
      <c r="L28" s="41">
        <f>T28</f>
        <v>1290670.5000000002</v>
      </c>
      <c r="M28" s="41"/>
      <c r="N28" s="21">
        <v>3020088.4</v>
      </c>
      <c r="O28" s="21">
        <v>826546.87</v>
      </c>
      <c r="P28" s="41"/>
      <c r="Q28" s="21">
        <v>2192261.2399999998</v>
      </c>
      <c r="R28" s="21">
        <v>607212.99594594585</v>
      </c>
      <c r="S28" s="41"/>
      <c r="T28" s="21">
        <v>1290670.5000000002</v>
      </c>
      <c r="U28" s="21">
        <v>359538.79464336461</v>
      </c>
      <c r="V28" s="66"/>
      <c r="W28" s="21">
        <v>4223891.7799999993</v>
      </c>
      <c r="X28" s="21">
        <v>1248097.740130719</v>
      </c>
      <c r="Y28" s="66"/>
      <c r="Z28" s="21">
        <v>1852803.49</v>
      </c>
      <c r="AA28" s="21">
        <v>582341.96000000008</v>
      </c>
    </row>
    <row r="29" spans="2:32">
      <c r="B29" s="15"/>
      <c r="C29" s="67" t="s">
        <v>154</v>
      </c>
      <c r="D29" s="7"/>
      <c r="E29" s="21">
        <f>SUMIF(TB!$J$2:$J$121,C29,TB!$F$2:$F$121)</f>
        <v>-35550</v>
      </c>
      <c r="F29" s="21">
        <f>SUMIF(TB!$J$2:$J$121,C29,TB!$I$2:$I$121)</f>
        <v>-10104.27</v>
      </c>
      <c r="G29" s="7"/>
      <c r="H29" s="16"/>
      <c r="I29" s="41">
        <f t="shared" ref="I29:I76" si="0">E29-N29</f>
        <v>0</v>
      </c>
      <c r="J29" s="41">
        <f t="shared" ref="J29:J76" si="1">N29-Q29</f>
        <v>0</v>
      </c>
      <c r="K29" s="41">
        <f t="shared" ref="K29:K76" si="2">Q29-T29</f>
        <v>-38000</v>
      </c>
      <c r="L29" s="41">
        <f t="shared" ref="L29:L76" si="3">T29</f>
        <v>2450</v>
      </c>
      <c r="M29" s="41"/>
      <c r="N29" s="21">
        <v>-35550</v>
      </c>
      <c r="O29" s="21">
        <v>-10104.27</v>
      </c>
      <c r="P29" s="41"/>
      <c r="Q29" s="21">
        <v>-35550</v>
      </c>
      <c r="R29" s="21">
        <v>-10104.27</v>
      </c>
      <c r="S29" s="41"/>
      <c r="T29" s="21">
        <v>2450</v>
      </c>
      <c r="U29" s="21">
        <v>694.25</v>
      </c>
      <c r="V29" s="66"/>
      <c r="W29" s="21">
        <v>152000</v>
      </c>
      <c r="X29" s="21">
        <v>44337.642307473718</v>
      </c>
      <c r="Y29" s="66"/>
      <c r="Z29" s="21">
        <v>121000</v>
      </c>
      <c r="AA29" s="21">
        <v>37501.49</v>
      </c>
    </row>
    <row r="30" spans="2:32">
      <c r="B30" s="15"/>
      <c r="C30" s="67" t="s">
        <v>144</v>
      </c>
      <c r="D30" s="7"/>
      <c r="E30" s="21">
        <f>SUMIF(TB!$J$2:$J$121,C30,TB!$F$2:$F$121)</f>
        <v>0</v>
      </c>
      <c r="F30" s="21">
        <f>SUMIF(TB!$J$2:$J$121,C30,TB!$I$2:$I$121)</f>
        <v>0</v>
      </c>
      <c r="G30" s="7"/>
      <c r="H30" s="16"/>
      <c r="I30" s="41">
        <f t="shared" si="0"/>
        <v>0</v>
      </c>
      <c r="J30" s="41">
        <f t="shared" si="1"/>
        <v>0</v>
      </c>
      <c r="K30" s="41">
        <f t="shared" si="2"/>
        <v>0</v>
      </c>
      <c r="L30" s="41">
        <f t="shared" si="3"/>
        <v>0</v>
      </c>
      <c r="M30" s="41"/>
      <c r="N30" s="21">
        <v>0</v>
      </c>
      <c r="O30" s="21">
        <v>0</v>
      </c>
      <c r="P30" s="41"/>
      <c r="Q30" s="21">
        <v>0</v>
      </c>
      <c r="R30" s="21">
        <v>0</v>
      </c>
      <c r="S30" s="41"/>
      <c r="T30" s="21">
        <v>0</v>
      </c>
      <c r="U30" s="21">
        <v>0</v>
      </c>
      <c r="V30" s="66"/>
      <c r="W30" s="21">
        <v>0</v>
      </c>
      <c r="X30" s="21">
        <v>0</v>
      </c>
      <c r="Y30" s="66"/>
      <c r="Z30" s="21">
        <v>0</v>
      </c>
      <c r="AA30" s="21">
        <v>0</v>
      </c>
    </row>
    <row r="31" spans="2:32">
      <c r="B31" s="15"/>
      <c r="C31" s="7" t="s">
        <v>158</v>
      </c>
      <c r="D31" s="7"/>
      <c r="E31" s="21">
        <f>SUMIF(TB!$J$2:$J$121,C31,TB!$F$2:$F$121)</f>
        <v>0</v>
      </c>
      <c r="F31" s="21">
        <f>SUMIF(TB!$J$2:$J$121,C31,TB!$I$2:$I$121)</f>
        <v>0</v>
      </c>
      <c r="G31" s="7"/>
      <c r="H31" s="16"/>
      <c r="I31" s="41">
        <f t="shared" si="0"/>
        <v>0</v>
      </c>
      <c r="J31" s="41">
        <f t="shared" si="1"/>
        <v>0</v>
      </c>
      <c r="K31" s="41">
        <f t="shared" si="2"/>
        <v>0</v>
      </c>
      <c r="L31" s="41">
        <f t="shared" si="3"/>
        <v>0</v>
      </c>
      <c r="M31" s="41"/>
      <c r="N31" s="21">
        <v>0</v>
      </c>
      <c r="O31" s="21">
        <v>0</v>
      </c>
      <c r="P31" s="41"/>
      <c r="Q31" s="21">
        <v>0</v>
      </c>
      <c r="R31" s="21">
        <v>0</v>
      </c>
      <c r="S31" s="41"/>
      <c r="T31" s="21">
        <v>0</v>
      </c>
      <c r="U31" s="21">
        <v>0</v>
      </c>
      <c r="V31" s="66"/>
      <c r="W31" s="21">
        <v>67097.05</v>
      </c>
      <c r="X31" s="21">
        <v>20502.54</v>
      </c>
      <c r="Y31" s="66"/>
      <c r="Z31" s="21">
        <v>32000</v>
      </c>
      <c r="AA31" s="21">
        <v>9959.5400000000009</v>
      </c>
      <c r="AF31" s="72"/>
    </row>
    <row r="32" spans="2:32">
      <c r="B32" s="15"/>
      <c r="C32" s="54" t="s">
        <v>88</v>
      </c>
      <c r="D32" s="7"/>
      <c r="E32" s="21">
        <f>SUMIF(TB!$J$2:$J$121,C32,TB!$F$2:$F$121)</f>
        <v>0</v>
      </c>
      <c r="F32" s="21">
        <f>SUMIF(TB!$J$2:$J$121,C32,TB!$I$2:$I$121)</f>
        <v>0</v>
      </c>
      <c r="G32" s="7"/>
      <c r="H32" s="16"/>
      <c r="I32" s="41">
        <f t="shared" si="0"/>
        <v>0</v>
      </c>
      <c r="J32" s="41">
        <f t="shared" si="1"/>
        <v>0</v>
      </c>
      <c r="K32" s="41">
        <f t="shared" si="2"/>
        <v>0</v>
      </c>
      <c r="L32" s="41">
        <f t="shared" si="3"/>
        <v>0</v>
      </c>
      <c r="M32" s="41"/>
      <c r="N32" s="21">
        <v>0</v>
      </c>
      <c r="O32" s="21">
        <v>0</v>
      </c>
      <c r="P32" s="41"/>
      <c r="Q32" s="21">
        <v>0</v>
      </c>
      <c r="R32" s="21">
        <v>0</v>
      </c>
      <c r="S32" s="41"/>
      <c r="T32" s="21">
        <v>0</v>
      </c>
      <c r="U32" s="21">
        <v>0</v>
      </c>
      <c r="V32" s="66"/>
      <c r="W32" s="21">
        <v>0</v>
      </c>
      <c r="X32" s="21">
        <v>0</v>
      </c>
      <c r="Y32" s="66"/>
      <c r="Z32" s="21">
        <v>0</v>
      </c>
      <c r="AA32" s="21">
        <v>0</v>
      </c>
    </row>
    <row r="33" spans="2:27" s="148" customFormat="1">
      <c r="B33" s="15"/>
      <c r="C33" s="7" t="s">
        <v>8</v>
      </c>
      <c r="D33" s="7"/>
      <c r="E33" s="21">
        <f>SUMIF(TB!$J$2:$J$121,C33,TB!$F$2:$F$121)</f>
        <v>640307.22699999996</v>
      </c>
      <c r="F33" s="21">
        <f>SUMIF(TB!$J$2:$J$121,C33,TB!$I$2:$I$121)</f>
        <v>176539.07554452715</v>
      </c>
      <c r="G33" s="7"/>
      <c r="H33" s="16"/>
      <c r="I33" s="41">
        <f t="shared" si="0"/>
        <v>172514.13899999997</v>
      </c>
      <c r="J33" s="41">
        <f t="shared" si="1"/>
        <v>155085.984</v>
      </c>
      <c r="K33" s="41">
        <f t="shared" si="2"/>
        <v>154689.04799999998</v>
      </c>
      <c r="L33" s="41">
        <f t="shared" si="3"/>
        <v>158018.05600000001</v>
      </c>
      <c r="M33" s="41"/>
      <c r="N33" s="21">
        <v>467793.08799999999</v>
      </c>
      <c r="O33" s="21">
        <v>126430.56432432431</v>
      </c>
      <c r="P33" s="41"/>
      <c r="Q33" s="21">
        <v>312707.10399999999</v>
      </c>
      <c r="R33" s="21">
        <v>84515.433513513504</v>
      </c>
      <c r="S33" s="41"/>
      <c r="T33" s="21">
        <v>158018.05600000001</v>
      </c>
      <c r="U33" s="21">
        <v>44904.250071042909</v>
      </c>
      <c r="V33" s="66"/>
      <c r="W33" s="21">
        <v>743604.88800000015</v>
      </c>
      <c r="X33" s="21">
        <v>211311.4202898551</v>
      </c>
      <c r="Y33" s="66"/>
      <c r="Z33" s="21"/>
      <c r="AA33" s="21"/>
    </row>
    <row r="34" spans="2:27">
      <c r="B34" s="15"/>
      <c r="C34" s="55" t="s">
        <v>50</v>
      </c>
      <c r="D34" s="7"/>
      <c r="E34" s="21">
        <f>SUMIF(TB!$J$2:$J$121,C34,TB!$F$2:$F$121)</f>
        <v>924014.67000000016</v>
      </c>
      <c r="F34" s="21">
        <f>SUMIF(TB!$J$2:$J$121,C34,TB!$I$2:$I$121)</f>
        <v>250045.96623104493</v>
      </c>
      <c r="G34" s="7"/>
      <c r="H34" s="16"/>
      <c r="I34" s="41">
        <f t="shared" si="0"/>
        <v>149498.25000000012</v>
      </c>
      <c r="J34" s="41">
        <f t="shared" si="1"/>
        <v>395690.46</v>
      </c>
      <c r="K34" s="41">
        <f t="shared" si="2"/>
        <v>190928.5</v>
      </c>
      <c r="L34" s="41">
        <f t="shared" si="3"/>
        <v>187897.46000000002</v>
      </c>
      <c r="M34" s="41"/>
      <c r="N34" s="21">
        <v>774516.42</v>
      </c>
      <c r="O34" s="21">
        <v>209029.29077405858</v>
      </c>
      <c r="P34" s="41"/>
      <c r="Q34" s="21">
        <v>378825.96</v>
      </c>
      <c r="R34" s="21">
        <v>104747.07698478561</v>
      </c>
      <c r="S34" s="41"/>
      <c r="T34" s="21">
        <v>187897.46000000002</v>
      </c>
      <c r="U34" s="21">
        <v>52530.29237934202</v>
      </c>
      <c r="V34" s="66"/>
      <c r="W34" s="21">
        <v>1557440.5</v>
      </c>
      <c r="X34" s="21">
        <v>473461.24254617793</v>
      </c>
      <c r="Y34" s="66"/>
      <c r="Z34" s="21">
        <v>488245.56</v>
      </c>
      <c r="AA34" s="21">
        <v>153274.95643086816</v>
      </c>
    </row>
    <row r="35" spans="2:27" ht="13">
      <c r="B35" s="20" t="s">
        <v>17</v>
      </c>
      <c r="C35" s="7"/>
      <c r="D35" s="7"/>
      <c r="E35" s="10">
        <f>SUM(E28:E34)</f>
        <v>4940779.5369999995</v>
      </c>
      <c r="F35" s="10">
        <f>SUM(F28:F34)</f>
        <v>1343306.0817755722</v>
      </c>
      <c r="G35" s="7"/>
      <c r="H35" s="16"/>
      <c r="I35" s="41">
        <f t="shared" si="0"/>
        <v>713931.62899999972</v>
      </c>
      <c r="J35" s="41">
        <f t="shared" si="1"/>
        <v>1378603.6040000003</v>
      </c>
      <c r="K35" s="41">
        <f t="shared" si="2"/>
        <v>1209208.2879999992</v>
      </c>
      <c r="L35" s="41">
        <f t="shared" si="3"/>
        <v>1639036.0160000003</v>
      </c>
      <c r="M35" s="41"/>
      <c r="N35" s="10">
        <v>4226847.9079999998</v>
      </c>
      <c r="O35" s="10">
        <v>1151902.4550983829</v>
      </c>
      <c r="P35" s="41"/>
      <c r="Q35" s="10">
        <v>2848244.3039999995</v>
      </c>
      <c r="R35" s="10">
        <v>786371.23644424498</v>
      </c>
      <c r="S35" s="41"/>
      <c r="T35" s="10">
        <v>1639036.0160000003</v>
      </c>
      <c r="U35" s="10">
        <v>457667.58709374955</v>
      </c>
      <c r="V35" s="66"/>
      <c r="W35" s="10">
        <v>6744034.2179999994</v>
      </c>
      <c r="X35" s="10">
        <v>1997710.585274226</v>
      </c>
      <c r="Y35" s="66"/>
      <c r="Z35" s="10">
        <v>2494049.0499999998</v>
      </c>
      <c r="AA35" s="10">
        <v>783077.94643086824</v>
      </c>
    </row>
    <row r="36" spans="2:27">
      <c r="B36" s="15"/>
      <c r="C36" s="7"/>
      <c r="D36" s="7"/>
      <c r="E36" s="22"/>
      <c r="F36" s="22"/>
      <c r="G36" s="7"/>
      <c r="H36" s="16"/>
      <c r="I36" s="41">
        <f t="shared" si="0"/>
        <v>0</v>
      </c>
      <c r="J36" s="41">
        <f t="shared" si="1"/>
        <v>0</v>
      </c>
      <c r="K36" s="41">
        <f t="shared" si="2"/>
        <v>0</v>
      </c>
      <c r="L36" s="41">
        <f t="shared" si="3"/>
        <v>0</v>
      </c>
      <c r="M36" s="41"/>
      <c r="N36" s="22"/>
      <c r="O36" s="22"/>
      <c r="P36" s="41"/>
      <c r="Q36" s="22"/>
      <c r="R36" s="22"/>
      <c r="S36" s="41"/>
      <c r="T36" s="22"/>
      <c r="U36" s="22"/>
      <c r="V36" s="66"/>
      <c r="W36" s="22"/>
      <c r="X36" s="22"/>
      <c r="Y36" s="66"/>
      <c r="Z36" s="22"/>
      <c r="AA36" s="22"/>
    </row>
    <row r="37" spans="2:27">
      <c r="B37" s="24" t="s">
        <v>6</v>
      </c>
      <c r="C37" s="7"/>
      <c r="D37" s="7"/>
      <c r="E37" s="22"/>
      <c r="F37" s="22"/>
      <c r="G37" s="7"/>
      <c r="H37" s="16"/>
      <c r="I37" s="41">
        <f t="shared" si="0"/>
        <v>0</v>
      </c>
      <c r="J37" s="41">
        <f t="shared" si="1"/>
        <v>0</v>
      </c>
      <c r="K37" s="41">
        <f t="shared" si="2"/>
        <v>0</v>
      </c>
      <c r="L37" s="41">
        <f t="shared" si="3"/>
        <v>0</v>
      </c>
      <c r="M37" s="41"/>
      <c r="N37" s="22"/>
      <c r="O37" s="22"/>
      <c r="P37" s="41"/>
      <c r="Q37" s="22"/>
      <c r="R37" s="22"/>
      <c r="S37" s="41"/>
      <c r="T37" s="22"/>
      <c r="U37" s="22"/>
      <c r="V37" s="66"/>
      <c r="W37" s="22"/>
      <c r="X37" s="22"/>
      <c r="Y37" s="66"/>
      <c r="Z37" s="22"/>
      <c r="AA37" s="22"/>
    </row>
    <row r="38" spans="2:27">
      <c r="B38" s="15"/>
      <c r="C38" s="67" t="s">
        <v>108</v>
      </c>
      <c r="D38" s="7"/>
      <c r="E38" s="21">
        <f>SUMIF(TB!$J$2:$J$121,C38,TB!$F$2:$F$121)</f>
        <v>0</v>
      </c>
      <c r="F38" s="21">
        <f>SUMIF(TB!$J$2:$J$121,C38,TB!$I$2:$I$121)</f>
        <v>0</v>
      </c>
      <c r="G38" s="7"/>
      <c r="H38" s="16"/>
      <c r="I38" s="41">
        <f t="shared" si="0"/>
        <v>0</v>
      </c>
      <c r="J38" s="41">
        <f t="shared" si="1"/>
        <v>0</v>
      </c>
      <c r="K38" s="41">
        <f t="shared" si="2"/>
        <v>0</v>
      </c>
      <c r="L38" s="41">
        <f t="shared" si="3"/>
        <v>0</v>
      </c>
      <c r="M38" s="41"/>
      <c r="N38" s="21">
        <v>0</v>
      </c>
      <c r="O38" s="21">
        <v>0</v>
      </c>
      <c r="P38" s="41"/>
      <c r="Q38" s="21">
        <v>0</v>
      </c>
      <c r="R38" s="21">
        <v>0</v>
      </c>
      <c r="S38" s="41"/>
      <c r="T38" s="21">
        <v>0</v>
      </c>
      <c r="U38" s="21">
        <v>0</v>
      </c>
      <c r="V38" s="66"/>
      <c r="W38" s="21">
        <v>0</v>
      </c>
      <c r="X38" s="21">
        <v>0</v>
      </c>
      <c r="Y38" s="66"/>
      <c r="Z38" s="21">
        <v>0</v>
      </c>
      <c r="AA38" s="21">
        <v>0</v>
      </c>
    </row>
    <row r="39" spans="2:27" ht="13">
      <c r="B39" s="15"/>
      <c r="C39" s="7" t="s">
        <v>9</v>
      </c>
      <c r="D39" s="7"/>
      <c r="E39" s="21">
        <f>SUMIF(TB!$J$2:$J$121,C39,TB!$F$2:$F$121)</f>
        <v>52909.859999999993</v>
      </c>
      <c r="F39" s="21">
        <f>SUMIF(TB!$J$2:$J$121,C39,TB!$I$2:$I$121)</f>
        <v>14359.730000000001</v>
      </c>
      <c r="G39" s="25" t="s">
        <v>23</v>
      </c>
      <c r="H39" s="16"/>
      <c r="I39" s="41">
        <f t="shared" si="0"/>
        <v>3147.0400000000009</v>
      </c>
      <c r="J39" s="41">
        <f t="shared" si="1"/>
        <v>40036.859999999993</v>
      </c>
      <c r="K39" s="41">
        <f t="shared" si="2"/>
        <v>1704.6100000000006</v>
      </c>
      <c r="L39" s="41">
        <f t="shared" si="3"/>
        <v>8021.35</v>
      </c>
      <c r="M39" s="41"/>
      <c r="N39" s="21">
        <v>49762.819999999992</v>
      </c>
      <c r="O39" s="21">
        <v>13367.507217573222</v>
      </c>
      <c r="P39" s="41"/>
      <c r="Q39" s="21">
        <v>9725.9600000000009</v>
      </c>
      <c r="R39" s="21">
        <v>2747.1173858921161</v>
      </c>
      <c r="S39" s="41"/>
      <c r="T39" s="21">
        <v>8021.35</v>
      </c>
      <c r="U39" s="21">
        <v>2275.6198616874135</v>
      </c>
      <c r="V39" s="66"/>
      <c r="W39" s="21">
        <v>132562.63</v>
      </c>
      <c r="X39" s="21">
        <v>39325.25</v>
      </c>
      <c r="Y39" s="66"/>
      <c r="Z39" s="21">
        <v>55859.740000000005</v>
      </c>
      <c r="AA39" s="21">
        <v>17708.34</v>
      </c>
    </row>
    <row r="40" spans="2:27">
      <c r="B40" s="15"/>
      <c r="C40" s="7" t="s">
        <v>53</v>
      </c>
      <c r="D40" s="7"/>
      <c r="E40" s="21">
        <f>SUMIF(TB!$J$2:$J$121,C40,TB!$F$2:$F$121)</f>
        <v>10000</v>
      </c>
      <c r="F40" s="21">
        <f>SUMIF(TB!$J$2:$J$121,C40,TB!$I$2:$I$121)</f>
        <v>2721.08</v>
      </c>
      <c r="G40" s="7"/>
      <c r="H40" s="16"/>
      <c r="I40" s="41">
        <f t="shared" si="0"/>
        <v>0</v>
      </c>
      <c r="J40" s="41">
        <f t="shared" si="1"/>
        <v>0</v>
      </c>
      <c r="K40" s="41">
        <f t="shared" si="2"/>
        <v>10000</v>
      </c>
      <c r="L40" s="41">
        <f t="shared" si="3"/>
        <v>0</v>
      </c>
      <c r="M40" s="41"/>
      <c r="N40" s="21">
        <v>10000</v>
      </c>
      <c r="O40" s="21">
        <v>2721.08</v>
      </c>
      <c r="P40" s="41"/>
      <c r="Q40" s="21">
        <v>10000</v>
      </c>
      <c r="R40" s="21">
        <v>2721.08</v>
      </c>
      <c r="S40" s="41"/>
      <c r="T40" s="21">
        <v>0</v>
      </c>
      <c r="U40" s="21">
        <v>0</v>
      </c>
      <c r="V40" s="66"/>
      <c r="W40" s="21">
        <v>0</v>
      </c>
      <c r="X40" s="21">
        <v>0</v>
      </c>
      <c r="Y40" s="66"/>
      <c r="Z40" s="21">
        <v>0</v>
      </c>
      <c r="AA40" s="21">
        <v>0</v>
      </c>
    </row>
    <row r="41" spans="2:27">
      <c r="B41" s="15"/>
      <c r="C41" s="7" t="s">
        <v>155</v>
      </c>
      <c r="D41" s="7"/>
      <c r="E41" s="21">
        <f>SUMIF(TB!$J$2:$J$121,C41,TB!$F$2:$F$121)</f>
        <v>455176.75025641022</v>
      </c>
      <c r="F41" s="21">
        <f>SUMIF(TB!$J$2:$J$121,C41,TB!$I$2:$I$121)</f>
        <v>123717.82931524958</v>
      </c>
      <c r="G41" s="7"/>
      <c r="H41" s="16"/>
      <c r="I41" s="198">
        <f t="shared" si="0"/>
        <v>231053.62025641021</v>
      </c>
      <c r="J41" s="41">
        <f t="shared" si="1"/>
        <v>66739.550000000017</v>
      </c>
      <c r="K41" s="41">
        <f t="shared" si="2"/>
        <v>93045.629999999976</v>
      </c>
      <c r="L41" s="41">
        <f t="shared" si="3"/>
        <v>64337.950000000004</v>
      </c>
      <c r="M41" s="41"/>
      <c r="N41" s="21">
        <v>224123.13</v>
      </c>
      <c r="O41" s="21">
        <v>58746.773661087871</v>
      </c>
      <c r="P41" s="41"/>
      <c r="Q41" s="21">
        <v>157383.57999999999</v>
      </c>
      <c r="R41" s="21">
        <v>43563.374937759334</v>
      </c>
      <c r="S41" s="41"/>
      <c r="T41" s="21">
        <v>64337.950000000004</v>
      </c>
      <c r="U41" s="21">
        <v>17837.889460580915</v>
      </c>
      <c r="V41" s="66"/>
      <c r="W41" s="21">
        <v>67732.149999999994</v>
      </c>
      <c r="X41" s="21">
        <v>19971.689999999999</v>
      </c>
      <c r="Y41" s="66"/>
      <c r="Z41" s="21">
        <v>3031.6800000000003</v>
      </c>
      <c r="AA41" s="21">
        <v>950.68980707395508</v>
      </c>
    </row>
    <row r="42" spans="2:27">
      <c r="B42" s="15"/>
      <c r="C42" s="7" t="s">
        <v>10</v>
      </c>
      <c r="D42" s="7"/>
      <c r="E42" s="21">
        <f>SUMIF(TB!$J$2:$J$121,C42,TB!$F$2:$F$121)</f>
        <v>0</v>
      </c>
      <c r="F42" s="21">
        <f>SUMIF(TB!$J$2:$J$121,C42,TB!$I$2:$I$121)</f>
        <v>0</v>
      </c>
      <c r="G42" s="7"/>
      <c r="H42" s="16"/>
      <c r="I42" s="41">
        <f t="shared" si="0"/>
        <v>0</v>
      </c>
      <c r="J42" s="41">
        <f t="shared" si="1"/>
        <v>0</v>
      </c>
      <c r="K42" s="41">
        <f t="shared" si="2"/>
        <v>0</v>
      </c>
      <c r="L42" s="41">
        <f t="shared" si="3"/>
        <v>0</v>
      </c>
      <c r="M42" s="41"/>
      <c r="N42" s="21">
        <v>0</v>
      </c>
      <c r="O42" s="21">
        <v>0</v>
      </c>
      <c r="P42" s="41"/>
      <c r="Q42" s="21">
        <v>0</v>
      </c>
      <c r="R42" s="21">
        <v>0</v>
      </c>
      <c r="S42" s="41"/>
      <c r="T42" s="21">
        <v>0</v>
      </c>
      <c r="U42" s="21">
        <v>0</v>
      </c>
      <c r="V42" s="66"/>
      <c r="W42" s="21">
        <v>0</v>
      </c>
      <c r="X42" s="21">
        <v>0</v>
      </c>
      <c r="Y42" s="66"/>
      <c r="Z42" s="21">
        <v>0</v>
      </c>
      <c r="AA42" s="21">
        <v>0</v>
      </c>
    </row>
    <row r="43" spans="2:27">
      <c r="B43" s="15"/>
      <c r="C43" s="67" t="s">
        <v>194</v>
      </c>
      <c r="D43" s="7"/>
      <c r="E43" s="21">
        <f>SUMIF(TB!$J$2:$J$121,C43,TB!$F$2:$F$121)</f>
        <v>0</v>
      </c>
      <c r="F43" s="21">
        <f>SUMIF(TB!$J$2:$J$121,C43,TB!$I$2:$I$121)</f>
        <v>0</v>
      </c>
      <c r="G43" s="7"/>
      <c r="H43" s="16"/>
      <c r="I43" s="41">
        <f t="shared" si="0"/>
        <v>0</v>
      </c>
      <c r="J43" s="41">
        <f t="shared" si="1"/>
        <v>0</v>
      </c>
      <c r="K43" s="41">
        <f t="shared" si="2"/>
        <v>0</v>
      </c>
      <c r="L43" s="41">
        <f t="shared" si="3"/>
        <v>0</v>
      </c>
      <c r="M43" s="41"/>
      <c r="N43" s="21">
        <v>0</v>
      </c>
      <c r="O43" s="21">
        <v>0</v>
      </c>
      <c r="P43" s="41"/>
      <c r="Q43" s="21">
        <v>0</v>
      </c>
      <c r="R43" s="21">
        <v>0</v>
      </c>
      <c r="S43" s="41"/>
      <c r="T43" s="21">
        <v>0</v>
      </c>
      <c r="U43" s="21">
        <v>0</v>
      </c>
      <c r="V43" s="66"/>
      <c r="W43" s="21">
        <v>0</v>
      </c>
      <c r="X43" s="21">
        <v>0</v>
      </c>
      <c r="Y43" s="66"/>
      <c r="Z43" s="21">
        <v>0</v>
      </c>
      <c r="AA43" s="21">
        <v>0</v>
      </c>
    </row>
    <row r="44" spans="2:27">
      <c r="B44" s="15"/>
      <c r="C44" s="7" t="s">
        <v>139</v>
      </c>
      <c r="D44" s="7"/>
      <c r="E44" s="21">
        <f>SUMIF(TB!$J$2:$J$121,C44,TB!$F$2:$F$121)</f>
        <v>0</v>
      </c>
      <c r="F44" s="21">
        <f>SUMIF(TB!$J$2:$J$121,C44,TB!$I$2:$I$121)</f>
        <v>0</v>
      </c>
      <c r="G44" s="7"/>
      <c r="H44" s="16"/>
      <c r="I44" s="41">
        <f t="shared" si="0"/>
        <v>0</v>
      </c>
      <c r="J44" s="41">
        <f t="shared" si="1"/>
        <v>0</v>
      </c>
      <c r="K44" s="41">
        <f t="shared" si="2"/>
        <v>0</v>
      </c>
      <c r="L44" s="41">
        <f t="shared" si="3"/>
        <v>0</v>
      </c>
      <c r="M44" s="41"/>
      <c r="N44" s="21">
        <v>0</v>
      </c>
      <c r="O44" s="21">
        <v>0</v>
      </c>
      <c r="P44" s="41"/>
      <c r="Q44" s="21">
        <v>0</v>
      </c>
      <c r="R44" s="21">
        <v>0</v>
      </c>
      <c r="S44" s="41"/>
      <c r="T44" s="21">
        <v>0</v>
      </c>
      <c r="U44" s="21">
        <v>0</v>
      </c>
      <c r="V44" s="66"/>
      <c r="W44" s="21">
        <v>0</v>
      </c>
      <c r="X44" s="21">
        <v>0</v>
      </c>
      <c r="Y44" s="66"/>
      <c r="Z44" s="21">
        <v>0</v>
      </c>
      <c r="AA44" s="21">
        <v>0</v>
      </c>
    </row>
    <row r="45" spans="2:27">
      <c r="B45" s="15"/>
      <c r="C45" s="72" t="s">
        <v>233</v>
      </c>
      <c r="D45" s="7"/>
      <c r="E45" s="21">
        <f>SUMIF(TB!$J$2:$J$121,C45,TB!$F$2:$F$121)</f>
        <v>1710764.551899425</v>
      </c>
      <c r="F45" s="21">
        <f>SUMIF(TB!$J$2:$J$121,C45,TB!$I$2:$I$121)</f>
        <v>471674.81441947207</v>
      </c>
      <c r="G45" s="7"/>
      <c r="H45" s="16"/>
      <c r="I45" s="41">
        <f t="shared" si="0"/>
        <v>1710764.551899425</v>
      </c>
      <c r="J45" s="41">
        <f t="shared" si="1"/>
        <v>0</v>
      </c>
      <c r="K45" s="41">
        <f t="shared" si="2"/>
        <v>0</v>
      </c>
      <c r="L45" s="41">
        <f t="shared" si="3"/>
        <v>0</v>
      </c>
      <c r="M45" s="41"/>
      <c r="N45" s="21">
        <v>0</v>
      </c>
      <c r="O45" s="21">
        <v>0</v>
      </c>
      <c r="P45" s="41"/>
      <c r="Q45" s="21">
        <v>0</v>
      </c>
      <c r="R45" s="21">
        <v>0</v>
      </c>
      <c r="S45" s="41"/>
      <c r="T45" s="21">
        <v>0</v>
      </c>
      <c r="U45" s="21">
        <v>0</v>
      </c>
      <c r="V45" s="66"/>
      <c r="W45" s="21">
        <v>1810051.09</v>
      </c>
      <c r="X45" s="21">
        <v>510162.45999999996</v>
      </c>
      <c r="Y45" s="66"/>
      <c r="Z45" s="21">
        <v>0</v>
      </c>
      <c r="AA45" s="21">
        <v>0</v>
      </c>
    </row>
    <row r="46" spans="2:27" ht="13">
      <c r="B46" s="20" t="s">
        <v>18</v>
      </c>
      <c r="C46" s="7"/>
      <c r="D46" s="7"/>
      <c r="E46" s="10">
        <f>SUM(E38:E45)</f>
        <v>2228851.162155835</v>
      </c>
      <c r="F46" s="10">
        <f>SUM(F38:F45)</f>
        <v>612473.45373472164</v>
      </c>
      <c r="G46" s="7"/>
      <c r="H46" s="16"/>
      <c r="I46" s="41">
        <f t="shared" si="0"/>
        <v>1944965.212155835</v>
      </c>
      <c r="J46" s="41">
        <f t="shared" si="1"/>
        <v>106776.41000000003</v>
      </c>
      <c r="K46" s="41">
        <f t="shared" si="2"/>
        <v>104750.23999999998</v>
      </c>
      <c r="L46" s="41">
        <f t="shared" si="3"/>
        <v>72359.3</v>
      </c>
      <c r="M46" s="41"/>
      <c r="N46" s="10">
        <v>283885.95</v>
      </c>
      <c r="O46" s="10">
        <v>74835.3608786611</v>
      </c>
      <c r="P46" s="41"/>
      <c r="Q46" s="10">
        <v>177109.53999999998</v>
      </c>
      <c r="R46" s="10">
        <v>49031.572323651446</v>
      </c>
      <c r="S46" s="41"/>
      <c r="T46" s="10">
        <v>72359.3</v>
      </c>
      <c r="U46" s="10">
        <v>20113.509322268328</v>
      </c>
      <c r="V46" s="66"/>
      <c r="W46" s="10">
        <v>2010345.87</v>
      </c>
      <c r="X46" s="10">
        <v>569459.39999999991</v>
      </c>
      <c r="Y46" s="66"/>
      <c r="Z46" s="10">
        <v>58891.420000000006</v>
      </c>
      <c r="AA46" s="10">
        <v>18659.029807073955</v>
      </c>
    </row>
    <row r="47" spans="2:27">
      <c r="B47" s="15"/>
      <c r="C47" s="8"/>
      <c r="D47" s="7"/>
      <c r="E47" s="22"/>
      <c r="F47" s="22"/>
      <c r="G47" s="7"/>
      <c r="H47" s="16"/>
      <c r="I47" s="41">
        <f t="shared" si="0"/>
        <v>0</v>
      </c>
      <c r="J47" s="41">
        <f t="shared" si="1"/>
        <v>0</v>
      </c>
      <c r="K47" s="41">
        <f t="shared" si="2"/>
        <v>0</v>
      </c>
      <c r="L47" s="41">
        <f t="shared" si="3"/>
        <v>0</v>
      </c>
      <c r="M47" s="41"/>
      <c r="N47" s="22"/>
      <c r="O47" s="22"/>
      <c r="P47" s="41"/>
      <c r="Q47" s="22"/>
      <c r="R47" s="22"/>
      <c r="S47" s="41"/>
      <c r="T47" s="22"/>
      <c r="U47" s="22"/>
      <c r="V47" s="66"/>
      <c r="W47" s="22"/>
      <c r="X47" s="22"/>
      <c r="Y47" s="66"/>
      <c r="Z47" s="22"/>
      <c r="AA47" s="22"/>
    </row>
    <row r="48" spans="2:27">
      <c r="B48" s="24" t="s">
        <v>7</v>
      </c>
      <c r="C48" s="7"/>
      <c r="D48" s="7"/>
      <c r="E48" s="22"/>
      <c r="F48" s="22"/>
      <c r="G48" s="7"/>
      <c r="H48" s="16"/>
      <c r="I48" s="41">
        <f t="shared" si="0"/>
        <v>0</v>
      </c>
      <c r="J48" s="41">
        <f t="shared" si="1"/>
        <v>0</v>
      </c>
      <c r="K48" s="41">
        <f t="shared" si="2"/>
        <v>0</v>
      </c>
      <c r="L48" s="41">
        <f t="shared" si="3"/>
        <v>0</v>
      </c>
      <c r="M48" s="41"/>
      <c r="N48" s="22"/>
      <c r="O48" s="22"/>
      <c r="P48" s="41"/>
      <c r="Q48" s="22"/>
      <c r="R48" s="22"/>
      <c r="S48" s="41"/>
      <c r="T48" s="22"/>
      <c r="U48" s="22"/>
      <c r="V48" s="66"/>
      <c r="W48" s="22"/>
      <c r="X48" s="22"/>
      <c r="Y48" s="66"/>
      <c r="Z48" s="22"/>
      <c r="AA48" s="22"/>
    </row>
    <row r="49" spans="2:32">
      <c r="B49" s="15"/>
      <c r="C49" s="67" t="s">
        <v>109</v>
      </c>
      <c r="D49" s="7"/>
      <c r="E49" s="21">
        <f>SUMIF(TB!$J$2:$J$121,C49,TB!$F$2:$F$121)</f>
        <v>564006</v>
      </c>
      <c r="F49" s="127">
        <f>SUMIF(TB!$J$2:$J$121,C49,TB!$I$2:$I$121)</f>
        <v>153711.53</v>
      </c>
      <c r="G49" s="7"/>
      <c r="H49" s="16"/>
      <c r="I49" s="41">
        <f t="shared" si="0"/>
        <v>87564.770000000019</v>
      </c>
      <c r="J49" s="41">
        <f t="shared" si="1"/>
        <v>142413.16999999998</v>
      </c>
      <c r="K49" s="41">
        <f t="shared" si="2"/>
        <v>167013.31</v>
      </c>
      <c r="L49" s="41">
        <f t="shared" si="3"/>
        <v>167014.75</v>
      </c>
      <c r="M49" s="41"/>
      <c r="N49" s="21">
        <v>476441.23</v>
      </c>
      <c r="O49" s="127">
        <v>128767.9</v>
      </c>
      <c r="P49" s="41"/>
      <c r="Q49" s="21">
        <v>334028.06</v>
      </c>
      <c r="R49" s="127">
        <v>90277.854054054056</v>
      </c>
      <c r="S49" s="41"/>
      <c r="T49" s="21">
        <v>167014.75</v>
      </c>
      <c r="U49" s="127">
        <v>47460.855356635409</v>
      </c>
      <c r="V49" s="66"/>
      <c r="W49" s="21">
        <v>1448994.78</v>
      </c>
      <c r="X49" s="127">
        <v>411763.22250639385</v>
      </c>
      <c r="Y49" s="66"/>
      <c r="Z49" s="21">
        <v>84405.93</v>
      </c>
      <c r="AA49" s="127">
        <v>27148.9</v>
      </c>
      <c r="AF49" s="72"/>
    </row>
    <row r="50" spans="2:32">
      <c r="B50" s="15"/>
      <c r="C50" s="18" t="s">
        <v>140</v>
      </c>
      <c r="D50" s="7"/>
      <c r="E50" s="21">
        <f>SUMIF(TB!$J$2:$J$121,C50,TB!$F$2:$F$121)</f>
        <v>147200</v>
      </c>
      <c r="F50" s="21">
        <f>SUMIF(TB!$J$2:$J$121,C50,TB!$I$2:$I$121)</f>
        <v>40385.611240694787</v>
      </c>
      <c r="G50" s="7"/>
      <c r="H50" s="16"/>
      <c r="I50" s="41">
        <f t="shared" si="0"/>
        <v>28800</v>
      </c>
      <c r="J50" s="41">
        <f t="shared" si="1"/>
        <v>19700</v>
      </c>
      <c r="K50" s="41">
        <f t="shared" si="2"/>
        <v>54200</v>
      </c>
      <c r="L50" s="41">
        <f t="shared" si="3"/>
        <v>44500</v>
      </c>
      <c r="M50" s="41"/>
      <c r="N50" s="21">
        <v>118400</v>
      </c>
      <c r="O50" s="21">
        <v>33157.108648648646</v>
      </c>
      <c r="P50" s="41"/>
      <c r="Q50" s="21">
        <v>98700</v>
      </c>
      <c r="R50" s="21">
        <v>27901.327027027026</v>
      </c>
      <c r="S50" s="41"/>
      <c r="T50" s="21">
        <v>44500</v>
      </c>
      <c r="U50" s="21">
        <v>12513.12</v>
      </c>
      <c r="V50" s="66"/>
      <c r="W50" s="21">
        <v>120800</v>
      </c>
      <c r="X50" s="21">
        <v>34546.75</v>
      </c>
      <c r="Y50" s="66"/>
      <c r="Z50" s="21">
        <v>46461.18</v>
      </c>
      <c r="AA50" s="21">
        <v>14665.110675241158</v>
      </c>
    </row>
    <row r="51" spans="2:32">
      <c r="B51" s="15"/>
      <c r="C51" s="184" t="s">
        <v>106</v>
      </c>
      <c r="D51" s="7"/>
      <c r="E51" s="127">
        <f>SUMIF(TB!$J$2:$J$121,C51,TB!$F$2:$F$121)</f>
        <v>101137.93</v>
      </c>
      <c r="F51" s="21">
        <f>SUMIF(TB!$J$2:$J$121,C51,TB!$I$2:$I$121)</f>
        <v>27086.2</v>
      </c>
      <c r="G51" s="7"/>
      <c r="H51" s="16"/>
      <c r="I51" s="41">
        <f t="shared" si="0"/>
        <v>19315.14</v>
      </c>
      <c r="J51" s="41">
        <f t="shared" si="1"/>
        <v>27567.839999999997</v>
      </c>
      <c r="K51" s="41">
        <f t="shared" si="2"/>
        <v>38699.329999999994</v>
      </c>
      <c r="L51" s="41">
        <f t="shared" si="3"/>
        <v>15555.62</v>
      </c>
      <c r="M51" s="41"/>
      <c r="N51" s="127">
        <v>81822.789999999994</v>
      </c>
      <c r="O51" s="21">
        <v>22134.87</v>
      </c>
      <c r="P51" s="41"/>
      <c r="Q51" s="127">
        <v>54254.95</v>
      </c>
      <c r="R51" s="21">
        <v>14896.11</v>
      </c>
      <c r="S51" s="41"/>
      <c r="T51" s="127">
        <v>15555.62</v>
      </c>
      <c r="U51" s="21">
        <v>4561.7700000000004</v>
      </c>
      <c r="V51" s="66"/>
      <c r="W51" s="127">
        <v>367189.51</v>
      </c>
      <c r="X51" s="21">
        <v>107912.77625177607</v>
      </c>
      <c r="Y51" s="66"/>
      <c r="Z51" s="127">
        <v>49337.62</v>
      </c>
      <c r="AA51" s="21">
        <v>15337.12</v>
      </c>
    </row>
    <row r="52" spans="2:32">
      <c r="B52" s="15"/>
      <c r="C52" s="7" t="s">
        <v>12</v>
      </c>
      <c r="D52" s="7"/>
      <c r="E52" s="21">
        <f>SUMIF(TB!$J$2:$J$121,C52,TB!$F$2:$F$121)</f>
        <v>5349.75</v>
      </c>
      <c r="F52" s="21">
        <f>SUMIF(TB!$J$2:$J$121,C52,TB!$I$2:$I$121)</f>
        <v>1474.03</v>
      </c>
      <c r="G52" s="7"/>
      <c r="H52" s="16"/>
      <c r="I52" s="41">
        <f t="shared" si="0"/>
        <v>5349.75</v>
      </c>
      <c r="J52" s="41">
        <f t="shared" si="1"/>
        <v>0</v>
      </c>
      <c r="K52" s="41">
        <f t="shared" si="2"/>
        <v>0</v>
      </c>
      <c r="L52" s="41">
        <f t="shared" si="3"/>
        <v>0</v>
      </c>
      <c r="M52" s="41"/>
      <c r="N52" s="21">
        <v>0</v>
      </c>
      <c r="O52" s="21">
        <v>0</v>
      </c>
      <c r="P52" s="41"/>
      <c r="Q52" s="21">
        <v>0</v>
      </c>
      <c r="R52" s="21">
        <v>0</v>
      </c>
      <c r="S52" s="41"/>
      <c r="T52" s="21">
        <v>0</v>
      </c>
      <c r="U52" s="21">
        <v>0</v>
      </c>
      <c r="V52" s="66"/>
      <c r="W52" s="21">
        <v>0</v>
      </c>
      <c r="X52" s="21">
        <v>0</v>
      </c>
      <c r="Y52" s="66"/>
      <c r="Z52" s="21">
        <v>1754.25</v>
      </c>
      <c r="AA52" s="21">
        <v>540</v>
      </c>
    </row>
    <row r="53" spans="2:32">
      <c r="B53" s="15"/>
      <c r="C53" s="55" t="s">
        <v>93</v>
      </c>
      <c r="D53" s="7"/>
      <c r="E53" s="21">
        <f>SUMIF(TB!$J$2:$J$121,C53,TB!$F$2:$F$121)</f>
        <v>43957.04</v>
      </c>
      <c r="F53" s="21">
        <f>SUMIF(TB!$J$2:$J$121,C53,TB!$I$2:$I$121)</f>
        <v>11946.89</v>
      </c>
      <c r="G53" s="7"/>
      <c r="H53" s="16"/>
      <c r="I53" s="41">
        <f t="shared" si="0"/>
        <v>17766.3</v>
      </c>
      <c r="J53" s="41">
        <f t="shared" si="1"/>
        <v>8908.6200000000026</v>
      </c>
      <c r="K53" s="41">
        <f t="shared" si="2"/>
        <v>8375.9499999999989</v>
      </c>
      <c r="L53" s="41">
        <f t="shared" si="3"/>
        <v>8906.17</v>
      </c>
      <c r="M53" s="41"/>
      <c r="N53" s="21">
        <v>26190.74</v>
      </c>
      <c r="O53" s="21">
        <v>7176.85</v>
      </c>
      <c r="P53" s="41"/>
      <c r="Q53" s="21">
        <v>17282.12</v>
      </c>
      <c r="R53" s="21">
        <v>4801.6099999999997</v>
      </c>
      <c r="S53" s="41"/>
      <c r="T53" s="21">
        <v>8906.17</v>
      </c>
      <c r="U53" s="21">
        <v>2514.3599999999997</v>
      </c>
      <c r="V53" s="66"/>
      <c r="W53" s="21">
        <v>81487.209999999992</v>
      </c>
      <c r="X53" s="21">
        <v>23473.806913895991</v>
      </c>
      <c r="Y53" s="66"/>
      <c r="Z53" s="21">
        <v>22194.15</v>
      </c>
      <c r="AA53" s="21">
        <v>6989.3700000000008</v>
      </c>
    </row>
    <row r="54" spans="2:32">
      <c r="B54" s="15"/>
      <c r="C54" s="7" t="s">
        <v>15</v>
      </c>
      <c r="D54" s="7"/>
      <c r="E54" s="21">
        <f>SUMIF(TB!$J$2:$J$121,C54,TB!$F$2:$F$121)</f>
        <v>0</v>
      </c>
      <c r="F54" s="21">
        <f>SUMIF(TB!$J$2:$J$121,C54,TB!$I$2:$I$121)</f>
        <v>0</v>
      </c>
      <c r="G54" s="7"/>
      <c r="H54" s="16"/>
      <c r="I54" s="41">
        <f t="shared" si="0"/>
        <v>0</v>
      </c>
      <c r="J54" s="41">
        <f t="shared" si="1"/>
        <v>0</v>
      </c>
      <c r="K54" s="41">
        <f t="shared" si="2"/>
        <v>0</v>
      </c>
      <c r="L54" s="41">
        <f t="shared" si="3"/>
        <v>0</v>
      </c>
      <c r="M54" s="41"/>
      <c r="N54" s="21">
        <v>0</v>
      </c>
      <c r="O54" s="21">
        <v>0</v>
      </c>
      <c r="P54" s="41"/>
      <c r="Q54" s="21">
        <v>0</v>
      </c>
      <c r="R54" s="21">
        <v>0</v>
      </c>
      <c r="S54" s="41"/>
      <c r="T54" s="21">
        <v>0</v>
      </c>
      <c r="U54" s="21">
        <v>0</v>
      </c>
      <c r="V54" s="66"/>
      <c r="W54" s="21">
        <v>0</v>
      </c>
      <c r="X54" s="21">
        <v>0</v>
      </c>
      <c r="Y54" s="66"/>
      <c r="Z54" s="21">
        <v>0</v>
      </c>
      <c r="AA54" s="21">
        <v>0</v>
      </c>
    </row>
    <row r="55" spans="2:32">
      <c r="B55" s="15"/>
      <c r="C55" s="7" t="s">
        <v>13</v>
      </c>
      <c r="D55" s="7"/>
      <c r="E55" s="21">
        <f>SUMIF(TB!$J$2:$J$121,C55,TB!$F$2:$F$121)</f>
        <v>450797.14999999997</v>
      </c>
      <c r="F55" s="21">
        <f>SUMIF(TB!$J$2:$J$121,C55,TB!$I$2:$I$121)</f>
        <v>122403.24119106699</v>
      </c>
      <c r="G55" s="7"/>
      <c r="H55" s="16"/>
      <c r="I55" s="41">
        <f t="shared" si="0"/>
        <v>119019.85999999999</v>
      </c>
      <c r="J55" s="41">
        <f t="shared" si="1"/>
        <v>111464.79999999999</v>
      </c>
      <c r="K55" s="41">
        <f t="shared" si="2"/>
        <v>107088.37</v>
      </c>
      <c r="L55" s="41">
        <f t="shared" si="3"/>
        <v>113224.12</v>
      </c>
      <c r="M55" s="41"/>
      <c r="N55" s="21">
        <v>331777.28999999998</v>
      </c>
      <c r="O55" s="21">
        <v>91669.079999999987</v>
      </c>
      <c r="P55" s="41"/>
      <c r="Q55" s="21">
        <v>220312.49</v>
      </c>
      <c r="R55" s="21">
        <v>61648.79</v>
      </c>
      <c r="S55" s="41"/>
      <c r="T55" s="21">
        <v>113224.12</v>
      </c>
      <c r="U55" s="21">
        <v>32082.66</v>
      </c>
      <c r="V55" s="66"/>
      <c r="W55" s="21">
        <v>399362.08</v>
      </c>
      <c r="X55" s="21">
        <v>119570.52049445864</v>
      </c>
      <c r="Y55" s="66"/>
      <c r="Z55" s="21">
        <v>254926.66</v>
      </c>
      <c r="AA55" s="21">
        <v>80220.490771704179</v>
      </c>
    </row>
    <row r="56" spans="2:32">
      <c r="B56" s="15"/>
      <c r="C56" s="7" t="s">
        <v>14</v>
      </c>
      <c r="D56" s="7"/>
      <c r="E56" s="21">
        <f>SUMIF(TB!$J$2:$J$121,C56,TB!$F$2:$F$121)</f>
        <v>45477.34</v>
      </c>
      <c r="F56" s="21">
        <f>SUMIF(TB!$J$2:$J$121,C56,TB!$I$2:$I$121)</f>
        <v>12435.96</v>
      </c>
      <c r="G56" s="7"/>
      <c r="H56" s="16"/>
      <c r="I56" s="198">
        <f t="shared" si="0"/>
        <v>-6056.8499999999985</v>
      </c>
      <c r="J56" s="41">
        <f t="shared" si="1"/>
        <v>19995.619999999995</v>
      </c>
      <c r="K56" s="41">
        <f t="shared" si="2"/>
        <v>17687.300000000003</v>
      </c>
      <c r="L56" s="41">
        <f t="shared" si="3"/>
        <v>13851.269999999999</v>
      </c>
      <c r="M56" s="41"/>
      <c r="N56" s="21">
        <v>51534.189999999995</v>
      </c>
      <c r="O56" s="21">
        <v>14066.934518828451</v>
      </c>
      <c r="P56" s="41"/>
      <c r="Q56" s="21">
        <v>31538.57</v>
      </c>
      <c r="R56" s="21">
        <v>8866.6827800829888</v>
      </c>
      <c r="S56" s="41"/>
      <c r="T56" s="21">
        <v>13851.269999999999</v>
      </c>
      <c r="U56" s="21">
        <v>3966.0600000000004</v>
      </c>
      <c r="V56" s="66"/>
      <c r="W56" s="21">
        <v>57118.11</v>
      </c>
      <c r="X56" s="21">
        <v>18394.993086104008</v>
      </c>
      <c r="Y56" s="66"/>
      <c r="Z56" s="21">
        <v>37382.42</v>
      </c>
      <c r="AA56" s="21">
        <v>11687.779453376204</v>
      </c>
    </row>
    <row r="57" spans="2:32">
      <c r="B57" s="15"/>
      <c r="C57" s="7" t="s">
        <v>146</v>
      </c>
      <c r="D57" s="7"/>
      <c r="E57" s="21">
        <f>SUMIF(TB!$J$2:$J$121,C57,TB!$F$2:$F$121)</f>
        <v>138368.52000000002</v>
      </c>
      <c r="F57" s="21">
        <f>SUMIF(TB!$J$2:$J$121,C57,TB!$I$2:$I$121)</f>
        <v>37571.74</v>
      </c>
      <c r="G57" s="7"/>
      <c r="H57" s="16"/>
      <c r="I57" s="41">
        <f t="shared" si="0"/>
        <v>26484.530000000013</v>
      </c>
      <c r="J57" s="41">
        <f t="shared" si="1"/>
        <v>35301.89</v>
      </c>
      <c r="K57" s="41">
        <f t="shared" si="2"/>
        <v>39577.100000000006</v>
      </c>
      <c r="L57" s="41">
        <f t="shared" si="3"/>
        <v>37005</v>
      </c>
      <c r="M57" s="41"/>
      <c r="N57" s="21">
        <v>111883.99</v>
      </c>
      <c r="O57" s="21">
        <v>30443.978368200835</v>
      </c>
      <c r="P57" s="41"/>
      <c r="Q57" s="21">
        <v>76582.100000000006</v>
      </c>
      <c r="R57" s="21">
        <v>21106.925449515904</v>
      </c>
      <c r="S57" s="41"/>
      <c r="T57" s="21">
        <v>37005</v>
      </c>
      <c r="U57" s="21">
        <v>10310.381202046035</v>
      </c>
      <c r="V57" s="66"/>
      <c r="W57" s="21">
        <v>174781.92</v>
      </c>
      <c r="X57" s="21">
        <v>51728.159999999996</v>
      </c>
      <c r="Y57" s="66"/>
      <c r="Z57" s="21">
        <v>56597</v>
      </c>
      <c r="AA57" s="21">
        <v>17804.73</v>
      </c>
    </row>
    <row r="58" spans="2:32">
      <c r="B58" s="15"/>
      <c r="C58" s="67" t="s">
        <v>145</v>
      </c>
      <c r="D58" s="7"/>
      <c r="E58" s="21">
        <f>SUMIF(TB!$J$2:$J$121,C58,TB!$F$2:$F$121)</f>
        <v>9112.91</v>
      </c>
      <c r="F58" s="21">
        <f>SUMIF(TB!$J$2:$J$121,C58,TB!$I$2:$I$121)</f>
        <v>2482.0100000000002</v>
      </c>
      <c r="G58" s="7"/>
      <c r="H58" s="16"/>
      <c r="I58" s="41">
        <f t="shared" si="0"/>
        <v>1986.6100000000006</v>
      </c>
      <c r="J58" s="41">
        <f t="shared" si="1"/>
        <v>1069.7499999999991</v>
      </c>
      <c r="K58" s="41">
        <f t="shared" si="2"/>
        <v>3605.13</v>
      </c>
      <c r="L58" s="41">
        <f t="shared" si="3"/>
        <v>2451.42</v>
      </c>
      <c r="M58" s="41"/>
      <c r="N58" s="21">
        <v>7126.2999999999993</v>
      </c>
      <c r="O58" s="21">
        <v>1949.96</v>
      </c>
      <c r="P58" s="41"/>
      <c r="Q58" s="21">
        <v>6056.55</v>
      </c>
      <c r="R58" s="21">
        <v>1666.37</v>
      </c>
      <c r="S58" s="41"/>
      <c r="T58" s="21">
        <v>2451.42</v>
      </c>
      <c r="U58" s="21">
        <v>697.2</v>
      </c>
      <c r="V58" s="66"/>
      <c r="W58" s="21">
        <v>17927.870000000003</v>
      </c>
      <c r="X58" s="21">
        <v>5288.01</v>
      </c>
      <c r="Y58" s="66"/>
      <c r="Z58" s="21">
        <v>2988.9700000000003</v>
      </c>
      <c r="AA58" s="21">
        <v>933.68999999999994</v>
      </c>
    </row>
    <row r="59" spans="2:32" s="148" customFormat="1">
      <c r="B59" s="15"/>
      <c r="C59" s="72" t="s">
        <v>235</v>
      </c>
      <c r="D59" s="7"/>
      <c r="E59" s="21">
        <f>SUMIF(TB!$J$2:$J$121,C59,TB!$F$2:$F$121)</f>
        <v>1000407.5781588864</v>
      </c>
      <c r="F59" s="21">
        <f>SUMIF(TB!$J$2:$J$121,C59,TB!$I$2:$I$121)</f>
        <v>277890.993933024</v>
      </c>
      <c r="G59" s="7"/>
      <c r="H59" s="16"/>
      <c r="I59" s="41">
        <f t="shared" si="0"/>
        <v>1000407.5781588864</v>
      </c>
      <c r="J59" s="41">
        <f t="shared" si="1"/>
        <v>0</v>
      </c>
      <c r="K59" s="41">
        <f t="shared" si="2"/>
        <v>0</v>
      </c>
      <c r="L59" s="41">
        <f t="shared" si="3"/>
        <v>0</v>
      </c>
      <c r="M59" s="41"/>
      <c r="N59" s="21">
        <v>0</v>
      </c>
      <c r="O59" s="21">
        <v>0</v>
      </c>
      <c r="P59" s="41"/>
      <c r="Q59" s="21">
        <v>0</v>
      </c>
      <c r="R59" s="21">
        <v>0</v>
      </c>
      <c r="S59" s="41"/>
      <c r="T59" s="21">
        <v>0</v>
      </c>
      <c r="U59" s="21">
        <v>0</v>
      </c>
      <c r="V59" s="66"/>
      <c r="W59" s="21">
        <v>849838.94</v>
      </c>
      <c r="X59" s="21">
        <v>238660.25</v>
      </c>
      <c r="Y59" s="66"/>
      <c r="Z59" s="21">
        <v>0</v>
      </c>
      <c r="AA59" s="21">
        <v>0</v>
      </c>
    </row>
    <row r="60" spans="2:32">
      <c r="B60" s="15"/>
      <c r="C60" s="7" t="s">
        <v>16</v>
      </c>
      <c r="D60" s="7"/>
      <c r="E60" s="21">
        <f>SUMIF(TB!$J$2:$J$121,C60,TB!$F$2:$F$121)</f>
        <v>-640307.22699999996</v>
      </c>
      <c r="F60" s="21">
        <f>SUMIF(TB!$J$2:$J$121,C60,TB!$I$2:$I$121)</f>
        <v>-176539.07554452715</v>
      </c>
      <c r="G60" s="7"/>
      <c r="H60" s="16"/>
      <c r="I60" s="41">
        <f t="shared" si="0"/>
        <v>-172514.13899999997</v>
      </c>
      <c r="J60" s="41">
        <f t="shared" si="1"/>
        <v>-155085.984</v>
      </c>
      <c r="K60" s="41">
        <f t="shared" si="2"/>
        <v>-154689.04799999998</v>
      </c>
      <c r="L60" s="41">
        <f t="shared" si="3"/>
        <v>-158018.05600000001</v>
      </c>
      <c r="M60" s="41"/>
      <c r="N60" s="21">
        <v>-467793.08799999999</v>
      </c>
      <c r="O60" s="21">
        <v>-126430.56432432431</v>
      </c>
      <c r="P60" s="41"/>
      <c r="Q60" s="21">
        <v>-312707.10399999999</v>
      </c>
      <c r="R60" s="21">
        <v>-84515.433513513504</v>
      </c>
      <c r="S60" s="41"/>
      <c r="T60" s="21">
        <v>-158018.05600000001</v>
      </c>
      <c r="U60" s="21">
        <v>-44904.250071042909</v>
      </c>
      <c r="V60" s="66"/>
      <c r="W60" s="21">
        <v>-743604.88800000015</v>
      </c>
      <c r="X60" s="21">
        <v>-211311.4202898551</v>
      </c>
      <c r="Y60" s="66"/>
      <c r="Z60" s="21">
        <v>0</v>
      </c>
      <c r="AA60" s="21">
        <v>0</v>
      </c>
    </row>
    <row r="61" spans="2:32">
      <c r="B61" s="15"/>
      <c r="C61" s="52" t="s">
        <v>62</v>
      </c>
      <c r="D61" s="7"/>
      <c r="E61" s="21">
        <f>SUMIF(TB!$J$2:$J$121,C61,TB!$F$2:$F$121)</f>
        <v>81476</v>
      </c>
      <c r="F61" s="21">
        <f>SUMIF(TB!$J$2:$J$121,C61,TB!$I$2:$I$121)</f>
        <v>24780</v>
      </c>
      <c r="G61" s="7"/>
      <c r="H61" s="16"/>
      <c r="I61" s="41">
        <f t="shared" si="0"/>
        <v>81476</v>
      </c>
      <c r="J61" s="41">
        <f t="shared" si="1"/>
        <v>0</v>
      </c>
      <c r="K61" s="41">
        <f t="shared" si="2"/>
        <v>0</v>
      </c>
      <c r="L61" s="41">
        <f t="shared" si="3"/>
        <v>0</v>
      </c>
      <c r="M61" s="41"/>
      <c r="N61" s="21">
        <v>0</v>
      </c>
      <c r="O61" s="21">
        <v>0</v>
      </c>
      <c r="P61" s="41"/>
      <c r="Q61" s="21">
        <v>0</v>
      </c>
      <c r="R61" s="21">
        <v>0</v>
      </c>
      <c r="S61" s="41"/>
      <c r="T61" s="21">
        <v>0</v>
      </c>
      <c r="U61" s="21">
        <v>0</v>
      </c>
      <c r="V61" s="66"/>
      <c r="W61" s="21">
        <v>70108</v>
      </c>
      <c r="X61" s="21">
        <v>21827</v>
      </c>
      <c r="Y61" s="66"/>
      <c r="Z61" s="21">
        <v>0</v>
      </c>
      <c r="AA61" s="21">
        <v>0</v>
      </c>
    </row>
    <row r="62" spans="2:32">
      <c r="B62" s="15"/>
      <c r="C62" s="67" t="s">
        <v>111</v>
      </c>
      <c r="D62" s="7"/>
      <c r="E62" s="21">
        <f>SUMIF(TB!$J$2:$J$121,C62,TB!$F$2:$F$121)</f>
        <v>65589.66</v>
      </c>
      <c r="F62" s="21">
        <f>SUMIF(TB!$J$2:$J$121,C62,TB!$I$2:$I$121)</f>
        <v>18127.309999999998</v>
      </c>
      <c r="G62" s="7"/>
      <c r="H62" s="16"/>
      <c r="I62" s="41">
        <f t="shared" si="0"/>
        <v>2234.5099999999948</v>
      </c>
      <c r="J62" s="41">
        <f t="shared" si="1"/>
        <v>18186.55000000001</v>
      </c>
      <c r="K62" s="41">
        <f t="shared" si="2"/>
        <v>20632.589999999997</v>
      </c>
      <c r="L62" s="41">
        <f t="shared" si="3"/>
        <v>24536.010000000002</v>
      </c>
      <c r="M62" s="41"/>
      <c r="N62" s="21">
        <v>63355.150000000009</v>
      </c>
      <c r="O62" s="21">
        <v>17490.037866108789</v>
      </c>
      <c r="P62" s="41"/>
      <c r="Q62" s="21">
        <v>45168.6</v>
      </c>
      <c r="R62" s="21">
        <v>12723.019183955741</v>
      </c>
      <c r="S62" s="41"/>
      <c r="T62" s="21">
        <v>24536.010000000002</v>
      </c>
      <c r="U62" s="21">
        <v>7005.77665251704</v>
      </c>
      <c r="V62" s="66"/>
      <c r="W62" s="21">
        <v>128720.92</v>
      </c>
      <c r="X62" s="21">
        <v>38475.08</v>
      </c>
      <c r="Y62" s="66"/>
      <c r="Z62" s="21">
        <v>48568.79</v>
      </c>
      <c r="AA62" s="21">
        <v>15090.824308681675</v>
      </c>
    </row>
    <row r="63" spans="2:32" ht="13">
      <c r="B63" s="20" t="s">
        <v>19</v>
      </c>
      <c r="C63" s="7"/>
      <c r="D63" s="7"/>
      <c r="E63" s="10">
        <f>SUM(E49:E62)</f>
        <v>2012572.6511588863</v>
      </c>
      <c r="F63" s="10">
        <f>SUM(F49:F62)</f>
        <v>553756.44082025858</v>
      </c>
      <c r="G63" s="7"/>
      <c r="H63" s="16"/>
      <c r="I63" s="41">
        <f t="shared" si="0"/>
        <v>1211834.0591588863</v>
      </c>
      <c r="J63" s="41">
        <f t="shared" si="1"/>
        <v>229522.25600000005</v>
      </c>
      <c r="K63" s="41">
        <f t="shared" si="2"/>
        <v>302190.03200000001</v>
      </c>
      <c r="L63" s="41">
        <f t="shared" si="3"/>
        <v>269026.304</v>
      </c>
      <c r="M63" s="41"/>
      <c r="N63" s="10">
        <v>800738.59200000006</v>
      </c>
      <c r="O63" s="10">
        <v>220426.1550774624</v>
      </c>
      <c r="P63" s="41"/>
      <c r="Q63" s="10">
        <v>571216.33600000001</v>
      </c>
      <c r="R63" s="10">
        <v>159373.25498112218</v>
      </c>
      <c r="S63" s="41"/>
      <c r="T63" s="10">
        <v>269026.304</v>
      </c>
      <c r="U63" s="10">
        <v>76207.933140155583</v>
      </c>
      <c r="V63" s="66"/>
      <c r="W63" s="10">
        <v>2972724.4519999996</v>
      </c>
      <c r="X63" s="10">
        <v>860329.1489627735</v>
      </c>
      <c r="Y63" s="66"/>
      <c r="Z63" s="10">
        <v>604616.97</v>
      </c>
      <c r="AA63" s="10">
        <v>190418.01520900324</v>
      </c>
    </row>
    <row r="64" spans="2:32">
      <c r="B64" s="15"/>
      <c r="C64" s="7"/>
      <c r="D64" s="7"/>
      <c r="E64" s="22"/>
      <c r="F64" s="22"/>
      <c r="G64" s="7"/>
      <c r="H64" s="16"/>
      <c r="I64" s="41">
        <f t="shared" si="0"/>
        <v>0</v>
      </c>
      <c r="J64" s="41">
        <f t="shared" si="1"/>
        <v>0</v>
      </c>
      <c r="K64" s="41">
        <f t="shared" si="2"/>
        <v>0</v>
      </c>
      <c r="L64" s="41">
        <f t="shared" si="3"/>
        <v>0</v>
      </c>
      <c r="M64" s="41"/>
      <c r="N64" s="22"/>
      <c r="O64" s="22"/>
      <c r="P64" s="41"/>
      <c r="Q64" s="22"/>
      <c r="R64" s="22"/>
      <c r="S64" s="41"/>
      <c r="T64" s="22"/>
      <c r="U64" s="22"/>
      <c r="V64" s="66"/>
      <c r="W64" s="22"/>
      <c r="X64" s="22"/>
      <c r="Y64" s="66"/>
      <c r="Z64" s="22"/>
      <c r="AA64" s="22"/>
    </row>
    <row r="65" spans="2:27" ht="13.5" thickBot="1">
      <c r="B65" s="20" t="s">
        <v>20</v>
      </c>
      <c r="C65" s="7"/>
      <c r="D65" s="7"/>
      <c r="E65" s="9">
        <f>+E46+E63+E35</f>
        <v>9182203.3503147215</v>
      </c>
      <c r="F65" s="9">
        <f>+F46+F63+F35</f>
        <v>2509535.9763305523</v>
      </c>
      <c r="G65" s="7"/>
      <c r="H65" s="16"/>
      <c r="I65" s="41">
        <f t="shared" si="0"/>
        <v>3870730.9003147213</v>
      </c>
      <c r="J65" s="41">
        <f t="shared" si="1"/>
        <v>1714902.2700000005</v>
      </c>
      <c r="K65" s="41">
        <f t="shared" si="2"/>
        <v>1616148.5599999994</v>
      </c>
      <c r="L65" s="41">
        <f t="shared" si="3"/>
        <v>1980421.6200000003</v>
      </c>
      <c r="M65" s="41"/>
      <c r="N65" s="9">
        <v>5311472.45</v>
      </c>
      <c r="O65" s="9">
        <v>1447163.9710545065</v>
      </c>
      <c r="P65" s="41"/>
      <c r="Q65" s="9">
        <v>3596570.1799999997</v>
      </c>
      <c r="R65" s="9">
        <v>994776.06374901859</v>
      </c>
      <c r="S65" s="41"/>
      <c r="T65" s="9">
        <v>1980421.6200000003</v>
      </c>
      <c r="U65" s="9">
        <v>553989.02955617348</v>
      </c>
      <c r="V65" s="66"/>
      <c r="W65" s="9">
        <v>11727104.539999999</v>
      </c>
      <c r="X65" s="9">
        <v>3427499.1342369993</v>
      </c>
      <c r="Y65" s="66"/>
      <c r="Z65" s="9">
        <v>3157557.44</v>
      </c>
      <c r="AA65" s="9">
        <v>992154.99144694547</v>
      </c>
    </row>
    <row r="66" spans="2:27" ht="13" thickTop="1">
      <c r="B66" s="15"/>
      <c r="C66" s="7"/>
      <c r="D66" s="7"/>
      <c r="E66" s="22"/>
      <c r="F66" s="22"/>
      <c r="G66" s="7"/>
      <c r="H66" s="16"/>
      <c r="I66" s="41">
        <f t="shared" si="0"/>
        <v>0</v>
      </c>
      <c r="J66" s="41">
        <f t="shared" si="1"/>
        <v>0</v>
      </c>
      <c r="K66" s="41">
        <f t="shared" si="2"/>
        <v>0</v>
      </c>
      <c r="L66" s="41">
        <f t="shared" si="3"/>
        <v>0</v>
      </c>
      <c r="M66" s="41"/>
      <c r="N66" s="22"/>
      <c r="O66" s="22"/>
      <c r="P66" s="41"/>
      <c r="Q66" s="22"/>
      <c r="R66" s="22"/>
      <c r="S66" s="41"/>
      <c r="T66" s="22"/>
      <c r="U66" s="22"/>
      <c r="V66" s="66"/>
      <c r="W66" s="22"/>
      <c r="X66" s="22"/>
      <c r="Y66" s="66"/>
      <c r="Z66" s="22"/>
      <c r="AA66" s="22"/>
    </row>
    <row r="67" spans="2:27">
      <c r="B67" s="115"/>
      <c r="C67" s="116" t="s">
        <v>133</v>
      </c>
      <c r="D67" s="7"/>
      <c r="E67" s="21">
        <f>SUMIF(TB!$J$2:$J$121,C67,TB!$F$2:$F$121)</f>
        <v>-335376.10000000003</v>
      </c>
      <c r="F67" s="21">
        <f>SUMIF(TB!$J$2:$J$121,C67,TB!$I$2:$I$121)</f>
        <v>-20877.18</v>
      </c>
      <c r="G67" s="7"/>
      <c r="H67" s="16"/>
      <c r="I67" s="41">
        <f t="shared" si="0"/>
        <v>291163.11999999994</v>
      </c>
      <c r="J67" s="41">
        <f t="shared" si="1"/>
        <v>-136348.54999999999</v>
      </c>
      <c r="K67" s="41">
        <f t="shared" si="2"/>
        <v>-165716.99999999994</v>
      </c>
      <c r="L67" s="41">
        <f t="shared" si="3"/>
        <v>-324473.67000000004</v>
      </c>
      <c r="M67" s="41"/>
      <c r="N67" s="21">
        <v>-626539.22</v>
      </c>
      <c r="O67" s="21">
        <v>-19487.859999999997</v>
      </c>
      <c r="P67" s="41"/>
      <c r="Q67" s="21">
        <v>-490190.67</v>
      </c>
      <c r="R67" s="21">
        <v>-49482.19999999999</v>
      </c>
      <c r="S67" s="41"/>
      <c r="T67" s="21">
        <v>-324473.67000000004</v>
      </c>
      <c r="U67" s="21">
        <v>-61382.400000000001</v>
      </c>
      <c r="V67" s="66"/>
      <c r="W67" s="21">
        <v>216071.20999999996</v>
      </c>
      <c r="X67" s="21">
        <v>90620.988508098904</v>
      </c>
      <c r="Y67" s="66"/>
      <c r="Z67" s="21">
        <v>-43293.010000000009</v>
      </c>
      <c r="AA67" s="21">
        <v>15192.84</v>
      </c>
    </row>
    <row r="68" spans="2:27">
      <c r="B68" s="115"/>
      <c r="C68" s="116"/>
      <c r="D68" s="7"/>
      <c r="E68" s="22"/>
      <c r="F68" s="22"/>
      <c r="G68" s="7"/>
      <c r="H68" s="16"/>
      <c r="I68" s="41">
        <f t="shared" si="0"/>
        <v>0</v>
      </c>
      <c r="J68" s="41">
        <f t="shared" si="1"/>
        <v>0</v>
      </c>
      <c r="K68" s="41">
        <f t="shared" si="2"/>
        <v>0</v>
      </c>
      <c r="L68" s="41">
        <f t="shared" si="3"/>
        <v>0</v>
      </c>
      <c r="M68" s="41"/>
      <c r="N68" s="22"/>
      <c r="O68" s="22"/>
      <c r="P68" s="41"/>
      <c r="Q68" s="22"/>
      <c r="R68" s="22"/>
      <c r="S68" s="41"/>
      <c r="T68" s="22"/>
      <c r="U68" s="22"/>
      <c r="V68" s="66"/>
      <c r="W68" s="22"/>
      <c r="X68" s="22"/>
      <c r="Y68" s="66"/>
      <c r="Z68" s="22"/>
      <c r="AA68" s="22"/>
    </row>
    <row r="69" spans="2:27" ht="13.5" thickBot="1">
      <c r="B69" s="115" t="s">
        <v>134</v>
      </c>
      <c r="C69" s="116"/>
      <c r="D69" s="7"/>
      <c r="E69" s="118">
        <f>E23-E65-E67</f>
        <v>-8846827.2503147218</v>
      </c>
      <c r="F69" s="118">
        <f>F23-F65-F67</f>
        <v>-2488658.7963305521</v>
      </c>
      <c r="G69" s="7"/>
      <c r="H69" s="16"/>
      <c r="I69" s="41">
        <f t="shared" si="0"/>
        <v>-4161894.0203147214</v>
      </c>
      <c r="J69" s="41">
        <f t="shared" si="1"/>
        <v>-1578553.7200000007</v>
      </c>
      <c r="K69" s="41">
        <f t="shared" si="2"/>
        <v>-1450431.5599999996</v>
      </c>
      <c r="L69" s="41">
        <f t="shared" si="3"/>
        <v>-1655947.9500000002</v>
      </c>
      <c r="M69" s="41"/>
      <c r="N69" s="118">
        <v>-4684933.2300000004</v>
      </c>
      <c r="O69" s="118">
        <v>-1427676.1110545064</v>
      </c>
      <c r="P69" s="41"/>
      <c r="Q69" s="118">
        <v>-3106379.51</v>
      </c>
      <c r="R69" s="118">
        <v>-945293.86374901864</v>
      </c>
      <c r="S69" s="41"/>
      <c r="T69" s="118">
        <v>-1655947.9500000002</v>
      </c>
      <c r="U69" s="118">
        <v>-492606.62955617346</v>
      </c>
      <c r="V69" s="66"/>
      <c r="W69" s="118">
        <v>-11943175.75</v>
      </c>
      <c r="X69" s="118">
        <v>-3518120.1227450981</v>
      </c>
      <c r="Y69" s="66"/>
      <c r="Z69" s="118">
        <v>-3114264.4299999997</v>
      </c>
      <c r="AA69" s="118">
        <v>-1007347.8314469454</v>
      </c>
    </row>
    <row r="70" spans="2:27">
      <c r="B70" s="15"/>
      <c r="C70" s="7"/>
      <c r="D70" s="7"/>
      <c r="E70" s="22"/>
      <c r="F70" s="22"/>
      <c r="G70" s="7"/>
      <c r="H70" s="16"/>
      <c r="I70" s="41">
        <f t="shared" si="0"/>
        <v>0</v>
      </c>
      <c r="J70" s="41">
        <f t="shared" si="1"/>
        <v>0</v>
      </c>
      <c r="K70" s="41">
        <f t="shared" si="2"/>
        <v>0</v>
      </c>
      <c r="L70" s="41">
        <f t="shared" si="3"/>
        <v>0</v>
      </c>
      <c r="M70" s="7"/>
      <c r="N70" s="22"/>
      <c r="O70" s="22"/>
      <c r="P70" s="7"/>
      <c r="Q70" s="22"/>
      <c r="R70" s="22"/>
      <c r="S70" s="7"/>
      <c r="T70" s="22"/>
      <c r="U70" s="22"/>
      <c r="V70" s="66"/>
      <c r="W70" s="22"/>
      <c r="X70" s="22"/>
      <c r="Y70" s="66"/>
      <c r="Z70" s="22"/>
      <c r="AA70" s="22"/>
    </row>
    <row r="71" spans="2:27">
      <c r="B71" s="115" t="s">
        <v>135</v>
      </c>
      <c r="C71" s="7"/>
      <c r="D71" s="7"/>
      <c r="E71" s="21">
        <f>SUMIF(TB!$J$2:$J$121,C71,TB!$F$2:$F$121)</f>
        <v>0</v>
      </c>
      <c r="F71" s="21">
        <f>SUMIF(TB!$J$2:$J$121,C71,TB!$I$2:$I$121)</f>
        <v>0</v>
      </c>
      <c r="G71" s="7"/>
      <c r="H71" s="16"/>
      <c r="I71" s="41">
        <f t="shared" si="0"/>
        <v>0</v>
      </c>
      <c r="J71" s="41">
        <f t="shared" si="1"/>
        <v>0</v>
      </c>
      <c r="K71" s="41">
        <f t="shared" si="2"/>
        <v>0</v>
      </c>
      <c r="L71" s="41">
        <f t="shared" si="3"/>
        <v>0</v>
      </c>
      <c r="M71" s="7"/>
      <c r="N71" s="21">
        <v>0</v>
      </c>
      <c r="O71" s="21">
        <v>0</v>
      </c>
      <c r="P71" s="7"/>
      <c r="Q71" s="21">
        <v>0</v>
      </c>
      <c r="R71" s="21">
        <v>0</v>
      </c>
      <c r="S71" s="7"/>
      <c r="T71" s="21">
        <v>0</v>
      </c>
      <c r="U71" s="21">
        <v>0</v>
      </c>
      <c r="V71" s="66"/>
      <c r="W71" s="21">
        <v>0</v>
      </c>
      <c r="X71" s="21">
        <v>0</v>
      </c>
      <c r="Y71" s="66"/>
      <c r="Z71" s="21">
        <v>0</v>
      </c>
      <c r="AA71" s="21">
        <v>0</v>
      </c>
    </row>
    <row r="72" spans="2:27">
      <c r="B72" s="115"/>
      <c r="C72" s="7"/>
      <c r="D72" s="7"/>
      <c r="E72" s="22"/>
      <c r="F72" s="22"/>
      <c r="G72" s="7"/>
      <c r="H72" s="16"/>
      <c r="I72" s="41">
        <f t="shared" si="0"/>
        <v>0</v>
      </c>
      <c r="J72" s="41">
        <f t="shared" si="1"/>
        <v>0</v>
      </c>
      <c r="K72" s="41">
        <f t="shared" si="2"/>
        <v>0</v>
      </c>
      <c r="L72" s="41">
        <f t="shared" si="3"/>
        <v>0</v>
      </c>
      <c r="M72" s="7"/>
      <c r="N72" s="22"/>
      <c r="O72" s="22"/>
      <c r="P72" s="7"/>
      <c r="Q72" s="22"/>
      <c r="R72" s="22"/>
      <c r="S72" s="7"/>
      <c r="T72" s="22"/>
      <c r="U72" s="22"/>
      <c r="V72" s="66"/>
      <c r="W72" s="22"/>
      <c r="X72" s="22"/>
      <c r="Y72" s="66"/>
      <c r="Z72" s="22"/>
      <c r="AA72" s="22"/>
    </row>
    <row r="73" spans="2:27" ht="14.5" thickBot="1">
      <c r="B73" s="117" t="s">
        <v>136</v>
      </c>
      <c r="C73" s="7"/>
      <c r="D73" s="7"/>
      <c r="E73" s="118">
        <f>E69-E71</f>
        <v>-8846827.2503147218</v>
      </c>
      <c r="F73" s="118">
        <f>F69-F71</f>
        <v>-2488658.7963305521</v>
      </c>
      <c r="G73" s="7"/>
      <c r="H73" s="16"/>
      <c r="I73" s="41">
        <f t="shared" si="0"/>
        <v>-4161894.0203147214</v>
      </c>
      <c r="J73" s="41">
        <f t="shared" si="1"/>
        <v>-1578553.7200000007</v>
      </c>
      <c r="K73" s="41">
        <f t="shared" si="2"/>
        <v>-1450431.5599999996</v>
      </c>
      <c r="L73" s="41">
        <f t="shared" si="3"/>
        <v>-1655947.9500000002</v>
      </c>
      <c r="M73" s="7"/>
      <c r="N73" s="118">
        <v>-4684933.2300000004</v>
      </c>
      <c r="O73" s="118">
        <v>-1427676.1110545064</v>
      </c>
      <c r="P73" s="7"/>
      <c r="Q73" s="118">
        <v>-3106379.51</v>
      </c>
      <c r="R73" s="118">
        <v>-945293.86374901864</v>
      </c>
      <c r="S73" s="7"/>
      <c r="T73" s="118">
        <v>-1655947.9500000002</v>
      </c>
      <c r="U73" s="118">
        <v>-492606.62955617346</v>
      </c>
      <c r="V73" s="66"/>
      <c r="W73" s="118">
        <v>-11943175.75</v>
      </c>
      <c r="X73" s="118">
        <v>-3518120.1227450981</v>
      </c>
      <c r="Y73" s="66"/>
      <c r="Z73" s="118">
        <v>-3114264.4299999997</v>
      </c>
      <c r="AA73" s="118">
        <v>-1007347.8314469454</v>
      </c>
    </row>
    <row r="74" spans="2:27">
      <c r="B74" s="15"/>
      <c r="C74" s="7"/>
      <c r="D74" s="7"/>
      <c r="E74" s="22"/>
      <c r="F74" s="22"/>
      <c r="G74" s="7"/>
      <c r="H74" s="16"/>
      <c r="I74" s="41">
        <f t="shared" si="0"/>
        <v>0</v>
      </c>
      <c r="J74" s="41">
        <f t="shared" si="1"/>
        <v>0</v>
      </c>
      <c r="K74" s="41">
        <f t="shared" si="2"/>
        <v>0</v>
      </c>
      <c r="L74" s="41">
        <f t="shared" si="3"/>
        <v>0</v>
      </c>
      <c r="M74" s="7"/>
      <c r="N74" s="22"/>
      <c r="O74" s="22"/>
      <c r="P74" s="7"/>
      <c r="Q74" s="22"/>
      <c r="R74" s="22"/>
      <c r="S74" s="7"/>
      <c r="T74" s="22"/>
      <c r="U74" s="22"/>
      <c r="V74" s="66"/>
      <c r="W74" s="22"/>
      <c r="X74" s="22"/>
      <c r="Y74" s="66"/>
      <c r="Z74" s="22"/>
      <c r="AA74" s="22"/>
    </row>
    <row r="75" spans="2:27">
      <c r="B75" s="15"/>
      <c r="C75" s="7"/>
      <c r="D75" s="7"/>
      <c r="E75" s="22"/>
      <c r="F75" s="22"/>
      <c r="G75" s="7"/>
      <c r="H75" s="16"/>
      <c r="I75" s="41">
        <f t="shared" si="0"/>
        <v>0</v>
      </c>
      <c r="J75" s="41">
        <f t="shared" si="1"/>
        <v>0</v>
      </c>
      <c r="K75" s="41">
        <f t="shared" si="2"/>
        <v>0</v>
      </c>
      <c r="L75" s="41">
        <f t="shared" si="3"/>
        <v>0</v>
      </c>
      <c r="M75" s="7"/>
      <c r="N75" s="22"/>
      <c r="O75" s="22"/>
      <c r="P75" s="7"/>
      <c r="Q75" s="22"/>
      <c r="R75" s="22"/>
      <c r="S75" s="7"/>
      <c r="T75" s="22"/>
      <c r="U75" s="22"/>
      <c r="V75" s="66"/>
      <c r="W75" s="22"/>
      <c r="X75" s="22"/>
      <c r="Y75" s="66"/>
      <c r="Z75" s="22"/>
      <c r="AA75" s="22"/>
    </row>
    <row r="76" spans="2:27" ht="13.5" thickBot="1">
      <c r="B76" s="20" t="s">
        <v>54</v>
      </c>
      <c r="C76" s="7"/>
      <c r="D76" s="7"/>
      <c r="E76" s="11">
        <f>E23-E65+E61</f>
        <v>-9100727.3503147215</v>
      </c>
      <c r="F76" s="11">
        <f>F23-F65+F61</f>
        <v>-2484755.9763305523</v>
      </c>
      <c r="G76" s="7"/>
      <c r="H76" s="16"/>
      <c r="I76" s="41">
        <f t="shared" si="0"/>
        <v>-3789254.9003147213</v>
      </c>
      <c r="J76" s="41">
        <f t="shared" si="1"/>
        <v>-1714902.2700000005</v>
      </c>
      <c r="K76" s="41">
        <f t="shared" si="2"/>
        <v>-1616148.5599999994</v>
      </c>
      <c r="L76" s="41">
        <f t="shared" si="3"/>
        <v>-1980421.6200000003</v>
      </c>
      <c r="M76" s="7"/>
      <c r="N76" s="11">
        <v>-5311472.45</v>
      </c>
      <c r="O76" s="11">
        <v>-1447163.9710545065</v>
      </c>
      <c r="P76" s="7"/>
      <c r="Q76" s="11">
        <v>-3596570.1799999997</v>
      </c>
      <c r="R76" s="11">
        <v>-994776.06374901859</v>
      </c>
      <c r="S76" s="7"/>
      <c r="T76" s="11">
        <v>-1980421.6200000003</v>
      </c>
      <c r="U76" s="11">
        <v>-553989.02955617348</v>
      </c>
      <c r="V76" s="66"/>
      <c r="W76" s="11">
        <v>-11656996.539999999</v>
      </c>
      <c r="X76" s="11">
        <v>-3405672.1342369993</v>
      </c>
      <c r="Y76" s="66"/>
      <c r="Z76" s="11">
        <v>-3157557.44</v>
      </c>
      <c r="AA76" s="11">
        <v>-992154.99144694547</v>
      </c>
    </row>
    <row r="77" spans="2:27" s="7" customFormat="1" ht="13" thickBot="1">
      <c r="B77" s="15"/>
      <c r="H77" s="16"/>
    </row>
    <row r="78" spans="2:27" s="7" customFormat="1">
      <c r="B78" s="12"/>
      <c r="C78" s="13"/>
      <c r="D78" s="13"/>
      <c r="E78" s="13"/>
      <c r="F78" s="13"/>
      <c r="G78" s="13"/>
      <c r="H78" s="14"/>
      <c r="N78" s="13"/>
      <c r="O78" s="13"/>
      <c r="Q78" s="13"/>
      <c r="R78" s="13"/>
      <c r="W78" s="13"/>
      <c r="X78" s="13"/>
      <c r="Z78" s="13"/>
      <c r="AA78" s="13"/>
    </row>
    <row r="79" spans="2:27" s="7" customFormat="1" ht="13">
      <c r="B79" s="23" t="s">
        <v>25</v>
      </c>
      <c r="H79" s="16"/>
    </row>
    <row r="80" spans="2:27" s="7" customFormat="1" ht="4.5" customHeight="1">
      <c r="B80" s="56"/>
      <c r="H80" s="16"/>
    </row>
    <row r="81" spans="2:27" s="7" customFormat="1" ht="13">
      <c r="B81" s="56" t="s">
        <v>22</v>
      </c>
      <c r="C81" s="67" t="s">
        <v>130</v>
      </c>
      <c r="H81" s="16"/>
    </row>
    <row r="82" spans="2:27" s="7" customFormat="1" ht="13" thickBot="1">
      <c r="B82" s="26"/>
      <c r="C82" s="27"/>
      <c r="D82" s="27"/>
      <c r="E82" s="27"/>
      <c r="F82" s="27"/>
      <c r="G82" s="27"/>
      <c r="H82" s="28"/>
      <c r="N82" s="27"/>
      <c r="O82" s="27"/>
      <c r="Q82" s="27"/>
      <c r="R82" s="27"/>
      <c r="W82" s="27"/>
      <c r="X82" s="27"/>
      <c r="Z82" s="27"/>
      <c r="AA82" s="27"/>
    </row>
    <row r="83" spans="2:27" s="7" customFormat="1"/>
    <row r="84" spans="2:27" s="7" customFormat="1"/>
    <row r="85" spans="2:27" s="7" customFormat="1">
      <c r="F85" s="41"/>
      <c r="O85" s="41"/>
      <c r="R85" s="41"/>
      <c r="X85" s="41"/>
      <c r="AA85" s="41"/>
    </row>
    <row r="86" spans="2:27" s="7" customFormat="1">
      <c r="B86" s="7" t="s">
        <v>151</v>
      </c>
      <c r="F86" s="138">
        <f>(F69+F67)/12</f>
        <v>-209127.99802754601</v>
      </c>
      <c r="I86" s="138">
        <f>(I69+I67)/3/3.6</f>
        <v>-358401.00928840012</v>
      </c>
      <c r="J86" s="138">
        <f t="shared" ref="J86:L86" si="4">(J69+J67)/3/3.6</f>
        <v>-158787.24722222227</v>
      </c>
      <c r="K86" s="138">
        <f t="shared" si="4"/>
        <v>-149643.38518518515</v>
      </c>
      <c r="L86" s="138">
        <f t="shared" si="4"/>
        <v>-183372.37222222224</v>
      </c>
      <c r="O86" s="138">
        <v>-160795.99678383407</v>
      </c>
      <c r="R86" s="138">
        <v>-165796.01062483643</v>
      </c>
      <c r="X86" s="138">
        <v>-569671.49185090465</v>
      </c>
      <c r="AA86" s="138">
        <v>-110239.44349410506</v>
      </c>
    </row>
    <row r="87" spans="2:27" s="7" customFormat="1"/>
    <row r="88" spans="2:27" s="39" customFormat="1"/>
  </sheetData>
  <pageMargins left="0.74803149606299213" right="0.74803149606299213" top="0.98425196850393704" bottom="0.98425196850393704" header="0.51181102362204722" footer="0.51181102362204722"/>
  <pageSetup paperSize="9" scale="63" orientation="portrait" r:id="rId1"/>
  <headerFooter scaleWithDoc="0">
    <oddHeader>&amp;C&amp;G</oddHeader>
    <oddFooter>&amp;C&amp;G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5"/>
  <sheetViews>
    <sheetView rightToLeft="1" tabSelected="1" topLeftCell="A55" zoomScaleNormal="100" workbookViewId="0">
      <selection activeCell="V58" sqref="A57:V58"/>
    </sheetView>
  </sheetViews>
  <sheetFormatPr defaultRowHeight="12.5"/>
  <cols>
    <col min="1" max="1" width="25" style="146" bestFit="1" customWidth="1"/>
    <col min="3" max="3" width="37.81640625" style="77" bestFit="1" customWidth="1"/>
    <col min="4" max="4" width="14.1796875" bestFit="1" customWidth="1"/>
    <col min="5" max="5" width="13" customWidth="1"/>
    <col min="6" max="6" width="14.1796875" bestFit="1" customWidth="1"/>
    <col min="7" max="7" width="13.453125" bestFit="1" customWidth="1"/>
    <col min="8" max="8" width="12.453125" customWidth="1"/>
    <col min="9" max="9" width="13.453125" bestFit="1" customWidth="1"/>
    <col min="10" max="10" width="24.1796875" bestFit="1" customWidth="1"/>
    <col min="11" max="11" width="11.1796875" customWidth="1"/>
    <col min="12" max="12" width="14.81640625" style="5" customWidth="1"/>
    <col min="13" max="13" width="11.54296875" style="5" customWidth="1"/>
    <col min="14" max="14" width="10.54296875" style="5" bestFit="1" customWidth="1"/>
    <col min="15" max="15" width="8.81640625" style="5"/>
    <col min="16" max="16" width="17.81640625" style="5" bestFit="1" customWidth="1"/>
    <col min="17" max="17" width="10.81640625" style="5" bestFit="1" customWidth="1"/>
    <col min="18" max="18" width="12.1796875" style="5" bestFit="1" customWidth="1"/>
    <col min="19" max="19" width="10.08984375" style="5" bestFit="1" customWidth="1"/>
    <col min="20" max="21" width="8.81640625" style="5"/>
    <col min="25" max="25" width="12.1796875" bestFit="1" customWidth="1"/>
  </cols>
  <sheetData>
    <row r="1" spans="1:21">
      <c r="A1" s="146" t="s">
        <v>153</v>
      </c>
      <c r="B1" t="s">
        <v>99</v>
      </c>
      <c r="C1" s="77" t="s">
        <v>100</v>
      </c>
      <c r="D1" t="s">
        <v>101</v>
      </c>
      <c r="E1" s="72" t="s">
        <v>112</v>
      </c>
      <c r="F1" s="72" t="s">
        <v>113</v>
      </c>
      <c r="G1" t="s">
        <v>102</v>
      </c>
      <c r="H1" s="72" t="s">
        <v>112</v>
      </c>
      <c r="I1" s="72" t="s">
        <v>114</v>
      </c>
    </row>
    <row r="2" spans="1:21">
      <c r="A2" s="148" t="str">
        <f t="shared" ref="A2:A3" si="0">"100.מזומנים ושווי מזומנים"</f>
        <v>100.מזומנים ושווי מזומנים</v>
      </c>
      <c r="B2" s="148">
        <v>1000</v>
      </c>
      <c r="C2" s="148" t="str">
        <f>"בנק לאומי שח 864/01880046"</f>
        <v>בנק לאומי שח 864/01880046</v>
      </c>
      <c r="D2" s="68">
        <f>VLOOKUP(B2,[1]DataSheet!$E$2:$H$112,3,0)</f>
        <v>130855.81</v>
      </c>
      <c r="E2" s="68">
        <f>SUMIF(AJE!$B$8:$B$36,B2,AJE!$D$8:$D$36)-SUMIF(AJE!$G$8:$G$36,B2,AJE!$I$8:$I$36)</f>
        <v>0</v>
      </c>
      <c r="F2" s="68">
        <f>D2+E2</f>
        <v>130855.81</v>
      </c>
      <c r="G2" s="68">
        <f>VLOOKUP(B2,[1]DataSheet!$E$2:$H$112,4,0)</f>
        <v>36078.25</v>
      </c>
      <c r="H2" s="68">
        <f>SUMIF(AJE!$B$8:$B$36,B2,AJE!$E$8:$E$36)-SUMIF(AJE!$G$8:$G$36,B2,AJE!$J$8:$J$36)</f>
        <v>0</v>
      </c>
      <c r="I2" s="68">
        <f t="shared" ref="I2:I3" si="1">G2+H2</f>
        <v>36078.25</v>
      </c>
      <c r="J2" s="7" t="s">
        <v>28</v>
      </c>
      <c r="K2" s="144">
        <f>D2/G2</f>
        <v>3.6269999237767907</v>
      </c>
      <c r="L2" s="128" t="s">
        <v>156</v>
      </c>
      <c r="M2" s="129"/>
    </row>
    <row r="3" spans="1:21">
      <c r="A3" s="148" t="str">
        <f t="shared" si="0"/>
        <v>100.מזומנים ושווי מזומנים</v>
      </c>
      <c r="B3" s="148">
        <v>1001</v>
      </c>
      <c r="C3" s="148" t="str">
        <f>"בנק לאומי 864/01880046 $$"</f>
        <v>בנק לאומי 864/01880046 $$</v>
      </c>
      <c r="D3" s="68">
        <f>VLOOKUP(B3,[1]DataSheet!$E$2:$H$112,3,0)</f>
        <v>1019378.22</v>
      </c>
      <c r="E3" s="68">
        <f>SUMIF(AJE!$B$8:$B$36,B3,AJE!$D$8:$D$36)-SUMIF(AJE!$G$8:$G$36,B3,AJE!$I$8:$I$36)</f>
        <v>0</v>
      </c>
      <c r="F3" s="68">
        <f t="shared" ref="F3:F47" si="2">D3+E3</f>
        <v>1019378.22</v>
      </c>
      <c r="G3" s="68">
        <f>VLOOKUP(B3,[1]DataSheet!$E$2:$H$112,4,0)</f>
        <v>281052.71999999997</v>
      </c>
      <c r="H3" s="68">
        <f>SUMIF(AJE!$B$8:$B$36,B3,AJE!$E$8:$E$36)-SUMIF(AJE!$G$8:$G$36,B3,AJE!$J$8:$J$36)</f>
        <v>0</v>
      </c>
      <c r="I3" s="68">
        <f t="shared" si="1"/>
        <v>281052.71999999997</v>
      </c>
      <c r="J3" s="7" t="s">
        <v>28</v>
      </c>
      <c r="K3" s="7">
        <f>F3/I3</f>
        <v>3.6270000162247142</v>
      </c>
      <c r="L3" s="128" t="s">
        <v>156</v>
      </c>
      <c r="M3" s="129"/>
      <c r="P3" s="114"/>
    </row>
    <row r="4" spans="1:21">
      <c r="A4" s="148" t="str">
        <f>"100.מזומנים ושווי מזומנים"</f>
        <v>100.מזומנים ושווי מזומנים</v>
      </c>
      <c r="B4" s="5">
        <v>1003</v>
      </c>
      <c r="C4" s="5" t="str">
        <f>"כ""א ויזה 9519 ש""ח"</f>
        <v>כ"א ויזה 9519 ש"ח</v>
      </c>
      <c r="D4" s="68">
        <f>VLOOKUP(B4,[1]DataSheet!$E$2:$H$112,3,0)</f>
        <v>-15738.04</v>
      </c>
      <c r="E4" s="68">
        <f>SUMIF(AJE!$B$8:$B$36,B4,AJE!$D$8:$D$36)-SUMIF(AJE!$G$8:$G$36,B4,AJE!$I$8:$I$36)</f>
        <v>0</v>
      </c>
      <c r="F4" s="68">
        <f t="shared" si="2"/>
        <v>-15738.04</v>
      </c>
      <c r="G4" s="68">
        <f>VLOOKUP(B4,[1]DataSheet!$E$2:$H$112,4,0)</f>
        <v>-4339.13</v>
      </c>
      <c r="H4" s="68">
        <f>SUMIF(AJE!$B$8:$B$36,B4,AJE!$E$8:$E$36)-SUMIF(AJE!$G$8:$G$36,B4,AJE!$J$8:$J$36)</f>
        <v>0</v>
      </c>
      <c r="I4" s="68">
        <f t="shared" ref="I4:I31" si="3">G4+H4</f>
        <v>-4339.13</v>
      </c>
      <c r="J4" s="52" t="s">
        <v>37</v>
      </c>
      <c r="K4" s="144">
        <f t="shared" ref="K4:K9" si="4">D4/G4</f>
        <v>3.6270035698400371</v>
      </c>
      <c r="N4" s="126"/>
      <c r="P4" s="114"/>
    </row>
    <row r="5" spans="1:21">
      <c r="A5" s="148" t="str">
        <f>"100.מזומנים ושווי מזומנים"</f>
        <v>100.מזומנים ושווי מזומנים</v>
      </c>
      <c r="B5" s="5">
        <v>1004</v>
      </c>
      <c r="C5" s="5" t="str">
        <f>"כ""א ויזה 9311 ש""ח"</f>
        <v>כ"א ויזה 9311 ש"ח</v>
      </c>
      <c r="D5" s="68">
        <f>VLOOKUP(B5,[1]DataSheet!$E$2:$H$112,3,0)</f>
        <v>-2121.21</v>
      </c>
      <c r="E5" s="68">
        <f>SUMIF(AJE!$B$8:$B$36,B5,AJE!$D$8:$D$36)-SUMIF(AJE!$G$8:$G$36,B5,AJE!$I$8:$I$36)</f>
        <v>0</v>
      </c>
      <c r="F5" s="68">
        <f t="shared" si="2"/>
        <v>-2121.21</v>
      </c>
      <c r="G5" s="68">
        <f>VLOOKUP(B5,[1]DataSheet!$E$2:$H$112,4,0)</f>
        <v>-584.84</v>
      </c>
      <c r="H5" s="68">
        <f>SUMIF(AJE!$B$8:$B$36,B5,AJE!$E$8:$E$36)-SUMIF(AJE!$G$8:$G$36,B5,AJE!$J$8:$J$36)</f>
        <v>0</v>
      </c>
      <c r="I5" s="68">
        <f t="shared" si="3"/>
        <v>-584.84</v>
      </c>
      <c r="J5" s="52" t="s">
        <v>37</v>
      </c>
      <c r="K5" s="144">
        <f t="shared" si="4"/>
        <v>3.6269919978113672</v>
      </c>
      <c r="N5" s="126"/>
      <c r="P5" s="114"/>
    </row>
    <row r="6" spans="1:21">
      <c r="A6" s="148" t="str">
        <f>"100.מזומנים ושווי מזומנים"</f>
        <v>100.מזומנים ושווי מזומנים</v>
      </c>
      <c r="B6" s="5">
        <v>1005</v>
      </c>
      <c r="C6" s="5" t="str">
        <f>"כ""א ויזה 7413 ש""ח"</f>
        <v>כ"א ויזה 7413 ש"ח</v>
      </c>
      <c r="D6" s="68">
        <f>VLOOKUP(B6,[1]DataSheet!$E$2:$H$112,3,0)</f>
        <v>-664.38</v>
      </c>
      <c r="E6" s="68">
        <f>SUMIF(AJE!$B$8:$B$36,B6,AJE!$D$8:$D$36)-SUMIF(AJE!$G$8:$G$36,B6,AJE!$I$8:$I$36)</f>
        <v>0</v>
      </c>
      <c r="F6" s="68">
        <f t="shared" si="2"/>
        <v>-664.38</v>
      </c>
      <c r="G6" s="68">
        <f>VLOOKUP(B6,[1]DataSheet!$E$2:$H$112,4,0)</f>
        <v>-183.18</v>
      </c>
      <c r="H6" s="68">
        <f>SUMIF(AJE!$B$8:$B$36,B6,AJE!$E$8:$E$36)-SUMIF(AJE!$G$8:$G$36,B6,AJE!$J$8:$J$36)</f>
        <v>0</v>
      </c>
      <c r="I6" s="68">
        <f t="shared" si="3"/>
        <v>-183.18</v>
      </c>
      <c r="J6" s="52" t="s">
        <v>37</v>
      </c>
      <c r="K6" s="144">
        <f t="shared" si="4"/>
        <v>3.6269243367179822</v>
      </c>
    </row>
    <row r="7" spans="1:21">
      <c r="A7" s="148" t="str">
        <f>"100.מזומנים ושווי מזומנים"</f>
        <v>100.מזומנים ושווי מזומנים</v>
      </c>
      <c r="B7" s="148">
        <v>1006</v>
      </c>
      <c r="C7" s="148" t="str">
        <f>"בנק לאומי GBP 864/01880046"</f>
        <v>בנק לאומי GBP 864/01880046</v>
      </c>
      <c r="D7" s="68">
        <f>VLOOKUP(B7,[1]DataSheet!$E$2:$H$112,3,0)</f>
        <v>0.42</v>
      </c>
      <c r="E7" s="68">
        <f>SUMIF(AJE!$B$8:$B$36,B7,AJE!$D$8:$D$36)-SUMIF(AJE!$G$8:$G$36,B7,AJE!$I$8:$I$36)</f>
        <v>0</v>
      </c>
      <c r="F7" s="68">
        <f t="shared" si="2"/>
        <v>0.42</v>
      </c>
      <c r="G7" s="68">
        <f>VLOOKUP(B7,[1]DataSheet!$E$2:$H$112,4,0)</f>
        <v>0.11</v>
      </c>
      <c r="H7" s="68">
        <f>SUMIF(AJE!$B$8:$B$36,B7,AJE!$E$8:$E$36)-SUMIF(AJE!$G$8:$G$36,B7,AJE!$J$8:$J$36)</f>
        <v>0</v>
      </c>
      <c r="I7" s="68">
        <f t="shared" si="3"/>
        <v>0.11</v>
      </c>
      <c r="J7" s="7" t="s">
        <v>28</v>
      </c>
      <c r="K7" s="144">
        <f t="shared" si="4"/>
        <v>3.8181818181818179</v>
      </c>
      <c r="L7" s="128" t="s">
        <v>156</v>
      </c>
    </row>
    <row r="8" spans="1:21">
      <c r="A8" s="148" t="str">
        <f>"100.מזומנים ושווי מזומנים"</f>
        <v>100.מזומנים ושווי מזומנים</v>
      </c>
      <c r="B8" s="5">
        <v>1007</v>
      </c>
      <c r="C8" s="5" t="str">
        <f>"כ""א ויזה 7413 $"</f>
        <v>כ"א ויזה 7413 $</v>
      </c>
      <c r="D8" s="68">
        <f>VLOOKUP(B8,[1]DataSheet!$E$2:$H$112,3,0)</f>
        <v>-15236.05</v>
      </c>
      <c r="E8" s="68">
        <f>SUMIF(AJE!$B$8:$B$36,B8,AJE!$D$8:$D$36)-SUMIF(AJE!$G$8:$G$36,B8,AJE!$I$8:$I$36)</f>
        <v>0</v>
      </c>
      <c r="F8" s="68">
        <f t="shared" si="2"/>
        <v>-15236.05</v>
      </c>
      <c r="G8" s="68">
        <f>VLOOKUP(B8,[1]DataSheet!$E$2:$H$112,4,0)</f>
        <v>-4200.7299999999996</v>
      </c>
      <c r="H8" s="68">
        <f>SUMIF(AJE!$B$8:$B$36,B8,AJE!$E$8:$E$36)-SUMIF(AJE!$G$8:$G$36,B8,AJE!$J$8:$J$36)</f>
        <v>0</v>
      </c>
      <c r="I8" s="68">
        <f t="shared" si="3"/>
        <v>-4200.7299999999996</v>
      </c>
      <c r="J8" s="52" t="s">
        <v>37</v>
      </c>
      <c r="K8" s="144">
        <f t="shared" si="4"/>
        <v>3.6270005451433445</v>
      </c>
      <c r="L8" s="114"/>
    </row>
    <row r="9" spans="1:21" s="148" customFormat="1">
      <c r="B9" s="5">
        <v>1008</v>
      </c>
      <c r="C9" s="5" t="s">
        <v>309</v>
      </c>
      <c r="D9" s="68">
        <f>VLOOKUP(B9,[1]DataSheet!$E$2:$H$112,3,0)</f>
        <v>-18669.98</v>
      </c>
      <c r="E9" s="68">
        <f>SUMIF(AJE!$B$8:$B$36,B9,AJE!$D$8:$D$36)-SUMIF(AJE!$G$8:$G$36,B9,AJE!$I$8:$I$36)</f>
        <v>0</v>
      </c>
      <c r="F9" s="68">
        <f t="shared" si="2"/>
        <v>-18669.98</v>
      </c>
      <c r="G9" s="68">
        <f>VLOOKUP(B9,[1]DataSheet!$E$2:$H$112,4,0)</f>
        <v>-5147.5</v>
      </c>
      <c r="H9" s="68">
        <f>SUMIF(AJE!$B$8:$B$36,B9,AJE!$E$8:$E$36)-SUMIF(AJE!$G$8:$G$36,B9,AJE!$J$8:$J$36)</f>
        <v>0</v>
      </c>
      <c r="I9" s="68">
        <f t="shared" si="3"/>
        <v>-5147.5</v>
      </c>
      <c r="J9" s="52" t="s">
        <v>37</v>
      </c>
      <c r="K9" s="144">
        <f t="shared" si="4"/>
        <v>3.6269995143273435</v>
      </c>
      <c r="L9" s="114"/>
      <c r="M9" s="5"/>
      <c r="N9" s="5"/>
      <c r="O9" s="5"/>
      <c r="P9" s="5"/>
      <c r="Q9" s="5"/>
      <c r="R9" s="5"/>
      <c r="S9" s="5"/>
      <c r="T9" s="5"/>
      <c r="U9" s="5"/>
    </row>
    <row r="10" spans="1:21">
      <c r="A10" s="148" t="str">
        <f>"100.מזומנים ושווי מזומנים"</f>
        <v>100.מזומנים ושווי מזומנים</v>
      </c>
      <c r="B10" s="148">
        <v>1011</v>
      </c>
      <c r="C10" s="148" t="str">
        <f>"פקדון בנק לאומי פק""מ"</f>
        <v>פקדון בנק לאומי פק"מ</v>
      </c>
      <c r="D10" s="68">
        <f>VLOOKUP(B10,[1]DataSheet!$E$2:$H$112,3,0)</f>
        <v>145977.01999999999</v>
      </c>
      <c r="E10" s="68">
        <f>SUMIF(AJE!$B$8:$B$36,B10,AJE!$D$8:$D$36)-SUMIF(AJE!$G$8:$G$36,B10,AJE!$I$8:$I$36)</f>
        <v>0</v>
      </c>
      <c r="F10" s="68">
        <f t="shared" si="2"/>
        <v>145977.01999999999</v>
      </c>
      <c r="G10" s="68">
        <f>VLOOKUP(B10,[1]DataSheet!$E$2:$H$112,4,0)</f>
        <v>40247.32</v>
      </c>
      <c r="H10" s="68">
        <f>SUMIF(AJE!$B$8:$B$36,B10,AJE!$E$8:$E$36)-SUMIF(AJE!$G$8:$G$36,B10,AJE!$J$8:$J$36)</f>
        <v>0</v>
      </c>
      <c r="I10" s="68">
        <f t="shared" si="3"/>
        <v>40247.32</v>
      </c>
      <c r="J10" s="67" t="s">
        <v>132</v>
      </c>
      <c r="K10" s="144">
        <f>D10/G10</f>
        <v>3.6269997604809459</v>
      </c>
      <c r="L10" s="128" t="s">
        <v>156</v>
      </c>
    </row>
    <row r="11" spans="1:21" s="148" customFormat="1">
      <c r="B11" s="148">
        <v>1012</v>
      </c>
      <c r="C11" s="148" t="s">
        <v>366</v>
      </c>
      <c r="D11" s="68">
        <f>VLOOKUP(B11,[1]DataSheet!$E$2:$H$112,3,0)</f>
        <v>1648707.15</v>
      </c>
      <c r="E11" s="68">
        <f>SUMIF(AJE!$B$8:$B$36,B11,AJE!$D$8:$D$36)-SUMIF(AJE!$G$8:$G$36,B11,AJE!$I$8:$I$36)</f>
        <v>0</v>
      </c>
      <c r="F11" s="68">
        <f t="shared" si="2"/>
        <v>1648707.15</v>
      </c>
      <c r="G11" s="68">
        <f>VLOOKUP(B11,[1]DataSheet!$E$2:$H$112,4,0)</f>
        <v>454564.97</v>
      </c>
      <c r="H11" s="68">
        <f>SUMIF(AJE!$B$8:$B$36,B11,AJE!$E$8:$E$36)-SUMIF(AJE!$G$8:$G$36,B11,AJE!$J$8:$J$36)</f>
        <v>0</v>
      </c>
      <c r="I11" s="68">
        <f t="shared" ref="I11" si="5">G11+H11</f>
        <v>454564.97</v>
      </c>
      <c r="J11" s="7" t="s">
        <v>28</v>
      </c>
      <c r="K11" s="144">
        <f>D11/G11</f>
        <v>3.6270000083816401</v>
      </c>
      <c r="L11" s="197" t="s">
        <v>390</v>
      </c>
      <c r="M11" s="5"/>
      <c r="N11" s="5"/>
      <c r="O11" s="5"/>
      <c r="P11" s="5"/>
      <c r="Q11" s="5"/>
      <c r="R11" s="5"/>
      <c r="S11" s="5"/>
      <c r="T11" s="5"/>
      <c r="U11" s="5"/>
    </row>
    <row r="12" spans="1:21" s="148" customFormat="1">
      <c r="B12" s="148">
        <v>1701</v>
      </c>
      <c r="C12" s="148" t="s">
        <v>162</v>
      </c>
      <c r="D12" s="68">
        <f>VLOOKUP(B12,[1]DataSheet!$E$2:$H$112,3,0)</f>
        <v>100360.02</v>
      </c>
      <c r="E12" s="68">
        <f>SUMIF(AJE!$B$8:$B$36,B12,AJE!$D$8:$D$36)-SUMIF(AJE!$G$8:$G$36,B12,AJE!$I$8:$I$36)</f>
        <v>0</v>
      </c>
      <c r="F12" s="68">
        <f t="shared" si="2"/>
        <v>100360.02</v>
      </c>
      <c r="G12" s="68">
        <f>VLOOKUP(B12,[1]DataSheet!$E$2:$H$112,4,0)</f>
        <v>27670.25</v>
      </c>
      <c r="H12" s="68">
        <f>SUMIF(AJE!$B$8:$B$36,B12,AJE!$E$8:$E$36)-SUMIF(AJE!$G$8:$G$36,B12,AJE!$J$8:$J$36)</f>
        <v>0</v>
      </c>
      <c r="I12" s="68">
        <f t="shared" si="3"/>
        <v>27670.25</v>
      </c>
      <c r="J12" s="7" t="s">
        <v>31</v>
      </c>
      <c r="K12" s="144"/>
      <c r="L12" s="114" t="s">
        <v>392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>
      <c r="A13" s="148" t="str">
        <f>"150.עלות"</f>
        <v>150.עלות</v>
      </c>
      <c r="B13" s="148">
        <v>1500</v>
      </c>
      <c r="C13" s="148" t="str">
        <f>"מחשבים ותוכנות"</f>
        <v>מחשבים ותוכנות</v>
      </c>
      <c r="D13" s="68">
        <f>VLOOKUP(B13,[1]DataSheet!$E$2:$H$112,3,0)</f>
        <v>200238.09</v>
      </c>
      <c r="E13" s="68">
        <f>SUMIF(AJE!$B$8:$B$36,B13,AJE!$D$8:$D$36)-SUMIF(AJE!$G$8:$G$36,B13,AJE!$I$8:$I$36)</f>
        <v>0</v>
      </c>
      <c r="F13" s="68">
        <f t="shared" si="2"/>
        <v>200238.09</v>
      </c>
      <c r="G13" s="68">
        <f>VLOOKUP(B13,[1]DataSheet!$E$2:$H$112,4,0)</f>
        <v>60215.91</v>
      </c>
      <c r="H13" s="68">
        <f>SUMIF(AJE!$B$8:$B$36,B13,AJE!$E$8:$E$36)-SUMIF(AJE!$G$8:$G$36,B13,AJE!$J$8:$J$36)</f>
        <v>0</v>
      </c>
      <c r="I13" s="68">
        <f t="shared" si="3"/>
        <v>60215.91</v>
      </c>
      <c r="J13" s="55" t="s">
        <v>33</v>
      </c>
      <c r="K13" s="144">
        <f t="shared" ref="K13:K20" si="6">D13/G13</f>
        <v>3.3253352809913523</v>
      </c>
      <c r="L13" s="114" t="s">
        <v>286</v>
      </c>
      <c r="M13" s="126"/>
      <c r="N13" s="143"/>
    </row>
    <row r="14" spans="1:21">
      <c r="A14" s="148" t="str">
        <f>"150.עלות"</f>
        <v>150.עלות</v>
      </c>
      <c r="B14" s="148">
        <v>1501</v>
      </c>
      <c r="C14" s="148" t="str">
        <f>"ריהוט וציוד"</f>
        <v>ריהוט וציוד</v>
      </c>
      <c r="D14" s="68">
        <f>VLOOKUP(B14,[1]DataSheet!$E$2:$H$112,3,0)</f>
        <v>152525.54</v>
      </c>
      <c r="E14" s="68">
        <f>SUMIF(AJE!$B$8:$B$36,B14,AJE!$D$8:$D$36)-SUMIF(AJE!$G$8:$G$36,B14,AJE!$I$8:$I$36)</f>
        <v>0</v>
      </c>
      <c r="F14" s="68">
        <f t="shared" si="2"/>
        <v>152525.54</v>
      </c>
      <c r="G14" s="68">
        <f>VLOOKUP(B14,[1]DataSheet!$E$2:$H$112,4,0)</f>
        <v>46915.77</v>
      </c>
      <c r="H14" s="68">
        <f>SUMIF(AJE!$B$8:$B$36,B14,AJE!$E$8:$E$36)-SUMIF(AJE!$G$8:$G$36,B14,AJE!$J$8:$J$36)</f>
        <v>0</v>
      </c>
      <c r="I14" s="68">
        <f t="shared" si="3"/>
        <v>46915.77</v>
      </c>
      <c r="J14" s="55" t="s">
        <v>33</v>
      </c>
      <c r="K14" s="144">
        <f t="shared" si="6"/>
        <v>3.2510505529377438</v>
      </c>
      <c r="L14" s="114" t="s">
        <v>286</v>
      </c>
    </row>
    <row r="15" spans="1:21">
      <c r="A15" s="148" t="str">
        <f>"150.עלות"</f>
        <v>150.עלות</v>
      </c>
      <c r="B15" s="148">
        <v>1502</v>
      </c>
      <c r="C15" s="148" t="str">
        <f>"שיפורים במושכר"</f>
        <v>שיפורים במושכר</v>
      </c>
      <c r="D15" s="68">
        <f>VLOOKUP(B15,[1]DataSheet!$E$2:$H$112,3,0)</f>
        <v>113554.22</v>
      </c>
      <c r="E15" s="68">
        <f>SUMIF(AJE!$B$8:$B$36,B15,AJE!$D$8:$D$36)-SUMIF(AJE!$G$8:$G$36,B15,AJE!$I$8:$I$36)</f>
        <v>0</v>
      </c>
      <c r="F15" s="68">
        <f t="shared" si="2"/>
        <v>113554.22</v>
      </c>
      <c r="G15" s="68">
        <f>VLOOKUP(B15,[1]DataSheet!$E$2:$H$112,4,0)</f>
        <v>35016.339999999997</v>
      </c>
      <c r="H15" s="68">
        <f>SUMIF(AJE!$B$8:$B$36,B15,AJE!$E$8:$E$36)-SUMIF(AJE!$G$8:$G$36,B15,AJE!$J$8:$J$36)</f>
        <v>0</v>
      </c>
      <c r="I15" s="68">
        <f t="shared" si="3"/>
        <v>35016.339999999997</v>
      </c>
      <c r="J15" s="55" t="s">
        <v>33</v>
      </c>
      <c r="K15" s="144">
        <f t="shared" si="6"/>
        <v>3.2428923182719842</v>
      </c>
      <c r="L15" s="114" t="s">
        <v>286</v>
      </c>
    </row>
    <row r="16" spans="1:21" s="148" customFormat="1">
      <c r="B16" s="148">
        <v>1550</v>
      </c>
      <c r="C16" s="148" t="s">
        <v>209</v>
      </c>
      <c r="D16" s="68">
        <f>VLOOKUP(B16,[1]DataSheet!$E$2:$H$112,3,0)</f>
        <v>-177419</v>
      </c>
      <c r="E16" s="68">
        <f>SUMIF(AJE!$B$8:$B$36,B16,AJE!$D$8:$D$36)-SUMIF(AJE!$G$8:$G$36,B16,AJE!$I$8:$I$36)</f>
        <v>0</v>
      </c>
      <c r="F16" s="68">
        <f t="shared" si="2"/>
        <v>-177419</v>
      </c>
      <c r="G16" s="68">
        <f>VLOOKUP(B16,[1]DataSheet!$E$2:$H$112,4,0)</f>
        <v>-54557</v>
      </c>
      <c r="H16" s="68">
        <f>SUMIF(AJE!$B$8:$B$36,B16,AJE!$E$8:$E$36)-SUMIF(AJE!$G$8:$G$36,B16,AJE!$J$8:$J$36)</f>
        <v>0</v>
      </c>
      <c r="I16" s="68">
        <f t="shared" si="3"/>
        <v>-54557</v>
      </c>
      <c r="J16" s="55" t="s">
        <v>33</v>
      </c>
      <c r="K16" s="144">
        <f t="shared" si="6"/>
        <v>3.25199332807889</v>
      </c>
      <c r="L16" s="114" t="s">
        <v>286</v>
      </c>
      <c r="M16" s="5"/>
      <c r="N16" s="5"/>
      <c r="O16" s="5"/>
      <c r="P16" s="5"/>
      <c r="Q16" s="5"/>
      <c r="R16" s="5"/>
      <c r="S16" s="5"/>
      <c r="T16" s="5"/>
      <c r="U16" s="5"/>
    </row>
    <row r="17" spans="1:21">
      <c r="A17" s="148" t="str">
        <f>"250.מע'מ חו'ז"</f>
        <v>250.מע'מ חו'ז</v>
      </c>
      <c r="B17" s="148">
        <v>2500</v>
      </c>
      <c r="C17" s="148" t="str">
        <f>"מע'מ חו'ז"</f>
        <v>מע'מ חו'ז</v>
      </c>
      <c r="D17" s="68">
        <f>VLOOKUP(B17,[1]DataSheet!$E$2:$H$112,3,0)</f>
        <v>61128.31</v>
      </c>
      <c r="E17" s="68">
        <f>SUMIF(AJE!$B$8:$B$36,B17,AJE!$D$8:$D$36)-SUMIF(AJE!$G$8:$G$36,B17,AJE!$I$8:$I$36)</f>
        <v>0</v>
      </c>
      <c r="F17" s="68">
        <f t="shared" si="2"/>
        <v>61128.31</v>
      </c>
      <c r="G17" s="68">
        <f>VLOOKUP(B17,[1]DataSheet!$E$2:$H$112,4,0)</f>
        <v>16853.68</v>
      </c>
      <c r="H17" s="68">
        <f>SUMIF(AJE!$B$8:$B$36,B17,AJE!$E$8:$E$36)-SUMIF(AJE!$G$8:$G$36,B17,AJE!$J$8:$J$36)</f>
        <v>0</v>
      </c>
      <c r="I17" s="68">
        <f t="shared" si="3"/>
        <v>16853.68</v>
      </c>
      <c r="J17" s="7" t="s">
        <v>103</v>
      </c>
      <c r="K17" s="144">
        <f t="shared" si="6"/>
        <v>3.6270007499845729</v>
      </c>
      <c r="L17" s="114"/>
    </row>
    <row r="18" spans="1:21">
      <c r="A18" s="148" t="str">
        <f>"250.מע'מ חו'ז"</f>
        <v>250.מע'מ חו'ז</v>
      </c>
      <c r="B18" s="148">
        <v>2502</v>
      </c>
      <c r="C18" s="148" t="str">
        <f>"מע'מ תשומות"</f>
        <v>מע'מ תשומות</v>
      </c>
      <c r="D18" s="68">
        <f>VLOOKUP(B18,[1]DataSheet!$E$2:$H$112,3,0)</f>
        <v>2237.4499999999998</v>
      </c>
      <c r="E18" s="68">
        <f>SUMIF(AJE!$B$8:$B$36,B18,AJE!$D$8:$D$36)-SUMIF(AJE!$G$8:$G$36,B18,AJE!$I$8:$I$36)</f>
        <v>0</v>
      </c>
      <c r="F18" s="68">
        <f t="shared" si="2"/>
        <v>2237.4499999999998</v>
      </c>
      <c r="G18" s="68">
        <f>VLOOKUP(B18,[1]DataSheet!$E$2:$H$112,4,0)</f>
        <v>616.89</v>
      </c>
      <c r="H18" s="68">
        <f>SUMIF(AJE!$B$8:$B$36,B18,AJE!$E$8:$E$36)-SUMIF(AJE!$G$8:$G$36,B18,AJE!$J$8:$J$36)</f>
        <v>0</v>
      </c>
      <c r="I18" s="68">
        <f t="shared" si="3"/>
        <v>616.89</v>
      </c>
      <c r="J18" s="7" t="s">
        <v>103</v>
      </c>
      <c r="K18" s="144">
        <f t="shared" si="6"/>
        <v>3.6269837410235208</v>
      </c>
    </row>
    <row r="19" spans="1:21">
      <c r="A19" s="148" t="str">
        <f>"250.מע'מ חו'ז"</f>
        <v>250.מע'מ חו'ז</v>
      </c>
      <c r="B19" s="148">
        <v>2503</v>
      </c>
      <c r="C19" s="148" t="str">
        <f>"מע'מ תשומות לנכסים"</f>
        <v>מע'מ תשומות לנכסים</v>
      </c>
      <c r="D19" s="68"/>
      <c r="E19" s="68">
        <f>SUMIF(AJE!$B$8:$B$36,B19,AJE!$D$8:$D$36)-SUMIF(AJE!$G$8:$G$36,B19,AJE!$I$8:$I$36)</f>
        <v>0</v>
      </c>
      <c r="F19" s="68">
        <f t="shared" si="2"/>
        <v>0</v>
      </c>
      <c r="G19" s="68"/>
      <c r="H19" s="68">
        <f>SUMIF(AJE!$B$8:$B$36,B19,AJE!$E$8:$E$36)-SUMIF(AJE!$G$8:$G$36,B19,AJE!$J$8:$J$36)</f>
        <v>0</v>
      </c>
      <c r="I19" s="68">
        <f t="shared" si="3"/>
        <v>0</v>
      </c>
      <c r="J19" s="7" t="s">
        <v>103</v>
      </c>
      <c r="K19" s="144" t="e">
        <f t="shared" si="6"/>
        <v>#DIV/0!</v>
      </c>
    </row>
    <row r="20" spans="1:21" s="148" customFormat="1">
      <c r="B20" s="152">
        <v>2610</v>
      </c>
      <c r="C20" s="148" t="s">
        <v>208</v>
      </c>
      <c r="D20" s="68">
        <f>VLOOKUP(B20,[1]DataSheet!$E$2:$H$112,3,0)</f>
        <v>7038</v>
      </c>
      <c r="E20" s="68">
        <f>SUMIF(AJE!$B$8:$B$36,B20,AJE!$D$8:$D$36)-SUMIF(AJE!$G$8:$G$36,B20,AJE!$I$8:$I$36)</f>
        <v>0</v>
      </c>
      <c r="F20" s="68">
        <f t="shared" si="2"/>
        <v>7038</v>
      </c>
      <c r="G20" s="68">
        <f>VLOOKUP(B20,[1]DataSheet!$E$2:$H$112,4,0)</f>
        <v>1940.45</v>
      </c>
      <c r="H20" s="68">
        <f>SUMIF(AJE!$B$8:$B$36,B20,AJE!$E$8:$E$36)-SUMIF(AJE!$G$8:$G$36,B20,AJE!$J$8:$J$36)</f>
        <v>0</v>
      </c>
      <c r="I20" s="68">
        <f t="shared" si="3"/>
        <v>1940.45</v>
      </c>
      <c r="J20" s="7" t="s">
        <v>103</v>
      </c>
      <c r="K20" s="144">
        <f t="shared" si="6"/>
        <v>3.6269937385657967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s="148" customFormat="1">
      <c r="B21" s="152">
        <v>2611</v>
      </c>
      <c r="C21" s="148" t="s">
        <v>289</v>
      </c>
      <c r="D21" s="68">
        <f>VLOOKUP(B21,[1]DataSheet!$E$2:$H$112,3,0)</f>
        <v>41031</v>
      </c>
      <c r="E21" s="68">
        <f>SUMIF(AJE!$B$8:$B$36,B21,AJE!$D$8:$D$36)-SUMIF(AJE!$G$8:$G$36,B21,AJE!$I$8:$I$36)</f>
        <v>0</v>
      </c>
      <c r="F21" s="68">
        <f t="shared" si="2"/>
        <v>41031</v>
      </c>
      <c r="G21" s="68">
        <f>VLOOKUP(B21,[1]DataSheet!$E$2:$H$112,4,0)</f>
        <v>11312.66</v>
      </c>
      <c r="H21" s="68">
        <f>SUMIF(AJE!$B$8:$B$36,B21,AJE!$E$8:$E$36)-SUMIF(AJE!$G$8:$G$36,B21,AJE!$J$8:$J$36)</f>
        <v>0</v>
      </c>
      <c r="I21" s="68">
        <f t="shared" si="3"/>
        <v>11312.66</v>
      </c>
      <c r="J21" s="7" t="s">
        <v>103</v>
      </c>
      <c r="K21" s="144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s="148" customFormat="1">
      <c r="B22" s="148">
        <v>2701</v>
      </c>
      <c r="C22" s="148" t="s">
        <v>161</v>
      </c>
      <c r="D22" s="68"/>
      <c r="E22" s="68">
        <f>SUMIF(AJE!$B$8:$B$36,B22,AJE!$D$8:$D$36)-SUMIF(AJE!$G$8:$G$36,B22,AJE!$I$8:$I$36)</f>
        <v>-32627.410256410258</v>
      </c>
      <c r="F22" s="68">
        <f t="shared" si="2"/>
        <v>-32627.410256410258</v>
      </c>
      <c r="G22" s="68"/>
      <c r="H22" s="68">
        <f>SUMIF(AJE!$B$8:$B$36,B22,AJE!$E$8:$E$36)-SUMIF(AJE!$G$8:$G$36,B22,AJE!$J$8:$J$36)</f>
        <v>-8995.7017525255742</v>
      </c>
      <c r="I22" s="68">
        <f t="shared" si="3"/>
        <v>-8995.7017525255742</v>
      </c>
      <c r="J22" s="52" t="s">
        <v>38</v>
      </c>
      <c r="K22" s="144"/>
      <c r="L22" s="114" t="s">
        <v>287</v>
      </c>
      <c r="M22" s="5"/>
      <c r="N22" s="5"/>
      <c r="O22" s="5"/>
      <c r="P22" s="5"/>
      <c r="Q22" s="5"/>
      <c r="R22" s="5"/>
      <c r="S22" s="5"/>
      <c r="T22" s="5"/>
      <c r="U22" s="5"/>
    </row>
    <row r="23" spans="1:21">
      <c r="A23" s="148" t="str">
        <f>"280.צדדים קשורים"</f>
        <v>280.צדדים קשורים</v>
      </c>
      <c r="B23" s="148">
        <v>2801</v>
      </c>
      <c r="C23" s="148" t="str">
        <f>"GETCTRL INC חו""ז"</f>
        <v>GETCTRL INC חו"ז</v>
      </c>
      <c r="D23" s="68">
        <f>VLOOKUP(B23,[1]DataSheet!$E$2:$H$112,3,0)</f>
        <v>-5156583.3099999996</v>
      </c>
      <c r="E23" s="68">
        <f>SUMIF(AJE!$B$8:$B$36,B23,AJE!$D$8:$D$36)-SUMIF(AJE!$G$8:$G$36,B23,AJE!$I$8:$I$36)</f>
        <v>0</v>
      </c>
      <c r="F23" s="68">
        <f t="shared" si="2"/>
        <v>-5156583.3099999996</v>
      </c>
      <c r="G23" s="68">
        <f>VLOOKUP(B23,[1]DataSheet!$E$2:$H$112,4,0)</f>
        <v>-1434999.34</v>
      </c>
      <c r="H23" s="68">
        <f>SUMIF(AJE!$B$8:$B$36,B23,AJE!$E$8:$E$36)-SUMIF(AJE!$G$8:$G$36,B23,AJE!$J$8:$J$36)</f>
        <v>0</v>
      </c>
      <c r="I23" s="68">
        <f t="shared" si="3"/>
        <v>-1434999.34</v>
      </c>
      <c r="J23" s="70" t="s">
        <v>104</v>
      </c>
      <c r="K23" s="144">
        <f>D23/G23</f>
        <v>3.5934394994216508</v>
      </c>
      <c r="N23" s="126"/>
    </row>
    <row r="24" spans="1:21" s="148" customFormat="1">
      <c r="B24" s="148">
        <v>2803</v>
      </c>
      <c r="C24" s="148" t="s">
        <v>163</v>
      </c>
      <c r="D24" s="68">
        <f>VLOOKUP(B24,[1]DataSheet!$E$2:$H$112,3,0)</f>
        <v>2360099.9500000002</v>
      </c>
      <c r="E24" s="68">
        <f>SUMIF(AJE!$B$8:$B$36,B24,AJE!$D$8:$D$36)-SUMIF(AJE!$G$8:$G$36,B24,AJE!$I$8:$I$36)</f>
        <v>-2711172.1300583114</v>
      </c>
      <c r="F24" s="68">
        <f t="shared" si="2"/>
        <v>-351072.18005831121</v>
      </c>
      <c r="G24" s="68">
        <f>VLOOKUP(B24,[1]DataSheet!$E$2:$H$112,4,0)</f>
        <v>650703.05000000005</v>
      </c>
      <c r="H24" s="68">
        <f>SUMIF(AJE!$B$8:$B$36,B24,AJE!$E$8:$E$36)-SUMIF(AJE!$G$8:$G$36,B24,AJE!$J$8:$J$36)</f>
        <v>-750646.80835249601</v>
      </c>
      <c r="I24" s="68">
        <f t="shared" si="3"/>
        <v>-99943.758352495963</v>
      </c>
      <c r="J24" s="70" t="s">
        <v>104</v>
      </c>
      <c r="K24" s="144">
        <f>D24/G24</f>
        <v>3.6269999810205285</v>
      </c>
      <c r="L24" s="5" t="s">
        <v>221</v>
      </c>
      <c r="M24" s="68">
        <v>-164258</v>
      </c>
      <c r="N24" s="145" t="s">
        <v>288</v>
      </c>
      <c r="O24" s="143"/>
      <c r="P24" s="143"/>
      <c r="Q24" s="5"/>
      <c r="R24" s="5"/>
      <c r="S24" s="5"/>
      <c r="T24" s="5"/>
      <c r="U24" s="5"/>
    </row>
    <row r="25" spans="1:21" s="148" customFormat="1">
      <c r="B25" s="148">
        <v>2804</v>
      </c>
      <c r="C25" s="148" t="s">
        <v>305</v>
      </c>
      <c r="D25" s="68">
        <f>VLOOKUP(B25,[1]DataSheet!$E$2:$H$112,3,0)</f>
        <v>-22281920</v>
      </c>
      <c r="E25" s="68">
        <f>SUMIF(AJE!$B$8:$B$36,B25,AJE!$D$8:$D$36)-SUMIF(AJE!$G$8:$G$36,B25,AJE!$I$8:$I$36)</f>
        <v>0</v>
      </c>
      <c r="F25" s="68">
        <f t="shared" si="2"/>
        <v>-22281920</v>
      </c>
      <c r="G25" s="68">
        <f>VLOOKUP(B25,[1]DataSheet!$E$2:$H$112,4,0)</f>
        <v>-6600000</v>
      </c>
      <c r="H25" s="68">
        <f>SUMIF(AJE!$B$8:$B$36,B25,AJE!$E$8:$E$36)-SUMIF(AJE!$G$8:$G$36,B25,AJE!$J$8:$J$36)</f>
        <v>0</v>
      </c>
      <c r="I25" s="68">
        <f t="shared" si="3"/>
        <v>-6600000</v>
      </c>
      <c r="J25" s="148" t="s">
        <v>304</v>
      </c>
      <c r="K25" s="144"/>
      <c r="L25" s="114" t="s">
        <v>394</v>
      </c>
      <c r="M25" s="68"/>
      <c r="N25" s="145"/>
      <c r="O25" s="143"/>
      <c r="P25" s="143"/>
      <c r="Q25" s="5"/>
      <c r="R25" s="5"/>
      <c r="S25" s="5"/>
      <c r="T25" s="5"/>
      <c r="U25" s="5"/>
    </row>
    <row r="26" spans="1:21" s="148" customFormat="1">
      <c r="B26" s="148">
        <v>1704</v>
      </c>
      <c r="C26" s="148" t="s">
        <v>306</v>
      </c>
      <c r="D26" s="68">
        <f>VLOOKUP(B26,[1]DataSheet!$E$2:$H$112,3,0)</f>
        <v>563565</v>
      </c>
      <c r="E26" s="68">
        <f>SUMIF(AJE!$B$8:$B$36,B26,AJE!$D$8:$D$36)-SUMIF(AJE!$G$8:$G$36,B26,AJE!$I$8:$I$36)</f>
        <v>0</v>
      </c>
      <c r="F26" s="68">
        <f t="shared" si="2"/>
        <v>563565</v>
      </c>
      <c r="G26" s="68">
        <f>VLOOKUP(B26,[1]DataSheet!$E$2:$H$112,4,0)</f>
        <v>160149.19</v>
      </c>
      <c r="H26" s="68">
        <f>SUMIF(AJE!$B$8:$B$36,B26,AJE!$E$8:$E$36)-SUMIF(AJE!$G$8:$G$36,B26,AJE!$J$8:$J$36)</f>
        <v>0</v>
      </c>
      <c r="I26" s="68">
        <f t="shared" si="3"/>
        <v>160149.19</v>
      </c>
      <c r="J26" s="72" t="s">
        <v>308</v>
      </c>
      <c r="K26" s="144"/>
      <c r="L26" s="5"/>
      <c r="M26" s="68"/>
      <c r="N26" s="145"/>
      <c r="O26" s="143"/>
      <c r="P26" s="143"/>
      <c r="Q26" s="5"/>
      <c r="R26" s="5"/>
      <c r="S26" s="5"/>
      <c r="T26" s="5"/>
      <c r="U26" s="5"/>
    </row>
    <row r="27" spans="1:21" s="148" customFormat="1">
      <c r="B27" s="148">
        <v>2704</v>
      </c>
      <c r="C27" s="148" t="s">
        <v>307</v>
      </c>
      <c r="D27" s="68">
        <f>VLOOKUP(B27,[1]DataSheet!$E$2:$H$112,3,0)</f>
        <v>-569697</v>
      </c>
      <c r="E27" s="68">
        <f>SUMIF(AJE!$B$8:$B$36,B27,AJE!$D$8:$D$36)-SUMIF(AJE!$G$8:$G$36,B27,AJE!$I$8:$I$36)</f>
        <v>0</v>
      </c>
      <c r="F27" s="68">
        <f t="shared" si="2"/>
        <v>-569697</v>
      </c>
      <c r="G27" s="68">
        <f>VLOOKUP(B27,[1]DataSheet!$E$2:$H$112,4,0)</f>
        <v>-161891.73000000001</v>
      </c>
      <c r="H27" s="68">
        <f>SUMIF(AJE!$B$8:$B$36,B27,AJE!$E$8:$E$36)-SUMIF(AJE!$G$8:$G$36,B27,AJE!$J$8:$J$36)</f>
        <v>0</v>
      </c>
      <c r="I27" s="68">
        <f t="shared" si="3"/>
        <v>-161891.73000000001</v>
      </c>
      <c r="J27" s="130" t="s">
        <v>143</v>
      </c>
      <c r="K27" s="144"/>
      <c r="L27" s="5"/>
      <c r="M27" s="68"/>
      <c r="N27" s="145"/>
      <c r="O27" s="143"/>
      <c r="P27" s="143"/>
      <c r="Q27" s="5"/>
      <c r="R27" s="5"/>
      <c r="S27" s="5"/>
      <c r="T27" s="5"/>
      <c r="U27" s="5"/>
    </row>
    <row r="28" spans="1:21">
      <c r="A28" s="148" t="str">
        <f>"300.ספקים"</f>
        <v>300.ספקים</v>
      </c>
      <c r="B28" s="5">
        <v>3003</v>
      </c>
      <c r="C28" s="5" t="str">
        <f>"סודקסו פאס ישראל בע""מ CIBUS"</f>
        <v>סודקסו פאס ישראל בע"מ CIBUS</v>
      </c>
      <c r="D28" s="68">
        <f>VLOOKUP(B28,[1]DataSheet!$E$2:$H$112,3,0)</f>
        <v>-6571</v>
      </c>
      <c r="E28" s="68">
        <f>SUMIF(AJE!$B$8:$B$36,B28,AJE!$D$8:$D$36)-SUMIF(AJE!$G$8:$G$36,B28,AJE!$I$8:$I$36)</f>
        <v>0</v>
      </c>
      <c r="F28" s="68">
        <f t="shared" si="2"/>
        <v>-6571</v>
      </c>
      <c r="G28" s="68">
        <f>VLOOKUP(B28,[1]DataSheet!$E$2:$H$112,4,0)</f>
        <v>-1811.69</v>
      </c>
      <c r="H28" s="68">
        <f>SUMIF(AJE!$B$8:$B$36,B28,AJE!$E$8:$E$36)-SUMIF(AJE!$G$8:$G$36,B28,AJE!$J$8:$J$36)</f>
        <v>0</v>
      </c>
      <c r="I28" s="68">
        <f t="shared" si="3"/>
        <v>-1811.69</v>
      </c>
      <c r="J28" s="52" t="s">
        <v>37</v>
      </c>
      <c r="K28" s="144">
        <f t="shared" ref="K28:K37" si="7">D28/G28</f>
        <v>3.6270002042292004</v>
      </c>
      <c r="P28" s="126"/>
    </row>
    <row r="29" spans="1:21">
      <c r="A29" s="148" t="str">
        <f>"300.ספקים"</f>
        <v>300.ספקים</v>
      </c>
      <c r="B29" s="5">
        <v>3017</v>
      </c>
      <c r="C29" s="5" t="str">
        <f>"תכן חברה כלכלית של הקיבוץ הארצי בע""מ"</f>
        <v>תכן חברה כלכלית של הקיבוץ הארצי בע"מ</v>
      </c>
      <c r="D29" s="68">
        <f>VLOOKUP(B29,[1]DataSheet!$E$2:$H$112,3,0)</f>
        <v>-5868</v>
      </c>
      <c r="E29" s="68">
        <f>SUMIF(AJE!$B$8:$B$36,B29,AJE!$D$8:$D$36)-SUMIF(AJE!$G$8:$G$36,B29,AJE!$I$8:$I$36)</f>
        <v>0</v>
      </c>
      <c r="F29" s="68">
        <f t="shared" si="2"/>
        <v>-5868</v>
      </c>
      <c r="G29" s="68">
        <f>VLOOKUP(B29,[1]DataSheet!$E$2:$H$112,4,0)</f>
        <v>-1617.87</v>
      </c>
      <c r="H29" s="68">
        <f>SUMIF(AJE!$B$8:$B$36,B29,AJE!$E$8:$E$36)-SUMIF(AJE!$G$8:$G$36,B29,AJE!$J$8:$J$36)</f>
        <v>0</v>
      </c>
      <c r="I29" s="68">
        <f t="shared" si="3"/>
        <v>-1617.87</v>
      </c>
      <c r="J29" s="52" t="s">
        <v>37</v>
      </c>
      <c r="K29" s="144">
        <f t="shared" si="7"/>
        <v>3.626991043779785</v>
      </c>
      <c r="M29" s="114"/>
    </row>
    <row r="30" spans="1:21" s="146" customFormat="1">
      <c r="A30" s="148" t="str">
        <f>"300.ספקים"</f>
        <v>300.ספקים</v>
      </c>
      <c r="B30" s="5">
        <v>3026</v>
      </c>
      <c r="C30" s="5" t="str">
        <f>"נ.פ.א סוכנות לביטוח (2001) בע""מ"</f>
        <v>נ.פ.א סוכנות לביטוח (2001) בע"מ</v>
      </c>
      <c r="D30" s="68">
        <f>VLOOKUP(B30,[1]DataSheet!$E$2:$H$112,3,0)</f>
        <v>-350</v>
      </c>
      <c r="E30" s="68">
        <f>SUMIF(AJE!$B$8:$B$36,B30,AJE!$D$8:$D$36)-SUMIF(AJE!$G$8:$G$36,B30,AJE!$I$8:$I$36)</f>
        <v>0</v>
      </c>
      <c r="F30" s="68">
        <f t="shared" si="2"/>
        <v>-350</v>
      </c>
      <c r="G30" s="68">
        <f>VLOOKUP(B30,[1]DataSheet!$E$2:$H$112,4,0)</f>
        <v>-96.5</v>
      </c>
      <c r="H30" s="68">
        <f>SUMIF(AJE!$B$8:$B$36,B30,AJE!$E$8:$E$36)-SUMIF(AJE!$G$8:$G$36,B30,AJE!$J$8:$J$36)</f>
        <v>0</v>
      </c>
      <c r="I30" s="68">
        <f t="shared" si="3"/>
        <v>-96.5</v>
      </c>
      <c r="J30" s="52" t="s">
        <v>37</v>
      </c>
      <c r="K30" s="144">
        <f t="shared" si="7"/>
        <v>3.6269430051813472</v>
      </c>
      <c r="L30" s="5"/>
      <c r="M30" s="114"/>
      <c r="N30" s="5"/>
      <c r="O30" s="5"/>
      <c r="P30" s="5"/>
      <c r="Q30" s="5"/>
      <c r="R30" s="5"/>
      <c r="S30" s="5"/>
      <c r="T30" s="5"/>
      <c r="U30" s="5"/>
    </row>
    <row r="31" spans="1:21" s="146" customFormat="1">
      <c r="A31" s="148" t="str">
        <f>"305.ספקים חו""ל"</f>
        <v>305.ספקים חו"ל</v>
      </c>
      <c r="B31" s="5">
        <v>3120</v>
      </c>
      <c r="C31" s="5" t="str">
        <f>"GOOGLE"</f>
        <v>GOOGLE</v>
      </c>
      <c r="D31" s="68">
        <f>VLOOKUP(B31,[1]DataSheet!$E$2:$H$112,3,0)</f>
        <v>-25.82</v>
      </c>
      <c r="E31" s="68">
        <f>SUMIF(AJE!$B$8:$B$36,B31,AJE!$D$8:$D$36)-SUMIF(AJE!$G$8:$G$36,B31,AJE!$I$8:$I$36)</f>
        <v>0</v>
      </c>
      <c r="F31" s="68">
        <f t="shared" si="2"/>
        <v>-25.82</v>
      </c>
      <c r="G31" s="68">
        <f>VLOOKUP(B31,[1]DataSheet!$E$2:$H$112,4,0)</f>
        <v>-7.12</v>
      </c>
      <c r="H31" s="68">
        <f>SUMIF(AJE!$B$8:$B$36,B31,AJE!$E$8:$E$36)-SUMIF(AJE!$G$8:$G$36,B31,AJE!$J$8:$J$36)</f>
        <v>0</v>
      </c>
      <c r="I31" s="68">
        <f t="shared" si="3"/>
        <v>-7.12</v>
      </c>
      <c r="J31" s="52" t="s">
        <v>37</v>
      </c>
      <c r="K31" s="144">
        <f t="shared" si="7"/>
        <v>3.6264044943820224</v>
      </c>
      <c r="L31" s="5"/>
      <c r="M31" s="114"/>
      <c r="N31" s="5"/>
      <c r="O31" s="5"/>
      <c r="P31" s="5"/>
      <c r="Q31" s="5"/>
      <c r="R31" s="5"/>
      <c r="S31" s="5"/>
      <c r="T31" s="5"/>
      <c r="U31" s="5"/>
    </row>
    <row r="32" spans="1:21" s="148" customFormat="1">
      <c r="B32" s="5">
        <v>3099</v>
      </c>
      <c r="C32" s="5" t="s">
        <v>164</v>
      </c>
      <c r="D32" s="68">
        <f>VLOOKUP(B32,[1]DataSheet!$E$2:$H$112,3,0)</f>
        <v>15461.12</v>
      </c>
      <c r="E32" s="68">
        <f>SUMIF(AJE!$B$8:$B$36,B32,AJE!$D$8:$D$36)-SUMIF(AJE!$G$8:$G$36,B32,AJE!$I$8:$I$36)</f>
        <v>-15461.12</v>
      </c>
      <c r="F32" s="68">
        <f t="shared" si="2"/>
        <v>0</v>
      </c>
      <c r="G32" s="68">
        <f>VLOOKUP(B32,[1]DataSheet!$E$2:$H$112,4,0)</f>
        <v>4262.78</v>
      </c>
      <c r="H32" s="68">
        <f>SUMIF(AJE!$B$8:$B$36,B32,AJE!$E$8:$E$36)-SUMIF(AJE!$G$8:$G$36,B32,AJE!$J$8:$J$36)</f>
        <v>-4262.7846705266065</v>
      </c>
      <c r="I32" s="68">
        <f t="shared" ref="I32:I38" si="8">G32+H32</f>
        <v>-4.6705266067874618E-3</v>
      </c>
      <c r="J32" s="52" t="s">
        <v>37</v>
      </c>
      <c r="K32" s="144">
        <f t="shared" si="7"/>
        <v>3.6270039739325046</v>
      </c>
      <c r="L32" s="5"/>
      <c r="M32" s="114"/>
      <c r="N32" s="5"/>
      <c r="O32" s="5"/>
      <c r="P32" s="5"/>
      <c r="Q32" s="5"/>
      <c r="R32" s="5"/>
      <c r="S32" s="5"/>
      <c r="T32" s="5"/>
      <c r="U32" s="5"/>
    </row>
    <row r="33" spans="2:20" s="148" customFormat="1">
      <c r="B33" s="151">
        <v>3180</v>
      </c>
      <c r="C33" s="156" t="s">
        <v>231</v>
      </c>
      <c r="D33" s="68">
        <f>VLOOKUP(B33,[1]DataSheet!$E$2:$H$112,3,0)</f>
        <v>-27933.99</v>
      </c>
      <c r="E33" s="68">
        <f>SUMIF(AJE!$B$8:$B$36,B33,AJE!$D$8:$D$36)-SUMIF(AJE!$G$8:$G$36,B33,AJE!$I$8:$I$36)</f>
        <v>0</v>
      </c>
      <c r="F33" s="68">
        <f t="shared" si="2"/>
        <v>-27933.99</v>
      </c>
      <c r="G33" s="68">
        <f>VLOOKUP(B33,[1]DataSheet!$E$2:$H$112,4,0)</f>
        <v>-7701.68</v>
      </c>
      <c r="H33" s="68">
        <f>SUMIF(AJE!$B$8:$B$36,B33,AJE!$E$8:$E$36)-SUMIF(AJE!$G$8:$G$36,B33,AJE!$J$8:$J$36)</f>
        <v>0</v>
      </c>
      <c r="I33" s="68">
        <f t="shared" si="8"/>
        <v>-7701.68</v>
      </c>
      <c r="J33" s="52" t="s">
        <v>37</v>
      </c>
      <c r="K33" s="144">
        <f t="shared" si="7"/>
        <v>3.6269995637315495</v>
      </c>
      <c r="L33" s="114"/>
      <c r="M33" s="5"/>
      <c r="N33" s="5"/>
      <c r="O33" s="5"/>
      <c r="P33" s="5"/>
      <c r="Q33" s="5"/>
      <c r="R33" s="5"/>
      <c r="S33" s="5"/>
      <c r="T33" s="5"/>
    </row>
    <row r="34" spans="2:20" s="148" customFormat="1">
      <c r="B34" s="151">
        <v>3245</v>
      </c>
      <c r="C34" s="156" t="s">
        <v>210</v>
      </c>
      <c r="D34" s="68">
        <f>VLOOKUP(B34,[1]DataSheet!$E$2:$H$112,3,0)</f>
        <v>7273.84</v>
      </c>
      <c r="E34" s="68">
        <f>SUMIF(AJE!$B$8:$B$36,B34,AJE!$D$8:$D$36)-SUMIF(AJE!$G$8:$G$36,B34,AJE!$I$8:$I$36)</f>
        <v>-7273.84</v>
      </c>
      <c r="F34" s="68">
        <f t="shared" si="2"/>
        <v>0</v>
      </c>
      <c r="G34" s="68">
        <f>VLOOKUP(B34,[1]DataSheet!$E$2:$H$112,4,0)</f>
        <v>2005.47</v>
      </c>
      <c r="H34" s="68">
        <f>SUMIF(AJE!$B$8:$B$36,B34,AJE!$E$8:$E$36)-SUMIF(AJE!$G$8:$G$36,B34,AJE!$J$8:$J$36)</f>
        <v>-2005.4700854700857</v>
      </c>
      <c r="I34" s="68">
        <f t="shared" si="8"/>
        <v>-8.5470085650740657E-5</v>
      </c>
      <c r="J34" s="52" t="s">
        <v>37</v>
      </c>
      <c r="K34" s="144">
        <f t="shared" si="7"/>
        <v>3.6270001545772312</v>
      </c>
      <c r="L34" s="114"/>
      <c r="M34" s="5"/>
      <c r="N34" s="5"/>
      <c r="O34" s="5"/>
      <c r="P34" s="5"/>
      <c r="Q34" s="5"/>
      <c r="R34" s="5"/>
      <c r="S34" s="5"/>
      <c r="T34" s="5"/>
    </row>
    <row r="35" spans="2:20" s="148" customFormat="1">
      <c r="B35" s="5">
        <v>3016</v>
      </c>
      <c r="C35" s="5" t="s">
        <v>290</v>
      </c>
      <c r="D35" s="68">
        <f>VLOOKUP(B35,[1]DataSheet!$E$2:$H$112,3,0)</f>
        <v>-125</v>
      </c>
      <c r="E35" s="68">
        <f>SUMIF(AJE!$B$8:$B$36,B35,AJE!$D$8:$D$36)-SUMIF(AJE!$G$8:$G$36,B35,AJE!$I$8:$I$36)</f>
        <v>0</v>
      </c>
      <c r="F35" s="68">
        <f t="shared" si="2"/>
        <v>-125</v>
      </c>
      <c r="G35" s="68">
        <f>VLOOKUP(B35,[1]DataSheet!$E$2:$H$112,4,0)</f>
        <v>-34.46</v>
      </c>
      <c r="H35" s="68">
        <f>SUMIF(AJE!$B$8:$B$36,B35,AJE!$E$8:$E$36)-SUMIF(AJE!$G$8:$G$36,B35,AJE!$J$8:$J$36)</f>
        <v>0</v>
      </c>
      <c r="I35" s="68">
        <f t="shared" si="8"/>
        <v>-34.46</v>
      </c>
      <c r="J35" s="52" t="s">
        <v>37</v>
      </c>
      <c r="K35" s="144">
        <f t="shared" si="7"/>
        <v>3.627394080092861</v>
      </c>
      <c r="L35" s="114"/>
      <c r="M35" s="5"/>
      <c r="N35" s="5"/>
      <c r="O35" s="5"/>
      <c r="P35" s="5"/>
      <c r="Q35" s="5"/>
      <c r="R35" s="5"/>
      <c r="S35" s="5"/>
      <c r="T35" s="5"/>
    </row>
    <row r="36" spans="2:20" s="148" customFormat="1">
      <c r="B36" s="5">
        <v>3139</v>
      </c>
      <c r="C36" s="5" t="s">
        <v>291</v>
      </c>
      <c r="D36" s="68">
        <f>VLOOKUP(B36,[1]DataSheet!$E$2:$H$112,3,0)</f>
        <v>1669.21</v>
      </c>
      <c r="E36" s="68">
        <f>SUMIF(AJE!$B$8:$B$36,B36,AJE!$D$8:$D$36)-SUMIF(AJE!$G$8:$G$36,B36,AJE!$I$8:$I$36)</f>
        <v>-1669.21</v>
      </c>
      <c r="F36" s="68">
        <f t="shared" si="2"/>
        <v>0</v>
      </c>
      <c r="G36" s="68">
        <f>VLOOKUP(B36,[1]DataSheet!$E$2:$H$112,4,0)</f>
        <v>460.22</v>
      </c>
      <c r="H36" s="68">
        <f>SUMIF(AJE!$B$8:$B$36,B36,AJE!$E$8:$E$36)-SUMIF(AJE!$G$8:$G$36,B36,AJE!$J$8:$J$36)</f>
        <v>-460.21781086297221</v>
      </c>
      <c r="I36" s="68">
        <f t="shared" si="8"/>
        <v>2.1891370278126487E-3</v>
      </c>
      <c r="J36" s="52" t="s">
        <v>37</v>
      </c>
      <c r="K36" s="144">
        <f t="shared" si="7"/>
        <v>3.6269827473816867</v>
      </c>
      <c r="L36" s="114"/>
      <c r="M36" s="5"/>
      <c r="N36" s="5"/>
      <c r="O36" s="5"/>
      <c r="P36" s="5"/>
      <c r="Q36" s="5"/>
      <c r="R36" s="5"/>
      <c r="S36" s="5"/>
      <c r="T36" s="5"/>
    </row>
    <row r="37" spans="2:20" s="148" customFormat="1">
      <c r="B37" s="5">
        <v>3191</v>
      </c>
      <c r="C37" s="5" t="s">
        <v>292</v>
      </c>
      <c r="D37" s="68">
        <f>VLOOKUP(B37,[1]DataSheet!$E$2:$H$112,3,0)</f>
        <v>-10.63</v>
      </c>
      <c r="E37" s="68">
        <f>SUMIF(AJE!$B$8:$B$36,B37,AJE!$D$8:$D$36)-SUMIF(AJE!$G$8:$G$36,B37,AJE!$I$8:$I$36)</f>
        <v>0</v>
      </c>
      <c r="F37" s="68">
        <f t="shared" si="2"/>
        <v>-10.63</v>
      </c>
      <c r="G37" s="68">
        <f>VLOOKUP(B37,[1]DataSheet!$E$2:$H$112,4,0)</f>
        <v>-2.93</v>
      </c>
      <c r="H37" s="68">
        <f>SUMIF(AJE!$B$8:$B$36,B37,AJE!$E$8:$E$36)-SUMIF(AJE!$G$8:$G$36,B37,AJE!$J$8:$J$36)</f>
        <v>0</v>
      </c>
      <c r="I37" s="68">
        <f t="shared" si="8"/>
        <v>-2.93</v>
      </c>
      <c r="J37" s="52" t="s">
        <v>37</v>
      </c>
      <c r="K37" s="144">
        <f t="shared" si="7"/>
        <v>3.6279863481228669</v>
      </c>
      <c r="L37" s="114"/>
      <c r="M37" s="5"/>
      <c r="N37" s="5"/>
      <c r="O37" s="5"/>
      <c r="P37" s="5"/>
      <c r="Q37" s="5"/>
      <c r="R37" s="5"/>
      <c r="S37" s="5"/>
      <c r="T37" s="5"/>
    </row>
    <row r="38" spans="2:20" s="148" customFormat="1">
      <c r="B38" s="5">
        <v>3277</v>
      </c>
      <c r="C38" s="5" t="s">
        <v>293</v>
      </c>
      <c r="D38" s="68">
        <f>VLOOKUP(B38,[1]DataSheet!$E$2:$H$112,3,0)</f>
        <v>1813.5</v>
      </c>
      <c r="E38" s="68">
        <f>SUMIF(AJE!$B$8:$B$36,B38,AJE!$D$8:$D$36)-SUMIF(AJE!$G$8:$G$36,B38,AJE!$I$8:$I$36)</f>
        <v>-1813.5</v>
      </c>
      <c r="F38" s="68">
        <f t="shared" si="2"/>
        <v>0</v>
      </c>
      <c r="G38" s="68">
        <f>VLOOKUP(B38,[1]DataSheet!$E$2:$H$112,4,0)</f>
        <v>500</v>
      </c>
      <c r="H38" s="68">
        <f>SUMIF(AJE!$B$8:$B$36,B38,AJE!$E$8:$E$36)-SUMIF(AJE!$G$8:$G$36,B38,AJE!$J$8:$J$36)</f>
        <v>-500.00000000000006</v>
      </c>
      <c r="I38" s="68">
        <f t="shared" si="8"/>
        <v>0</v>
      </c>
      <c r="J38" s="52" t="s">
        <v>37</v>
      </c>
      <c r="K38" s="144">
        <f t="shared" ref="K38:K46" si="9">D38/G38</f>
        <v>3.6269999999999998</v>
      </c>
      <c r="L38" s="114"/>
      <c r="M38" s="5"/>
      <c r="N38" s="5"/>
      <c r="O38" s="5"/>
      <c r="P38" s="5"/>
      <c r="Q38" s="5"/>
      <c r="R38" s="5"/>
      <c r="S38" s="5"/>
      <c r="T38" s="5"/>
    </row>
    <row r="39" spans="2:20" s="148" customFormat="1">
      <c r="B39" s="5">
        <v>3302</v>
      </c>
      <c r="C39" s="5" t="s">
        <v>294</v>
      </c>
      <c r="D39" s="68">
        <f>VLOOKUP(B39,[1]DataSheet!$E$2:$H$112,3,0)</f>
        <v>-37478.080000000002</v>
      </c>
      <c r="E39" s="68">
        <f>SUMIF(AJE!$B$8:$B$36,B39,AJE!$D$8:$D$36)-SUMIF(AJE!$G$8:$G$36,B39,AJE!$I$8:$I$36)</f>
        <v>0</v>
      </c>
      <c r="F39" s="68">
        <f t="shared" si="2"/>
        <v>-37478.080000000002</v>
      </c>
      <c r="G39" s="68">
        <f>VLOOKUP(B39,[1]DataSheet!$E$2:$H$112,4,0)</f>
        <v>-10333.08</v>
      </c>
      <c r="H39" s="68">
        <f>SUMIF(AJE!$B$8:$B$36,B39,AJE!$E$8:$E$36)-SUMIF(AJE!$G$8:$G$36,B39,AJE!$J$8:$J$36)</f>
        <v>0</v>
      </c>
      <c r="I39" s="68">
        <f t="shared" ref="I39:I46" si="10">G39+H39</f>
        <v>-10333.08</v>
      </c>
      <c r="J39" s="52" t="s">
        <v>37</v>
      </c>
      <c r="K39" s="144">
        <f t="shared" si="9"/>
        <v>3.6269998877391836</v>
      </c>
      <c r="L39" s="114"/>
      <c r="M39" s="5"/>
      <c r="N39" s="5"/>
      <c r="O39" s="5"/>
      <c r="P39" s="5"/>
      <c r="Q39" s="5"/>
      <c r="R39" s="5"/>
      <c r="S39" s="5"/>
      <c r="T39" s="5"/>
    </row>
    <row r="40" spans="2:20" s="148" customFormat="1">
      <c r="B40" s="5">
        <v>3303</v>
      </c>
      <c r="C40" s="5" t="s">
        <v>295</v>
      </c>
      <c r="D40" s="68">
        <f>VLOOKUP(B40,[1]DataSheet!$E$2:$H$112,3,0)</f>
        <v>-25362.16</v>
      </c>
      <c r="E40" s="68">
        <f>SUMIF(AJE!$B$8:$B$36,B40,AJE!$D$8:$D$36)-SUMIF(AJE!$G$8:$G$36,B40,AJE!$I$8:$I$36)</f>
        <v>0</v>
      </c>
      <c r="F40" s="68">
        <f t="shared" si="2"/>
        <v>-25362.16</v>
      </c>
      <c r="G40" s="68">
        <f>VLOOKUP(B40,[1]DataSheet!$E$2:$H$112,4,0)</f>
        <v>-6992.6</v>
      </c>
      <c r="H40" s="68">
        <f>SUMIF(AJE!$B$8:$B$36,B40,AJE!$E$8:$E$36)-SUMIF(AJE!$G$8:$G$36,B40,AJE!$J$8:$J$36)</f>
        <v>0</v>
      </c>
      <c r="I40" s="68">
        <f t="shared" si="10"/>
        <v>-6992.6</v>
      </c>
      <c r="J40" s="52" t="s">
        <v>37</v>
      </c>
      <c r="K40" s="144">
        <f t="shared" si="9"/>
        <v>3.6269999713983352</v>
      </c>
      <c r="L40" s="114"/>
      <c r="M40" s="5"/>
      <c r="N40" s="5"/>
      <c r="O40" s="5"/>
      <c r="P40" s="5"/>
      <c r="Q40" s="5"/>
      <c r="R40" s="5"/>
      <c r="S40" s="5"/>
      <c r="T40" s="5"/>
    </row>
    <row r="41" spans="2:20" s="148" customFormat="1">
      <c r="B41" s="5">
        <v>3109</v>
      </c>
      <c r="C41" s="5" t="s">
        <v>296</v>
      </c>
      <c r="D41" s="68">
        <f>VLOOKUP(B41,[1]DataSheet!$E$2:$H$112,3,0)</f>
        <v>217.62</v>
      </c>
      <c r="E41" s="68">
        <f>SUMIF(AJE!$B$8:$B$36,B41,AJE!$D$8:$D$36)-SUMIF(AJE!$G$8:$G$36,B41,AJE!$I$8:$I$36)</f>
        <v>0</v>
      </c>
      <c r="F41" s="68">
        <f t="shared" si="2"/>
        <v>217.62</v>
      </c>
      <c r="G41" s="68">
        <f>VLOOKUP(B41,[1]DataSheet!$E$2:$H$112,4,0)</f>
        <v>60</v>
      </c>
      <c r="H41" s="68">
        <f>SUMIF(AJE!$B$8:$B$36,B41,AJE!$E$8:$E$36)-SUMIF(AJE!$G$8:$G$36,B41,AJE!$J$8:$J$36)</f>
        <v>0</v>
      </c>
      <c r="I41" s="68">
        <f t="shared" si="10"/>
        <v>60</v>
      </c>
      <c r="J41" s="52" t="s">
        <v>37</v>
      </c>
      <c r="K41" s="144">
        <f t="shared" si="9"/>
        <v>3.6270000000000002</v>
      </c>
      <c r="L41" s="114"/>
      <c r="M41" s="5"/>
      <c r="N41" s="5"/>
      <c r="O41" s="5"/>
      <c r="P41" s="5"/>
      <c r="Q41" s="5"/>
      <c r="R41" s="5"/>
      <c r="S41" s="5"/>
      <c r="T41" s="5"/>
    </row>
    <row r="42" spans="2:20" s="148" customFormat="1">
      <c r="B42" s="5">
        <v>3110</v>
      </c>
      <c r="C42" s="5" t="s">
        <v>297</v>
      </c>
      <c r="D42" s="68">
        <f>VLOOKUP(B42,[1]DataSheet!$E$2:$H$112,3,0)</f>
        <v>147034.74</v>
      </c>
      <c r="E42" s="68">
        <f>SUMIF(AJE!$B$8:$B$36,B42,AJE!$D$8:$D$36)-SUMIF(AJE!$G$8:$G$36,B42,AJE!$I$8:$I$36)</f>
        <v>-147034.74</v>
      </c>
      <c r="F42" s="68">
        <f t="shared" si="2"/>
        <v>0</v>
      </c>
      <c r="G42" s="68">
        <f>VLOOKUP(B42,[1]DataSheet!$E$2:$H$112,4,0)</f>
        <v>40538.94</v>
      </c>
      <c r="H42" s="68">
        <f>SUMIF(AJE!$B$8:$B$36,B42,AJE!$E$8:$E$36)-SUMIF(AJE!$G$8:$G$36,B42,AJE!$J$8:$J$36)</f>
        <v>-40538.941273779987</v>
      </c>
      <c r="I42" s="68">
        <f t="shared" si="10"/>
        <v>-1.2737799843307585E-3</v>
      </c>
      <c r="J42" s="52" t="s">
        <v>37</v>
      </c>
      <c r="K42" s="144">
        <f t="shared" si="9"/>
        <v>3.627000113964499</v>
      </c>
      <c r="L42" s="114"/>
      <c r="M42" s="5"/>
      <c r="N42" s="5"/>
      <c r="O42" s="5"/>
      <c r="P42" s="5"/>
      <c r="Q42" s="5"/>
      <c r="R42" s="5"/>
      <c r="S42" s="5"/>
      <c r="T42" s="5"/>
    </row>
    <row r="43" spans="2:20" s="148" customFormat="1">
      <c r="B43" s="5">
        <v>3125</v>
      </c>
      <c r="C43" s="5" t="s">
        <v>298</v>
      </c>
      <c r="D43" s="68">
        <f>VLOOKUP(B43,[1]DataSheet!$E$2:$H$112,3,0)</f>
        <v>906.75</v>
      </c>
      <c r="E43" s="68">
        <f>SUMIF(AJE!$B$8:$B$36,B43,AJE!$D$8:$D$36)-SUMIF(AJE!$G$8:$G$36,B43,AJE!$I$8:$I$36)</f>
        <v>0</v>
      </c>
      <c r="F43" s="68">
        <f t="shared" si="2"/>
        <v>906.75</v>
      </c>
      <c r="G43" s="68">
        <f>VLOOKUP(B43,[1]DataSheet!$E$2:$H$112,4,0)</f>
        <v>250</v>
      </c>
      <c r="H43" s="68">
        <f>SUMIF(AJE!$B$8:$B$36,B43,AJE!$E$8:$E$36)-SUMIF(AJE!$G$8:$G$36,B43,AJE!$J$8:$J$36)</f>
        <v>0</v>
      </c>
      <c r="I43" s="68">
        <f t="shared" si="10"/>
        <v>250</v>
      </c>
      <c r="J43" s="52" t="s">
        <v>37</v>
      </c>
      <c r="K43" s="144">
        <f t="shared" si="9"/>
        <v>3.6269999999999998</v>
      </c>
      <c r="L43" s="114"/>
      <c r="M43" s="5"/>
      <c r="N43" s="5"/>
      <c r="O43" s="5"/>
      <c r="P43" s="5"/>
      <c r="Q43" s="5"/>
      <c r="R43" s="5"/>
      <c r="S43" s="5"/>
      <c r="T43" s="5"/>
    </row>
    <row r="44" spans="2:20" s="148" customFormat="1">
      <c r="B44" s="148">
        <v>3322</v>
      </c>
      <c r="C44" s="148" t="s">
        <v>388</v>
      </c>
      <c r="D44" s="68">
        <f>VLOOKUP(B44,[1]DataSheet!$E$2:$H$112,3,0)</f>
        <v>-700.01</v>
      </c>
      <c r="E44" s="68">
        <f>SUMIF(AJE!$B$8:$B$36,B44,AJE!$D$8:$D$36)-SUMIF(AJE!$G$8:$G$36,B44,AJE!$I$8:$I$36)</f>
        <v>0</v>
      </c>
      <c r="F44" s="68">
        <f t="shared" ref="F44" si="11">D44+E44</f>
        <v>-700.01</v>
      </c>
      <c r="G44" s="68">
        <f>VLOOKUP(B44,[1]DataSheet!$E$2:$H$112,4,0)</f>
        <v>-193</v>
      </c>
      <c r="H44" s="68">
        <f>SUMIF(AJE!$B$8:$B$36,B44,AJE!$E$8:$E$36)-SUMIF(AJE!$G$8:$G$36,B44,AJE!$J$8:$J$36)</f>
        <v>0</v>
      </c>
      <c r="I44" s="68">
        <f t="shared" ref="I44" si="12">G44+H44</f>
        <v>-193</v>
      </c>
      <c r="J44" s="52" t="s">
        <v>37</v>
      </c>
      <c r="K44" s="144">
        <f t="shared" si="9"/>
        <v>3.6269948186528498</v>
      </c>
      <c r="L44" s="114"/>
      <c r="M44" s="5"/>
      <c r="N44" s="5"/>
      <c r="O44" s="5"/>
      <c r="P44" s="5"/>
      <c r="Q44" s="5"/>
      <c r="R44" s="5"/>
      <c r="S44" s="5"/>
      <c r="T44" s="5"/>
    </row>
    <row r="45" spans="2:20" s="148" customFormat="1">
      <c r="B45" s="5">
        <v>3350</v>
      </c>
      <c r="C45" s="5" t="s">
        <v>389</v>
      </c>
      <c r="D45" s="68">
        <f>VLOOKUP(B45,[1]DataSheet!$E$2:$H$112,3,0)</f>
        <v>-1444.03</v>
      </c>
      <c r="E45" s="68">
        <f>SUMIF(AJE!$B$8:$B$36,B45,AJE!$D$8:$D$36)-SUMIF(AJE!$G$8:$G$36,B45,AJE!$I$8:$I$36)</f>
        <v>0</v>
      </c>
      <c r="F45" s="68">
        <f t="shared" ref="F45" si="13">D45+E45</f>
        <v>-1444.03</v>
      </c>
      <c r="G45" s="68">
        <f>VLOOKUP(B45,[1]DataSheet!$E$2:$H$112,4,0)</f>
        <v>-398.13</v>
      </c>
      <c r="H45" s="68">
        <f>SUMIF(AJE!$B$8:$B$36,B45,AJE!$E$8:$E$36)-SUMIF(AJE!$G$8:$G$36,B45,AJE!$J$8:$J$36)</f>
        <v>0</v>
      </c>
      <c r="I45" s="68">
        <f t="shared" ref="I45" si="14">G45+H45</f>
        <v>-398.13</v>
      </c>
      <c r="J45" s="52" t="s">
        <v>37</v>
      </c>
      <c r="K45" s="144">
        <f t="shared" si="9"/>
        <v>3.6270313716625222</v>
      </c>
      <c r="L45" s="114"/>
      <c r="M45" s="5"/>
      <c r="N45" s="5"/>
      <c r="O45" s="5"/>
      <c r="P45" s="5"/>
      <c r="Q45" s="5"/>
      <c r="R45" s="5"/>
      <c r="S45" s="5"/>
      <c r="T45" s="5"/>
    </row>
    <row r="46" spans="2:20" s="148" customFormat="1">
      <c r="B46" s="5">
        <v>3256</v>
      </c>
      <c r="C46" s="5" t="s">
        <v>310</v>
      </c>
      <c r="D46" s="68">
        <f>VLOOKUP(B46,[1]DataSheet!$E$2:$H$112,3,0)</f>
        <v>33.93</v>
      </c>
      <c r="E46" s="68">
        <f>SUMIF(AJE!$B$8:$B$36,B46,AJE!$D$8:$D$36)-SUMIF(AJE!$G$8:$G$36,B46,AJE!$I$8:$I$36)</f>
        <v>0</v>
      </c>
      <c r="F46" s="68">
        <f t="shared" si="2"/>
        <v>33.93</v>
      </c>
      <c r="G46" s="68">
        <f>VLOOKUP(B46,[1]DataSheet!$E$2:$H$112,4,0)</f>
        <v>9.35</v>
      </c>
      <c r="H46" s="68">
        <f>SUMIF(AJE!$B$8:$B$36,B46,AJE!$E$8:$E$36)-SUMIF(AJE!$G$8:$G$36,B46,AJE!$J$8:$J$36)</f>
        <v>0</v>
      </c>
      <c r="I46" s="68">
        <f t="shared" si="10"/>
        <v>9.35</v>
      </c>
      <c r="J46" s="52" t="s">
        <v>37</v>
      </c>
      <c r="K46" s="144">
        <f t="shared" si="9"/>
        <v>3.6288770053475936</v>
      </c>
      <c r="L46" s="114"/>
      <c r="M46" s="5"/>
      <c r="N46" s="5"/>
      <c r="O46" s="5"/>
      <c r="P46" s="5"/>
      <c r="Q46" s="5"/>
      <c r="R46" s="5"/>
      <c r="S46" s="5"/>
      <c r="T46" s="5"/>
    </row>
    <row r="47" spans="2:20" s="148" customFormat="1">
      <c r="B47" s="5">
        <v>3314</v>
      </c>
      <c r="C47" s="5" t="s">
        <v>319</v>
      </c>
      <c r="D47" s="68">
        <f>VLOOKUP(B47,[1]DataSheet!$E$2:$H$112,3,0)</f>
        <v>5461</v>
      </c>
      <c r="E47" s="68">
        <f>SUMIF(AJE!$B$8:$B$36,B47,AJE!$D$8:$D$36)-SUMIF(AJE!$G$8:$G$36,B47,AJE!$I$8:$I$36)</f>
        <v>-5461</v>
      </c>
      <c r="F47" s="68">
        <f t="shared" si="2"/>
        <v>0</v>
      </c>
      <c r="G47" s="68">
        <f>VLOOKUP(B47,[1]DataSheet!$E$2:$H$112,4,0)</f>
        <v>1505.65</v>
      </c>
      <c r="H47" s="68">
        <f>SUMIF(AJE!$B$8:$B$36,B47,AJE!$E$8:$E$36)-SUMIF(AJE!$G$8:$G$36,B47,AJE!$J$8:$J$36)</f>
        <v>-1505.6520540391509</v>
      </c>
      <c r="I47" s="68">
        <f t="shared" ref="I47:I49" si="15">G47+H47</f>
        <v>-2.0540391508347966E-3</v>
      </c>
      <c r="J47" s="52" t="s">
        <v>37</v>
      </c>
      <c r="K47" s="144">
        <f t="shared" ref="K47:K49" si="16">D47/G47</f>
        <v>3.6270049480290902</v>
      </c>
      <c r="L47" s="114"/>
      <c r="M47" s="5"/>
      <c r="N47" s="5"/>
      <c r="O47" s="5"/>
      <c r="P47" s="5"/>
      <c r="Q47" s="5"/>
      <c r="R47" s="5"/>
      <c r="S47" s="5"/>
      <c r="T47" s="5"/>
    </row>
    <row r="48" spans="2:20" s="148" customFormat="1">
      <c r="B48" s="5">
        <v>3119</v>
      </c>
      <c r="C48" s="5" t="s">
        <v>320</v>
      </c>
      <c r="D48" s="68">
        <f>VLOOKUP(B48,[1]DataSheet!$E$2:$H$112,3,0)</f>
        <v>5787.57</v>
      </c>
      <c r="E48" s="68">
        <f>SUMIF(AJE!$B$8:$B$36,B48,AJE!$D$8:$D$36)-SUMIF(AJE!$G$8:$G$36,B48,AJE!$I$8:$I$36)</f>
        <v>-5787.57</v>
      </c>
      <c r="F48" s="68">
        <f t="shared" ref="F48:F103" si="17">D48+E48</f>
        <v>0</v>
      </c>
      <c r="G48" s="68">
        <f>VLOOKUP(B48,[1]DataSheet!$E$2:$H$112,4,0)</f>
        <v>1595.69</v>
      </c>
      <c r="H48" s="68">
        <f>SUMIF(AJE!$B$8:$B$36,B48,AJE!$E$8:$E$36)-SUMIF(AJE!$G$8:$G$36,B48,AJE!$J$8:$J$36)</f>
        <v>-1595.690653432589</v>
      </c>
      <c r="I48" s="68">
        <f t="shared" si="15"/>
        <v>-6.5343258893335587E-4</v>
      </c>
      <c r="J48" s="52" t="s">
        <v>37</v>
      </c>
      <c r="K48" s="144">
        <f t="shared" si="16"/>
        <v>3.6270014852508945</v>
      </c>
      <c r="L48" s="114"/>
      <c r="M48" s="5"/>
      <c r="N48" s="5"/>
      <c r="O48" s="5"/>
      <c r="P48" s="5"/>
      <c r="Q48" s="5"/>
      <c r="R48" s="5"/>
      <c r="S48" s="5"/>
      <c r="T48" s="5"/>
    </row>
    <row r="49" spans="1:22" s="148" customFormat="1">
      <c r="B49" s="5">
        <v>3123</v>
      </c>
      <c r="C49" s="5" t="s">
        <v>321</v>
      </c>
      <c r="D49" s="68">
        <f>VLOOKUP(B49,[1]DataSheet!$E$2:$H$112,3,0)</f>
        <v>1094.8499999999999</v>
      </c>
      <c r="E49" s="68">
        <f>SUMIF(AJE!$B$8:$B$36,B49,AJE!$D$8:$D$36)-SUMIF(AJE!$G$8:$G$36,B49,AJE!$I$8:$I$36)</f>
        <v>-1094.8499999999999</v>
      </c>
      <c r="F49" s="68">
        <f t="shared" si="17"/>
        <v>0</v>
      </c>
      <c r="G49" s="68">
        <f>VLOOKUP(B49,[1]DataSheet!$E$2:$H$112,4,0)</f>
        <v>301.86</v>
      </c>
      <c r="H49" s="68">
        <f>SUMIF(AJE!$B$8:$B$36,B49,AJE!$E$8:$E$36)-SUMIF(AJE!$G$8:$G$36,B49,AJE!$J$8:$J$36)</f>
        <v>-301.86104218362283</v>
      </c>
      <c r="I49" s="68">
        <f t="shared" si="15"/>
        <v>-1.0421836228147185E-3</v>
      </c>
      <c r="J49" s="52" t="s">
        <v>37</v>
      </c>
      <c r="K49" s="144">
        <f t="shared" si="16"/>
        <v>3.6270125223613592</v>
      </c>
      <c r="L49" s="114"/>
      <c r="M49" s="5"/>
      <c r="N49" s="5"/>
      <c r="O49" s="5"/>
      <c r="P49" s="5"/>
      <c r="Q49" s="5"/>
      <c r="R49" s="5"/>
      <c r="S49" s="5"/>
      <c r="T49" s="5"/>
    </row>
    <row r="50" spans="1:22" s="148" customFormat="1">
      <c r="B50" s="148">
        <v>3048</v>
      </c>
      <c r="C50" s="148" t="s">
        <v>368</v>
      </c>
      <c r="D50" s="68">
        <f>VLOOKUP(B50,[1]DataSheet!$E$2:$H$112,3,0)</f>
        <v>-110904.21</v>
      </c>
      <c r="E50" s="68">
        <f>SUMIF(AJE!$B$8:$B$36,B50,AJE!$D$8:$D$36)-SUMIF(AJE!$G$8:$G$36,B50,AJE!$I$8:$I$36)</f>
        <v>0</v>
      </c>
      <c r="F50" s="68">
        <f t="shared" si="17"/>
        <v>-110904.21</v>
      </c>
      <c r="G50" s="68">
        <f>VLOOKUP(B50,[1]DataSheet!$E$2:$H$112,4,0)</f>
        <v>-30577.39</v>
      </c>
      <c r="H50" s="68">
        <f>SUMIF(AJE!$B$8:$B$36,B50,AJE!$E$8:$E$36)-SUMIF(AJE!$G$8:$G$36,B50,AJE!$J$8:$J$36)</f>
        <v>0</v>
      </c>
      <c r="I50" s="68">
        <f t="shared" ref="I50:I53" si="18">G50+H50</f>
        <v>-30577.39</v>
      </c>
      <c r="J50" s="52" t="s">
        <v>37</v>
      </c>
      <c r="K50" s="144">
        <f t="shared" ref="K50:K53" si="19">D50/G50</f>
        <v>3.6270005386332844</v>
      </c>
      <c r="L50" s="114"/>
      <c r="M50" s="5"/>
      <c r="N50" s="5"/>
      <c r="O50" s="5"/>
      <c r="P50" s="5"/>
      <c r="Q50" s="5"/>
      <c r="R50" s="5"/>
      <c r="S50" s="5"/>
      <c r="T50" s="5"/>
    </row>
    <row r="51" spans="1:22" s="148" customFormat="1">
      <c r="B51" s="148">
        <v>3279</v>
      </c>
      <c r="C51" s="148" t="s">
        <v>369</v>
      </c>
      <c r="D51" s="68">
        <f>VLOOKUP(B51,[1]DataSheet!$E$2:$H$112,3,0)</f>
        <v>300.52999999999997</v>
      </c>
      <c r="E51" s="68">
        <f>SUMIF(AJE!$B$8:$B$36,B51,AJE!$D$8:$D$36)-SUMIF(AJE!$G$8:$G$36,B51,AJE!$I$8:$I$36)</f>
        <v>0</v>
      </c>
      <c r="F51" s="68">
        <f t="shared" si="17"/>
        <v>300.52999999999997</v>
      </c>
      <c r="G51" s="68">
        <f>VLOOKUP(B51,[1]DataSheet!$E$2:$H$112,4,0)</f>
        <v>82.86</v>
      </c>
      <c r="H51" s="68">
        <f>SUMIF(AJE!$B$8:$B$36,B51,AJE!$E$8:$E$36)-SUMIF(AJE!$G$8:$G$36,B51,AJE!$J$8:$J$36)</f>
        <v>0</v>
      </c>
      <c r="I51" s="68">
        <f t="shared" si="18"/>
        <v>82.86</v>
      </c>
      <c r="J51" s="52" t="s">
        <v>37</v>
      </c>
      <c r="K51" s="144">
        <f t="shared" si="19"/>
        <v>3.6269611392710592</v>
      </c>
      <c r="L51" s="114"/>
      <c r="M51" s="5"/>
      <c r="N51" s="5"/>
      <c r="O51" s="5"/>
      <c r="P51" s="5"/>
      <c r="Q51" s="5"/>
      <c r="R51" s="5"/>
      <c r="S51" s="5"/>
      <c r="T51" s="5"/>
    </row>
    <row r="52" spans="1:22" s="148" customFormat="1">
      <c r="B52" s="148">
        <v>3338</v>
      </c>
      <c r="C52" s="148" t="s">
        <v>370</v>
      </c>
      <c r="D52" s="68">
        <f>VLOOKUP(B52,[1]DataSheet!$E$2:$H$112,3,0)</f>
        <v>3506.76</v>
      </c>
      <c r="E52" s="68">
        <f>SUMIF(AJE!$B$8:$B$36,B52,AJE!$D$8:$D$36)-SUMIF(AJE!$G$8:$G$36,B52,AJE!$I$8:$I$36)</f>
        <v>-3506.76</v>
      </c>
      <c r="F52" s="68">
        <f t="shared" si="17"/>
        <v>0</v>
      </c>
      <c r="G52" s="68">
        <f>VLOOKUP(B52,[1]DataSheet!$E$2:$H$112,4,0)</f>
        <v>966.85</v>
      </c>
      <c r="H52" s="68">
        <f>SUMIF(AJE!$B$8:$B$36,B52,AJE!$E$8:$E$36)-SUMIF(AJE!$G$8:$G$36,B52,AJE!$J$8:$J$36)</f>
        <v>-966.8486352357321</v>
      </c>
      <c r="I52" s="68">
        <f t="shared" si="18"/>
        <v>1.3647642679188721E-3</v>
      </c>
      <c r="J52" s="52" t="s">
        <v>37</v>
      </c>
      <c r="K52" s="144">
        <f t="shared" si="19"/>
        <v>3.6269948802813259</v>
      </c>
      <c r="L52" s="114"/>
      <c r="M52" s="5"/>
      <c r="N52" s="5"/>
      <c r="O52" s="5"/>
      <c r="P52" s="5"/>
      <c r="Q52" s="5"/>
      <c r="R52" s="5"/>
      <c r="S52" s="5"/>
      <c r="T52" s="5"/>
    </row>
    <row r="53" spans="1:22" s="148" customFormat="1">
      <c r="B53" s="148">
        <v>3347</v>
      </c>
      <c r="C53" s="148" t="s">
        <v>371</v>
      </c>
      <c r="D53" s="68">
        <f>VLOOKUP(B53,[1]DataSheet!$E$2:$H$112,3,0)</f>
        <v>210</v>
      </c>
      <c r="E53" s="68">
        <f>SUMIF(AJE!$B$8:$B$36,B53,AJE!$D$8:$D$36)-SUMIF(AJE!$G$8:$G$36,B53,AJE!$I$8:$I$36)</f>
        <v>0</v>
      </c>
      <c r="F53" s="68">
        <f t="shared" si="17"/>
        <v>210</v>
      </c>
      <c r="G53" s="68">
        <f>VLOOKUP(B53,[1]DataSheet!$E$2:$H$112,4,0)</f>
        <v>57.9</v>
      </c>
      <c r="H53" s="68">
        <f>SUMIF(AJE!$B$8:$B$36,B53,AJE!$E$8:$E$36)-SUMIF(AJE!$G$8:$G$36,B53,AJE!$J$8:$J$36)</f>
        <v>0</v>
      </c>
      <c r="I53" s="68">
        <f t="shared" si="18"/>
        <v>57.9</v>
      </c>
      <c r="J53" s="52" t="s">
        <v>37</v>
      </c>
      <c r="K53" s="144">
        <f t="shared" si="19"/>
        <v>3.6269430051813472</v>
      </c>
      <c r="L53" s="114"/>
      <c r="M53" s="5"/>
      <c r="N53" s="5"/>
      <c r="O53" s="5"/>
      <c r="P53" s="5"/>
      <c r="Q53" s="5"/>
      <c r="R53" s="5"/>
      <c r="S53" s="5"/>
      <c r="T53" s="5"/>
    </row>
    <row r="54" spans="1:22" s="148" customFormat="1">
      <c r="B54" s="150">
        <v>4000</v>
      </c>
      <c r="C54" s="78" t="s">
        <v>412</v>
      </c>
      <c r="D54" s="68">
        <f>VLOOKUP(B54,[1]DataSheet!$E$2:$H$112,3,0)</f>
        <v>-119009</v>
      </c>
      <c r="E54" s="68">
        <f>SUMIF(AJE!$B$8:$B$36,B54,AJE!$D$8:$D$36)-SUMIF(AJE!$G$8:$G$36,B54,AJE!$I$8:$I$36)</f>
        <v>0</v>
      </c>
      <c r="F54" s="68">
        <f t="shared" si="17"/>
        <v>-119009</v>
      </c>
      <c r="G54" s="68">
        <f>VLOOKUP(B54,[1]DataSheet!$E$2:$H$112,4,0)</f>
        <v>-38156.879999999997</v>
      </c>
      <c r="H54" s="68">
        <f>SUMIF(AJE!$B$8:$B$36,B54,AJE!$E$8:$E$36)-SUMIF(AJE!$G$8:$G$36,B54,AJE!$J$8:$J$36)</f>
        <v>0</v>
      </c>
      <c r="I54" s="68">
        <f t="shared" ref="I54" si="20">G54+H54</f>
        <v>-38156.879999999997</v>
      </c>
      <c r="J54" s="57" t="s">
        <v>90</v>
      </c>
      <c r="K54" s="144">
        <f t="shared" ref="K54" si="21">D54/G54</f>
        <v>3.118939494004751</v>
      </c>
      <c r="L54" s="114" t="s">
        <v>413</v>
      </c>
      <c r="M54" s="5"/>
      <c r="N54" s="5"/>
      <c r="O54" s="5"/>
      <c r="P54" s="5"/>
      <c r="Q54" s="5"/>
      <c r="R54" s="5"/>
      <c r="S54" s="5"/>
      <c r="T54" s="5"/>
    </row>
    <row r="55" spans="1:22" s="146" customFormat="1">
      <c r="A55" s="148" t="str">
        <f>"400.עובדים ומוסדות בגין שכר"</f>
        <v>400.עובדים ומוסדות בגין שכר</v>
      </c>
      <c r="B55" s="148">
        <v>4100</v>
      </c>
      <c r="C55" s="148" t="str">
        <f>"ביטוח לאומי"</f>
        <v>ביטוח לאומי</v>
      </c>
      <c r="D55" s="68">
        <f>VLOOKUP(B55,[1]DataSheet!$E$2:$H$112,3,0)</f>
        <v>-27832.06</v>
      </c>
      <c r="E55" s="68">
        <f>SUMIF(AJE!$B$8:$B$36,B55,AJE!$D$8:$D$36)-SUMIF(AJE!$G$8:$G$36,B55,AJE!$I$8:$I$36)</f>
        <v>0</v>
      </c>
      <c r="F55" s="68">
        <f t="shared" si="17"/>
        <v>-27832.06</v>
      </c>
      <c r="G55" s="68">
        <f>VLOOKUP(B55,[1]DataSheet!$E$2:$H$112,4,0)</f>
        <v>-7673.58</v>
      </c>
      <c r="H55" s="68">
        <f>SUMIF(AJE!$B$8:$B$36,B55,AJE!$E$8:$E$36)-SUMIF(AJE!$G$8:$G$36,B55,AJE!$J$8:$J$36)</f>
        <v>0</v>
      </c>
      <c r="I55" s="68">
        <f t="shared" ref="I55:I121" si="22">G55+H55</f>
        <v>-7673.58</v>
      </c>
      <c r="J55" s="57" t="s">
        <v>90</v>
      </c>
      <c r="K55" s="144">
        <f t="shared" ref="K55:K70" si="23">D55/G55</f>
        <v>3.6269980895488159</v>
      </c>
      <c r="L55" s="5" t="s">
        <v>160</v>
      </c>
      <c r="M55" s="114"/>
      <c r="N55" s="5"/>
      <c r="O55" s="148">
        <v>4100</v>
      </c>
      <c r="P55" s="148" t="str">
        <f>"ביטוח לאומי"</f>
        <v>ביטוח לאומי</v>
      </c>
      <c r="Q55" s="68">
        <f>D55</f>
        <v>-27832.06</v>
      </c>
      <c r="R55" s="5">
        <v>27832</v>
      </c>
      <c r="S55" s="126">
        <f>Q55+R55</f>
        <v>-6.0000000001309672E-2</v>
      </c>
      <c r="T55" s="5"/>
      <c r="U55" s="5"/>
    </row>
    <row r="56" spans="1:22" s="146" customFormat="1">
      <c r="A56" s="148" t="str">
        <f>"400.עובדים ומוסדות בגין שכר"</f>
        <v>400.עובדים ומוסדות בגין שכר</v>
      </c>
      <c r="B56" s="148">
        <v>4101</v>
      </c>
      <c r="C56" s="148" t="str">
        <f>"מס הכנסה עובדים"</f>
        <v>מס הכנסה עובדים</v>
      </c>
      <c r="D56" s="68">
        <f>VLOOKUP(B56,[1]DataSheet!$E$2:$H$112,3,0)</f>
        <v>-30983</v>
      </c>
      <c r="E56" s="68">
        <f>SUMIF(AJE!$B$8:$B$36,B56,AJE!$D$8:$D$36)-SUMIF(AJE!$G$8:$G$36,B56,AJE!$I$8:$I$36)</f>
        <v>0</v>
      </c>
      <c r="F56" s="68">
        <f t="shared" si="17"/>
        <v>-30983</v>
      </c>
      <c r="G56" s="68">
        <f>VLOOKUP(B56,[1]DataSheet!$E$2:$H$112,4,0)</f>
        <v>-8542.32</v>
      </c>
      <c r="H56" s="68">
        <f>SUMIF(AJE!$B$8:$B$36,B56,AJE!$E$8:$E$36)-SUMIF(AJE!$G$8:$G$36,B56,AJE!$J$8:$J$36)</f>
        <v>0</v>
      </c>
      <c r="I56" s="68">
        <f t="shared" si="22"/>
        <v>-8542.32</v>
      </c>
      <c r="J56" s="57" t="s">
        <v>90</v>
      </c>
      <c r="K56" s="144">
        <f t="shared" si="23"/>
        <v>3.6270006274642017</v>
      </c>
      <c r="L56" s="5" t="s">
        <v>160</v>
      </c>
      <c r="M56" s="114"/>
      <c r="N56" s="5"/>
      <c r="O56" s="148">
        <v>4101</v>
      </c>
      <c r="P56" s="148" t="str">
        <f>"מס הכנסה עובדים"</f>
        <v>מס הכנסה עובדים</v>
      </c>
      <c r="Q56" s="68">
        <f t="shared" ref="Q56:Q58" si="24">D56</f>
        <v>-30983</v>
      </c>
      <c r="R56" s="5">
        <v>30580</v>
      </c>
      <c r="S56" s="126">
        <f t="shared" ref="S56:S58" si="25">Q56+R56</f>
        <v>-403</v>
      </c>
      <c r="T56" s="5"/>
      <c r="U56" s="5"/>
    </row>
    <row r="57" spans="1:22" s="146" customFormat="1">
      <c r="A57" s="148" t="str">
        <f>"400.עובדים ומוסדות בגין שכר"</f>
        <v>400.עובדים ומוסדות בגין שכר</v>
      </c>
      <c r="B57" s="148">
        <v>4510</v>
      </c>
      <c r="C57" s="148" t="str">
        <f>"חו""ז קופות גמל עובדים"</f>
        <v>חו"ז קופות גמל עובדים</v>
      </c>
      <c r="D57" s="68">
        <f>VLOOKUP(B57,[1]DataSheet!$E$2:$H$112,3,0)</f>
        <v>-47527.98</v>
      </c>
      <c r="E57" s="68">
        <f>SUMIF(AJE!$B$8:$B$36,B57,AJE!$D$8:$D$36)-SUMIF(AJE!$G$8:$G$36,B57,AJE!$I$8:$I$36)</f>
        <v>0</v>
      </c>
      <c r="F57" s="68">
        <f t="shared" si="17"/>
        <v>-47527.98</v>
      </c>
      <c r="G57" s="68">
        <f>VLOOKUP(B57,[1]DataSheet!$E$2:$H$112,4,0)</f>
        <v>-13103.94</v>
      </c>
      <c r="H57" s="68">
        <f>SUMIF(AJE!$B$8:$B$36,B57,AJE!$E$8:$E$36)-SUMIF(AJE!$G$8:$G$36,B57,AJE!$J$8:$J$36)</f>
        <v>0</v>
      </c>
      <c r="I57" s="68">
        <f t="shared" si="22"/>
        <v>-13103.94</v>
      </c>
      <c r="J57" s="57" t="s">
        <v>90</v>
      </c>
      <c r="K57" s="144">
        <f t="shared" si="23"/>
        <v>3.6269992078718309</v>
      </c>
      <c r="L57" s="5" t="s">
        <v>160</v>
      </c>
      <c r="M57" s="114"/>
      <c r="N57" s="5"/>
      <c r="O57" s="148">
        <v>4510</v>
      </c>
      <c r="P57" s="148" t="str">
        <f>"חו""ז קופות גמל עובדים"</f>
        <v>חו"ז קופות גמל עובדים</v>
      </c>
      <c r="Q57" s="68">
        <f t="shared" si="24"/>
        <v>-47527.98</v>
      </c>
      <c r="R57" s="5">
        <v>47527.98</v>
      </c>
      <c r="S57" s="126">
        <f t="shared" si="25"/>
        <v>0</v>
      </c>
      <c r="T57" s="5"/>
      <c r="U57" s="5"/>
    </row>
    <row r="58" spans="1:22" s="146" customFormat="1">
      <c r="A58" s="148" t="str">
        <f>"400.עובדים ומוסדות בגין שכר"</f>
        <v>400.עובדים ומוסדות בגין שכר</v>
      </c>
      <c r="B58" s="148">
        <v>5001</v>
      </c>
      <c r="C58" s="148" t="str">
        <f>"חו""ז עובדים"</f>
        <v>חו"ז עובדים</v>
      </c>
      <c r="D58" s="68">
        <f>VLOOKUP(B58,[1]DataSheet!$E$2:$H$112,3,0)</f>
        <v>-94761.69</v>
      </c>
      <c r="E58" s="68">
        <f>SUMIF(AJE!$B$8:$B$36,B58,AJE!$D$8:$D$36)-SUMIF(AJE!$G$8:$G$36,B58,AJE!$I$8:$I$36)</f>
        <v>0</v>
      </c>
      <c r="F58" s="68">
        <f t="shared" si="17"/>
        <v>-94761.69</v>
      </c>
      <c r="G58" s="68">
        <f>VLOOKUP(B58,[1]DataSheet!$E$2:$H$112,4,0)</f>
        <v>-26126.74</v>
      </c>
      <c r="H58" s="68">
        <f>SUMIF(AJE!$B$8:$B$36,B58,AJE!$E$8:$E$36)-SUMIF(AJE!$G$8:$G$36,B58,AJE!$J$8:$J$36)</f>
        <v>0</v>
      </c>
      <c r="I58" s="68">
        <f t="shared" si="22"/>
        <v>-26126.74</v>
      </c>
      <c r="J58" s="57" t="s">
        <v>90</v>
      </c>
      <c r="K58" s="144">
        <f t="shared" si="23"/>
        <v>3.62700015386535</v>
      </c>
      <c r="L58" s="5" t="s">
        <v>160</v>
      </c>
      <c r="M58" s="114"/>
      <c r="N58" s="5"/>
      <c r="O58" s="148">
        <v>5001</v>
      </c>
      <c r="P58" s="148" t="str">
        <f>"חו""ז עובדים"</f>
        <v>חו"ז עובדים</v>
      </c>
      <c r="Q58" s="68">
        <f t="shared" si="24"/>
        <v>-94761.69</v>
      </c>
      <c r="R58" s="5">
        <f>44823.25+58045.84</f>
        <v>102869.09</v>
      </c>
      <c r="S58" s="126">
        <f t="shared" si="25"/>
        <v>8107.3999999999942</v>
      </c>
      <c r="T58" s="114" t="s">
        <v>391</v>
      </c>
      <c r="U58" s="5"/>
      <c r="V58" s="146">
        <f>2255.8+2255.8+2246.8+1349</f>
        <v>8107.4000000000005</v>
      </c>
    </row>
    <row r="59" spans="1:22" s="148" customFormat="1">
      <c r="B59" s="150">
        <v>6100</v>
      </c>
      <c r="C59" s="77" t="s">
        <v>198</v>
      </c>
      <c r="D59" s="68">
        <f>VLOOKUP(B59,[1]DataSheet!$E$2:$H$112,3,0)</f>
        <v>16123542.890000001</v>
      </c>
      <c r="E59" s="68">
        <f>SUMIF(AJE!$B$8:$B$36,B59,AJE!$D$8:$D$36)-SUMIF(AJE!$G$8:$G$36,B59,AJE!$I$8:$I$36)</f>
        <v>0</v>
      </c>
      <c r="F59" s="68">
        <f t="shared" si="17"/>
        <v>16123542.890000001</v>
      </c>
      <c r="G59" s="68">
        <f>VLOOKUP(B59,[1]DataSheet!$E$2:$H$112,4,0)</f>
        <v>4866459.41</v>
      </c>
      <c r="H59" s="68">
        <f>SUMIF(AJE!$B$8:$B$36,B59,AJE!$E$8:$E$36)-SUMIF(AJE!$G$8:$G$36,B59,AJE!$J$8:$J$36)</f>
        <v>0</v>
      </c>
      <c r="I59" s="68">
        <f t="shared" ref="I59" si="26">G59+H59</f>
        <v>4866459.41</v>
      </c>
      <c r="J59" s="7" t="s">
        <v>44</v>
      </c>
      <c r="K59" s="144"/>
      <c r="L59" s="5"/>
      <c r="M59" s="114"/>
      <c r="N59" s="5"/>
      <c r="O59" s="5"/>
      <c r="P59" s="5"/>
      <c r="Q59" s="5"/>
      <c r="R59" s="5"/>
      <c r="S59" s="5"/>
      <c r="T59" s="5"/>
      <c r="U59" s="5"/>
    </row>
    <row r="60" spans="1:22" s="148" customFormat="1">
      <c r="B60" s="150">
        <v>6502</v>
      </c>
      <c r="C60" s="77" t="s">
        <v>223</v>
      </c>
      <c r="D60" s="68">
        <f>VLOOKUP(B60,[1]DataSheet!$E$2:$H$112,3,0)</f>
        <v>-1190888</v>
      </c>
      <c r="E60" s="68">
        <f>SUMIF(AJE!$B$8:$B$36,B60,AJE!$D$8:$D$36)-SUMIF(AJE!$G$8:$G$36,B60,AJE!$I$8:$I$36)</f>
        <v>0</v>
      </c>
      <c r="F60" s="68">
        <f t="shared" si="17"/>
        <v>-1190888</v>
      </c>
      <c r="G60" s="68">
        <f>VLOOKUP(B60,[1]DataSheet!$E$2:$H$112,4,0)</f>
        <v>-321084.36</v>
      </c>
      <c r="H60" s="68">
        <f>SUMIF(AJE!$B$8:$B$36,B60,AJE!$E$8:$E$36)-SUMIF(AJE!$G$8:$G$36,B60,AJE!$J$8:$J$36)</f>
        <v>0</v>
      </c>
      <c r="I60" s="68">
        <f t="shared" ref="I60:I62" si="27">G60+H60</f>
        <v>-321084.36</v>
      </c>
      <c r="J60" s="7" t="s">
        <v>1</v>
      </c>
      <c r="K60" s="144"/>
      <c r="L60" s="5"/>
      <c r="M60" s="114"/>
      <c r="N60" s="5"/>
      <c r="O60" s="5"/>
      <c r="P60" s="5"/>
      <c r="Q60" s="5"/>
      <c r="R60" s="5"/>
      <c r="S60" s="5"/>
      <c r="T60" s="5"/>
      <c r="U60" s="5"/>
    </row>
    <row r="61" spans="1:22" s="148" customFormat="1">
      <c r="B61" s="150">
        <v>6503</v>
      </c>
      <c r="C61" s="77" t="s">
        <v>224</v>
      </c>
      <c r="D61" s="68">
        <f>VLOOKUP(B61,[1]DataSheet!$E$2:$H$112,3,0)</f>
        <v>1190888</v>
      </c>
      <c r="E61" s="68">
        <f>SUMIF(AJE!$B$8:$B$36,B61,AJE!$D$8:$D$36)-SUMIF(AJE!$G$8:$G$36,B61,AJE!$I$8:$I$36)</f>
        <v>0</v>
      </c>
      <c r="F61" s="68">
        <f t="shared" si="17"/>
        <v>1190888</v>
      </c>
      <c r="G61" s="68">
        <f>VLOOKUP(B61,[1]DataSheet!$E$2:$H$112,4,0)</f>
        <v>321084.36</v>
      </c>
      <c r="H61" s="68">
        <f>SUMIF(AJE!$B$8:$B$36,B61,AJE!$E$8:$E$36)-SUMIF(AJE!$G$8:$G$36,B61,AJE!$J$8:$J$36)</f>
        <v>0</v>
      </c>
      <c r="I61" s="68">
        <f t="shared" si="27"/>
        <v>321084.36</v>
      </c>
      <c r="J61" s="7" t="s">
        <v>1</v>
      </c>
      <c r="K61" s="144"/>
      <c r="L61" s="5"/>
      <c r="M61" s="114"/>
      <c r="N61" s="5"/>
      <c r="O61" s="5"/>
      <c r="P61" s="5"/>
      <c r="Q61" s="5"/>
      <c r="R61" s="5"/>
      <c r="S61" s="5"/>
      <c r="T61" s="5"/>
      <c r="U61" s="5"/>
    </row>
    <row r="62" spans="1:22" s="148" customFormat="1">
      <c r="B62" s="150">
        <v>7103</v>
      </c>
      <c r="C62" s="77" t="s">
        <v>211</v>
      </c>
      <c r="D62" s="68">
        <f>VLOOKUP(B62,[1]DataSheet!$E$2:$H$112,3,0)</f>
        <v>-88935</v>
      </c>
      <c r="E62" s="68">
        <f>SUMIF(AJE!$B$8:$B$36,B62,AJE!$D$8:$D$36)-SUMIF(AJE!$G$8:$G$36,B62,AJE!$I$8:$I$36)</f>
        <v>0</v>
      </c>
      <c r="F62" s="68">
        <f t="shared" si="17"/>
        <v>-88935</v>
      </c>
      <c r="G62" s="68">
        <f>VLOOKUP(B62,[1]DataSheet!$E$2:$H$112,4,0)</f>
        <v>-24111.360000000001</v>
      </c>
      <c r="H62" s="68">
        <f>SUMIF(AJE!$B$8:$B$36,B62,AJE!$E$8:$E$36)-SUMIF(AJE!$G$8:$G$36,B62,AJE!$J$8:$J$36)</f>
        <v>0</v>
      </c>
      <c r="I62" s="68">
        <f t="shared" si="27"/>
        <v>-24111.360000000001</v>
      </c>
      <c r="J62" s="67" t="s">
        <v>107</v>
      </c>
      <c r="K62" s="144">
        <f t="shared" ref="K62" si="28">D62/G62</f>
        <v>3.6885103121516165</v>
      </c>
      <c r="L62" s="5"/>
      <c r="M62" s="114"/>
      <c r="N62" s="5"/>
      <c r="O62" s="5"/>
      <c r="P62" s="5"/>
      <c r="Q62" s="5"/>
      <c r="R62" s="5"/>
      <c r="S62" s="5"/>
      <c r="T62" s="5"/>
      <c r="U62" s="5"/>
    </row>
    <row r="63" spans="1:22" s="146" customFormat="1">
      <c r="A63" s="148" t="str">
        <f t="shared" ref="A63:A70" si="29">"720.שכר עבודה ונלוות מופ"</f>
        <v>720.שכר עבודה ונלוות מופ</v>
      </c>
      <c r="B63" s="148">
        <v>7200</v>
      </c>
      <c r="C63" s="148" t="str">
        <f>"שכר עבודה מופ"</f>
        <v>שכר עבודה מופ</v>
      </c>
      <c r="D63" s="68">
        <f>VLOOKUP(B63,[1]DataSheet!$E$2:$H$112,3,0)</f>
        <v>2745021.09</v>
      </c>
      <c r="E63" s="68">
        <f>SUMIF(AJE!$B$8:$B$36,B63,AJE!$D$8:$D$36)-SUMIF(AJE!$G$8:$G$36,B63,AJE!$I$8:$I$36)</f>
        <v>0</v>
      </c>
      <c r="F63" s="68">
        <f t="shared" si="17"/>
        <v>2745021.09</v>
      </c>
      <c r="G63" s="68">
        <f>VLOOKUP(B63,[1]DataSheet!$E$2:$H$112,4,0)</f>
        <v>746043.59</v>
      </c>
      <c r="H63" s="68">
        <f>SUMIF(AJE!$B$8:$B$36,B63,AJE!$E$8:$E$36)-SUMIF(AJE!$G$8:$G$36,B63,AJE!$J$8:$J$36)</f>
        <v>0</v>
      </c>
      <c r="I63" s="68">
        <f t="shared" si="22"/>
        <v>746043.59</v>
      </c>
      <c r="J63" s="67" t="s">
        <v>107</v>
      </c>
      <c r="K63" s="144">
        <f t="shared" si="23"/>
        <v>3.6794379400806863</v>
      </c>
      <c r="L63" s="5"/>
      <c r="M63" s="114"/>
      <c r="N63" s="5"/>
      <c r="O63" s="5"/>
      <c r="P63" s="5"/>
      <c r="Q63" s="5"/>
      <c r="R63" s="5"/>
      <c r="S63" s="5"/>
      <c r="T63" s="5"/>
      <c r="U63" s="5"/>
    </row>
    <row r="64" spans="1:22" s="146" customFormat="1">
      <c r="A64" s="148" t="str">
        <f t="shared" si="29"/>
        <v>720.שכר עבודה ונלוות מופ</v>
      </c>
      <c r="B64" s="148">
        <v>7201</v>
      </c>
      <c r="C64" s="148" t="str">
        <f>"הכנסות זקופות חובה מופ"</f>
        <v>הכנסות זקופות חובה מופ</v>
      </c>
      <c r="D64" s="68">
        <f>VLOOKUP(B64,[1]DataSheet!$E$2:$H$112,3,0)</f>
        <v>126732.19</v>
      </c>
      <c r="E64" s="68">
        <f>SUMIF(AJE!$B$8:$B$36,B64,AJE!$D$8:$D$36)-SUMIF(AJE!$G$8:$G$36,B64,AJE!$I$8:$I$36)</f>
        <v>0</v>
      </c>
      <c r="F64" s="68">
        <f t="shared" si="17"/>
        <v>126732.19</v>
      </c>
      <c r="G64" s="68">
        <f>VLOOKUP(B64,[1]DataSheet!$E$2:$H$112,4,0)</f>
        <v>34224.71</v>
      </c>
      <c r="H64" s="68">
        <f>SUMIF(AJE!$B$8:$B$36,B64,AJE!$E$8:$E$36)-SUMIF(AJE!$G$8:$G$36,B64,AJE!$J$8:$J$36)</f>
        <v>0</v>
      </c>
      <c r="I64" s="68">
        <f t="shared" si="22"/>
        <v>34224.71</v>
      </c>
      <c r="J64" s="67" t="s">
        <v>107</v>
      </c>
      <c r="K64" s="144">
        <f t="shared" si="23"/>
        <v>3.7029441593515329</v>
      </c>
      <c r="L64" s="5"/>
      <c r="M64" s="114"/>
      <c r="N64" s="5"/>
      <c r="O64" s="5"/>
      <c r="P64" s="5"/>
      <c r="Q64" s="5"/>
      <c r="R64" s="5"/>
      <c r="S64" s="5"/>
      <c r="T64" s="5"/>
      <c r="U64" s="5"/>
    </row>
    <row r="65" spans="1:21" s="146" customFormat="1">
      <c r="A65" s="148" t="str">
        <f t="shared" si="29"/>
        <v>720.שכר עבודה ונלוות מופ</v>
      </c>
      <c r="B65" s="148">
        <v>7202</v>
      </c>
      <c r="C65" s="148" t="str">
        <f>"הכנסות זקופות זכות מופ"</f>
        <v>הכנסות זקופות זכות מופ</v>
      </c>
      <c r="D65" s="68">
        <f>VLOOKUP(B65,[1]DataSheet!$E$2:$H$112,3,0)</f>
        <v>-126732.19</v>
      </c>
      <c r="E65" s="68">
        <f>SUMIF(AJE!$B$8:$B$36,B65,AJE!$D$8:$D$36)-SUMIF(AJE!$G$8:$G$36,B65,AJE!$I$8:$I$36)</f>
        <v>0</v>
      </c>
      <c r="F65" s="68">
        <f t="shared" si="17"/>
        <v>-126732.19</v>
      </c>
      <c r="G65" s="68">
        <f>VLOOKUP(B65,[1]DataSheet!$E$2:$H$112,4,0)</f>
        <v>-34224.71</v>
      </c>
      <c r="H65" s="68">
        <f>SUMIF(AJE!$B$8:$B$36,B65,AJE!$E$8:$E$36)-SUMIF(AJE!$G$8:$G$36,B65,AJE!$J$8:$J$36)</f>
        <v>0</v>
      </c>
      <c r="I65" s="68">
        <f t="shared" si="22"/>
        <v>-34224.71</v>
      </c>
      <c r="J65" s="67" t="s">
        <v>107</v>
      </c>
      <c r="K65" s="144">
        <f t="shared" si="23"/>
        <v>3.7029441593515329</v>
      </c>
      <c r="L65" s="5"/>
      <c r="M65" s="114"/>
      <c r="N65" s="5"/>
      <c r="O65" s="5"/>
      <c r="P65" s="5"/>
      <c r="Q65" s="5"/>
      <c r="R65" s="5"/>
      <c r="S65" s="5"/>
      <c r="T65" s="5"/>
      <c r="U65" s="5"/>
    </row>
    <row r="66" spans="1:21" s="146" customFormat="1">
      <c r="A66" s="148" t="str">
        <f t="shared" si="29"/>
        <v>720.שכר עבודה ונלוות מופ</v>
      </c>
      <c r="B66" s="148">
        <v>7203</v>
      </c>
      <c r="C66" s="148" t="str">
        <f>"הוצאות ביטוח לאומי מעביד מופ"</f>
        <v>הוצאות ביטוח לאומי מעביד מופ</v>
      </c>
      <c r="D66" s="68">
        <f>VLOOKUP(B66,[1]DataSheet!$E$2:$H$112,3,0)</f>
        <v>222186.71</v>
      </c>
      <c r="E66" s="68">
        <f>SUMIF(AJE!$B$8:$B$36,B66,AJE!$D$8:$D$36)-SUMIF(AJE!$G$8:$G$36,B66,AJE!$I$8:$I$36)</f>
        <v>0</v>
      </c>
      <c r="F66" s="68">
        <f t="shared" si="17"/>
        <v>222186.71</v>
      </c>
      <c r="G66" s="68">
        <f>VLOOKUP(B66,[1]DataSheet!$E$2:$H$112,4,0)</f>
        <v>60396.29</v>
      </c>
      <c r="H66" s="68">
        <f>SUMIF(AJE!$B$8:$B$36,B66,AJE!$E$8:$E$36)-SUMIF(AJE!$G$8:$G$36,B66,AJE!$J$8:$J$36)</f>
        <v>0</v>
      </c>
      <c r="I66" s="68">
        <f t="shared" si="22"/>
        <v>60396.29</v>
      </c>
      <c r="J66" s="67" t="s">
        <v>107</v>
      </c>
      <c r="K66" s="144">
        <f t="shared" si="23"/>
        <v>3.6788138807863859</v>
      </c>
      <c r="L66" s="5"/>
      <c r="M66" s="114"/>
      <c r="N66" s="5"/>
      <c r="O66" s="5"/>
      <c r="P66" s="5"/>
      <c r="Q66" s="5"/>
      <c r="R66" s="5"/>
      <c r="S66" s="5"/>
      <c r="T66" s="5"/>
      <c r="U66" s="5"/>
    </row>
    <row r="67" spans="1:21" s="146" customFormat="1">
      <c r="A67" s="148" t="str">
        <f t="shared" si="29"/>
        <v>720.שכר עבודה ונלוות מופ</v>
      </c>
      <c r="B67" s="148">
        <v>7204</v>
      </c>
      <c r="C67" s="148" t="str">
        <f>"הוצאות גמל מעביד מופ"</f>
        <v>הוצאות גמל מעביד מופ</v>
      </c>
      <c r="D67" s="68">
        <f>VLOOKUP(B67,[1]DataSheet!$E$2:$H$112,3,0)</f>
        <v>210148.88</v>
      </c>
      <c r="E67" s="68">
        <f>SUMIF(AJE!$B$8:$B$36,B67,AJE!$D$8:$D$36)-SUMIF(AJE!$G$8:$G$36,B67,AJE!$I$8:$I$36)</f>
        <v>0</v>
      </c>
      <c r="F67" s="68">
        <f t="shared" si="17"/>
        <v>210148.88</v>
      </c>
      <c r="G67" s="68">
        <f>VLOOKUP(B67,[1]DataSheet!$E$2:$H$112,4,0)</f>
        <v>57052.6</v>
      </c>
      <c r="H67" s="68">
        <f>SUMIF(AJE!$B$8:$B$36,B67,AJE!$E$8:$E$36)-SUMIF(AJE!$G$8:$G$36,B67,AJE!$J$8:$J$36)</f>
        <v>0</v>
      </c>
      <c r="I67" s="68">
        <f t="shared" si="22"/>
        <v>57052.6</v>
      </c>
      <c r="J67" s="67" t="s">
        <v>107</v>
      </c>
      <c r="K67" s="144">
        <f t="shared" si="23"/>
        <v>3.6834233672085062</v>
      </c>
      <c r="L67" s="5"/>
      <c r="M67" s="114"/>
      <c r="N67" s="5"/>
      <c r="O67" s="5"/>
      <c r="P67" s="5"/>
      <c r="Q67" s="5"/>
      <c r="R67" s="5"/>
      <c r="S67" s="5"/>
      <c r="T67" s="5"/>
      <c r="U67" s="5"/>
    </row>
    <row r="68" spans="1:21" s="146" customFormat="1">
      <c r="A68" s="148" t="str">
        <f t="shared" si="29"/>
        <v>720.שכר עבודה ונלוות מופ</v>
      </c>
      <c r="B68" s="148">
        <v>7205</v>
      </c>
      <c r="C68" s="148" t="str">
        <f>"הוצאות קרן השתלמות מעביד מופ"</f>
        <v>הוצאות קרן השתלמות מעביד מופ</v>
      </c>
      <c r="D68" s="68">
        <f>VLOOKUP(B68,[1]DataSheet!$E$2:$H$112,3,0)</f>
        <v>136458.75</v>
      </c>
      <c r="E68" s="68">
        <f>SUMIF(AJE!$B$8:$B$36,B68,AJE!$D$8:$D$36)-SUMIF(AJE!$G$8:$G$36,B68,AJE!$I$8:$I$36)</f>
        <v>0</v>
      </c>
      <c r="F68" s="68">
        <f t="shared" si="17"/>
        <v>136458.75</v>
      </c>
      <c r="G68" s="68">
        <f>VLOOKUP(B68,[1]DataSheet!$E$2:$H$112,4,0)</f>
        <v>36991.4</v>
      </c>
      <c r="H68" s="68">
        <f>SUMIF(AJE!$B$8:$B$36,B68,AJE!$E$8:$E$36)-SUMIF(AJE!$G$8:$G$36,B68,AJE!$J$8:$J$36)</f>
        <v>0</v>
      </c>
      <c r="I68" s="68">
        <f t="shared" si="22"/>
        <v>36991.4</v>
      </c>
      <c r="J68" s="67" t="s">
        <v>107</v>
      </c>
      <c r="K68" s="144">
        <f t="shared" si="23"/>
        <v>3.68893175170445</v>
      </c>
      <c r="L68" s="5"/>
      <c r="M68" s="114"/>
      <c r="N68" s="5"/>
      <c r="O68" s="5"/>
      <c r="P68" s="5"/>
      <c r="Q68" s="5"/>
      <c r="R68" s="5"/>
      <c r="S68" s="5"/>
      <c r="T68" s="5"/>
      <c r="U68" s="5"/>
    </row>
    <row r="69" spans="1:21" s="146" customFormat="1">
      <c r="A69" s="148" t="str">
        <f t="shared" si="29"/>
        <v>720.שכר עבודה ונלוות מופ</v>
      </c>
      <c r="B69" s="148">
        <v>7206</v>
      </c>
      <c r="C69" s="148" t="str">
        <f>"הוצאות פיצויים מעביד מופ"</f>
        <v>הוצאות פיצויים מעביד מופ</v>
      </c>
      <c r="D69" s="68">
        <f>VLOOKUP(B69,[1]DataSheet!$E$2:$H$112,3,0)</f>
        <v>272579.77</v>
      </c>
      <c r="E69" s="68">
        <f>SUMIF(AJE!$B$8:$B$36,B69,AJE!$D$8:$D$36)-SUMIF(AJE!$G$8:$G$36,B69,AJE!$I$8:$I$36)</f>
        <v>0</v>
      </c>
      <c r="F69" s="68">
        <f t="shared" si="17"/>
        <v>272579.77</v>
      </c>
      <c r="G69" s="68">
        <f>VLOOKUP(B69,[1]DataSheet!$E$2:$H$112,4,0)</f>
        <v>74014.070000000007</v>
      </c>
      <c r="H69" s="68">
        <f>SUMIF(AJE!$B$8:$B$36,B69,AJE!$E$8:$E$36)-SUMIF(AJE!$G$8:$G$36,B69,AJE!$J$8:$J$36)</f>
        <v>0</v>
      </c>
      <c r="I69" s="68">
        <f t="shared" si="22"/>
        <v>74014.070000000007</v>
      </c>
      <c r="J69" s="67" t="s">
        <v>107</v>
      </c>
      <c r="K69" s="144">
        <f t="shared" si="23"/>
        <v>3.6828101737953336</v>
      </c>
      <c r="L69" s="5"/>
      <c r="M69" s="114"/>
      <c r="N69" s="5"/>
      <c r="O69" s="5"/>
      <c r="P69" s="5"/>
      <c r="Q69" s="5"/>
      <c r="R69" s="5"/>
      <c r="S69" s="5"/>
      <c r="T69" s="5"/>
      <c r="U69" s="5"/>
    </row>
    <row r="70" spans="1:21" s="146" customFormat="1">
      <c r="A70" s="148" t="str">
        <f t="shared" si="29"/>
        <v>720.שכר עבודה ונלוות מופ</v>
      </c>
      <c r="B70" s="148">
        <v>7207</v>
      </c>
      <c r="C70" s="148" t="str">
        <f>"הוצאות ביטוח א.כ.ע מעביד מופ"</f>
        <v>הוצאות ביטוח א.כ.ע מעביד מופ</v>
      </c>
      <c r="D70" s="68">
        <f>VLOOKUP(B70,[1]DataSheet!$E$2:$H$112,3,0)</f>
        <v>2548.44</v>
      </c>
      <c r="E70" s="68">
        <f>SUMIF(AJE!$B$8:$B$36,B70,AJE!$D$8:$D$36)-SUMIF(AJE!$G$8:$G$36,B70,AJE!$I$8:$I$36)</f>
        <v>0</v>
      </c>
      <c r="F70" s="68">
        <f t="shared" si="17"/>
        <v>2548.44</v>
      </c>
      <c r="G70" s="68">
        <f>VLOOKUP(B70,[1]DataSheet!$E$2:$H$112,4,0)</f>
        <v>701.47</v>
      </c>
      <c r="H70" s="68">
        <f>SUMIF(AJE!$B$8:$B$36,B70,AJE!$E$8:$E$36)-SUMIF(AJE!$G$8:$G$36,B70,AJE!$J$8:$J$36)</f>
        <v>0</v>
      </c>
      <c r="I70" s="68">
        <f t="shared" si="22"/>
        <v>701.47</v>
      </c>
      <c r="J70" s="67" t="s">
        <v>107</v>
      </c>
      <c r="K70" s="144">
        <f t="shared" si="23"/>
        <v>3.6329992729553653</v>
      </c>
      <c r="L70" s="5"/>
      <c r="M70" s="114"/>
      <c r="N70" s="5"/>
      <c r="O70" s="5"/>
      <c r="P70" s="5"/>
      <c r="Q70" s="5"/>
      <c r="R70" s="5"/>
      <c r="S70" s="5"/>
      <c r="T70" s="5"/>
      <c r="U70" s="5"/>
    </row>
    <row r="71" spans="1:21" s="148" customFormat="1">
      <c r="B71" s="148">
        <v>7208</v>
      </c>
      <c r="C71" s="148" t="s">
        <v>386</v>
      </c>
      <c r="D71" s="68">
        <f>VLOOKUP(B71,[1]DataSheet!$E$2:$H$112,3,0)</f>
        <v>-88001</v>
      </c>
      <c r="E71" s="68">
        <f>SUMIF(AJE!$B$8:$B$36,B71,AJE!$D$8:$D$36)-SUMIF(AJE!$G$8:$G$36,B71,AJE!$I$8:$I$36)</f>
        <v>0</v>
      </c>
      <c r="F71" s="68">
        <f t="shared" si="17"/>
        <v>-88001</v>
      </c>
      <c r="G71" s="68">
        <f>VLOOKUP(B71,[1]DataSheet!$E$2:$H$112,4,0)</f>
        <v>-24262.75</v>
      </c>
      <c r="H71" s="68">
        <f>SUMIF(AJE!$B$8:$B$36,B71,AJE!$E$8:$E$36)-SUMIF(AJE!$G$8:$G$36,B71,AJE!$J$8:$J$36)</f>
        <v>0</v>
      </c>
      <c r="I71" s="68">
        <f t="shared" ref="I71" si="30">G71+H71</f>
        <v>-24262.75</v>
      </c>
      <c r="J71" s="67" t="s">
        <v>107</v>
      </c>
      <c r="K71" s="144">
        <f t="shared" ref="K71:K73" si="31">D71/G71</f>
        <v>3.6270002369887999</v>
      </c>
      <c r="L71" s="5"/>
      <c r="M71" s="114"/>
      <c r="N71" s="5"/>
      <c r="O71" s="5"/>
      <c r="P71" s="5"/>
      <c r="Q71" s="5"/>
      <c r="R71" s="5"/>
      <c r="S71" s="5"/>
      <c r="T71" s="5"/>
      <c r="U71" s="5"/>
    </row>
    <row r="72" spans="1:21" s="148" customFormat="1">
      <c r="B72" s="148">
        <v>7700</v>
      </c>
      <c r="C72" s="72" t="s">
        <v>279</v>
      </c>
      <c r="D72" s="68">
        <f>VLOOKUP(B72,[1]DataSheet!$E$2:$H$112,3,0)</f>
        <v>554135</v>
      </c>
      <c r="E72" s="68">
        <f>SUMIF(AJE!$B$8:$B$36,B72,AJE!$D$8:$D$36)-SUMIF(AJE!$G$8:$G$36,B72,AJE!$I$8:$I$36)</f>
        <v>0</v>
      </c>
      <c r="F72" s="68">
        <f t="shared" ref="F72" si="32">D72+E72</f>
        <v>554135</v>
      </c>
      <c r="G72" s="68">
        <f>VLOOKUP(B72,[1]DataSheet!$E$2:$H$112,4,0)</f>
        <v>150990</v>
      </c>
      <c r="H72" s="68">
        <f>SUMIF(AJE!$B$8:$B$36,B72,AJE!$E$8:$E$36)-SUMIF(AJE!$G$8:$G$36,B72,AJE!$J$8:$J$36)</f>
        <v>0</v>
      </c>
      <c r="I72" s="68">
        <f t="shared" ref="I72" si="33">G72+H72</f>
        <v>150990</v>
      </c>
      <c r="J72" s="67" t="s">
        <v>109</v>
      </c>
      <c r="K72" s="144">
        <f t="shared" si="31"/>
        <v>3.6700112590237763</v>
      </c>
      <c r="L72" s="5"/>
      <c r="M72" s="114"/>
      <c r="N72" s="5"/>
      <c r="O72" s="5"/>
      <c r="P72" s="5"/>
      <c r="Q72" s="5"/>
      <c r="R72" s="5"/>
      <c r="S72" s="5"/>
      <c r="T72" s="5"/>
      <c r="U72" s="5"/>
    </row>
    <row r="73" spans="1:21" s="148" customFormat="1">
      <c r="B73" s="148">
        <v>7708</v>
      </c>
      <c r="C73" s="148" t="s">
        <v>387</v>
      </c>
      <c r="D73" s="68">
        <f>VLOOKUP(B73,[1]DataSheet!$E$2:$H$112,3,0)</f>
        <v>9871</v>
      </c>
      <c r="E73" s="68">
        <f>SUMIF(AJE!$B$8:$B$36,B73,AJE!$D$8:$D$36)-SUMIF(AJE!$G$8:$G$36,B73,AJE!$I$8:$I$36)</f>
        <v>0</v>
      </c>
      <c r="F73" s="68">
        <f t="shared" ref="F73" si="34">D73+E73</f>
        <v>9871</v>
      </c>
      <c r="G73" s="68">
        <f>VLOOKUP(B73,[1]DataSheet!$E$2:$H$112,4,0)</f>
        <v>2721.53</v>
      </c>
      <c r="H73" s="68">
        <f>SUMIF(AJE!$B$8:$B$36,B73,AJE!$E$8:$E$36)-SUMIF(AJE!$G$8:$G$36,B73,AJE!$J$8:$J$36)</f>
        <v>0</v>
      </c>
      <c r="I73" s="68">
        <f t="shared" ref="I73" si="35">G73+H73</f>
        <v>2721.53</v>
      </c>
      <c r="J73" s="67" t="s">
        <v>109</v>
      </c>
      <c r="K73" s="144">
        <f t="shared" si="31"/>
        <v>3.6270039279375936</v>
      </c>
      <c r="L73" s="5"/>
      <c r="M73" s="114"/>
      <c r="N73" s="5"/>
      <c r="O73" s="5"/>
      <c r="P73" s="5"/>
      <c r="Q73" s="5"/>
      <c r="R73" s="5"/>
      <c r="S73" s="5"/>
      <c r="T73" s="5"/>
      <c r="U73" s="5"/>
    </row>
    <row r="74" spans="1:21" s="146" customFormat="1">
      <c r="A74" s="148" t="str">
        <f>"730.הוצאות מחקר ופיתוח"</f>
        <v>730.הוצאות מחקר ופיתוח</v>
      </c>
      <c r="B74" s="148">
        <v>7301</v>
      </c>
      <c r="C74" s="148" t="str">
        <f>"פיתוח אחר"</f>
        <v>פיתוח אחר</v>
      </c>
      <c r="D74" s="68">
        <f>VLOOKUP(B74,[1]DataSheet!$E$2:$H$112,3,0)</f>
        <v>131271.6</v>
      </c>
      <c r="E74" s="68">
        <f>SUMIF(AJE!$B$8:$B$36,B74,AJE!$D$8:$D$36)-SUMIF(AJE!$G$8:$G$36,B74,AJE!$I$8:$I$36)</f>
        <v>22591.33</v>
      </c>
      <c r="F74" s="68">
        <f t="shared" si="17"/>
        <v>153862.93</v>
      </c>
      <c r="G74" s="68">
        <f>VLOOKUP(B74,[1]DataSheet!$E$2:$H$112,4,0)</f>
        <v>35583.86</v>
      </c>
      <c r="H74" s="68">
        <f>SUMIF(AJE!$B$8:$B$36,B74,AJE!$E$8:$E$36)-SUMIF(AJE!$G$8:$G$36,B74,AJE!$J$8:$J$36)</f>
        <v>6228.65453542873</v>
      </c>
      <c r="I74" s="68">
        <f t="shared" si="22"/>
        <v>41812.514535428731</v>
      </c>
      <c r="J74" s="55" t="s">
        <v>50</v>
      </c>
      <c r="K74" s="144">
        <f t="shared" ref="K74:K121" si="36">D74/G74</f>
        <v>3.6890770141294396</v>
      </c>
      <c r="L74" s="5"/>
      <c r="M74" s="114"/>
      <c r="N74" s="5"/>
      <c r="O74" s="5"/>
      <c r="P74" s="5"/>
      <c r="Q74" s="5"/>
      <c r="R74" s="5"/>
      <c r="S74" s="5"/>
      <c r="T74" s="5"/>
      <c r="U74" s="5"/>
    </row>
    <row r="75" spans="1:21" s="146" customFormat="1">
      <c r="A75" s="148" t="str">
        <f>"730.הוצאות מחקר ופיתוח"</f>
        <v>730.הוצאות מחקר ופיתוח</v>
      </c>
      <c r="B75" s="148">
        <v>7303</v>
      </c>
      <c r="C75" s="148" t="str">
        <f>"אירוח שרתים"</f>
        <v>אירוח שרתים</v>
      </c>
      <c r="D75" s="68">
        <f>VLOOKUP(B75,[1]DataSheet!$E$2:$H$112,3,0)</f>
        <v>20529</v>
      </c>
      <c r="E75" s="68">
        <f>SUMIF(AJE!$B$8:$B$36,B75,AJE!$D$8:$D$36)-SUMIF(AJE!$G$8:$G$36,B75,AJE!$I$8:$I$36)</f>
        <v>0</v>
      </c>
      <c r="F75" s="68">
        <f t="shared" si="17"/>
        <v>20529</v>
      </c>
      <c r="G75" s="68">
        <f>VLOOKUP(B75,[1]DataSheet!$E$2:$H$112,4,0)</f>
        <v>5400</v>
      </c>
      <c r="H75" s="68">
        <f>SUMIF(AJE!$B$8:$B$36,B75,AJE!$E$8:$E$36)-SUMIF(AJE!$G$8:$G$36,B75,AJE!$J$8:$J$36)</f>
        <v>0</v>
      </c>
      <c r="I75" s="68">
        <f t="shared" si="22"/>
        <v>5400</v>
      </c>
      <c r="J75" s="55" t="s">
        <v>50</v>
      </c>
      <c r="K75" s="144">
        <f t="shared" si="36"/>
        <v>3.8016666666666667</v>
      </c>
      <c r="L75" s="5"/>
      <c r="M75" s="114"/>
      <c r="N75" s="5"/>
      <c r="O75" s="5"/>
      <c r="P75" s="5"/>
      <c r="Q75" s="5"/>
      <c r="R75" s="5"/>
      <c r="S75" s="5"/>
      <c r="T75" s="5"/>
      <c r="U75" s="5"/>
    </row>
    <row r="76" spans="1:21" s="146" customFormat="1">
      <c r="A76" s="148" t="str">
        <f>"730.הוצאות מחקר ופיתוח"</f>
        <v>730.הוצאות מחקר ופיתוח</v>
      </c>
      <c r="B76" s="148">
        <v>7305</v>
      </c>
      <c r="C76" s="148" t="str">
        <f>"פיתוח תוכנה"</f>
        <v>פיתוח תוכנה</v>
      </c>
      <c r="D76" s="68">
        <f>VLOOKUP(B76,[1]DataSheet!$E$2:$H$112,3,0)</f>
        <v>689442.52</v>
      </c>
      <c r="E76" s="68">
        <f>SUMIF(AJE!$B$8:$B$36,B76,AJE!$D$8:$D$36)-SUMIF(AJE!$G$8:$G$36,B76,AJE!$I$8:$I$36)</f>
        <v>6882.42</v>
      </c>
      <c r="F76" s="68">
        <f t="shared" si="17"/>
        <v>696324.94000000006</v>
      </c>
      <c r="G76" s="68">
        <f>VLOOKUP(B76,[1]DataSheet!$E$2:$H$112,4,0)</f>
        <v>186864.06</v>
      </c>
      <c r="H76" s="68">
        <f>SUMIF(AJE!$B$8:$B$36,B76,AJE!$E$8:$E$36)-SUMIF(AJE!$G$8:$G$36,B76,AJE!$J$8:$J$36)</f>
        <v>1897.5516956162119</v>
      </c>
      <c r="I76" s="68">
        <f t="shared" si="22"/>
        <v>188761.61169561622</v>
      </c>
      <c r="J76" s="55" t="s">
        <v>50</v>
      </c>
      <c r="K76" s="144">
        <f t="shared" si="36"/>
        <v>3.6895405141042104</v>
      </c>
      <c r="L76" s="5"/>
      <c r="M76" s="114"/>
      <c r="N76" s="5"/>
      <c r="O76" s="5"/>
      <c r="P76" s="5"/>
      <c r="Q76" s="5"/>
      <c r="R76" s="5"/>
      <c r="S76" s="5"/>
      <c r="T76" s="5"/>
      <c r="U76" s="5"/>
    </row>
    <row r="77" spans="1:21" s="146" customFormat="1">
      <c r="A77" s="148" t="str">
        <f>"730.הוצאות מחקר ופיתוח"</f>
        <v>730.הוצאות מחקר ופיתוח</v>
      </c>
      <c r="B77" s="148">
        <v>7306</v>
      </c>
      <c r="C77" s="148" t="str">
        <f>"עיצוב גרפי"</f>
        <v>עיצוב גרפי</v>
      </c>
      <c r="D77" s="68">
        <f>VLOOKUP(B77,[1]DataSheet!$E$2:$H$112,3,0)</f>
        <v>16324.31</v>
      </c>
      <c r="E77" s="68">
        <f>SUMIF(AJE!$B$8:$B$36,B77,AJE!$D$8:$D$36)-SUMIF(AJE!$G$8:$G$36,B77,AJE!$I$8:$I$36)</f>
        <v>0</v>
      </c>
      <c r="F77" s="68">
        <f t="shared" si="17"/>
        <v>16324.31</v>
      </c>
      <c r="G77" s="68">
        <f>VLOOKUP(B77,[1]DataSheet!$E$2:$H$112,4,0)</f>
        <v>4341</v>
      </c>
      <c r="H77" s="68">
        <f>SUMIF(AJE!$B$8:$B$36,B77,AJE!$E$8:$E$36)-SUMIF(AJE!$G$8:$G$36,B77,AJE!$J$8:$J$36)</f>
        <v>0</v>
      </c>
      <c r="I77" s="68">
        <f t="shared" si="22"/>
        <v>4341</v>
      </c>
      <c r="J77" s="55" t="s">
        <v>50</v>
      </c>
      <c r="K77" s="144">
        <f t="shared" si="36"/>
        <v>3.7604952775858096</v>
      </c>
      <c r="L77" s="5"/>
      <c r="M77" s="114"/>
      <c r="N77" s="5"/>
      <c r="O77" s="5"/>
      <c r="P77" s="5"/>
      <c r="Q77" s="5"/>
      <c r="R77" s="5"/>
      <c r="S77" s="5"/>
      <c r="T77" s="5"/>
      <c r="U77" s="5"/>
    </row>
    <row r="78" spans="1:21" s="146" customFormat="1">
      <c r="A78" s="148" t="str">
        <f>"730.הוצאות מחקר ופיתוח"</f>
        <v>730.הוצאות מחקר ופיתוח</v>
      </c>
      <c r="B78" s="148">
        <v>7307</v>
      </c>
      <c r="C78" s="148" t="str">
        <f>"יעוץ פיתוח מוצר"</f>
        <v>יעוץ פיתוח מוצר</v>
      </c>
      <c r="D78" s="68">
        <f>VLOOKUP(B78,[1]DataSheet!$E$2:$H$112,3,0)</f>
        <v>36752.339999999997</v>
      </c>
      <c r="E78" s="68">
        <f>SUMIF(AJE!$B$8:$B$36,B78,AJE!$D$8:$D$36)-SUMIF(AJE!$G$8:$G$36,B78,AJE!$I$8:$I$36)</f>
        <v>0</v>
      </c>
      <c r="F78" s="68">
        <f t="shared" si="17"/>
        <v>36752.339999999997</v>
      </c>
      <c r="G78" s="68">
        <f>VLOOKUP(B78,[1]DataSheet!$E$2:$H$112,4,0)</f>
        <v>9671.44</v>
      </c>
      <c r="H78" s="68">
        <f>SUMIF(AJE!$B$8:$B$36,B78,AJE!$E$8:$E$36)-SUMIF(AJE!$G$8:$G$36,B78,AJE!$J$8:$J$36)</f>
        <v>0</v>
      </c>
      <c r="I78" s="68">
        <f t="shared" si="22"/>
        <v>9671.44</v>
      </c>
      <c r="J78" s="55" t="s">
        <v>50</v>
      </c>
      <c r="K78" s="144">
        <f t="shared" si="36"/>
        <v>3.8000897487861161</v>
      </c>
      <c r="L78" s="5"/>
      <c r="M78" s="114"/>
      <c r="N78" s="5"/>
      <c r="O78" s="5"/>
      <c r="P78" s="5"/>
      <c r="Q78" s="5"/>
      <c r="R78" s="5"/>
      <c r="S78" s="5"/>
      <c r="T78" s="5"/>
      <c r="U78" s="5"/>
    </row>
    <row r="79" spans="1:21" s="148" customFormat="1">
      <c r="B79" s="148">
        <v>7308</v>
      </c>
      <c r="C79" s="148" t="s">
        <v>165</v>
      </c>
      <c r="D79" s="68">
        <f>VLOOKUP(B79,[1]DataSheet!$E$2:$H$112,3,0)</f>
        <v>221.15</v>
      </c>
      <c r="E79" s="68">
        <f>SUMIF(AJE!$B$8:$B$36,B79,AJE!$D$8:$D$36)-SUMIF(AJE!$G$8:$G$36,B79,AJE!$I$8:$I$36)</f>
        <v>0</v>
      </c>
      <c r="F79" s="68">
        <f t="shared" si="17"/>
        <v>221.15</v>
      </c>
      <c r="G79" s="68">
        <f>VLOOKUP(B79,[1]DataSheet!$E$2:$H$112,4,0)</f>
        <v>59.4</v>
      </c>
      <c r="H79" s="68">
        <f>SUMIF(AJE!$B$8:$B$36,B79,AJE!$E$8:$E$36)-SUMIF(AJE!$G$8:$G$36,B79,AJE!$J$8:$J$36)</f>
        <v>0</v>
      </c>
      <c r="I79" s="68">
        <f t="shared" ref="I79" si="37">G79+H79</f>
        <v>59.4</v>
      </c>
      <c r="J79" s="55" t="s">
        <v>50</v>
      </c>
      <c r="K79" s="144">
        <f t="shared" ref="K79" si="38">D79/G79</f>
        <v>3.7230639730639732</v>
      </c>
      <c r="L79" s="5"/>
      <c r="M79" s="114"/>
      <c r="N79" s="5"/>
      <c r="O79" s="5"/>
      <c r="P79" s="5"/>
      <c r="Q79" s="5"/>
      <c r="R79" s="5"/>
      <c r="S79" s="5"/>
      <c r="T79" s="5"/>
      <c r="U79" s="5"/>
    </row>
    <row r="80" spans="1:21" s="146" customFormat="1">
      <c r="A80" s="148" t="str">
        <f>"740.שכר עבודה ונלוות מכירה ושיווק"</f>
        <v>740.שכר עבודה ונלוות מכירה ושיווק</v>
      </c>
      <c r="B80" s="148">
        <v>7450</v>
      </c>
      <c r="C80" s="148" t="str">
        <f>"שיווק ומכירות"</f>
        <v>שיווק ומכירות</v>
      </c>
      <c r="D80" s="68">
        <f>VLOOKUP(B80,[1]DataSheet!$E$2:$H$112,3,0)</f>
        <v>283743.5</v>
      </c>
      <c r="E80" s="68">
        <f>SUMIF(AJE!$B$8:$B$36,B80,AJE!$D$8:$D$36)-SUMIF(AJE!$G$8:$G$36,B80,AJE!$I$8:$I$36)</f>
        <v>171385.25025641025</v>
      </c>
      <c r="F80" s="68">
        <f t="shared" si="17"/>
        <v>455128.75025641022</v>
      </c>
      <c r="G80" s="68">
        <f>VLOOKUP(B80,[1]DataSheet!$E$2:$H$112,4,0)</f>
        <v>76452.06</v>
      </c>
      <c r="H80" s="68">
        <f>SUMIF(AJE!$B$8:$B$36,B80,AJE!$E$8:$E$36)-SUMIF(AJE!$G$8:$G$36,B80,AJE!$J$8:$J$36)</f>
        <v>47252.619315249591</v>
      </c>
      <c r="I80" s="68">
        <f t="shared" si="22"/>
        <v>123704.67931524958</v>
      </c>
      <c r="J80" s="7" t="s">
        <v>155</v>
      </c>
      <c r="K80" s="144">
        <f t="shared" si="36"/>
        <v>3.7113911646069448</v>
      </c>
      <c r="L80" s="5"/>
      <c r="M80" s="114"/>
      <c r="N80" s="5"/>
      <c r="O80" s="5"/>
      <c r="P80" s="5"/>
      <c r="Q80" s="5"/>
      <c r="R80" s="5"/>
      <c r="S80" s="5"/>
      <c r="T80" s="5"/>
      <c r="U80" s="5"/>
    </row>
    <row r="81" spans="1:21" s="148" customFormat="1">
      <c r="B81" s="148">
        <v>7501</v>
      </c>
      <c r="C81" s="148" t="s">
        <v>225</v>
      </c>
      <c r="D81" s="68">
        <f>VLOOKUP(B81,[1]DataSheet!$E$2:$H$112,3,0)</f>
        <v>48</v>
      </c>
      <c r="E81" s="68">
        <f>SUMIF(AJE!$B$8:$B$36,B81,AJE!$D$8:$D$36)-SUMIF(AJE!$G$8:$G$36,B81,AJE!$I$8:$I$36)</f>
        <v>0</v>
      </c>
      <c r="F81" s="68">
        <f t="shared" si="17"/>
        <v>48</v>
      </c>
      <c r="G81" s="68">
        <f>VLOOKUP(B81,[1]DataSheet!$E$2:$H$112,4,0)</f>
        <v>13.15</v>
      </c>
      <c r="H81" s="68">
        <f>SUMIF(AJE!$B$8:$B$36,B81,AJE!$E$8:$E$36)-SUMIF(AJE!$G$8:$G$36,B81,AJE!$J$8:$J$36)</f>
        <v>0</v>
      </c>
      <c r="I81" s="68">
        <f t="shared" ref="I81" si="39">G81+H81</f>
        <v>13.15</v>
      </c>
      <c r="J81" s="7" t="s">
        <v>155</v>
      </c>
      <c r="K81" s="144">
        <f t="shared" ref="K81" si="40">D81/G81</f>
        <v>3.6501901140684412</v>
      </c>
      <c r="L81" s="5"/>
      <c r="M81" s="114"/>
      <c r="N81" s="5"/>
      <c r="O81" s="5"/>
      <c r="P81" s="5"/>
      <c r="Q81" s="5"/>
      <c r="R81" s="5"/>
      <c r="S81" s="5"/>
      <c r="T81" s="5"/>
      <c r="U81" s="5"/>
    </row>
    <row r="82" spans="1:21" s="148" customFormat="1">
      <c r="B82" s="148">
        <v>7560</v>
      </c>
      <c r="C82" s="148" t="s">
        <v>232</v>
      </c>
      <c r="D82" s="68"/>
      <c r="E82" s="68">
        <f>SUMIF(AJE!$B$8:$B$36,B82,AJE!$D$8:$D$36)-SUMIF(AJE!$G$8:$G$36,B82,AJE!$I$8:$I$36)</f>
        <v>1710764.551899425</v>
      </c>
      <c r="F82" s="68">
        <f t="shared" si="17"/>
        <v>1710764.551899425</v>
      </c>
      <c r="G82" s="68"/>
      <c r="H82" s="68">
        <f>SUMIF(AJE!$B$8:$B$36,B82,AJE!$E$8:$E$36)-SUMIF(AJE!$G$8:$G$36,B82,AJE!$J$8:$J$36)</f>
        <v>471674.81441947207</v>
      </c>
      <c r="I82" s="68">
        <f t="shared" ref="I82" si="41">G82+H82</f>
        <v>471674.81441947207</v>
      </c>
      <c r="J82" s="72" t="s">
        <v>233</v>
      </c>
      <c r="K82" s="144"/>
      <c r="L82" s="5"/>
      <c r="M82" s="114"/>
      <c r="N82" s="5"/>
      <c r="O82" s="5"/>
      <c r="P82" s="5"/>
      <c r="Q82" s="5"/>
      <c r="R82" s="5"/>
      <c r="S82" s="5"/>
      <c r="T82" s="5"/>
      <c r="U82" s="5"/>
    </row>
    <row r="83" spans="1:21" s="146" customFormat="1" ht="15.65" customHeight="1">
      <c r="A83" s="148" t="str">
        <f>"750.הוצאות מכירה ושיווק"</f>
        <v>750.הוצאות מכירה ושיווק</v>
      </c>
      <c r="B83" s="148">
        <v>7600</v>
      </c>
      <c r="C83" s="148" t="str">
        <f>"נסיעות לחול"</f>
        <v>נסיעות לחול</v>
      </c>
      <c r="D83" s="68">
        <f>VLOOKUP(B83,[1]DataSheet!$E$2:$H$112,3,0)</f>
        <v>31869.439999999999</v>
      </c>
      <c r="E83" s="68">
        <f>SUMIF(AJE!$B$8:$B$36,B83,AJE!$D$8:$D$36)-SUMIF(AJE!$G$8:$G$36,B83,AJE!$I$8:$I$36)</f>
        <v>0</v>
      </c>
      <c r="F83" s="68">
        <f t="shared" si="17"/>
        <v>31869.439999999999</v>
      </c>
      <c r="G83" s="68">
        <f>VLOOKUP(B83,[1]DataSheet!$E$2:$H$112,4,0)</f>
        <v>8677.19</v>
      </c>
      <c r="H83" s="68">
        <f>SUMIF(AJE!$B$8:$B$36,B83,AJE!$E$8:$E$36)-SUMIF(AJE!$G$8:$G$36,B83,AJE!$J$8:$J$36)</f>
        <v>0</v>
      </c>
      <c r="I83" s="68">
        <f t="shared" si="22"/>
        <v>8677.19</v>
      </c>
      <c r="J83" s="7" t="s">
        <v>9</v>
      </c>
      <c r="K83" s="144">
        <f t="shared" si="36"/>
        <v>3.6727834702248074</v>
      </c>
      <c r="L83" s="5"/>
      <c r="M83" s="114"/>
      <c r="N83" s="5"/>
      <c r="O83" s="5"/>
      <c r="P83" s="5"/>
      <c r="Q83" s="5"/>
      <c r="R83" s="5"/>
      <c r="S83" s="5"/>
      <c r="T83" s="5"/>
      <c r="U83" s="5"/>
    </row>
    <row r="84" spans="1:21" s="148" customFormat="1">
      <c r="B84" s="148">
        <v>7801</v>
      </c>
      <c r="C84" s="148" t="s">
        <v>159</v>
      </c>
      <c r="D84" s="68">
        <f>VLOOKUP(B84,[1]DataSheet!$E$2:$H$112,3,0)</f>
        <v>5349.75</v>
      </c>
      <c r="E84" s="68">
        <f>SUMIF(AJE!$B$8:$B$36,B84,AJE!$D$8:$D$36)-SUMIF(AJE!$G$8:$G$36,B84,AJE!$I$8:$I$36)</f>
        <v>0</v>
      </c>
      <c r="F84" s="68">
        <f t="shared" si="17"/>
        <v>5349.75</v>
      </c>
      <c r="G84" s="68">
        <f>VLOOKUP(B84,[1]DataSheet!$E$2:$H$112,4,0)</f>
        <v>1474.03</v>
      </c>
      <c r="H84" s="68">
        <f>SUMIF(AJE!$B$8:$B$36,B84,AJE!$E$8:$E$36)-SUMIF(AJE!$G$8:$G$36,B84,AJE!$J$8:$J$36)</f>
        <v>0</v>
      </c>
      <c r="I84" s="68">
        <f t="shared" ref="I84" si="42">G84+H84</f>
        <v>1474.03</v>
      </c>
      <c r="J84" s="7" t="s">
        <v>12</v>
      </c>
      <c r="K84" s="144">
        <f t="shared" si="36"/>
        <v>3.6293359022543639</v>
      </c>
      <c r="L84" s="5"/>
      <c r="M84" s="114"/>
      <c r="N84" s="5"/>
      <c r="O84" s="5"/>
      <c r="P84" s="5"/>
      <c r="Q84" s="5"/>
      <c r="R84" s="5"/>
      <c r="S84" s="5"/>
      <c r="T84" s="5"/>
      <c r="U84" s="5"/>
    </row>
    <row r="85" spans="1:21" s="148" customFormat="1">
      <c r="B85" s="148">
        <v>7805</v>
      </c>
      <c r="C85" s="148" t="s">
        <v>166</v>
      </c>
      <c r="D85" s="68">
        <f>VLOOKUP(B85,[1]DataSheet!$E$2:$H$112,3,0)</f>
        <v>27306.17</v>
      </c>
      <c r="E85" s="68">
        <f>SUMIF(AJE!$B$8:$B$36,B85,AJE!$D$8:$D$36)-SUMIF(AJE!$G$8:$G$36,B85,AJE!$I$8:$I$36)</f>
        <v>4671</v>
      </c>
      <c r="F85" s="68">
        <f t="shared" si="17"/>
        <v>31977.17</v>
      </c>
      <c r="G85" s="68">
        <f>VLOOKUP(B85,[1]DataSheet!$E$2:$H$112,4,0)</f>
        <v>7676.81</v>
      </c>
      <c r="H85" s="68">
        <f>SUMIF(AJE!$B$8:$B$36,B85,AJE!$E$8:$E$36)-SUMIF(AJE!$G$8:$G$36,B85,AJE!$J$8:$J$36)</f>
        <v>1287.8411910669977</v>
      </c>
      <c r="I85" s="68">
        <f t="shared" ref="I85:I86" si="43">G85+H85</f>
        <v>8964.6511910669979</v>
      </c>
      <c r="J85" s="7" t="s">
        <v>13</v>
      </c>
      <c r="K85" s="144">
        <f t="shared" si="36"/>
        <v>3.5569683240825287</v>
      </c>
      <c r="L85" s="5"/>
      <c r="M85" s="114"/>
      <c r="N85" s="5"/>
      <c r="O85" s="5"/>
      <c r="P85" s="5"/>
      <c r="Q85" s="5"/>
      <c r="R85" s="5"/>
      <c r="S85" s="5"/>
      <c r="T85" s="5"/>
      <c r="U85" s="5"/>
    </row>
    <row r="86" spans="1:21" s="148" customFormat="1">
      <c r="B86" s="148">
        <v>7814</v>
      </c>
      <c r="C86" s="148" t="s">
        <v>167</v>
      </c>
      <c r="D86" s="68"/>
      <c r="E86" s="68">
        <f>SUMIF(AJE!$B$8:$B$36,B86,AJE!$D$8:$D$36)-SUMIF(AJE!$G$8:$G$36,B86,AJE!$I$8:$I$36)</f>
        <v>0</v>
      </c>
      <c r="F86" s="68">
        <f t="shared" si="17"/>
        <v>0</v>
      </c>
      <c r="G86" s="68"/>
      <c r="H86" s="68">
        <f>SUMIF(AJE!$B$8:$B$36,B86,AJE!$E$8:$E$36)-SUMIF(AJE!$G$8:$G$36,B86,AJE!$J$8:$J$36)</f>
        <v>0</v>
      </c>
      <c r="I86" s="68">
        <f t="shared" si="43"/>
        <v>0</v>
      </c>
      <c r="J86" s="67" t="s">
        <v>111</v>
      </c>
      <c r="K86" s="144" t="e">
        <f t="shared" si="36"/>
        <v>#DIV/0!</v>
      </c>
      <c r="L86" s="5"/>
      <c r="M86" s="114"/>
      <c r="N86" s="5"/>
      <c r="O86" s="5"/>
      <c r="P86" s="5"/>
      <c r="Q86" s="5"/>
      <c r="R86" s="5"/>
      <c r="S86" s="5"/>
      <c r="T86" s="5"/>
      <c r="U86" s="5"/>
    </row>
    <row r="87" spans="1:21" s="146" customFormat="1">
      <c r="A87" s="148" t="str">
        <f t="shared" ref="A87:A105" si="44">"780.הנהלה וכלליות"</f>
        <v>780.הנהלה וכלליות</v>
      </c>
      <c r="B87" s="148">
        <v>7806</v>
      </c>
      <c r="C87" s="148" t="str">
        <f>"אחזקת מחשבים"</f>
        <v>אחזקת מחשבים</v>
      </c>
      <c r="D87" s="68">
        <f>VLOOKUP(B87,[1]DataSheet!$E$2:$H$112,3,0)</f>
        <v>3105.57</v>
      </c>
      <c r="E87" s="68">
        <f>SUMIF(AJE!$B$8:$B$36,B87,AJE!$D$8:$D$36)-SUMIF(AJE!$G$8:$G$36,B87,AJE!$I$8:$I$36)</f>
        <v>0</v>
      </c>
      <c r="F87" s="68">
        <f t="shared" si="17"/>
        <v>3105.57</v>
      </c>
      <c r="G87" s="68">
        <f>VLOOKUP(B87,[1]DataSheet!$E$2:$H$112,4,0)</f>
        <v>853.32</v>
      </c>
      <c r="H87" s="68">
        <f>SUMIF(AJE!$B$8:$B$36,B87,AJE!$E$8:$E$36)-SUMIF(AJE!$G$8:$G$36,B87,AJE!$J$8:$J$36)</f>
        <v>0</v>
      </c>
      <c r="I87" s="68">
        <f t="shared" si="22"/>
        <v>853.32</v>
      </c>
      <c r="J87" s="55" t="s">
        <v>93</v>
      </c>
      <c r="K87" s="144">
        <f t="shared" si="36"/>
        <v>3.6393967093235831</v>
      </c>
      <c r="L87" s="5"/>
      <c r="M87" s="114"/>
      <c r="N87" s="5"/>
      <c r="O87" s="5"/>
      <c r="P87" s="5"/>
      <c r="Q87" s="5"/>
      <c r="R87" s="5"/>
      <c r="S87" s="5"/>
      <c r="T87" s="5"/>
      <c r="U87" s="5"/>
    </row>
    <row r="88" spans="1:21" s="146" customFormat="1">
      <c r="A88" s="148" t="str">
        <f t="shared" si="44"/>
        <v>780.הנהלה וכלליות</v>
      </c>
      <c r="B88" s="148">
        <v>7807</v>
      </c>
      <c r="C88" s="148" t="str">
        <f>"טלפון ותקשורת"</f>
        <v>טלפון ותקשורת</v>
      </c>
      <c r="D88" s="68">
        <f>VLOOKUP(B88,[1]DataSheet!$E$2:$H$112,3,0)</f>
        <v>38878.17</v>
      </c>
      <c r="E88" s="68">
        <f>SUMIF(AJE!$B$8:$B$36,B88,AJE!$D$8:$D$36)-SUMIF(AJE!$G$8:$G$36,B88,AJE!$I$8:$I$36)</f>
        <v>0</v>
      </c>
      <c r="F88" s="68">
        <f t="shared" si="17"/>
        <v>38878.17</v>
      </c>
      <c r="G88" s="68">
        <f>VLOOKUP(B88,[1]DataSheet!$E$2:$H$112,4,0)</f>
        <v>10563.46</v>
      </c>
      <c r="H88" s="68">
        <f>SUMIF(AJE!$B$8:$B$36,B88,AJE!$E$8:$E$36)-SUMIF(AJE!$G$8:$G$36,B88,AJE!$J$8:$J$36)</f>
        <v>0</v>
      </c>
      <c r="I88" s="68">
        <f t="shared" si="22"/>
        <v>10563.46</v>
      </c>
      <c r="J88" s="55" t="s">
        <v>93</v>
      </c>
      <c r="K88" s="144">
        <f t="shared" si="36"/>
        <v>3.6804389849537937</v>
      </c>
      <c r="L88" s="5"/>
      <c r="M88" s="114"/>
      <c r="N88" s="5"/>
      <c r="O88" s="5"/>
      <c r="P88" s="5"/>
      <c r="Q88" s="5"/>
      <c r="R88" s="5"/>
      <c r="S88" s="5"/>
      <c r="T88" s="5"/>
      <c r="U88" s="5"/>
    </row>
    <row r="89" spans="1:21" s="148" customFormat="1">
      <c r="B89" s="148">
        <v>7808</v>
      </c>
      <c r="C89" s="72" t="s">
        <v>234</v>
      </c>
      <c r="D89" s="68">
        <f>VLOOKUP(B89,[1]DataSheet!$E$2:$H$112,3,0)</f>
        <v>81476</v>
      </c>
      <c r="E89" s="68">
        <f>SUMIF(AJE!$B$8:$B$36,B89,AJE!$D$8:$D$36)-SUMIF(AJE!$G$8:$G$36,B89,AJE!$I$8:$I$36)</f>
        <v>0</v>
      </c>
      <c r="F89" s="68">
        <f t="shared" si="17"/>
        <v>81476</v>
      </c>
      <c r="G89" s="68">
        <f>VLOOKUP(B89,[1]DataSheet!$E$2:$H$112,4,0)</f>
        <v>24780</v>
      </c>
      <c r="H89" s="68">
        <f>SUMIF(AJE!$B$8:$B$36,B89,AJE!$E$8:$E$36)-SUMIF(AJE!$G$8:$G$36,B89,AJE!$J$8:$J$36)</f>
        <v>0</v>
      </c>
      <c r="I89" s="68">
        <f t="shared" ref="I89" si="45">G89+H89</f>
        <v>24780</v>
      </c>
      <c r="J89" s="52" t="s">
        <v>62</v>
      </c>
      <c r="K89" s="144"/>
      <c r="L89" s="5"/>
      <c r="M89" s="114"/>
      <c r="N89" s="5"/>
      <c r="O89" s="5"/>
      <c r="P89" s="5"/>
      <c r="Q89" s="5"/>
      <c r="R89" s="5"/>
      <c r="S89" s="5"/>
      <c r="T89" s="5"/>
      <c r="U89" s="5"/>
    </row>
    <row r="90" spans="1:21" s="146" customFormat="1">
      <c r="A90" s="148" t="str">
        <f t="shared" si="44"/>
        <v>780.הנהלה וכלליות</v>
      </c>
      <c r="B90" s="148">
        <v>7809</v>
      </c>
      <c r="C90" s="148" t="str">
        <f>"משפטיות"</f>
        <v>משפטיות</v>
      </c>
      <c r="D90" s="68">
        <f>VLOOKUP(B90,[1]DataSheet!$E$2:$H$112,3,0)</f>
        <v>101137.93</v>
      </c>
      <c r="E90" s="68">
        <f>SUMIF(AJE!$B$8:$B$36,B90,AJE!$D$8:$D$36)-SUMIF(AJE!$G$8:$G$36,B90,AJE!$I$8:$I$36)</f>
        <v>0</v>
      </c>
      <c r="F90" s="68">
        <f t="shared" si="17"/>
        <v>101137.93</v>
      </c>
      <c r="G90" s="68">
        <f>VLOOKUP(B90,[1]DataSheet!$E$2:$H$112,4,0)</f>
        <v>27086.2</v>
      </c>
      <c r="H90" s="68">
        <f>SUMIF(AJE!$B$8:$B$36,B90,AJE!$E$8:$E$36)-SUMIF(AJE!$G$8:$G$36,B90,AJE!$J$8:$J$36)</f>
        <v>0</v>
      </c>
      <c r="I90" s="68">
        <f t="shared" si="22"/>
        <v>27086.2</v>
      </c>
      <c r="J90" s="116" t="s">
        <v>106</v>
      </c>
      <c r="K90" s="144">
        <f t="shared" si="36"/>
        <v>3.7339283472764726</v>
      </c>
      <c r="L90" s="5"/>
      <c r="M90" s="114"/>
      <c r="N90" s="5"/>
      <c r="O90" s="5"/>
      <c r="P90" s="5"/>
      <c r="Q90" s="5"/>
      <c r="R90" s="5"/>
      <c r="S90" s="5"/>
      <c r="T90" s="5"/>
      <c r="U90" s="5"/>
    </row>
    <row r="91" spans="1:21" s="146" customFormat="1">
      <c r="A91" s="148" t="str">
        <f t="shared" si="44"/>
        <v>780.הנהלה וכלליות</v>
      </c>
      <c r="B91" s="148">
        <v>7810</v>
      </c>
      <c r="C91" s="148" t="str">
        <f>"הנהלת חשבונות וביקורת"</f>
        <v>הנהלת חשבונות וביקורת</v>
      </c>
      <c r="D91" s="68">
        <f>VLOOKUP(B91,[1]DataSheet!$E$2:$H$112,3,0)</f>
        <v>131000</v>
      </c>
      <c r="E91" s="68">
        <f>SUMIF(AJE!$B$8:$B$36,B91,AJE!$D$8:$D$36)-SUMIF(AJE!$G$8:$G$36,B91,AJE!$I$8:$I$36)</f>
        <v>16200</v>
      </c>
      <c r="F91" s="68">
        <f t="shared" si="17"/>
        <v>147200</v>
      </c>
      <c r="G91" s="68">
        <f>VLOOKUP(B91,[1]DataSheet!$E$2:$H$112,4,0)</f>
        <v>35919.11</v>
      </c>
      <c r="H91" s="68">
        <f>SUMIF(AJE!$B$8:$B$36,B91,AJE!$E$8:$E$36)-SUMIF(AJE!$G$8:$G$36,B91,AJE!$J$8:$J$36)</f>
        <v>4466.501240694789</v>
      </c>
      <c r="I91" s="68">
        <f t="shared" si="22"/>
        <v>40385.611240694787</v>
      </c>
      <c r="J91" s="7" t="s">
        <v>140</v>
      </c>
      <c r="K91" s="144">
        <f t="shared" si="36"/>
        <v>3.6470836833095253</v>
      </c>
      <c r="L91" s="5"/>
      <c r="M91" s="114"/>
      <c r="N91" s="5"/>
      <c r="O91" s="5"/>
      <c r="P91" s="5"/>
      <c r="Q91" s="5"/>
      <c r="R91" s="5"/>
      <c r="S91" s="5"/>
      <c r="T91" s="5"/>
      <c r="U91" s="5"/>
    </row>
    <row r="92" spans="1:21" s="146" customFormat="1">
      <c r="A92" s="148" t="str">
        <f t="shared" si="44"/>
        <v>780.הנהלה וכלליות</v>
      </c>
      <c r="B92" s="148">
        <v>7811</v>
      </c>
      <c r="C92" s="148" t="str">
        <f>"ביטולי יתרות"</f>
        <v>ביטולי יתרות</v>
      </c>
      <c r="D92" s="68">
        <f>VLOOKUP(B92,[1]DataSheet!$E$2:$H$112,3,0)</f>
        <v>14.33</v>
      </c>
      <c r="E92" s="68">
        <f>SUMIF(AJE!$B$8:$B$36,B92,AJE!$D$8:$D$36)-SUMIF(AJE!$G$8:$G$36,B92,AJE!$I$8:$I$36)</f>
        <v>0</v>
      </c>
      <c r="F92" s="68">
        <f t="shared" si="17"/>
        <v>14.33</v>
      </c>
      <c r="G92" s="68">
        <f>VLOOKUP(B92,[1]DataSheet!$E$2:$H$112,4,0)</f>
        <v>4.04</v>
      </c>
      <c r="H92" s="68">
        <f>SUMIF(AJE!$B$8:$B$36,B92,AJE!$E$8:$E$36)-SUMIF(AJE!$G$8:$G$36,B92,AJE!$J$8:$J$36)</f>
        <v>0</v>
      </c>
      <c r="I92" s="68">
        <f t="shared" si="22"/>
        <v>4.04</v>
      </c>
      <c r="J92" s="67" t="s">
        <v>111</v>
      </c>
      <c r="K92" s="144">
        <f t="shared" si="36"/>
        <v>3.5470297029702968</v>
      </c>
      <c r="L92" s="5"/>
      <c r="M92" s="114"/>
      <c r="N92" s="5"/>
      <c r="O92" s="5"/>
      <c r="P92" s="5"/>
      <c r="Q92" s="5"/>
      <c r="R92" s="5"/>
      <c r="S92" s="5"/>
      <c r="T92" s="5"/>
      <c r="U92" s="5"/>
    </row>
    <row r="93" spans="1:21" s="146" customFormat="1">
      <c r="A93" s="148" t="str">
        <f t="shared" si="44"/>
        <v>780.הנהלה וכלליות</v>
      </c>
      <c r="B93" s="148">
        <v>7812</v>
      </c>
      <c r="C93" s="148" t="str">
        <f>"כיבודים"</f>
        <v>כיבודים</v>
      </c>
      <c r="D93" s="68">
        <f>VLOOKUP(B93,[1]DataSheet!$E$2:$H$112,3,0)</f>
        <v>49159.6</v>
      </c>
      <c r="E93" s="68">
        <f>SUMIF(AJE!$B$8:$B$36,B93,AJE!$D$8:$D$36)-SUMIF(AJE!$G$8:$G$36,B93,AJE!$I$8:$I$36)</f>
        <v>0</v>
      </c>
      <c r="F93" s="68">
        <f t="shared" si="17"/>
        <v>49159.6</v>
      </c>
      <c r="G93" s="68">
        <f>VLOOKUP(B93,[1]DataSheet!$E$2:$H$112,4,0)</f>
        <v>13452.08</v>
      </c>
      <c r="H93" s="68">
        <f>SUMIF(AJE!$B$8:$B$36,B93,AJE!$E$8:$E$36)-SUMIF(AJE!$G$8:$G$36,B93,AJE!$J$8:$J$36)</f>
        <v>0</v>
      </c>
      <c r="I93" s="68">
        <f t="shared" si="22"/>
        <v>13452.08</v>
      </c>
      <c r="J93" s="67" t="s">
        <v>111</v>
      </c>
      <c r="K93" s="144">
        <f t="shared" si="36"/>
        <v>3.6544237025054862</v>
      </c>
      <c r="L93" s="5"/>
      <c r="M93" s="114"/>
      <c r="N93" s="5"/>
      <c r="O93" s="5"/>
      <c r="P93" s="5"/>
      <c r="Q93" s="5"/>
      <c r="R93" s="5"/>
      <c r="S93" s="5"/>
      <c r="T93" s="5"/>
      <c r="U93" s="5"/>
    </row>
    <row r="94" spans="1:21" s="146" customFormat="1">
      <c r="A94" s="148" t="str">
        <f t="shared" si="44"/>
        <v>780.הנהלה וכלליות</v>
      </c>
      <c r="B94" s="148">
        <v>7813</v>
      </c>
      <c r="C94" s="148" t="str">
        <f>"אירוח בארץ"</f>
        <v>אירוח בארץ</v>
      </c>
      <c r="D94" s="68">
        <f>VLOOKUP(B94,[1]DataSheet!$E$2:$H$112,3,0)</f>
        <v>9552.9</v>
      </c>
      <c r="E94" s="68">
        <f>SUMIF(AJE!$B$8:$B$36,B94,AJE!$D$8:$D$36)-SUMIF(AJE!$G$8:$G$36,B94,AJE!$I$8:$I$36)</f>
        <v>0</v>
      </c>
      <c r="F94" s="68">
        <f t="shared" si="17"/>
        <v>9552.9</v>
      </c>
      <c r="G94" s="68">
        <f>VLOOKUP(B94,[1]DataSheet!$E$2:$H$112,4,0)</f>
        <v>2788.56</v>
      </c>
      <c r="H94" s="68">
        <f>SUMIF(AJE!$B$8:$B$36,B94,AJE!$E$8:$E$36)-SUMIF(AJE!$G$8:$G$36,B94,AJE!$J$8:$J$36)</f>
        <v>0</v>
      </c>
      <c r="I94" s="68">
        <f t="shared" si="22"/>
        <v>2788.56</v>
      </c>
      <c r="J94" s="67" t="s">
        <v>111</v>
      </c>
      <c r="K94" s="144">
        <f t="shared" si="36"/>
        <v>3.4257466219123849</v>
      </c>
      <c r="L94" s="5"/>
      <c r="M94" s="114"/>
      <c r="N94" s="5"/>
      <c r="O94" s="5"/>
      <c r="P94" s="5"/>
      <c r="Q94" s="5"/>
      <c r="R94" s="5"/>
      <c r="S94" s="5"/>
      <c r="T94" s="5"/>
      <c r="U94" s="5"/>
    </row>
    <row r="95" spans="1:21" s="146" customFormat="1">
      <c r="A95" s="148" t="str">
        <f t="shared" si="44"/>
        <v>780.הנהלה וכלליות</v>
      </c>
      <c r="B95" s="148">
        <v>7821</v>
      </c>
      <c r="C95" s="148" t="str">
        <f>"ארוחות עובדים"</f>
        <v>ארוחות עובדים</v>
      </c>
      <c r="D95" s="68">
        <f>VLOOKUP(B95,[1]DataSheet!$E$2:$H$112,3,0)</f>
        <v>107442</v>
      </c>
      <c r="E95" s="68">
        <f>SUMIF(AJE!$B$8:$B$36,B95,AJE!$D$8:$D$36)-SUMIF(AJE!$G$8:$G$36,B95,AJE!$I$8:$I$36)</f>
        <v>0</v>
      </c>
      <c r="F95" s="68">
        <f t="shared" si="17"/>
        <v>107442</v>
      </c>
      <c r="G95" s="68">
        <f>VLOOKUP(B95,[1]DataSheet!$E$2:$H$112,4,0)</f>
        <v>29133.07</v>
      </c>
      <c r="H95" s="68">
        <f>SUMIF(AJE!$B$8:$B$36,B95,AJE!$E$8:$E$36)-SUMIF(AJE!$G$8:$G$36,B95,AJE!$J$8:$J$36)</f>
        <v>0</v>
      </c>
      <c r="I95" s="68">
        <f t="shared" si="22"/>
        <v>29133.07</v>
      </c>
      <c r="J95" s="7" t="s">
        <v>146</v>
      </c>
      <c r="K95" s="144">
        <f t="shared" si="36"/>
        <v>3.687973838665132</v>
      </c>
      <c r="L95" s="148"/>
      <c r="M95" s="114"/>
      <c r="N95" s="5"/>
      <c r="O95" s="5"/>
      <c r="P95" s="5"/>
      <c r="Q95" s="5"/>
      <c r="R95" s="5"/>
      <c r="S95" s="5"/>
      <c r="T95" s="5"/>
      <c r="U95" s="5"/>
    </row>
    <row r="96" spans="1:21" s="146" customFormat="1">
      <c r="A96" s="148" t="str">
        <f t="shared" si="44"/>
        <v>780.הנהלה וכלליות</v>
      </c>
      <c r="B96" s="148">
        <v>7822</v>
      </c>
      <c r="C96" s="148" t="str">
        <f>"דמי שכירות"</f>
        <v>דמי שכירות</v>
      </c>
      <c r="D96" s="68">
        <f>VLOOKUP(B96,[1]DataSheet!$E$2:$H$112,3,0)</f>
        <v>418819.98</v>
      </c>
      <c r="E96" s="68">
        <f>SUMIF(AJE!$B$8:$B$36,B96,AJE!$D$8:$D$36)-SUMIF(AJE!$G$8:$G$36,B96,AJE!$I$8:$I$36)</f>
        <v>0</v>
      </c>
      <c r="F96" s="68">
        <f t="shared" si="17"/>
        <v>418819.98</v>
      </c>
      <c r="G96" s="68">
        <f>VLOOKUP(B96,[1]DataSheet!$E$2:$H$112,4,0)</f>
        <v>113438.59</v>
      </c>
      <c r="H96" s="68">
        <f>SUMIF(AJE!$B$8:$B$36,B96,AJE!$E$8:$E$36)-SUMIF(AJE!$G$8:$G$36,B96,AJE!$J$8:$J$36)</f>
        <v>0</v>
      </c>
      <c r="I96" s="68">
        <f t="shared" si="22"/>
        <v>113438.59</v>
      </c>
      <c r="J96" s="7" t="s">
        <v>13</v>
      </c>
      <c r="K96" s="144">
        <f t="shared" si="36"/>
        <v>3.6920414825325314</v>
      </c>
      <c r="L96" s="148"/>
      <c r="M96" s="114"/>
      <c r="N96" s="5"/>
      <c r="O96" s="5"/>
      <c r="P96" s="5"/>
      <c r="Q96" s="5"/>
      <c r="R96" s="5"/>
      <c r="S96" s="5"/>
      <c r="T96" s="5"/>
      <c r="U96" s="5"/>
    </row>
    <row r="97" spans="1:21" s="146" customFormat="1">
      <c r="A97" s="148" t="str">
        <f t="shared" si="44"/>
        <v>780.הנהלה וכלליות</v>
      </c>
      <c r="B97" s="148">
        <v>7823</v>
      </c>
      <c r="C97" s="148" t="str">
        <f>"יעוץ מקצועי"</f>
        <v>יעוץ מקצועי</v>
      </c>
      <c r="D97" s="68">
        <f>VLOOKUP(B97,[1]DataSheet!$E$2:$H$112,3,0)</f>
        <v>-35550</v>
      </c>
      <c r="E97" s="68">
        <f>SUMIF(AJE!$B$8:$B$36,B97,AJE!$D$8:$D$36)-SUMIF(AJE!$G$8:$G$36,B97,AJE!$I$8:$I$36)</f>
        <v>0</v>
      </c>
      <c r="F97" s="68">
        <f t="shared" si="17"/>
        <v>-35550</v>
      </c>
      <c r="G97" s="68">
        <f>VLOOKUP(B97,[1]DataSheet!$E$2:$H$112,4,0)</f>
        <v>-10104.27</v>
      </c>
      <c r="H97" s="68">
        <f>SUMIF(AJE!$B$8:$B$36,B97,AJE!$E$8:$E$36)-SUMIF(AJE!$G$8:$G$36,B97,AJE!$J$8:$J$36)</f>
        <v>0</v>
      </c>
      <c r="I97" s="68">
        <f t="shared" si="22"/>
        <v>-10104.27</v>
      </c>
      <c r="J97" s="67" t="s">
        <v>154</v>
      </c>
      <c r="K97" s="144">
        <f t="shared" si="36"/>
        <v>3.518314534350329</v>
      </c>
      <c r="L97" s="72" t="s">
        <v>312</v>
      </c>
      <c r="M97" s="114"/>
      <c r="N97" s="5"/>
      <c r="O97" s="5"/>
      <c r="P97" s="5"/>
      <c r="Q97" s="5"/>
      <c r="R97" s="5"/>
      <c r="S97" s="5"/>
      <c r="T97" s="5"/>
      <c r="U97" s="5"/>
    </row>
    <row r="98" spans="1:21" s="146" customFormat="1">
      <c r="A98" s="148" t="str">
        <f t="shared" si="44"/>
        <v>780.הנהלה וכלליות</v>
      </c>
      <c r="B98" s="148">
        <v>7824</v>
      </c>
      <c r="C98" s="148" t="str">
        <f>"אחזקת משרד"</f>
        <v>אחזקת משרד</v>
      </c>
      <c r="D98" s="68">
        <f>VLOOKUP(B98,[1]DataSheet!$E$2:$H$112,3,0)</f>
        <v>44175.6</v>
      </c>
      <c r="E98" s="68">
        <f>SUMIF(AJE!$B$8:$B$36,B98,AJE!$D$8:$D$36)-SUMIF(AJE!$G$8:$G$36,B98,AJE!$I$8:$I$36)</f>
        <v>0</v>
      </c>
      <c r="F98" s="68">
        <f t="shared" si="17"/>
        <v>44175.6</v>
      </c>
      <c r="G98" s="68">
        <f>VLOOKUP(B98,[1]DataSheet!$E$2:$H$112,4,0)</f>
        <v>12067.96</v>
      </c>
      <c r="H98" s="68">
        <f>SUMIF(AJE!$B$8:$B$36,B98,AJE!$E$8:$E$36)-SUMIF(AJE!$G$8:$G$36,B98,AJE!$J$8:$J$36)</f>
        <v>0</v>
      </c>
      <c r="I98" s="68">
        <f t="shared" si="22"/>
        <v>12067.96</v>
      </c>
      <c r="J98" s="7" t="s">
        <v>14</v>
      </c>
      <c r="K98" s="144">
        <f t="shared" si="36"/>
        <v>3.6605689776896844</v>
      </c>
      <c r="L98" s="5"/>
      <c r="M98" s="114"/>
      <c r="N98" s="5"/>
      <c r="O98" s="5"/>
      <c r="P98" s="5"/>
      <c r="Q98" s="5"/>
      <c r="R98" s="5"/>
      <c r="S98" s="5"/>
      <c r="T98" s="5"/>
      <c r="U98" s="5"/>
    </row>
    <row r="99" spans="1:21" s="146" customFormat="1">
      <c r="A99" s="148" t="str">
        <f t="shared" si="44"/>
        <v>780.הנהלה וכלליות</v>
      </c>
      <c r="B99" s="148">
        <v>7825</v>
      </c>
      <c r="C99" s="148" t="str">
        <f>"נסיעות ומוניות"</f>
        <v>נסיעות ומוניות</v>
      </c>
      <c r="D99" s="68">
        <f>VLOOKUP(B99,[1]DataSheet!$E$2:$H$112,3,0)</f>
        <v>4949.74</v>
      </c>
      <c r="E99" s="68">
        <f>SUMIF(AJE!$B$8:$B$36,B99,AJE!$D$8:$D$36)-SUMIF(AJE!$G$8:$G$36,B99,AJE!$I$8:$I$36)</f>
        <v>0</v>
      </c>
      <c r="F99" s="68">
        <f t="shared" si="17"/>
        <v>4949.74</v>
      </c>
      <c r="G99" s="68">
        <f>VLOOKUP(B99,[1]DataSheet!$E$2:$H$112,4,0)</f>
        <v>1337.12</v>
      </c>
      <c r="H99" s="68">
        <f>SUMIF(AJE!$B$8:$B$36,B99,AJE!$E$8:$E$36)-SUMIF(AJE!$G$8:$G$36,B99,AJE!$J$8:$J$36)</f>
        <v>0</v>
      </c>
      <c r="I99" s="68">
        <f t="shared" si="22"/>
        <v>1337.12</v>
      </c>
      <c r="J99" s="67" t="s">
        <v>145</v>
      </c>
      <c r="K99" s="144">
        <f t="shared" si="36"/>
        <v>3.7017919109728372</v>
      </c>
      <c r="L99" s="5"/>
      <c r="M99" s="114"/>
      <c r="N99" s="5"/>
      <c r="O99" s="5"/>
      <c r="P99" s="5"/>
      <c r="Q99" s="5"/>
      <c r="R99" s="5"/>
      <c r="S99" s="5"/>
      <c r="T99" s="5"/>
      <c r="U99" s="5"/>
    </row>
    <row r="100" spans="1:21" s="148" customFormat="1">
      <c r="B100" s="148">
        <v>7827</v>
      </c>
      <c r="C100" s="148" t="s">
        <v>168</v>
      </c>
      <c r="D100" s="68">
        <f>VLOOKUP(B100,[1]DataSheet!$E$2:$H$112,3,0)</f>
        <v>16279.02</v>
      </c>
      <c r="E100" s="68">
        <f>SUMIF(AJE!$B$8:$B$36,B100,AJE!$D$8:$D$36)-SUMIF(AJE!$G$8:$G$36,B100,AJE!$I$8:$I$36)</f>
        <v>0</v>
      </c>
      <c r="F100" s="68">
        <f t="shared" si="17"/>
        <v>16279.02</v>
      </c>
      <c r="G100" s="68">
        <f>VLOOKUP(B100,[1]DataSheet!$E$2:$H$112,4,0)</f>
        <v>4426.8999999999996</v>
      </c>
      <c r="H100" s="68">
        <f>SUMIF(AJE!$B$8:$B$36,B100,AJE!$E$8:$E$36)-SUMIF(AJE!$G$8:$G$36,B100,AJE!$J$8:$J$36)</f>
        <v>0</v>
      </c>
      <c r="I100" s="68">
        <f t="shared" ref="I100:I101" si="46">G100+H100</f>
        <v>4426.8999999999996</v>
      </c>
      <c r="J100" s="7" t="s">
        <v>146</v>
      </c>
      <c r="K100" s="144">
        <f t="shared" si="36"/>
        <v>3.677295624477626</v>
      </c>
      <c r="L100" s="5"/>
      <c r="M100" s="114"/>
      <c r="N100" s="5"/>
      <c r="O100" s="5"/>
      <c r="P100" s="5"/>
      <c r="Q100" s="5"/>
      <c r="R100" s="5"/>
      <c r="S100" s="5"/>
      <c r="T100" s="5"/>
      <c r="U100" s="5"/>
    </row>
    <row r="101" spans="1:21" s="148" customFormat="1">
      <c r="B101" s="148">
        <v>7836</v>
      </c>
      <c r="C101" s="148" t="s">
        <v>169</v>
      </c>
      <c r="D101" s="68">
        <f>VLOOKUP(B101,[1]DataSheet!$E$2:$H$112,3,0)</f>
        <v>14647.5</v>
      </c>
      <c r="E101" s="68">
        <f>SUMIF(AJE!$B$8:$B$36,B101,AJE!$D$8:$D$36)-SUMIF(AJE!$G$8:$G$36,B101,AJE!$I$8:$I$36)</f>
        <v>0</v>
      </c>
      <c r="F101" s="68">
        <f t="shared" si="17"/>
        <v>14647.5</v>
      </c>
      <c r="G101" s="68">
        <f>VLOOKUP(B101,[1]DataSheet!$E$2:$H$112,4,0)</f>
        <v>4011.77</v>
      </c>
      <c r="H101" s="68">
        <f>SUMIF(AJE!$B$8:$B$36,B101,AJE!$E$8:$E$36)-SUMIF(AJE!$G$8:$G$36,B101,AJE!$J$8:$J$36)</f>
        <v>0</v>
      </c>
      <c r="I101" s="68">
        <f t="shared" si="46"/>
        <v>4011.77</v>
      </c>
      <c r="J101" s="7" t="s">
        <v>146</v>
      </c>
      <c r="K101" s="144">
        <f t="shared" si="36"/>
        <v>3.6511315454275795</v>
      </c>
      <c r="L101" s="5"/>
      <c r="M101" s="114"/>
      <c r="N101" s="5"/>
      <c r="O101" s="5"/>
      <c r="P101" s="5"/>
      <c r="Q101" s="5"/>
      <c r="R101" s="5"/>
      <c r="S101" s="5"/>
      <c r="T101" s="5"/>
      <c r="U101" s="5"/>
    </row>
    <row r="102" spans="1:21" s="146" customFormat="1">
      <c r="A102" s="148" t="str">
        <f t="shared" si="44"/>
        <v>780.הנהלה וכלליות</v>
      </c>
      <c r="B102" s="148">
        <v>7829</v>
      </c>
      <c r="C102" s="148" t="str">
        <f>"משרדיות"</f>
        <v>משרדיות</v>
      </c>
      <c r="D102" s="68">
        <f>VLOOKUP(B102,[1]DataSheet!$E$2:$H$112,3,0)</f>
        <v>1301.74</v>
      </c>
      <c r="E102" s="68">
        <f>SUMIF(AJE!$B$8:$B$36,B102,AJE!$D$8:$D$36)-SUMIF(AJE!$G$8:$G$36,B102,AJE!$I$8:$I$36)</f>
        <v>0</v>
      </c>
      <c r="F102" s="68">
        <f t="shared" si="17"/>
        <v>1301.74</v>
      </c>
      <c r="G102" s="68">
        <f>VLOOKUP(B102,[1]DataSheet!$E$2:$H$112,4,0)</f>
        <v>368</v>
      </c>
      <c r="H102" s="68">
        <f>SUMIF(AJE!$B$8:$B$36,B102,AJE!$E$8:$E$36)-SUMIF(AJE!$G$8:$G$36,B102,AJE!$J$8:$J$36)</f>
        <v>0</v>
      </c>
      <c r="I102" s="68">
        <f t="shared" si="22"/>
        <v>368</v>
      </c>
      <c r="J102" s="7" t="s">
        <v>14</v>
      </c>
      <c r="K102" s="144">
        <f t="shared" si="36"/>
        <v>3.537336956521739</v>
      </c>
      <c r="L102" s="5"/>
      <c r="M102" s="114"/>
      <c r="N102" s="5"/>
      <c r="O102" s="5"/>
      <c r="P102" s="5"/>
      <c r="Q102" s="5"/>
      <c r="R102" s="5"/>
      <c r="S102" s="5"/>
      <c r="T102" s="5"/>
      <c r="U102" s="5"/>
    </row>
    <row r="103" spans="1:21" s="146" customFormat="1">
      <c r="A103" s="148" t="str">
        <f t="shared" si="44"/>
        <v>780.הנהלה וכלליות</v>
      </c>
      <c r="B103" s="148">
        <v>7831</v>
      </c>
      <c r="C103" s="148" t="str">
        <f>"אגרות"</f>
        <v>אגרות</v>
      </c>
      <c r="D103" s="68">
        <f>VLOOKUP(B103,[1]DataSheet!$E$2:$H$112,3,0)</f>
        <v>1215</v>
      </c>
      <c r="E103" s="68">
        <f>SUMIF(AJE!$B$8:$B$36,B103,AJE!$D$8:$D$36)-SUMIF(AJE!$G$8:$G$36,B103,AJE!$I$8:$I$36)</f>
        <v>0</v>
      </c>
      <c r="F103" s="68">
        <f t="shared" si="17"/>
        <v>1215</v>
      </c>
      <c r="G103" s="68">
        <f>VLOOKUP(B103,[1]DataSheet!$E$2:$H$112,4,0)</f>
        <v>346.94</v>
      </c>
      <c r="H103" s="68">
        <f>SUMIF(AJE!$B$8:$B$36,B103,AJE!$E$8:$E$36)-SUMIF(AJE!$G$8:$G$36,B103,AJE!$J$8:$J$36)</f>
        <v>0</v>
      </c>
      <c r="I103" s="68">
        <f t="shared" si="22"/>
        <v>346.94</v>
      </c>
      <c r="J103" s="67" t="s">
        <v>111</v>
      </c>
      <c r="K103" s="144">
        <f t="shared" si="36"/>
        <v>3.5020464633654234</v>
      </c>
      <c r="L103" s="5"/>
      <c r="M103" s="114"/>
      <c r="N103" s="5"/>
      <c r="O103" s="5"/>
      <c r="P103" s="5"/>
      <c r="Q103" s="5"/>
      <c r="R103" s="5"/>
      <c r="S103" s="5"/>
      <c r="T103" s="5"/>
      <c r="U103" s="5"/>
    </row>
    <row r="104" spans="1:21" s="146" customFormat="1">
      <c r="A104" s="148" t="str">
        <f t="shared" si="44"/>
        <v>780.הנהלה וכלליות</v>
      </c>
      <c r="B104" s="148">
        <v>7832</v>
      </c>
      <c r="C104" s="148" t="str">
        <f>"דמי סליקה/שירות פנסיוני"</f>
        <v>דמי סליקה/שירות פנסיוני</v>
      </c>
      <c r="D104" s="68">
        <f>VLOOKUP(B104,[1]DataSheet!$E$2:$H$112,3,0)</f>
        <v>5647.83</v>
      </c>
      <c r="E104" s="68">
        <f>SUMIF(AJE!$B$8:$B$36,B104,AJE!$D$8:$D$36)-SUMIF(AJE!$G$8:$G$36,B104,AJE!$I$8:$I$36)</f>
        <v>0</v>
      </c>
      <c r="F104" s="68">
        <f t="shared" ref="F104:F121" si="47">D104+E104</f>
        <v>5647.83</v>
      </c>
      <c r="G104" s="68">
        <f>VLOOKUP(B104,[1]DataSheet!$E$2:$H$112,4,0)</f>
        <v>1535.69</v>
      </c>
      <c r="H104" s="68">
        <f>SUMIF(AJE!$B$8:$B$36,B104,AJE!$E$8:$E$36)-SUMIF(AJE!$G$8:$G$36,B104,AJE!$J$8:$J$36)</f>
        <v>0</v>
      </c>
      <c r="I104" s="68">
        <f t="shared" si="22"/>
        <v>1535.69</v>
      </c>
      <c r="J104" s="67" t="s">
        <v>111</v>
      </c>
      <c r="K104" s="144">
        <f t="shared" si="36"/>
        <v>3.677714903398472</v>
      </c>
      <c r="L104" s="5"/>
      <c r="M104" s="114"/>
      <c r="N104" s="5"/>
      <c r="O104" s="5"/>
      <c r="P104" s="5"/>
      <c r="Q104" s="5"/>
      <c r="R104" s="5"/>
      <c r="S104" s="5"/>
      <c r="T104" s="5"/>
      <c r="U104" s="5"/>
    </row>
    <row r="105" spans="1:21" s="146" customFormat="1">
      <c r="A105" s="148" t="str">
        <f t="shared" si="44"/>
        <v>780.הנהלה וכלליות</v>
      </c>
      <c r="B105" s="148">
        <v>7833</v>
      </c>
      <c r="C105" s="148" t="str">
        <f>"חניה"</f>
        <v>חניה</v>
      </c>
      <c r="D105" s="68">
        <f>VLOOKUP(B105,[1]DataSheet!$E$2:$H$112,3,0)</f>
        <v>4163.17</v>
      </c>
      <c r="E105" s="68">
        <f>SUMIF(AJE!$B$8:$B$36,B105,AJE!$D$8:$D$36)-SUMIF(AJE!$G$8:$G$36,B105,AJE!$I$8:$I$36)</f>
        <v>0</v>
      </c>
      <c r="F105" s="68">
        <f t="shared" si="47"/>
        <v>4163.17</v>
      </c>
      <c r="G105" s="68">
        <f>VLOOKUP(B105,[1]DataSheet!$E$2:$H$112,4,0)</f>
        <v>1144.8900000000001</v>
      </c>
      <c r="H105" s="68">
        <f>SUMIF(AJE!$B$8:$B$36,B105,AJE!$E$8:$E$36)-SUMIF(AJE!$G$8:$G$36,B105,AJE!$J$8:$J$36)</f>
        <v>0</v>
      </c>
      <c r="I105" s="68">
        <f t="shared" si="22"/>
        <v>1144.8900000000001</v>
      </c>
      <c r="J105" s="67" t="s">
        <v>145</v>
      </c>
      <c r="K105" s="144">
        <f t="shared" si="36"/>
        <v>3.6363056712871975</v>
      </c>
      <c r="L105" s="5"/>
      <c r="M105" s="114"/>
      <c r="N105" s="5"/>
      <c r="O105" s="5"/>
      <c r="P105" s="5"/>
      <c r="Q105" s="5"/>
      <c r="R105" s="5"/>
      <c r="S105" s="5"/>
      <c r="T105" s="5"/>
      <c r="U105" s="5"/>
    </row>
    <row r="106" spans="1:21" s="148" customFormat="1">
      <c r="B106" s="148">
        <v>7838</v>
      </c>
      <c r="C106" s="148" t="s">
        <v>170</v>
      </c>
      <c r="D106" s="68">
        <f>VLOOKUP(B106,[1]DataSheet!$E$2:$H$112,3,0)</f>
        <v>1973.3</v>
      </c>
      <c r="E106" s="68">
        <f>SUMIF(AJE!$B$8:$B$36,B106,AJE!$D$8:$D$36)-SUMIF(AJE!$G$8:$G$36,B106,AJE!$I$8:$I$36)</f>
        <v>0</v>
      </c>
      <c r="F106" s="68">
        <f t="shared" si="47"/>
        <v>1973.3</v>
      </c>
      <c r="G106" s="68">
        <f>VLOOKUP(B106,[1]DataSheet!$E$2:$H$112,4,0)</f>
        <v>530.11</v>
      </c>
      <c r="H106" s="68">
        <f>SUMIF(AJE!$B$8:$B$36,B106,AJE!$E$8:$E$36)-SUMIF(AJE!$G$8:$G$36,B106,AJE!$J$8:$J$36)</f>
        <v>0</v>
      </c>
      <c r="I106" s="68">
        <f t="shared" ref="I106" si="48">G106+H106</f>
        <v>530.11</v>
      </c>
      <c r="J106" s="55" t="s">
        <v>93</v>
      </c>
      <c r="K106" s="144">
        <f t="shared" si="36"/>
        <v>3.722434966327743</v>
      </c>
      <c r="L106" s="5"/>
      <c r="M106" s="114"/>
      <c r="N106" s="5"/>
      <c r="O106" s="5"/>
      <c r="P106" s="5"/>
      <c r="Q106" s="5"/>
      <c r="R106" s="5"/>
      <c r="S106" s="5"/>
      <c r="T106" s="5"/>
      <c r="U106" s="5"/>
    </row>
    <row r="107" spans="1:21" s="148" customFormat="1">
      <c r="B107" s="148">
        <v>7861</v>
      </c>
      <c r="C107" s="148" t="s">
        <v>236</v>
      </c>
      <c r="D107" s="68"/>
      <c r="E107" s="68">
        <f>SUMIF(AJE!$B$8:$B$36,B107,AJE!$D$8:$D$36)-SUMIF(AJE!$G$8:$G$36,B107,AJE!$I$8:$I$36)</f>
        <v>1000407.5781588864</v>
      </c>
      <c r="F107" s="68">
        <f t="shared" si="47"/>
        <v>1000407.5781588864</v>
      </c>
      <c r="G107" s="68"/>
      <c r="H107" s="68">
        <f>SUMIF(AJE!$B$8:$B$36,B107,AJE!$E$8:$E$36)-SUMIF(AJE!$G$8:$G$36,B107,AJE!$J$8:$J$36)</f>
        <v>277890.993933024</v>
      </c>
      <c r="I107" s="68">
        <f t="shared" ref="I107:I108" si="49">G107+H107</f>
        <v>277890.993933024</v>
      </c>
      <c r="J107" s="72" t="s">
        <v>235</v>
      </c>
      <c r="K107" s="144"/>
      <c r="L107" s="5"/>
      <c r="M107" s="114"/>
      <c r="N107" s="5"/>
      <c r="O107" s="5"/>
      <c r="P107" s="5"/>
      <c r="Q107" s="5"/>
      <c r="R107" s="5"/>
      <c r="S107" s="5"/>
      <c r="T107" s="5"/>
      <c r="U107" s="5"/>
    </row>
    <row r="108" spans="1:21" s="148" customFormat="1">
      <c r="B108" s="148">
        <v>7862</v>
      </c>
      <c r="C108" s="148" t="s">
        <v>311</v>
      </c>
      <c r="D108" s="68">
        <f>VLOOKUP(B108,[1]DataSheet!$E$2:$H$112,3,0)</f>
        <v>10000</v>
      </c>
      <c r="E108" s="68">
        <f>SUMIF(AJE!$B$8:$B$36,B108,AJE!$D$8:$D$36)-SUMIF(AJE!$G$8:$G$36,B108,AJE!$I$8:$I$36)</f>
        <v>0</v>
      </c>
      <c r="F108" s="68">
        <f t="shared" si="47"/>
        <v>10000</v>
      </c>
      <c r="G108" s="68">
        <f>VLOOKUP(B108,[1]DataSheet!$E$2:$H$112,4,0)</f>
        <v>2721.08</v>
      </c>
      <c r="H108" s="68">
        <f>SUMIF(AJE!$B$8:$B$36,B108,AJE!$E$8:$E$36)-SUMIF(AJE!$G$8:$G$36,B108,AJE!$J$8:$J$36)</f>
        <v>0</v>
      </c>
      <c r="I108" s="68">
        <f t="shared" si="49"/>
        <v>2721.08</v>
      </c>
      <c r="J108" s="7" t="s">
        <v>53</v>
      </c>
      <c r="K108" s="144"/>
      <c r="L108" s="5"/>
      <c r="M108" s="114"/>
      <c r="N108" s="5"/>
      <c r="O108" s="5"/>
      <c r="P108" s="5"/>
      <c r="Q108" s="5"/>
      <c r="R108" s="5"/>
      <c r="S108" s="5"/>
      <c r="T108" s="5"/>
      <c r="U108" s="5"/>
    </row>
    <row r="109" spans="1:21" s="148" customFormat="1">
      <c r="B109" s="148">
        <v>3</v>
      </c>
      <c r="C109" s="72" t="s">
        <v>284</v>
      </c>
      <c r="D109" s="68"/>
      <c r="E109" s="68">
        <f>SUMIF(AJE!$B$8:$B$36,B109,AJE!$D$8:$D$36)-SUMIF(AJE!$G$8:$G$36,B109,AJE!$I$8:$I$36)</f>
        <v>-640307.22699999996</v>
      </c>
      <c r="F109" s="68">
        <f t="shared" si="47"/>
        <v>-640307.22699999996</v>
      </c>
      <c r="G109" s="68"/>
      <c r="H109" s="68">
        <f>SUMIF(AJE!$B$8:$B$36,B109,AJE!$E$8:$E$36)-SUMIF(AJE!$G$8:$G$36,B109,AJE!$J$8:$J$36)</f>
        <v>-176539.07554452715</v>
      </c>
      <c r="I109" s="68">
        <f t="shared" ref="I109:I110" si="50">G109+H109</f>
        <v>-176539.07554452715</v>
      </c>
      <c r="J109" s="72" t="s">
        <v>16</v>
      </c>
      <c r="K109" s="144"/>
      <c r="L109" s="5"/>
      <c r="M109" s="114"/>
      <c r="N109" s="5"/>
      <c r="O109" s="5"/>
      <c r="P109" s="5"/>
      <c r="Q109" s="5"/>
      <c r="R109" s="5"/>
      <c r="S109" s="5"/>
      <c r="T109" s="5"/>
      <c r="U109" s="5"/>
    </row>
    <row r="110" spans="1:21" s="148" customFormat="1">
      <c r="B110" s="148">
        <v>4</v>
      </c>
      <c r="C110" s="72" t="s">
        <v>285</v>
      </c>
      <c r="D110" s="68"/>
      <c r="E110" s="68">
        <f>SUMIF(AJE!$B$8:$B$36,B110,AJE!$D$8:$D$36)-SUMIF(AJE!$G$8:$G$36,B110,AJE!$I$8:$I$36)</f>
        <v>640307.22699999996</v>
      </c>
      <c r="F110" s="68">
        <f t="shared" si="47"/>
        <v>640307.22699999996</v>
      </c>
      <c r="G110" s="68"/>
      <c r="H110" s="68">
        <f>SUMIF(AJE!$B$8:$B$36,B110,AJE!$E$8:$E$36)-SUMIF(AJE!$G$8:$G$36,B110,AJE!$J$8:$J$36)</f>
        <v>176539.07554452715</v>
      </c>
      <c r="I110" s="68">
        <f t="shared" si="50"/>
        <v>176539.07554452715</v>
      </c>
      <c r="J110" s="148" t="s">
        <v>8</v>
      </c>
      <c r="K110" s="144"/>
      <c r="L110" s="5"/>
      <c r="M110" s="114"/>
      <c r="N110" s="5"/>
      <c r="O110" s="5"/>
      <c r="P110" s="5"/>
      <c r="Q110" s="5"/>
      <c r="R110" s="5"/>
      <c r="S110" s="5"/>
      <c r="T110" s="5"/>
      <c r="U110" s="5"/>
    </row>
    <row r="111" spans="1:21" s="148" customFormat="1">
      <c r="B111" s="150">
        <v>7613</v>
      </c>
      <c r="C111" s="77" t="s">
        <v>322</v>
      </c>
      <c r="D111" s="68">
        <f>VLOOKUP(B111,[1]DataSheet!$E$2:$H$112,3,0)</f>
        <v>18529.88</v>
      </c>
      <c r="E111" s="68">
        <f>SUMIF(AJE!$B$8:$B$36,B111,AJE!$D$8:$D$36)-SUMIF(AJE!$G$8:$G$36,B111,AJE!$I$8:$I$36)</f>
        <v>0</v>
      </c>
      <c r="F111" s="68">
        <f t="shared" si="47"/>
        <v>18529.88</v>
      </c>
      <c r="G111" s="68">
        <f>VLOOKUP(B111,[1]DataSheet!$E$2:$H$112,4,0)</f>
        <v>5029.46</v>
      </c>
      <c r="H111" s="68">
        <f>SUMIF(AJE!$B$8:$B$36,B111,AJE!$E$8:$E$36)-SUMIF(AJE!$G$8:$G$36,B111,AJE!$J$8:$J$36)</f>
        <v>0</v>
      </c>
      <c r="I111" s="68">
        <f t="shared" ref="I111" si="51">G111+H111</f>
        <v>5029.46</v>
      </c>
      <c r="J111" s="7" t="s">
        <v>9</v>
      </c>
      <c r="K111" s="144"/>
      <c r="L111" s="5"/>
      <c r="M111" s="114"/>
      <c r="N111" s="5"/>
      <c r="O111" s="5"/>
      <c r="P111" s="5"/>
      <c r="Q111" s="5"/>
      <c r="R111" s="5"/>
      <c r="S111" s="5"/>
      <c r="T111" s="5"/>
      <c r="U111" s="5"/>
    </row>
    <row r="112" spans="1:21" s="148" customFormat="1">
      <c r="B112" s="150">
        <v>7614</v>
      </c>
      <c r="C112" s="77" t="s">
        <v>323</v>
      </c>
      <c r="D112" s="68">
        <f>VLOOKUP(B112,[1]DataSheet!$E$2:$H$112,3,0)</f>
        <v>372.02</v>
      </c>
      <c r="E112" s="68">
        <f>SUMIF(AJE!$B$8:$B$36,B112,AJE!$D$8:$D$36)-SUMIF(AJE!$G$8:$G$36,B112,AJE!$I$8:$I$36)</f>
        <v>0</v>
      </c>
      <c r="F112" s="68">
        <f t="shared" si="47"/>
        <v>372.02</v>
      </c>
      <c r="G112" s="68">
        <f>VLOOKUP(B112,[1]DataSheet!$E$2:$H$112,4,0)</f>
        <v>102.27</v>
      </c>
      <c r="H112" s="68">
        <f>SUMIF(AJE!$B$8:$B$36,B112,AJE!$E$8:$E$36)-SUMIF(AJE!$G$8:$G$36,B112,AJE!$J$8:$J$36)</f>
        <v>0</v>
      </c>
      <c r="I112" s="68">
        <f>G112+H112</f>
        <v>102.27</v>
      </c>
      <c r="J112" s="7" t="s">
        <v>9</v>
      </c>
      <c r="K112" s="144"/>
      <c r="L112" s="5"/>
      <c r="M112" s="114"/>
      <c r="N112" s="5"/>
      <c r="O112" s="5"/>
      <c r="P112" s="5"/>
      <c r="Q112" s="5"/>
      <c r="R112" s="5"/>
      <c r="S112" s="5"/>
      <c r="T112" s="5"/>
      <c r="U112" s="5"/>
    </row>
    <row r="113" spans="1:21" s="148" customFormat="1">
      <c r="B113" s="150">
        <v>7615</v>
      </c>
      <c r="C113" s="77" t="s">
        <v>372</v>
      </c>
      <c r="D113" s="68">
        <f>VLOOKUP(B113,[1]DataSheet!$E$2:$H$112,3,0)</f>
        <v>2138.52</v>
      </c>
      <c r="E113" s="68">
        <f>SUMIF(AJE!$B$8:$B$36,B113,AJE!$D$8:$D$36)-SUMIF(AJE!$G$8:$G$36,B113,AJE!$I$8:$I$36)</f>
        <v>0</v>
      </c>
      <c r="F113" s="68">
        <f t="shared" si="47"/>
        <v>2138.52</v>
      </c>
      <c r="G113" s="68">
        <f>VLOOKUP(B113,[1]DataSheet!$E$2:$H$112,4,0)</f>
        <v>550.80999999999995</v>
      </c>
      <c r="H113" s="68">
        <f>SUMIF(AJE!$B$8:$B$36,B113,AJE!$E$8:$E$36)-SUMIF(AJE!$G$8:$G$36,B113,AJE!$J$8:$J$36)</f>
        <v>0</v>
      </c>
      <c r="I113" s="68">
        <f>G113+H113</f>
        <v>550.80999999999995</v>
      </c>
      <c r="J113" s="7" t="s">
        <v>9</v>
      </c>
      <c r="K113" s="144"/>
      <c r="L113" s="5"/>
      <c r="M113" s="114"/>
      <c r="N113" s="5"/>
      <c r="O113" s="5"/>
      <c r="P113" s="5"/>
      <c r="Q113" s="5"/>
      <c r="R113" s="5"/>
      <c r="S113" s="5"/>
      <c r="T113" s="5"/>
      <c r="U113" s="5"/>
    </row>
    <row r="114" spans="1:21" s="146" customFormat="1">
      <c r="A114" s="148" t="str">
        <f>"900.הוצאות/הכנסות מימון"</f>
        <v>900.הוצאות/הכנסות מימון</v>
      </c>
      <c r="B114" s="148">
        <v>9002</v>
      </c>
      <c r="C114" s="148" t="str">
        <f>"הפרשי שער"</f>
        <v>הפרשי שער</v>
      </c>
      <c r="D114" s="68">
        <f>VLOOKUP(B114,[1]DataSheet!$E$2:$H$112,3,0)</f>
        <v>-308254.33</v>
      </c>
      <c r="E114" s="68">
        <f>SUMIF(AJE!$B$8:$B$36,B114,AJE!$D$8:$D$36)-SUMIF(AJE!$G$8:$G$36,B114,AJE!$I$8:$I$36)</f>
        <v>0</v>
      </c>
      <c r="F114" s="68">
        <f t="shared" si="47"/>
        <v>-308254.33</v>
      </c>
      <c r="G114" s="68">
        <f>VLOOKUP(B114,[1]DataSheet!$E$2:$H$112,4,0)</f>
        <v>-13194.73</v>
      </c>
      <c r="H114" s="68">
        <f>SUMIF(AJE!$B$8:$B$36,B114,AJE!$E$8:$E$36)-SUMIF(AJE!$G$8:$G$36,B114,AJE!$J$8:$J$36)</f>
        <v>1081</v>
      </c>
      <c r="I114" s="68">
        <f t="shared" si="22"/>
        <v>-12113.73</v>
      </c>
      <c r="J114" s="116" t="s">
        <v>133</v>
      </c>
      <c r="K114" s="144">
        <f t="shared" si="36"/>
        <v>23.361927830277697</v>
      </c>
      <c r="L114" s="5"/>
      <c r="M114" s="114"/>
      <c r="N114" s="5"/>
      <c r="O114" s="5"/>
      <c r="P114" s="5"/>
      <c r="Q114" s="5"/>
      <c r="R114" s="5"/>
      <c r="S114" s="5"/>
      <c r="T114" s="5"/>
      <c r="U114" s="5"/>
    </row>
    <row r="115" spans="1:21" s="146" customFormat="1">
      <c r="A115" s="148" t="str">
        <f>"900.הוצאות/הכנסות מימון"</f>
        <v>900.הוצאות/הכנסות מימון</v>
      </c>
      <c r="B115" s="148">
        <v>9004</v>
      </c>
      <c r="C115" s="148" t="str">
        <f>"עמלות בנקים וכרטיסי אשראי"</f>
        <v>עמלות בנקים וכרטיסי אשראי</v>
      </c>
      <c r="D115" s="68">
        <f>VLOOKUP(B115,[1]DataSheet!$E$2:$H$112,3,0)</f>
        <v>7214.09</v>
      </c>
      <c r="E115" s="68">
        <f>SUMIF(AJE!$B$8:$B$36,B115,AJE!$D$8:$D$36)-SUMIF(AJE!$G$8:$G$36,B115,AJE!$I$8:$I$36)</f>
        <v>0</v>
      </c>
      <c r="F115" s="68">
        <f t="shared" si="47"/>
        <v>7214.09</v>
      </c>
      <c r="G115" s="68">
        <f>VLOOKUP(B115,[1]DataSheet!$E$2:$H$112,4,0)</f>
        <v>1959.66</v>
      </c>
      <c r="H115" s="68">
        <f>SUMIF(AJE!$B$8:$B$36,B115,AJE!$E$8:$E$36)-SUMIF(AJE!$G$8:$G$36,B115,AJE!$J$8:$J$36)</f>
        <v>0</v>
      </c>
      <c r="I115" s="68">
        <f t="shared" si="22"/>
        <v>1959.66</v>
      </c>
      <c r="J115" s="116" t="s">
        <v>133</v>
      </c>
      <c r="K115" s="144">
        <f t="shared" si="36"/>
        <v>3.6812967555596376</v>
      </c>
      <c r="L115" s="5"/>
      <c r="M115" s="114"/>
      <c r="N115" s="5"/>
      <c r="O115" s="5"/>
      <c r="P115" s="5"/>
      <c r="Q115" s="5"/>
      <c r="R115" s="5"/>
      <c r="S115" s="5"/>
      <c r="T115" s="5"/>
      <c r="U115" s="5"/>
    </row>
    <row r="116" spans="1:21" s="146" customFormat="1">
      <c r="A116" s="148" t="str">
        <f>"900.הוצאות/הכנסות מימון"</f>
        <v>900.הוצאות/הכנסות מימון</v>
      </c>
      <c r="B116" s="148">
        <v>9005</v>
      </c>
      <c r="C116" s="148" t="str">
        <f>"עמלות ערבות"</f>
        <v>עמלות ערבות</v>
      </c>
      <c r="D116" s="68">
        <f>VLOOKUP(B116,[1]DataSheet!$E$2:$H$112,3,0)</f>
        <v>4228.8500000000004</v>
      </c>
      <c r="E116" s="68">
        <f>SUMIF(AJE!$B$8:$B$36,B116,AJE!$D$8:$D$36)-SUMIF(AJE!$G$8:$G$36,B116,AJE!$I$8:$I$36)</f>
        <v>0</v>
      </c>
      <c r="F116" s="68">
        <f t="shared" si="47"/>
        <v>4228.8500000000004</v>
      </c>
      <c r="G116" s="68">
        <f>VLOOKUP(B116,[1]DataSheet!$E$2:$H$112,4,0)</f>
        <v>1075.55</v>
      </c>
      <c r="H116" s="68">
        <f>SUMIF(AJE!$B$8:$B$36,B116,AJE!$E$8:$E$36)-SUMIF(AJE!$G$8:$G$36,B116,AJE!$J$8:$J$36)</f>
        <v>0</v>
      </c>
      <c r="I116" s="68">
        <f t="shared" si="22"/>
        <v>1075.55</v>
      </c>
      <c r="J116" s="116" t="s">
        <v>133</v>
      </c>
      <c r="K116" s="144">
        <f t="shared" si="36"/>
        <v>3.9318023336897405</v>
      </c>
      <c r="L116" s="5"/>
      <c r="M116" s="114"/>
      <c r="N116" s="5"/>
      <c r="O116" s="5"/>
      <c r="P116" s="5"/>
      <c r="Q116" s="5"/>
      <c r="R116" s="5"/>
      <c r="S116" s="5"/>
      <c r="T116" s="5"/>
      <c r="U116" s="5"/>
    </row>
    <row r="117" spans="1:21" s="148" customFormat="1">
      <c r="B117" s="148">
        <v>9001</v>
      </c>
      <c r="C117" s="148" t="s">
        <v>212</v>
      </c>
      <c r="D117" s="68">
        <f>VLOOKUP(B117,[1]DataSheet!$E$2:$H$112,3,0)</f>
        <v>-38564.870000000003</v>
      </c>
      <c r="E117" s="68">
        <f>SUMIF(AJE!$B$8:$B$36,B117,AJE!$D$8:$D$36)-SUMIF(AJE!$G$8:$G$36,B117,AJE!$I$8:$I$36)</f>
        <v>0</v>
      </c>
      <c r="F117" s="68">
        <f t="shared" si="47"/>
        <v>-38564.870000000003</v>
      </c>
      <c r="G117" s="68">
        <f>VLOOKUP(B117,[1]DataSheet!$E$2:$H$112,4,0)</f>
        <v>-11798.69</v>
      </c>
      <c r="H117" s="68">
        <f>SUMIF(AJE!$B$8:$B$36,B117,AJE!$E$8:$E$36)-SUMIF(AJE!$G$8:$G$36,B117,AJE!$J$8:$J$36)</f>
        <v>0</v>
      </c>
      <c r="I117" s="68">
        <f t="shared" ref="I117:I119" si="52">G117+H117</f>
        <v>-11798.69</v>
      </c>
      <c r="J117" s="116" t="s">
        <v>133</v>
      </c>
      <c r="K117" s="144">
        <f t="shared" ref="K117:K119" si="53">D117/G117</f>
        <v>3.2685721889464001</v>
      </c>
      <c r="L117" s="5"/>
      <c r="M117" s="114"/>
      <c r="N117" s="5"/>
      <c r="O117" s="5"/>
      <c r="P117" s="5"/>
      <c r="Q117" s="5"/>
      <c r="R117" s="5"/>
      <c r="S117" s="5"/>
      <c r="T117" s="5"/>
      <c r="U117" s="5"/>
    </row>
    <row r="118" spans="1:21" s="148" customFormat="1">
      <c r="B118" s="148">
        <v>9003</v>
      </c>
      <c r="C118" s="148" t="s">
        <v>299</v>
      </c>
      <c r="D118" s="68">
        <f>VLOOKUP(B118,[1]DataSheet!$E$2:$H$112,3,0)</f>
        <v>0.16</v>
      </c>
      <c r="E118" s="68">
        <f>SUMIF(AJE!$B$8:$B$36,B118,AJE!$D$8:$D$36)-SUMIF(AJE!$G$8:$G$36,B118,AJE!$I$8:$I$36)</f>
        <v>0</v>
      </c>
      <c r="F118" s="68">
        <f t="shared" si="47"/>
        <v>0.16</v>
      </c>
      <c r="G118" s="68">
        <f>VLOOKUP(B118,[1]DataSheet!$E$2:$H$112,4,0)</f>
        <v>0.05</v>
      </c>
      <c r="H118" s="68">
        <f>SUMIF(AJE!$B$8:$B$36,B118,AJE!$E$8:$E$36)-SUMIF(AJE!$G$8:$G$36,B118,AJE!$J$8:$J$36)</f>
        <v>0</v>
      </c>
      <c r="I118" s="68">
        <f t="shared" ref="I118" si="54">G118+H118</f>
        <v>0.05</v>
      </c>
      <c r="J118" s="116" t="s">
        <v>133</v>
      </c>
      <c r="K118" s="144">
        <f t="shared" ref="K118" si="55">D118/G118</f>
        <v>3.1999999999999997</v>
      </c>
      <c r="L118" s="5"/>
      <c r="M118" s="114"/>
      <c r="N118" s="5"/>
      <c r="O118" s="5"/>
      <c r="P118" s="5"/>
      <c r="Q118" s="5"/>
      <c r="R118" s="5"/>
      <c r="S118" s="5"/>
      <c r="T118" s="5"/>
      <c r="U118" s="5"/>
    </row>
    <row r="119" spans="1:21" s="148" customFormat="1">
      <c r="B119" s="148">
        <v>9007</v>
      </c>
      <c r="C119" s="148" t="s">
        <v>213</v>
      </c>
      <c r="D119" s="68"/>
      <c r="E119" s="68">
        <f>SUMIF(AJE!$B$8:$B$36,B119,AJE!$D$8:$D$36)-SUMIF(AJE!$G$8:$G$36,B119,AJE!$I$8:$I$36)</f>
        <v>0</v>
      </c>
      <c r="F119" s="68">
        <f t="shared" si="47"/>
        <v>0</v>
      </c>
      <c r="G119" s="68"/>
      <c r="H119" s="68">
        <f>SUMIF(AJE!$B$8:$B$36,B119,AJE!$E$8:$E$36)-SUMIF(AJE!$G$8:$G$36,B119,AJE!$J$8:$J$36)</f>
        <v>0</v>
      </c>
      <c r="I119" s="68">
        <f t="shared" si="52"/>
        <v>0</v>
      </c>
      <c r="J119" s="116" t="s">
        <v>133</v>
      </c>
      <c r="K119" s="144" t="e">
        <f t="shared" si="53"/>
        <v>#DIV/0!</v>
      </c>
      <c r="L119" s="5"/>
      <c r="M119" s="114"/>
      <c r="N119" s="5"/>
      <c r="O119" s="5"/>
      <c r="P119" s="5"/>
      <c r="Q119" s="5"/>
      <c r="R119" s="5"/>
      <c r="S119" s="5"/>
      <c r="T119" s="5"/>
      <c r="U119" s="5"/>
    </row>
    <row r="120" spans="1:21" s="148" customFormat="1">
      <c r="B120" s="148">
        <v>7999</v>
      </c>
      <c r="C120" s="148" t="s">
        <v>226</v>
      </c>
      <c r="D120" s="68">
        <f>VLOOKUP(B120,[1]DataSheet!$E$2:$H$112,3,0)</f>
        <v>0</v>
      </c>
      <c r="E120" s="68">
        <f>SUMIF(AJE!$B$8:$B$36,B120,AJE!$D$8:$D$36)-SUMIF(AJE!$G$8:$G$36,B120,AJE!$I$8:$I$36)</f>
        <v>0</v>
      </c>
      <c r="F120" s="68">
        <f t="shared" si="47"/>
        <v>0</v>
      </c>
      <c r="G120" s="68">
        <f>VLOOKUP(B120,[1]DataSheet!$E$2:$H$112,4,0)</f>
        <v>-0.02</v>
      </c>
      <c r="H120" s="68">
        <f>SUMIF(AJE!$B$8:$B$36,B120,AJE!$E$8:$E$36)-SUMIF(AJE!$G$8:$G$36,B120,AJE!$J$8:$J$36)</f>
        <v>0</v>
      </c>
      <c r="I120" s="68">
        <f t="shared" ref="I120" si="56">G120+H120</f>
        <v>-0.02</v>
      </c>
      <c r="J120" s="116" t="s">
        <v>133</v>
      </c>
      <c r="K120" s="144">
        <f t="shared" ref="K120" si="57">D120/G120</f>
        <v>0</v>
      </c>
      <c r="L120" s="5"/>
      <c r="M120" s="114"/>
      <c r="N120" s="5"/>
      <c r="O120" s="5"/>
      <c r="P120" s="5"/>
      <c r="Q120" s="5"/>
      <c r="R120" s="5"/>
      <c r="S120" s="5"/>
      <c r="T120" s="5"/>
      <c r="U120" s="5"/>
    </row>
    <row r="121" spans="1:21" s="146" customFormat="1">
      <c r="A121" s="148" t="str">
        <f>"900.הוצאות/הכנסות מימון"</f>
        <v>900.הוצאות/הכנסות מימון</v>
      </c>
      <c r="B121" s="148">
        <v>9006</v>
      </c>
      <c r="C121" s="148" t="str">
        <f>"עמלות והפרשי שער המרות"</f>
        <v>עמלות והפרשי שער המרות</v>
      </c>
      <c r="D121" s="68"/>
      <c r="E121" s="68">
        <f>SUMIF(AJE!$B$8:$B$36,B121,AJE!$D$8:$D$36)-SUMIF(AJE!$G$8:$G$36,B121,AJE!$I$8:$I$36)</f>
        <v>0</v>
      </c>
      <c r="F121" s="68">
        <f t="shared" si="47"/>
        <v>0</v>
      </c>
      <c r="G121" s="68"/>
      <c r="H121" s="68">
        <f>SUMIF(AJE!$B$8:$B$36,B121,AJE!$E$8:$E$36)-SUMIF(AJE!$G$8:$G$36,B121,AJE!$J$8:$J$36)</f>
        <v>0</v>
      </c>
      <c r="I121" s="68">
        <f t="shared" si="22"/>
        <v>0</v>
      </c>
      <c r="J121" s="116" t="s">
        <v>133</v>
      </c>
      <c r="K121" s="144" t="e">
        <f t="shared" si="36"/>
        <v>#DIV/0!</v>
      </c>
      <c r="L121" s="5"/>
      <c r="M121" s="114"/>
      <c r="N121" s="5"/>
      <c r="O121" s="5"/>
      <c r="P121" s="5"/>
      <c r="Q121" s="5"/>
      <c r="R121" s="5"/>
      <c r="S121" s="5"/>
      <c r="T121" s="5"/>
      <c r="U121" s="5"/>
    </row>
    <row r="123" spans="1:21" ht="13" thickBot="1">
      <c r="D123" s="74">
        <f t="shared" ref="D123:I123" si="58">SUM(D2:D122)</f>
        <v>6.181071515731773E-9</v>
      </c>
      <c r="E123" s="74">
        <f t="shared" si="58"/>
        <v>0</v>
      </c>
      <c r="F123" s="74">
        <f t="shared" si="58"/>
        <v>7.6775905077930418E-10</v>
      </c>
      <c r="G123" s="74">
        <f t="shared" si="58"/>
        <v>1.4945544558886414E-9</v>
      </c>
      <c r="H123" s="74">
        <f t="shared" si="58"/>
        <v>1.7462298274040222E-10</v>
      </c>
      <c r="I123" s="74">
        <f t="shared" si="58"/>
        <v>-1.1793599673237676E-9</v>
      </c>
    </row>
    <row r="124" spans="1:21" ht="13" thickTop="1">
      <c r="L124" s="126"/>
    </row>
    <row r="125" spans="1:21">
      <c r="C125" s="78" t="s">
        <v>110</v>
      </c>
      <c r="D125" s="73">
        <f>SUM(D62:D121)</f>
        <v>5913925.1199999982</v>
      </c>
      <c r="E125" s="73">
        <f t="shared" ref="E125:I125" si="59">SUM(E62:E121)</f>
        <v>2932902.1303147217</v>
      </c>
      <c r="F125" s="73">
        <f t="shared" si="59"/>
        <v>8846827.25031472</v>
      </c>
      <c r="G125" s="73">
        <f t="shared" si="59"/>
        <v>1676878.8200000005</v>
      </c>
      <c r="H125" s="73">
        <f t="shared" si="59"/>
        <v>811779.97633055237</v>
      </c>
      <c r="I125" s="73">
        <f t="shared" si="59"/>
        <v>2488658.7963305521</v>
      </c>
      <c r="L125" s="126"/>
    </row>
    <row r="126" spans="1:21">
      <c r="F126" s="68"/>
      <c r="G126" s="68"/>
      <c r="H126" s="68"/>
      <c r="I126" s="68"/>
      <c r="L126" s="126"/>
    </row>
    <row r="127" spans="1:21">
      <c r="C127" s="78" t="s">
        <v>125</v>
      </c>
      <c r="F127" s="113"/>
      <c r="I127" s="113"/>
      <c r="O127" s="114"/>
    </row>
    <row r="128" spans="1:21">
      <c r="G128" s="75"/>
      <c r="H128" s="75"/>
      <c r="I128" s="75"/>
      <c r="O128" s="114"/>
    </row>
    <row r="129" spans="3:15">
      <c r="O129" s="114"/>
    </row>
    <row r="131" spans="3:15">
      <c r="D131" s="68"/>
      <c r="E131" s="68"/>
      <c r="F131" s="68"/>
    </row>
    <row r="132" spans="3:15" ht="14">
      <c r="C132" s="78" t="s">
        <v>150</v>
      </c>
      <c r="D132" s="125"/>
      <c r="E132" s="76"/>
      <c r="F132" s="76"/>
    </row>
    <row r="133" spans="3:15">
      <c r="C133" s="78" t="s">
        <v>148</v>
      </c>
      <c r="D133" s="68">
        <f>SUM(D63:D70)+D72</f>
        <v>4143078.6399999997</v>
      </c>
      <c r="E133" s="68"/>
      <c r="F133" s="68"/>
      <c r="G133" s="148"/>
    </row>
    <row r="134" spans="3:15" ht="14">
      <c r="C134" s="77" t="s">
        <v>147</v>
      </c>
      <c r="D134" s="166">
        <v>4143078.6400000006</v>
      </c>
      <c r="G134" s="148"/>
    </row>
    <row r="135" spans="3:15">
      <c r="C135" s="77" t="s">
        <v>149</v>
      </c>
      <c r="D135" s="75">
        <f>D133-D134</f>
        <v>0</v>
      </c>
      <c r="G135" s="148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0"/>
  <sheetViews>
    <sheetView topLeftCell="A13" workbookViewId="0">
      <selection activeCell="E30" sqref="E30"/>
    </sheetView>
  </sheetViews>
  <sheetFormatPr defaultRowHeight="12.5"/>
  <cols>
    <col min="1" max="1" width="12.453125" bestFit="1" customWidth="1"/>
    <col min="2" max="2" width="11.54296875" customWidth="1"/>
    <col min="3" max="3" width="19" bestFit="1" customWidth="1"/>
    <col min="4" max="4" width="13.1796875" bestFit="1" customWidth="1"/>
    <col min="5" max="5" width="12.54296875" bestFit="1" customWidth="1"/>
    <col min="7" max="7" width="10" bestFit="1" customWidth="1"/>
    <col min="8" max="8" width="33" bestFit="1" customWidth="1"/>
    <col min="9" max="9" width="11.453125" bestFit="1" customWidth="1"/>
    <col min="10" max="10" width="12.54296875" style="5" bestFit="1" customWidth="1"/>
    <col min="12" max="12" width="32.453125" customWidth="1"/>
    <col min="14" max="14" width="9.08984375" bestFit="1" customWidth="1"/>
  </cols>
  <sheetData>
    <row r="1" spans="1:14" ht="14.5" thickBot="1">
      <c r="A1" s="79"/>
      <c r="B1" s="79"/>
      <c r="C1" s="79"/>
      <c r="D1" s="79"/>
      <c r="E1" s="79"/>
      <c r="F1" s="79"/>
      <c r="G1" s="79"/>
      <c r="H1" s="79"/>
      <c r="I1" s="79"/>
      <c r="J1" s="106"/>
      <c r="K1" s="79"/>
      <c r="L1" s="80"/>
    </row>
    <row r="2" spans="1:14" ht="14.5" thickBot="1">
      <c r="A2" s="79"/>
      <c r="B2" s="79"/>
      <c r="C2" s="79"/>
      <c r="D2" s="79"/>
      <c r="E2" s="79"/>
      <c r="F2" s="79"/>
      <c r="G2" s="119">
        <v>45291</v>
      </c>
      <c r="H2" s="124">
        <v>3.6269999999999998</v>
      </c>
      <c r="I2" s="79"/>
      <c r="J2" s="106"/>
      <c r="K2" s="79"/>
      <c r="L2" s="80"/>
    </row>
    <row r="3" spans="1:14" ht="15.5">
      <c r="A3" s="79"/>
      <c r="B3" s="81" t="s">
        <v>115</v>
      </c>
      <c r="C3" s="79"/>
      <c r="D3" s="79"/>
      <c r="E3" s="103"/>
      <c r="F3" s="79"/>
      <c r="G3" s="120" t="s">
        <v>137</v>
      </c>
      <c r="H3" s="124">
        <v>3.6</v>
      </c>
      <c r="I3" s="79"/>
      <c r="J3" s="106"/>
      <c r="K3" s="79"/>
      <c r="L3" s="80"/>
    </row>
    <row r="4" spans="1:14" ht="14">
      <c r="A4" s="79"/>
      <c r="B4" s="79"/>
      <c r="C4" s="79"/>
      <c r="D4" s="82"/>
      <c r="E4" s="102">
        <v>929080.21</v>
      </c>
      <c r="F4" s="79"/>
      <c r="G4" s="79"/>
      <c r="H4" s="79"/>
      <c r="I4" s="79"/>
      <c r="J4" s="106"/>
      <c r="K4" s="79"/>
      <c r="L4" s="80"/>
    </row>
    <row r="5" spans="1:14" ht="14.5" thickBot="1">
      <c r="A5" s="79"/>
      <c r="B5" s="79"/>
      <c r="C5" s="79"/>
      <c r="D5" s="79"/>
      <c r="E5" s="79"/>
      <c r="F5" s="79"/>
      <c r="G5" s="79"/>
      <c r="H5" s="79"/>
      <c r="I5" s="79"/>
      <c r="J5" s="106"/>
      <c r="K5" s="79"/>
      <c r="L5" s="80"/>
    </row>
    <row r="6" spans="1:14" ht="14.5" thickBot="1">
      <c r="A6" s="79"/>
      <c r="B6" s="83" t="s">
        <v>116</v>
      </c>
      <c r="C6" s="84"/>
      <c r="D6" s="84"/>
      <c r="E6" s="85"/>
      <c r="F6" s="79"/>
      <c r="G6" s="83" t="s">
        <v>117</v>
      </c>
      <c r="H6" s="84"/>
      <c r="I6" s="84"/>
      <c r="J6" s="85"/>
      <c r="K6" s="79"/>
      <c r="L6" s="86" t="s">
        <v>118</v>
      </c>
    </row>
    <row r="7" spans="1:14" ht="13">
      <c r="A7" s="87"/>
      <c r="B7" s="88" t="s">
        <v>119</v>
      </c>
      <c r="C7" s="89" t="s">
        <v>120</v>
      </c>
      <c r="D7" s="90" t="s">
        <v>121</v>
      </c>
      <c r="E7" s="91" t="s">
        <v>122</v>
      </c>
      <c r="F7" s="87"/>
      <c r="G7" s="88" t="s">
        <v>119</v>
      </c>
      <c r="H7" s="92" t="s">
        <v>120</v>
      </c>
      <c r="I7" s="93" t="s">
        <v>121</v>
      </c>
      <c r="J7" s="107" t="s">
        <v>122</v>
      </c>
      <c r="K7" s="87"/>
      <c r="L7" s="94"/>
    </row>
    <row r="8" spans="1:14" ht="14">
      <c r="A8" s="79"/>
      <c r="B8" s="95"/>
      <c r="C8" s="96"/>
      <c r="D8" s="96"/>
      <c r="E8" s="97"/>
      <c r="F8" s="79"/>
      <c r="G8" s="95"/>
      <c r="H8" s="98"/>
      <c r="I8" s="99"/>
      <c r="J8" s="108"/>
      <c r="K8" s="79"/>
      <c r="L8" s="100"/>
    </row>
    <row r="9" spans="1:14" s="148" customFormat="1" ht="14">
      <c r="A9" s="104"/>
      <c r="B9" s="5"/>
      <c r="C9" s="96"/>
      <c r="D9" s="101"/>
      <c r="E9" s="102"/>
      <c r="F9" s="104"/>
      <c r="G9" s="150"/>
      <c r="H9" s="96"/>
      <c r="I9" s="99"/>
      <c r="J9" s="111"/>
      <c r="K9" s="104"/>
      <c r="L9" s="100"/>
    </row>
    <row r="10" spans="1:14" s="148" customFormat="1" ht="14">
      <c r="A10" s="104"/>
      <c r="B10" s="5"/>
      <c r="C10" s="96"/>
      <c r="D10" s="101"/>
      <c r="E10" s="102"/>
      <c r="F10" s="104"/>
      <c r="G10" s="151"/>
      <c r="H10" s="96"/>
      <c r="I10" s="99"/>
      <c r="J10" s="111"/>
      <c r="K10" s="104"/>
      <c r="L10" s="100" t="s">
        <v>161</v>
      </c>
    </row>
    <row r="11" spans="1:14" s="148" customFormat="1" ht="14">
      <c r="A11" s="104"/>
      <c r="B11" s="5">
        <v>7810</v>
      </c>
      <c r="C11" s="96"/>
      <c r="D11" s="101">
        <f>8100*2</f>
        <v>16200</v>
      </c>
      <c r="E11" s="102">
        <f t="shared" ref="E11:E13" si="0">D11/$H$2</f>
        <v>4466.501240694789</v>
      </c>
      <c r="F11" s="104"/>
      <c r="G11" s="151">
        <v>2701</v>
      </c>
      <c r="H11" s="96" t="str">
        <f>VLOOKUP(G11,TB!$B$2:$C$121,2,0)</f>
        <v>לשלם</v>
      </c>
      <c r="I11" s="99">
        <f>D11</f>
        <v>16200</v>
      </c>
      <c r="J11" s="111">
        <f>E11</f>
        <v>4466.501240694789</v>
      </c>
      <c r="K11" s="104"/>
      <c r="L11" s="100" t="s">
        <v>375</v>
      </c>
    </row>
    <row r="12" spans="1:14" s="148" customFormat="1" ht="14">
      <c r="A12" s="104"/>
      <c r="B12" s="5">
        <v>7805</v>
      </c>
      <c r="C12" s="96"/>
      <c r="D12" s="101">
        <v>4671</v>
      </c>
      <c r="E12" s="102">
        <f t="shared" si="0"/>
        <v>1287.8411910669977</v>
      </c>
      <c r="F12" s="104"/>
      <c r="G12" s="151">
        <v>2701</v>
      </c>
      <c r="H12" s="96" t="str">
        <f>VLOOKUP(G12,TB!$B$2:$C$121,2,0)</f>
        <v>לשלם</v>
      </c>
      <c r="I12" s="99">
        <f t="shared" ref="I12" si="1">D12</f>
        <v>4671</v>
      </c>
      <c r="J12" s="111">
        <f t="shared" ref="J12" si="2">E12</f>
        <v>1287.8411910669977</v>
      </c>
      <c r="K12" s="104"/>
      <c r="L12" s="100" t="s">
        <v>374</v>
      </c>
    </row>
    <row r="13" spans="1:14" s="148" customFormat="1" ht="14">
      <c r="A13" s="104"/>
      <c r="B13" s="5">
        <v>7450</v>
      </c>
      <c r="C13" s="96"/>
      <c r="D13" s="101">
        <f>13755/1.17</f>
        <v>11756.410256410258</v>
      </c>
      <c r="E13" s="102">
        <f t="shared" si="0"/>
        <v>3241.3593207637878</v>
      </c>
      <c r="F13" s="79"/>
      <c r="G13" s="151">
        <v>2701</v>
      </c>
      <c r="H13" s="96" t="str">
        <f>VLOOKUP(G13,TB!$B$2:$C$121,2,0)</f>
        <v>לשלם</v>
      </c>
      <c r="I13" s="99">
        <f t="shared" ref="I13" si="3">D13</f>
        <v>11756.410256410258</v>
      </c>
      <c r="J13" s="111">
        <f t="shared" ref="J13" si="4">E13</f>
        <v>3241.3593207637878</v>
      </c>
      <c r="K13" s="104"/>
      <c r="L13" s="100" t="s">
        <v>415</v>
      </c>
      <c r="N13" s="72"/>
    </row>
    <row r="14" spans="1:14" s="148" customFormat="1" ht="14">
      <c r="A14" s="104"/>
      <c r="B14" s="5"/>
      <c r="C14" s="96"/>
      <c r="D14" s="101"/>
      <c r="E14" s="102"/>
      <c r="F14" s="79"/>
      <c r="G14" s="151"/>
      <c r="H14" s="96"/>
      <c r="I14" s="99"/>
      <c r="J14" s="111"/>
      <c r="K14" s="104"/>
      <c r="L14" s="100"/>
    </row>
    <row r="15" spans="1:14" s="148" customFormat="1" ht="14">
      <c r="A15" s="104"/>
      <c r="B15" s="5"/>
      <c r="C15" s="96"/>
      <c r="D15" s="101"/>
      <c r="E15" s="102"/>
      <c r="F15" s="79"/>
      <c r="H15" s="96"/>
      <c r="I15" s="99"/>
      <c r="J15" s="111"/>
      <c r="K15" s="104"/>
      <c r="L15" s="100"/>
    </row>
    <row r="16" spans="1:14" s="148" customFormat="1" ht="14">
      <c r="A16" s="104"/>
      <c r="B16" s="5"/>
      <c r="C16" s="96"/>
      <c r="D16" s="101"/>
      <c r="E16" s="102"/>
      <c r="F16" s="79"/>
      <c r="H16" s="96"/>
      <c r="I16" s="99"/>
      <c r="J16" s="111"/>
      <c r="K16" s="104"/>
      <c r="L16" s="100"/>
    </row>
    <row r="17" spans="1:14" s="148" customFormat="1" ht="14">
      <c r="A17" s="104"/>
      <c r="B17" s="5"/>
      <c r="C17" s="96"/>
      <c r="D17" s="101"/>
      <c r="E17" s="102"/>
      <c r="F17" s="79"/>
      <c r="H17" s="96"/>
      <c r="I17" s="99"/>
      <c r="J17" s="111"/>
      <c r="K17" s="104"/>
      <c r="L17" s="100"/>
    </row>
    <row r="18" spans="1:14" s="148" customFormat="1" ht="14">
      <c r="A18" s="104"/>
      <c r="B18" s="5"/>
      <c r="C18" s="96"/>
      <c r="D18" s="101"/>
      <c r="E18" s="102"/>
      <c r="F18" s="79"/>
      <c r="H18" s="96"/>
      <c r="I18" s="99"/>
      <c r="J18" s="111"/>
      <c r="K18" s="104"/>
      <c r="L18" s="100" t="s">
        <v>393</v>
      </c>
    </row>
    <row r="19" spans="1:14" s="148" customFormat="1" ht="14">
      <c r="A19" s="104"/>
      <c r="B19" s="5">
        <v>7450</v>
      </c>
      <c r="C19" s="96"/>
      <c r="D19" s="101">
        <v>147034.74</v>
      </c>
      <c r="E19" s="102">
        <f>D19/$H$2</f>
        <v>40538.941273779987</v>
      </c>
      <c r="F19" s="79"/>
      <c r="G19" s="148">
        <v>3110</v>
      </c>
      <c r="H19" s="96" t="s">
        <v>297</v>
      </c>
      <c r="I19" s="99">
        <f t="shared" ref="I19" si="5">D19</f>
        <v>147034.74</v>
      </c>
      <c r="J19" s="111">
        <f t="shared" ref="J19" si="6">E19</f>
        <v>40538.941273779987</v>
      </c>
      <c r="K19" s="104"/>
      <c r="L19" s="100"/>
    </row>
    <row r="20" spans="1:14" s="148" customFormat="1" ht="14">
      <c r="A20" s="104"/>
      <c r="B20" s="5">
        <v>7450</v>
      </c>
      <c r="C20" s="96"/>
      <c r="D20" s="101">
        <v>7273.84</v>
      </c>
      <c r="E20" s="102">
        <f t="shared" ref="E20:E27" si="7">D20/$H$2</f>
        <v>2005.4700854700857</v>
      </c>
      <c r="F20" s="79"/>
      <c r="G20" s="148">
        <v>3245</v>
      </c>
      <c r="H20" s="96" t="s">
        <v>210</v>
      </c>
      <c r="I20" s="99">
        <f t="shared" ref="I20:I21" si="8">D20</f>
        <v>7273.84</v>
      </c>
      <c r="J20" s="111">
        <f t="shared" ref="J20:J21" si="9">E20</f>
        <v>2005.4700854700857</v>
      </c>
      <c r="K20" s="104"/>
      <c r="L20" s="100"/>
    </row>
    <row r="21" spans="1:14" s="148" customFormat="1" ht="14">
      <c r="A21" s="104"/>
      <c r="B21" s="5">
        <v>7450</v>
      </c>
      <c r="C21" s="96"/>
      <c r="D21" s="101">
        <v>1813.5</v>
      </c>
      <c r="E21" s="102">
        <f t="shared" si="7"/>
        <v>500.00000000000006</v>
      </c>
      <c r="F21" s="79"/>
      <c r="G21" s="148">
        <v>3277</v>
      </c>
      <c r="H21" s="96" t="s">
        <v>293</v>
      </c>
      <c r="I21" s="99">
        <f t="shared" si="8"/>
        <v>1813.5</v>
      </c>
      <c r="J21" s="111">
        <f t="shared" si="9"/>
        <v>500.00000000000006</v>
      </c>
      <c r="K21" s="104"/>
      <c r="L21" s="100"/>
    </row>
    <row r="22" spans="1:14" s="148" customFormat="1" ht="14">
      <c r="A22" s="104"/>
      <c r="B22" s="5">
        <v>7301</v>
      </c>
      <c r="C22" s="96"/>
      <c r="D22" s="101">
        <v>15461.12</v>
      </c>
      <c r="E22" s="102">
        <f t="shared" si="7"/>
        <v>4262.7846705266065</v>
      </c>
      <c r="F22" s="79"/>
      <c r="G22" s="148">
        <v>3099</v>
      </c>
      <c r="H22" s="96" t="s">
        <v>164</v>
      </c>
      <c r="I22" s="99">
        <f t="shared" ref="I22:I25" si="10">D22</f>
        <v>15461.12</v>
      </c>
      <c r="J22" s="111">
        <f t="shared" ref="J22:J25" si="11">E22</f>
        <v>4262.7846705266065</v>
      </c>
      <c r="K22" s="104"/>
      <c r="L22" s="100"/>
    </row>
    <row r="23" spans="1:14" s="148" customFormat="1" ht="14">
      <c r="A23" s="104"/>
      <c r="B23" s="5">
        <v>7301</v>
      </c>
      <c r="C23" s="96"/>
      <c r="D23" s="101">
        <v>5461</v>
      </c>
      <c r="E23" s="102">
        <f t="shared" si="7"/>
        <v>1505.6520540391509</v>
      </c>
      <c r="F23" s="79"/>
      <c r="G23" s="148">
        <v>3314</v>
      </c>
      <c r="H23" s="96" t="s">
        <v>319</v>
      </c>
      <c r="I23" s="99">
        <f t="shared" si="10"/>
        <v>5461</v>
      </c>
      <c r="J23" s="111">
        <f t="shared" si="11"/>
        <v>1505.6520540391509</v>
      </c>
      <c r="K23" s="104"/>
      <c r="L23" s="100"/>
    </row>
    <row r="24" spans="1:14" s="148" customFormat="1" ht="14">
      <c r="A24" s="104"/>
      <c r="B24" s="5">
        <v>7305</v>
      </c>
      <c r="C24" s="96"/>
      <c r="D24" s="101">
        <v>5787.57</v>
      </c>
      <c r="E24" s="102">
        <f t="shared" si="7"/>
        <v>1595.690653432589</v>
      </c>
      <c r="F24" s="79"/>
      <c r="G24" s="148">
        <v>3119</v>
      </c>
      <c r="H24" s="96" t="s">
        <v>320</v>
      </c>
      <c r="I24" s="99">
        <f t="shared" si="10"/>
        <v>5787.57</v>
      </c>
      <c r="J24" s="111">
        <f t="shared" si="11"/>
        <v>1595.690653432589</v>
      </c>
      <c r="K24" s="104"/>
      <c r="L24" s="100"/>
    </row>
    <row r="25" spans="1:14" s="148" customFormat="1" ht="14">
      <c r="A25" s="104"/>
      <c r="B25" s="5">
        <v>7305</v>
      </c>
      <c r="C25" s="96"/>
      <c r="D25" s="101">
        <v>1094.8499999999999</v>
      </c>
      <c r="E25" s="102">
        <f t="shared" si="7"/>
        <v>301.86104218362283</v>
      </c>
      <c r="F25" s="79"/>
      <c r="G25" s="148">
        <v>3123</v>
      </c>
      <c r="H25" s="96" t="s">
        <v>321</v>
      </c>
      <c r="I25" s="99">
        <f t="shared" si="10"/>
        <v>1094.8499999999999</v>
      </c>
      <c r="J25" s="111">
        <f t="shared" si="11"/>
        <v>301.86104218362283</v>
      </c>
      <c r="K25" s="104"/>
      <c r="L25" s="100"/>
    </row>
    <row r="26" spans="1:14" s="148" customFormat="1" ht="14">
      <c r="A26" s="104"/>
      <c r="B26" s="5">
        <v>7301</v>
      </c>
      <c r="C26" s="96"/>
      <c r="D26" s="101">
        <v>1669.21</v>
      </c>
      <c r="E26" s="102">
        <f t="shared" si="7"/>
        <v>460.21781086297221</v>
      </c>
      <c r="F26" s="79"/>
      <c r="G26" s="148">
        <v>3139</v>
      </c>
      <c r="H26" s="96" t="s">
        <v>291</v>
      </c>
      <c r="I26" s="99">
        <f t="shared" ref="I26:I27" si="12">D26</f>
        <v>1669.21</v>
      </c>
      <c r="J26" s="111">
        <f t="shared" ref="J26:J27" si="13">E26</f>
        <v>460.21781086297221</v>
      </c>
      <c r="K26" s="104"/>
      <c r="L26" s="100"/>
    </row>
    <row r="27" spans="1:14" s="148" customFormat="1" ht="14">
      <c r="A27" s="104"/>
      <c r="B27" s="5">
        <v>7450</v>
      </c>
      <c r="C27" s="96"/>
      <c r="D27" s="101">
        <v>3506.76</v>
      </c>
      <c r="E27" s="102">
        <f t="shared" si="7"/>
        <v>966.8486352357321</v>
      </c>
      <c r="F27" s="79"/>
      <c r="G27" s="148">
        <v>3338</v>
      </c>
      <c r="H27" s="96" t="s">
        <v>370</v>
      </c>
      <c r="I27" s="99">
        <f t="shared" si="12"/>
        <v>3506.76</v>
      </c>
      <c r="J27" s="111">
        <f t="shared" si="13"/>
        <v>966.8486352357321</v>
      </c>
      <c r="K27" s="104"/>
      <c r="L27" s="100"/>
    </row>
    <row r="28" spans="1:14" s="148" customFormat="1" ht="14">
      <c r="A28" s="104"/>
      <c r="B28" s="5"/>
      <c r="C28" s="96"/>
      <c r="D28" s="101"/>
      <c r="E28" s="102"/>
      <c r="F28" s="79"/>
      <c r="H28" s="96"/>
      <c r="I28" s="99"/>
      <c r="J28" s="111"/>
      <c r="K28" s="104"/>
      <c r="L28" s="100"/>
    </row>
    <row r="29" spans="1:14" s="148" customFormat="1" ht="14">
      <c r="A29" s="104"/>
      <c r="B29" s="5"/>
      <c r="C29" s="96"/>
      <c r="D29" s="101"/>
      <c r="E29" s="102"/>
      <c r="F29" s="79"/>
      <c r="H29" s="96"/>
      <c r="I29" s="99"/>
      <c r="J29" s="111"/>
      <c r="K29" s="104"/>
      <c r="L29" s="100"/>
      <c r="N29" s="148" t="s">
        <v>414</v>
      </c>
    </row>
    <row r="30" spans="1:14" s="148" customFormat="1" ht="14">
      <c r="A30" s="104"/>
      <c r="B30" s="148">
        <v>7560</v>
      </c>
      <c r="C30" s="148" t="s">
        <v>232</v>
      </c>
      <c r="D30" s="101">
        <f>E30*H2</f>
        <v>1710764.551899425</v>
      </c>
      <c r="E30" s="102">
        <f>'TB UK'!E74</f>
        <v>471674.81441947207</v>
      </c>
      <c r="F30" s="79"/>
      <c r="G30" s="148">
        <v>2803</v>
      </c>
      <c r="H30" s="96"/>
      <c r="I30" s="99">
        <f t="shared" ref="I30:I31" si="14">D30</f>
        <v>1710764.551899425</v>
      </c>
      <c r="J30" s="111">
        <f t="shared" ref="J30:J32" si="15">E30</f>
        <v>471674.81441947207</v>
      </c>
      <c r="K30" s="104"/>
      <c r="L30" s="100" t="s">
        <v>402</v>
      </c>
      <c r="N30" s="204">
        <v>370487.31810000009</v>
      </c>
    </row>
    <row r="31" spans="1:14" s="148" customFormat="1" ht="14">
      <c r="A31" s="104"/>
      <c r="B31" s="5">
        <v>7861</v>
      </c>
      <c r="C31" s="96" t="s">
        <v>236</v>
      </c>
      <c r="D31" s="101">
        <f>E31*H3</f>
        <v>1000407.5781588864</v>
      </c>
      <c r="E31" s="102">
        <f>'TB UK'!E75</f>
        <v>277890.993933024</v>
      </c>
      <c r="F31" s="79"/>
      <c r="G31" s="148">
        <v>2803</v>
      </c>
      <c r="H31" s="96"/>
      <c r="I31" s="99">
        <f t="shared" si="14"/>
        <v>1000407.5781588864</v>
      </c>
      <c r="J31" s="111">
        <f t="shared" si="15"/>
        <v>277890.993933024</v>
      </c>
      <c r="K31" s="104"/>
      <c r="L31" s="100" t="s">
        <v>403</v>
      </c>
      <c r="N31" s="204">
        <v>218275.57019999999</v>
      </c>
    </row>
    <row r="32" spans="1:14" s="148" customFormat="1" ht="14">
      <c r="A32" s="104"/>
      <c r="B32" s="5">
        <v>9002</v>
      </c>
      <c r="C32" s="96"/>
      <c r="D32" s="101"/>
      <c r="E32" s="102">
        <v>1081</v>
      </c>
      <c r="F32" s="79"/>
      <c r="G32" s="148">
        <v>2803</v>
      </c>
      <c r="H32" s="96"/>
      <c r="I32" s="99"/>
      <c r="J32" s="111">
        <f t="shared" si="15"/>
        <v>1081</v>
      </c>
      <c r="K32" s="104"/>
      <c r="L32" s="100" t="s">
        <v>404</v>
      </c>
    </row>
    <row r="33" spans="1:12" s="148" customFormat="1" ht="14">
      <c r="A33" s="104"/>
      <c r="B33" s="5"/>
      <c r="C33" s="96"/>
      <c r="D33" s="101"/>
      <c r="E33" s="102"/>
      <c r="F33" s="79"/>
      <c r="H33" s="96"/>
      <c r="I33" s="99"/>
      <c r="J33" s="111"/>
      <c r="K33" s="104"/>
      <c r="L33" s="100"/>
    </row>
    <row r="34" spans="1:12" s="148" customFormat="1" ht="14">
      <c r="A34" s="104"/>
      <c r="B34" s="5"/>
      <c r="C34" s="96"/>
      <c r="D34" s="101"/>
      <c r="E34" s="102"/>
      <c r="F34" s="79"/>
      <c r="H34" s="96"/>
      <c r="I34" s="99"/>
      <c r="J34" s="111"/>
      <c r="K34" s="104"/>
      <c r="L34" s="100"/>
    </row>
    <row r="35" spans="1:12" s="148" customFormat="1" ht="14">
      <c r="A35" s="104"/>
      <c r="B35" s="5">
        <v>4</v>
      </c>
      <c r="C35" s="96" t="str">
        <f>VLOOKUP(B35,TB!$B$2:$C$121,2,0)</f>
        <v>אלוקציות RD</v>
      </c>
      <c r="D35" s="101">
        <f>'אלוקציה הוצ'!C13</f>
        <v>640307.22699999996</v>
      </c>
      <c r="E35" s="102">
        <f>D35/$H$2</f>
        <v>176539.07554452715</v>
      </c>
      <c r="F35" s="79"/>
      <c r="G35" s="148">
        <v>3</v>
      </c>
      <c r="H35" s="96" t="str">
        <f>VLOOKUP(G35,TB!$B$2:$C$121,2,0)</f>
        <v>אלוקציות הנהלה</v>
      </c>
      <c r="I35" s="99">
        <f t="shared" ref="I35" si="16">D35</f>
        <v>640307.22699999996</v>
      </c>
      <c r="J35" s="111">
        <f t="shared" ref="J35" si="17">E35</f>
        <v>176539.07554452715</v>
      </c>
      <c r="K35" s="104"/>
      <c r="L35" s="100" t="s">
        <v>283</v>
      </c>
    </row>
    <row r="36" spans="1:12" ht="14.5" thickBot="1">
      <c r="A36" s="79"/>
      <c r="B36" s="109"/>
      <c r="C36" s="112"/>
      <c r="D36" s="110"/>
      <c r="E36" s="139"/>
      <c r="F36" s="79"/>
      <c r="H36" s="112"/>
      <c r="I36" s="140"/>
      <c r="J36" s="141"/>
      <c r="K36" s="79"/>
      <c r="L36" s="105"/>
    </row>
    <row r="44" spans="1:12">
      <c r="L44" s="72"/>
    </row>
    <row r="45" spans="1:12">
      <c r="L45" s="72"/>
    </row>
    <row r="46" spans="1:12">
      <c r="H46" s="182"/>
      <c r="L46" s="72"/>
    </row>
    <row r="47" spans="1:12">
      <c r="H47" s="182"/>
      <c r="L47" s="72"/>
    </row>
    <row r="48" spans="1:12">
      <c r="H48" s="182"/>
      <c r="L48" s="72"/>
    </row>
    <row r="49" spans="5:12">
      <c r="H49" s="182"/>
      <c r="L49" s="72"/>
    </row>
    <row r="50" spans="5:12">
      <c r="L50" s="72"/>
    </row>
    <row r="51" spans="5:12">
      <c r="L51" s="72"/>
    </row>
    <row r="52" spans="5:12">
      <c r="L52" s="72"/>
    </row>
    <row r="54" spans="5:12">
      <c r="J54"/>
    </row>
    <row r="55" spans="5:12">
      <c r="E55" s="121"/>
      <c r="I55" s="68"/>
      <c r="J55" s="68"/>
    </row>
    <row r="56" spans="5:12">
      <c r="E56" s="121"/>
      <c r="I56" s="68"/>
      <c r="J56" s="68"/>
    </row>
    <row r="57" spans="5:12">
      <c r="E57" s="121"/>
      <c r="I57" s="68"/>
      <c r="J57" s="68"/>
    </row>
    <row r="58" spans="5:12">
      <c r="E58" s="121"/>
      <c r="I58" s="68"/>
      <c r="J58" s="68"/>
    </row>
    <row r="59" spans="5:12">
      <c r="E59" s="121"/>
      <c r="I59" s="68"/>
      <c r="J59" s="68"/>
    </row>
    <row r="60" spans="5:12">
      <c r="E60" s="121"/>
      <c r="I60" s="68"/>
      <c r="J60" s="68"/>
    </row>
    <row r="61" spans="5:12">
      <c r="E61" s="121"/>
      <c r="J61"/>
    </row>
    <row r="62" spans="5:12">
      <c r="E62" s="121"/>
      <c r="I62" s="68"/>
      <c r="J62" s="68"/>
    </row>
    <row r="63" spans="5:12">
      <c r="E63" s="121"/>
      <c r="I63" s="68"/>
      <c r="J63" s="68"/>
    </row>
    <row r="64" spans="5:12">
      <c r="E64" s="121"/>
      <c r="I64" s="68"/>
      <c r="J64" s="68"/>
    </row>
    <row r="65" spans="4:10">
      <c r="E65" s="121"/>
      <c r="I65" s="68"/>
      <c r="J65" s="68"/>
    </row>
    <row r="66" spans="4:10">
      <c r="I66" s="68"/>
      <c r="J66" s="68"/>
    </row>
    <row r="67" spans="4:10">
      <c r="I67" s="68"/>
      <c r="J67" s="126"/>
    </row>
    <row r="68" spans="4:10">
      <c r="D68" s="77"/>
      <c r="I68" s="68"/>
      <c r="J68" s="126"/>
    </row>
    <row r="70" spans="4:10">
      <c r="I70" s="122"/>
      <c r="J70" s="122"/>
    </row>
  </sheetData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7"/>
  <sheetViews>
    <sheetView workbookViewId="0">
      <selection activeCell="A7" sqref="A7:V7"/>
    </sheetView>
  </sheetViews>
  <sheetFormatPr defaultRowHeight="12.5"/>
  <cols>
    <col min="2" max="2" width="37.54296875" bestFit="1" customWidth="1"/>
    <col min="3" max="3" width="34.81640625" bestFit="1" customWidth="1"/>
    <col min="4" max="4" width="11.1796875" bestFit="1" customWidth="1"/>
    <col min="5" max="6" width="11.1796875" style="148" customWidth="1"/>
    <col min="7" max="7" width="14.08984375" style="148" bestFit="1" customWidth="1"/>
    <col min="8" max="9" width="14.08984375" style="148" customWidth="1"/>
    <col min="10" max="10" width="24.1796875" bestFit="1" customWidth="1"/>
    <col min="11" max="11" width="17.54296875" customWidth="1"/>
    <col min="12" max="12" width="10.08984375" customWidth="1"/>
    <col min="13" max="13" width="10" customWidth="1"/>
    <col min="14" max="14" width="10" style="148" customWidth="1"/>
    <col min="15" max="16" width="8.90625" customWidth="1"/>
  </cols>
  <sheetData>
    <row r="1" spans="1:22" ht="13.5" thickBot="1">
      <c r="A1" s="185" t="s">
        <v>324</v>
      </c>
      <c r="B1" s="185"/>
      <c r="C1" s="186"/>
      <c r="D1" s="186" t="s">
        <v>325</v>
      </c>
      <c r="E1" s="186" t="s">
        <v>112</v>
      </c>
      <c r="F1" s="186" t="s">
        <v>401</v>
      </c>
      <c r="G1" s="187" t="s">
        <v>124</v>
      </c>
      <c r="H1" s="210" t="s">
        <v>112</v>
      </c>
      <c r="I1" s="210" t="s">
        <v>114</v>
      </c>
    </row>
    <row r="2" spans="1:22" ht="13.5" thickBot="1">
      <c r="A2" s="188" t="s">
        <v>326</v>
      </c>
      <c r="B2" s="188" t="s">
        <v>327</v>
      </c>
      <c r="C2" s="188" t="s">
        <v>328</v>
      </c>
      <c r="D2" s="199">
        <v>45291</v>
      </c>
      <c r="E2" s="199">
        <v>45291</v>
      </c>
      <c r="F2" s="199">
        <v>45291</v>
      </c>
      <c r="G2" s="199">
        <v>45291</v>
      </c>
      <c r="H2" s="199">
        <v>45291</v>
      </c>
      <c r="I2" s="199">
        <v>45291</v>
      </c>
      <c r="J2" s="7"/>
      <c r="Q2" s="185" t="s">
        <v>324</v>
      </c>
      <c r="R2" s="185"/>
      <c r="S2" s="186"/>
      <c r="T2" s="186" t="s">
        <v>325</v>
      </c>
      <c r="U2" s="186" t="s">
        <v>124</v>
      </c>
    </row>
    <row r="3" spans="1:22" s="148" customFormat="1" ht="13">
      <c r="A3" s="189">
        <v>200</v>
      </c>
      <c r="B3" s="211" t="s">
        <v>237</v>
      </c>
      <c r="C3" s="190" t="s">
        <v>329</v>
      </c>
      <c r="D3" s="191">
        <f t="shared" ref="D3:D34" si="0">VLOOKUP(A3,$Q$4:$U$67,4,0)</f>
        <v>-370487</v>
      </c>
      <c r="E3" s="191"/>
      <c r="F3" s="191">
        <f>D3+E3</f>
        <v>-370487</v>
      </c>
      <c r="G3" s="191">
        <f t="shared" ref="G3:G34" si="1">VLOOKUP(A3,$Q$4:$U$67,5,0)</f>
        <v>-471674.40944000002</v>
      </c>
      <c r="H3" s="203"/>
      <c r="I3" s="203">
        <f>G3+H3</f>
        <v>-471674.40944000002</v>
      </c>
      <c r="J3" s="72" t="s">
        <v>233</v>
      </c>
      <c r="Q3" s="188" t="s">
        <v>326</v>
      </c>
      <c r="R3" s="188" t="s">
        <v>327</v>
      </c>
      <c r="S3" s="188" t="s">
        <v>328</v>
      </c>
      <c r="T3" s="216">
        <v>45291</v>
      </c>
      <c r="U3" s="216">
        <v>45291</v>
      </c>
    </row>
    <row r="4" spans="1:22" s="148" customFormat="1">
      <c r="A4" s="192" t="s">
        <v>330</v>
      </c>
      <c r="B4" s="193" t="s">
        <v>238</v>
      </c>
      <c r="C4" s="193" t="s">
        <v>329</v>
      </c>
      <c r="D4" s="191">
        <f t="shared" si="0"/>
        <v>-218276</v>
      </c>
      <c r="E4" s="191"/>
      <c r="F4" s="191">
        <f t="shared" ref="F4:F63" si="2">D4+E4</f>
        <v>-218276</v>
      </c>
      <c r="G4" s="191">
        <f t="shared" si="1"/>
        <v>-277891.54112000001</v>
      </c>
      <c r="H4" s="203"/>
      <c r="I4" s="203">
        <f t="shared" ref="I4:I63" si="3">G4+H4</f>
        <v>-277891.54112000001</v>
      </c>
      <c r="J4" s="72" t="s">
        <v>235</v>
      </c>
      <c r="Q4" s="189">
        <v>200</v>
      </c>
      <c r="R4" s="190" t="s">
        <v>237</v>
      </c>
      <c r="S4" s="190" t="s">
        <v>329</v>
      </c>
      <c r="T4" s="191">
        <v>-370487</v>
      </c>
      <c r="U4" s="191">
        <v>-471674.40944000002</v>
      </c>
      <c r="V4" s="148">
        <f t="shared" ref="V4:V44" si="4">VLOOKUP(Q4,$A$3:$A$63,1,0)</f>
        <v>200</v>
      </c>
    </row>
    <row r="5" spans="1:22" s="148" customFormat="1">
      <c r="A5" s="192">
        <v>270</v>
      </c>
      <c r="B5" s="200" t="s">
        <v>376</v>
      </c>
      <c r="C5" s="193" t="s">
        <v>331</v>
      </c>
      <c r="D5" s="191">
        <f t="shared" si="0"/>
        <v>-556.5</v>
      </c>
      <c r="E5" s="191"/>
      <c r="F5" s="191">
        <f t="shared" si="2"/>
        <v>-556.5</v>
      </c>
      <c r="G5" s="191">
        <f t="shared" si="1"/>
        <v>-708.49127999999996</v>
      </c>
      <c r="H5" s="203"/>
      <c r="I5" s="203">
        <f t="shared" si="3"/>
        <v>-708.49127999999996</v>
      </c>
      <c r="J5" s="116" t="s">
        <v>133</v>
      </c>
      <c r="Q5" s="192" t="s">
        <v>330</v>
      </c>
      <c r="R5" s="193" t="s">
        <v>238</v>
      </c>
      <c r="S5" s="193" t="s">
        <v>329</v>
      </c>
      <c r="T5" s="191">
        <v>-218276</v>
      </c>
      <c r="U5" s="191">
        <v>-277891.54112000001</v>
      </c>
      <c r="V5" s="148" t="str">
        <f t="shared" si="4"/>
        <v>200a</v>
      </c>
    </row>
    <row r="6" spans="1:22" s="148" customFormat="1">
      <c r="A6" s="192">
        <v>310</v>
      </c>
      <c r="B6" s="200" t="s">
        <v>377</v>
      </c>
      <c r="C6" s="193" t="s">
        <v>331</v>
      </c>
      <c r="D6" s="191">
        <f t="shared" si="0"/>
        <v>103.2</v>
      </c>
      <c r="E6" s="191"/>
      <c r="F6" s="191">
        <f t="shared" si="2"/>
        <v>103.2</v>
      </c>
      <c r="G6" s="191">
        <f t="shared" si="1"/>
        <v>131.38598400000001</v>
      </c>
      <c r="H6" s="203"/>
      <c r="I6" s="203">
        <f t="shared" si="3"/>
        <v>131.38598400000001</v>
      </c>
      <c r="J6" s="67" t="s">
        <v>111</v>
      </c>
      <c r="Q6" s="189">
        <v>270</v>
      </c>
      <c r="R6" s="190" t="s">
        <v>376</v>
      </c>
      <c r="S6" s="190" t="s">
        <v>329</v>
      </c>
      <c r="T6" s="191">
        <v>-556.5</v>
      </c>
      <c r="U6" s="191">
        <v>-708.49127999999996</v>
      </c>
      <c r="V6" s="148">
        <f t="shared" si="4"/>
        <v>270</v>
      </c>
    </row>
    <row r="7" spans="1:22" s="148" customFormat="1">
      <c r="A7" s="192">
        <v>400</v>
      </c>
      <c r="B7" s="193" t="s">
        <v>314</v>
      </c>
      <c r="C7" s="193" t="s">
        <v>331</v>
      </c>
      <c r="D7" s="191">
        <f t="shared" si="0"/>
        <v>8690</v>
      </c>
      <c r="E7" s="191"/>
      <c r="F7" s="191">
        <f t="shared" si="2"/>
        <v>8690</v>
      </c>
      <c r="G7" s="191">
        <f t="shared" si="1"/>
        <v>11063.4128</v>
      </c>
      <c r="H7" s="203"/>
      <c r="I7" s="203">
        <f t="shared" si="3"/>
        <v>11063.4128</v>
      </c>
      <c r="J7" s="7" t="s">
        <v>10</v>
      </c>
      <c r="Q7" s="189">
        <v>310</v>
      </c>
      <c r="R7" s="190" t="s">
        <v>377</v>
      </c>
      <c r="S7" s="190" t="s">
        <v>417</v>
      </c>
      <c r="T7" s="191">
        <v>103.2</v>
      </c>
      <c r="U7" s="191">
        <v>131.38598400000001</v>
      </c>
      <c r="V7" s="148">
        <f t="shared" si="4"/>
        <v>310</v>
      </c>
    </row>
    <row r="8" spans="1:22" s="148" customFormat="1">
      <c r="A8" s="192">
        <v>401</v>
      </c>
      <c r="B8" s="193" t="s">
        <v>332</v>
      </c>
      <c r="C8" s="193" t="s">
        <v>331</v>
      </c>
      <c r="D8" s="191">
        <f t="shared" si="0"/>
        <v>38064.35</v>
      </c>
      <c r="E8" s="191"/>
      <c r="F8" s="191">
        <f t="shared" si="2"/>
        <v>38064.35</v>
      </c>
      <c r="G8" s="191">
        <f t="shared" si="1"/>
        <v>48460.485271999998</v>
      </c>
      <c r="H8" s="203"/>
      <c r="I8" s="203">
        <f t="shared" si="3"/>
        <v>48460.485271999998</v>
      </c>
      <c r="J8" s="7" t="s">
        <v>140</v>
      </c>
      <c r="Q8" s="189">
        <v>400</v>
      </c>
      <c r="R8" s="190" t="s">
        <v>314</v>
      </c>
      <c r="S8" s="190" t="s">
        <v>331</v>
      </c>
      <c r="T8" s="191">
        <v>8690</v>
      </c>
      <c r="U8" s="191">
        <v>11063.4128</v>
      </c>
      <c r="V8" s="148">
        <f t="shared" si="4"/>
        <v>400</v>
      </c>
    </row>
    <row r="9" spans="1:22">
      <c r="A9" s="192">
        <v>404</v>
      </c>
      <c r="B9" s="193" t="s">
        <v>203</v>
      </c>
      <c r="C9" s="193" t="s">
        <v>331</v>
      </c>
      <c r="D9" s="191">
        <f t="shared" si="0"/>
        <v>82.62</v>
      </c>
      <c r="E9" s="191"/>
      <c r="F9" s="191">
        <f t="shared" si="2"/>
        <v>82.62</v>
      </c>
      <c r="G9" s="191">
        <f t="shared" si="1"/>
        <v>105.18517440000001</v>
      </c>
      <c r="H9" s="203"/>
      <c r="I9" s="203">
        <f t="shared" si="3"/>
        <v>105.18517440000001</v>
      </c>
      <c r="J9" s="116" t="s">
        <v>133</v>
      </c>
      <c r="Q9" s="189">
        <v>401</v>
      </c>
      <c r="R9" s="190" t="s">
        <v>332</v>
      </c>
      <c r="S9" s="190" t="s">
        <v>331</v>
      </c>
      <c r="T9" s="191">
        <v>38064.35</v>
      </c>
      <c r="U9" s="191">
        <v>48460.485271999998</v>
      </c>
      <c r="V9" s="148">
        <f t="shared" si="4"/>
        <v>401</v>
      </c>
    </row>
    <row r="10" spans="1:22">
      <c r="A10" s="192">
        <v>412</v>
      </c>
      <c r="B10" s="193" t="s">
        <v>333</v>
      </c>
      <c r="C10" s="193" t="s">
        <v>331</v>
      </c>
      <c r="D10" s="191">
        <f t="shared" si="0"/>
        <v>0</v>
      </c>
      <c r="E10" s="191"/>
      <c r="F10" s="191">
        <f t="shared" si="2"/>
        <v>0</v>
      </c>
      <c r="G10" s="191">
        <f t="shared" si="1"/>
        <v>0</v>
      </c>
      <c r="H10" s="203"/>
      <c r="I10" s="203">
        <f t="shared" si="3"/>
        <v>0</v>
      </c>
      <c r="J10" s="116" t="s">
        <v>106</v>
      </c>
      <c r="Q10" s="189">
        <v>404</v>
      </c>
      <c r="R10" s="190" t="s">
        <v>203</v>
      </c>
      <c r="S10" s="190" t="s">
        <v>331</v>
      </c>
      <c r="T10" s="191">
        <v>82.62</v>
      </c>
      <c r="U10" s="191">
        <v>105.18517440000001</v>
      </c>
      <c r="V10" s="148">
        <f t="shared" si="4"/>
        <v>404</v>
      </c>
    </row>
    <row r="11" spans="1:22">
      <c r="A11" s="192">
        <v>416</v>
      </c>
      <c r="B11" s="193" t="s">
        <v>191</v>
      </c>
      <c r="C11" s="193" t="s">
        <v>331</v>
      </c>
      <c r="D11" s="191">
        <f t="shared" si="0"/>
        <v>330</v>
      </c>
      <c r="E11" s="191"/>
      <c r="F11" s="191">
        <f t="shared" si="2"/>
        <v>330</v>
      </c>
      <c r="G11" s="191">
        <f t="shared" si="1"/>
        <v>420.12959999999998</v>
      </c>
      <c r="H11" s="203"/>
      <c r="I11" s="203">
        <f t="shared" si="3"/>
        <v>420.12959999999998</v>
      </c>
      <c r="J11" s="52" t="s">
        <v>62</v>
      </c>
      <c r="Q11" s="189">
        <v>412</v>
      </c>
      <c r="R11" s="190" t="s">
        <v>333</v>
      </c>
      <c r="S11" s="190" t="s">
        <v>331</v>
      </c>
      <c r="T11" s="191">
        <v>0</v>
      </c>
      <c r="U11" s="191">
        <v>0</v>
      </c>
      <c r="V11" s="148">
        <f t="shared" si="4"/>
        <v>412</v>
      </c>
    </row>
    <row r="12" spans="1:22" s="148" customFormat="1">
      <c r="A12" s="192">
        <v>418</v>
      </c>
      <c r="B12" s="193" t="s">
        <v>378</v>
      </c>
      <c r="C12" s="193" t="s">
        <v>331</v>
      </c>
      <c r="D12" s="191">
        <f t="shared" si="0"/>
        <v>1315</v>
      </c>
      <c r="E12" s="191"/>
      <c r="F12" s="191">
        <f t="shared" si="2"/>
        <v>1315</v>
      </c>
      <c r="G12" s="191">
        <f t="shared" si="1"/>
        <v>1674.1528000000001</v>
      </c>
      <c r="H12" s="203"/>
      <c r="I12" s="203">
        <f t="shared" si="3"/>
        <v>1674.1528000000001</v>
      </c>
      <c r="J12" s="67" t="s">
        <v>111</v>
      </c>
      <c r="Q12" s="189">
        <v>416</v>
      </c>
      <c r="R12" s="190" t="s">
        <v>191</v>
      </c>
      <c r="S12" s="190" t="s">
        <v>331</v>
      </c>
      <c r="T12" s="191">
        <v>330</v>
      </c>
      <c r="U12" s="191">
        <v>420.12959999999998</v>
      </c>
      <c r="V12" s="148">
        <f t="shared" si="4"/>
        <v>416</v>
      </c>
    </row>
    <row r="13" spans="1:22">
      <c r="A13" s="192">
        <v>420</v>
      </c>
      <c r="B13" s="193" t="s">
        <v>334</v>
      </c>
      <c r="C13" s="193" t="s">
        <v>331</v>
      </c>
      <c r="D13" s="191">
        <f t="shared" si="0"/>
        <v>3066.62</v>
      </c>
      <c r="E13" s="191"/>
      <c r="F13" s="191">
        <f t="shared" si="2"/>
        <v>3066.62</v>
      </c>
      <c r="G13" s="191">
        <f t="shared" si="1"/>
        <v>3904.1752544000001</v>
      </c>
      <c r="H13" s="203"/>
      <c r="I13" s="203">
        <f t="shared" si="3"/>
        <v>3904.1752544000001</v>
      </c>
      <c r="J13" s="7" t="s">
        <v>146</v>
      </c>
      <c r="Q13" s="189">
        <v>418</v>
      </c>
      <c r="R13" s="190" t="s">
        <v>378</v>
      </c>
      <c r="S13" s="190" t="s">
        <v>331</v>
      </c>
      <c r="T13" s="191">
        <v>1315</v>
      </c>
      <c r="U13" s="191">
        <v>1674.1528000000001</v>
      </c>
      <c r="V13" s="148">
        <f t="shared" si="4"/>
        <v>418</v>
      </c>
    </row>
    <row r="14" spans="1:22">
      <c r="A14" s="192">
        <v>426</v>
      </c>
      <c r="B14" s="193" t="s">
        <v>302</v>
      </c>
      <c r="C14" s="193" t="s">
        <v>331</v>
      </c>
      <c r="D14" s="191">
        <f t="shared" si="0"/>
        <v>701.07</v>
      </c>
      <c r="E14" s="191"/>
      <c r="F14" s="191">
        <f t="shared" si="2"/>
        <v>701.07</v>
      </c>
      <c r="G14" s="191">
        <f t="shared" si="1"/>
        <v>892.54623840000011</v>
      </c>
      <c r="H14" s="203"/>
      <c r="I14" s="203">
        <f t="shared" si="3"/>
        <v>892.54623840000011</v>
      </c>
      <c r="J14" s="116" t="s">
        <v>133</v>
      </c>
      <c r="Q14" s="189">
        <v>420</v>
      </c>
      <c r="R14" s="190" t="s">
        <v>334</v>
      </c>
      <c r="S14" s="190" t="s">
        <v>331</v>
      </c>
      <c r="T14" s="191">
        <v>3066.62</v>
      </c>
      <c r="U14" s="191">
        <v>3904.1752544000001</v>
      </c>
      <c r="V14" s="148">
        <f t="shared" si="4"/>
        <v>420</v>
      </c>
    </row>
    <row r="15" spans="1:22">
      <c r="A15" s="192">
        <v>429</v>
      </c>
      <c r="B15" s="193" t="s">
        <v>186</v>
      </c>
      <c r="C15" s="193" t="s">
        <v>331</v>
      </c>
      <c r="D15" s="191">
        <f t="shared" si="0"/>
        <v>542.71</v>
      </c>
      <c r="E15" s="191"/>
      <c r="F15" s="191">
        <f t="shared" si="2"/>
        <v>542.71</v>
      </c>
      <c r="G15" s="191">
        <f t="shared" si="1"/>
        <v>690.9349552000001</v>
      </c>
      <c r="H15" s="203"/>
      <c r="I15" s="203">
        <f t="shared" si="3"/>
        <v>690.9349552000001</v>
      </c>
      <c r="J15" s="7" t="s">
        <v>14</v>
      </c>
      <c r="Q15" s="189">
        <v>426</v>
      </c>
      <c r="R15" s="190" t="s">
        <v>302</v>
      </c>
      <c r="S15" s="190" t="s">
        <v>331</v>
      </c>
      <c r="T15" s="191">
        <v>701.07</v>
      </c>
      <c r="U15" s="191">
        <v>892.54623840000011</v>
      </c>
      <c r="V15" s="148">
        <f t="shared" si="4"/>
        <v>426</v>
      </c>
    </row>
    <row r="16" spans="1:22" s="148" customFormat="1">
      <c r="A16" s="192">
        <v>433</v>
      </c>
      <c r="B16" s="193" t="s">
        <v>206</v>
      </c>
      <c r="C16" s="193" t="s">
        <v>331</v>
      </c>
      <c r="D16" s="191">
        <f t="shared" si="0"/>
        <v>1545</v>
      </c>
      <c r="E16" s="191"/>
      <c r="F16" s="191">
        <f t="shared" si="2"/>
        <v>1545</v>
      </c>
      <c r="G16" s="191">
        <f t="shared" si="1"/>
        <v>1966.9704000000002</v>
      </c>
      <c r="H16" s="203"/>
      <c r="I16" s="203">
        <f t="shared" si="3"/>
        <v>1966.9704000000002</v>
      </c>
      <c r="J16" s="7" t="s">
        <v>12</v>
      </c>
      <c r="Q16" s="189">
        <v>429</v>
      </c>
      <c r="R16" s="190" t="s">
        <v>186</v>
      </c>
      <c r="S16" s="190" t="s">
        <v>331</v>
      </c>
      <c r="T16" s="191">
        <v>542.71</v>
      </c>
      <c r="U16" s="191">
        <v>690.9349552000001</v>
      </c>
      <c r="V16" s="148">
        <f t="shared" si="4"/>
        <v>429</v>
      </c>
    </row>
    <row r="17" spans="1:22">
      <c r="A17" s="192">
        <v>437</v>
      </c>
      <c r="B17" s="193" t="s">
        <v>204</v>
      </c>
      <c r="C17" s="193" t="s">
        <v>331</v>
      </c>
      <c r="D17" s="191">
        <f t="shared" si="0"/>
        <v>-173.43</v>
      </c>
      <c r="E17" s="191"/>
      <c r="F17" s="191">
        <f t="shared" si="2"/>
        <v>-173.43</v>
      </c>
      <c r="G17" s="191">
        <f t="shared" si="1"/>
        <v>-220.79720160000002</v>
      </c>
      <c r="H17" s="203"/>
      <c r="I17" s="203">
        <f t="shared" si="3"/>
        <v>-220.79720160000002</v>
      </c>
      <c r="J17" s="116" t="s">
        <v>133</v>
      </c>
      <c r="Q17" s="189">
        <v>433</v>
      </c>
      <c r="R17" s="190" t="s">
        <v>206</v>
      </c>
      <c r="S17" s="190" t="s">
        <v>331</v>
      </c>
      <c r="T17" s="191">
        <v>1545</v>
      </c>
      <c r="U17" s="191">
        <v>1966.9704000000002</v>
      </c>
      <c r="V17" s="148">
        <f t="shared" si="4"/>
        <v>433</v>
      </c>
    </row>
    <row r="18" spans="1:22">
      <c r="A18" s="192">
        <v>441</v>
      </c>
      <c r="B18" s="193" t="s">
        <v>187</v>
      </c>
      <c r="C18" s="193" t="s">
        <v>331</v>
      </c>
      <c r="D18" s="191">
        <f t="shared" si="0"/>
        <v>1965</v>
      </c>
      <c r="E18" s="191"/>
      <c r="F18" s="191">
        <f t="shared" si="2"/>
        <v>1965</v>
      </c>
      <c r="G18" s="191">
        <f t="shared" si="1"/>
        <v>2501.6808000000001</v>
      </c>
      <c r="H18" s="203"/>
      <c r="I18" s="203">
        <f t="shared" si="3"/>
        <v>2501.6808000000001</v>
      </c>
      <c r="J18" s="116" t="s">
        <v>106</v>
      </c>
      <c r="Q18" s="189">
        <v>437</v>
      </c>
      <c r="R18" s="190" t="s">
        <v>204</v>
      </c>
      <c r="S18" s="190" t="s">
        <v>331</v>
      </c>
      <c r="T18" s="191">
        <v>-173.43</v>
      </c>
      <c r="U18" s="191">
        <v>-220.79720160000002</v>
      </c>
      <c r="V18" s="148">
        <f t="shared" si="4"/>
        <v>437</v>
      </c>
    </row>
    <row r="19" spans="1:22">
      <c r="A19" s="192">
        <v>463</v>
      </c>
      <c r="B19" s="193" t="s">
        <v>362</v>
      </c>
      <c r="C19" s="193" t="s">
        <v>331</v>
      </c>
      <c r="D19" s="191">
        <f t="shared" si="0"/>
        <v>1290</v>
      </c>
      <c r="E19" s="191"/>
      <c r="F19" s="191">
        <f t="shared" si="2"/>
        <v>1290</v>
      </c>
      <c r="G19" s="191">
        <f t="shared" si="1"/>
        <v>1642.3248000000001</v>
      </c>
      <c r="H19" s="203"/>
      <c r="I19" s="203">
        <f t="shared" si="3"/>
        <v>1642.3248000000001</v>
      </c>
      <c r="J19" s="55" t="s">
        <v>93</v>
      </c>
      <c r="Q19" s="189">
        <v>441</v>
      </c>
      <c r="R19" s="190" t="s">
        <v>187</v>
      </c>
      <c r="S19" s="190" t="s">
        <v>331</v>
      </c>
      <c r="T19" s="191">
        <v>1965</v>
      </c>
      <c r="U19" s="191">
        <v>2501.6808000000001</v>
      </c>
      <c r="V19" s="148">
        <f t="shared" si="4"/>
        <v>441</v>
      </c>
    </row>
    <row r="20" spans="1:22">
      <c r="A20" s="192">
        <v>469</v>
      </c>
      <c r="B20" s="193" t="s">
        <v>188</v>
      </c>
      <c r="C20" s="193" t="s">
        <v>331</v>
      </c>
      <c r="D20" s="191">
        <f t="shared" si="0"/>
        <v>13371.92</v>
      </c>
      <c r="E20" s="191"/>
      <c r="F20" s="191">
        <f t="shared" si="2"/>
        <v>13371.92</v>
      </c>
      <c r="G20" s="191">
        <f t="shared" si="1"/>
        <v>17024.058790400002</v>
      </c>
      <c r="H20" s="203"/>
      <c r="I20" s="203">
        <f t="shared" si="3"/>
        <v>17024.058790400002</v>
      </c>
      <c r="J20" s="7" t="s">
        <v>13</v>
      </c>
      <c r="Q20" s="189">
        <v>463</v>
      </c>
      <c r="R20" s="190" t="s">
        <v>362</v>
      </c>
      <c r="S20" s="190" t="s">
        <v>331</v>
      </c>
      <c r="T20" s="191">
        <v>1290</v>
      </c>
      <c r="U20" s="191">
        <v>1642.3248000000001</v>
      </c>
      <c r="V20" s="148">
        <f t="shared" si="4"/>
        <v>463</v>
      </c>
    </row>
    <row r="21" spans="1:22">
      <c r="A21" s="192">
        <v>477</v>
      </c>
      <c r="B21" s="208" t="s">
        <v>181</v>
      </c>
      <c r="C21" s="193" t="s">
        <v>331</v>
      </c>
      <c r="D21" s="191">
        <f t="shared" si="0"/>
        <v>299089.7</v>
      </c>
      <c r="E21" s="191"/>
      <c r="F21" s="191">
        <f t="shared" si="2"/>
        <v>299089.7</v>
      </c>
      <c r="G21" s="191">
        <f t="shared" si="1"/>
        <v>380777.07886400004</v>
      </c>
      <c r="H21" s="203"/>
      <c r="I21" s="203">
        <f t="shared" si="3"/>
        <v>380777.07886400004</v>
      </c>
      <c r="J21" s="72" t="s">
        <v>107</v>
      </c>
      <c r="Q21" s="189">
        <v>469</v>
      </c>
      <c r="R21" s="190" t="s">
        <v>188</v>
      </c>
      <c r="S21" s="190" t="s">
        <v>331</v>
      </c>
      <c r="T21" s="191">
        <v>13371.92</v>
      </c>
      <c r="U21" s="191">
        <v>17024.058790400002</v>
      </c>
      <c r="V21" s="148">
        <f t="shared" si="4"/>
        <v>469</v>
      </c>
    </row>
    <row r="22" spans="1:22">
      <c r="A22" s="192" t="s">
        <v>335</v>
      </c>
      <c r="B22" s="193" t="s">
        <v>183</v>
      </c>
      <c r="C22" s="193" t="s">
        <v>331</v>
      </c>
      <c r="D22" s="191">
        <f t="shared" si="0"/>
        <v>105000</v>
      </c>
      <c r="E22" s="191"/>
      <c r="F22" s="191">
        <f t="shared" si="2"/>
        <v>105000</v>
      </c>
      <c r="G22" s="191">
        <f t="shared" si="1"/>
        <v>133677.6</v>
      </c>
      <c r="H22" s="203"/>
      <c r="I22" s="203">
        <f t="shared" si="3"/>
        <v>133677.6</v>
      </c>
      <c r="J22" s="67" t="s">
        <v>109</v>
      </c>
      <c r="Q22" s="189">
        <v>477</v>
      </c>
      <c r="R22" s="190" t="s">
        <v>181</v>
      </c>
      <c r="S22" s="190" t="s">
        <v>331</v>
      </c>
      <c r="T22" s="191">
        <v>299089.7</v>
      </c>
      <c r="U22" s="191">
        <v>380777.07886400004</v>
      </c>
      <c r="V22" s="148">
        <f t="shared" si="4"/>
        <v>477</v>
      </c>
    </row>
    <row r="23" spans="1:22" s="148" customFormat="1">
      <c r="A23" s="192" t="s">
        <v>336</v>
      </c>
      <c r="B23" s="208" t="s">
        <v>301</v>
      </c>
      <c r="C23" s="193" t="s">
        <v>331</v>
      </c>
      <c r="D23" s="191">
        <f t="shared" si="0"/>
        <v>509.28</v>
      </c>
      <c r="E23" s="191"/>
      <c r="F23" s="191">
        <f t="shared" si="2"/>
        <v>509.28</v>
      </c>
      <c r="G23" s="191">
        <f t="shared" si="1"/>
        <v>648.37455360000001</v>
      </c>
      <c r="H23" s="203"/>
      <c r="I23" s="203">
        <f t="shared" si="3"/>
        <v>648.37455360000001</v>
      </c>
      <c r="J23" s="72" t="s">
        <v>107</v>
      </c>
      <c r="Q23" s="189" t="s">
        <v>335</v>
      </c>
      <c r="R23" s="190" t="s">
        <v>183</v>
      </c>
      <c r="S23" s="190" t="s">
        <v>331</v>
      </c>
      <c r="T23" s="191">
        <v>105000</v>
      </c>
      <c r="U23" s="191">
        <v>133677.6</v>
      </c>
      <c r="V23" s="148" t="str">
        <f t="shared" si="4"/>
        <v>477a</v>
      </c>
    </row>
    <row r="24" spans="1:22" s="148" customFormat="1">
      <c r="A24" s="192">
        <v>479</v>
      </c>
      <c r="B24" s="208" t="s">
        <v>202</v>
      </c>
      <c r="C24" s="193" t="s">
        <v>331</v>
      </c>
      <c r="D24" s="191">
        <f t="shared" si="0"/>
        <v>37717.97</v>
      </c>
      <c r="E24" s="191"/>
      <c r="F24" s="191">
        <f t="shared" si="2"/>
        <v>37717.97</v>
      </c>
      <c r="G24" s="191">
        <f t="shared" si="1"/>
        <v>48019.501966399999</v>
      </c>
      <c r="H24" s="203"/>
      <c r="I24" s="203">
        <f t="shared" si="3"/>
        <v>48019.501966399999</v>
      </c>
      <c r="J24" s="72" t="s">
        <v>107</v>
      </c>
      <c r="Q24" s="189" t="s">
        <v>336</v>
      </c>
      <c r="R24" s="190" t="s">
        <v>301</v>
      </c>
      <c r="S24" s="190" t="s">
        <v>331</v>
      </c>
      <c r="T24" s="191">
        <v>509.28</v>
      </c>
      <c r="U24" s="191">
        <v>648.37455360000001</v>
      </c>
      <c r="V24" s="148" t="str">
        <f t="shared" si="4"/>
        <v>477b</v>
      </c>
    </row>
    <row r="25" spans="1:22" s="148" customFormat="1">
      <c r="A25" s="192" t="s">
        <v>337</v>
      </c>
      <c r="B25" s="193" t="s">
        <v>184</v>
      </c>
      <c r="C25" s="193" t="s">
        <v>331</v>
      </c>
      <c r="D25" s="191">
        <f t="shared" si="0"/>
        <v>13287.02</v>
      </c>
      <c r="E25" s="191"/>
      <c r="F25" s="191">
        <f t="shared" si="2"/>
        <v>13287.02</v>
      </c>
      <c r="G25" s="191">
        <f t="shared" si="1"/>
        <v>16915.9709024</v>
      </c>
      <c r="H25" s="203"/>
      <c r="I25" s="203">
        <f t="shared" si="3"/>
        <v>16915.9709024</v>
      </c>
      <c r="J25" s="67" t="s">
        <v>109</v>
      </c>
      <c r="Q25" s="189">
        <v>479</v>
      </c>
      <c r="R25" s="190" t="s">
        <v>202</v>
      </c>
      <c r="S25" s="190" t="s">
        <v>331</v>
      </c>
      <c r="T25" s="191">
        <v>37717.97</v>
      </c>
      <c r="U25" s="191">
        <v>48019.501966399999</v>
      </c>
      <c r="V25" s="148">
        <f t="shared" si="4"/>
        <v>479</v>
      </c>
    </row>
    <row r="26" spans="1:22">
      <c r="A26" s="192">
        <v>481</v>
      </c>
      <c r="B26" s="193" t="s">
        <v>338</v>
      </c>
      <c r="C26" s="193" t="s">
        <v>331</v>
      </c>
      <c r="D26" s="191">
        <f t="shared" si="0"/>
        <v>0</v>
      </c>
      <c r="E26" s="191"/>
      <c r="F26" s="191">
        <f t="shared" si="2"/>
        <v>0</v>
      </c>
      <c r="G26" s="191">
        <f t="shared" si="1"/>
        <v>0</v>
      </c>
      <c r="H26" s="203"/>
      <c r="I26" s="203">
        <f t="shared" si="3"/>
        <v>0</v>
      </c>
      <c r="J26" s="52"/>
      <c r="Q26" s="189" t="s">
        <v>337</v>
      </c>
      <c r="R26" s="190" t="s">
        <v>184</v>
      </c>
      <c r="S26" s="190" t="s">
        <v>331</v>
      </c>
      <c r="T26" s="191">
        <v>13287.02</v>
      </c>
      <c r="U26" s="191">
        <v>16915.9709024</v>
      </c>
      <c r="V26" s="148" t="str">
        <f t="shared" si="4"/>
        <v>479a</v>
      </c>
    </row>
    <row r="27" spans="1:22">
      <c r="A27" s="192">
        <v>482</v>
      </c>
      <c r="B27" s="208" t="s">
        <v>182</v>
      </c>
      <c r="C27" s="193" t="s">
        <v>331</v>
      </c>
      <c r="D27" s="191">
        <f t="shared" si="0"/>
        <v>8932.8799999999992</v>
      </c>
      <c r="E27" s="191"/>
      <c r="F27" s="191">
        <f t="shared" si="2"/>
        <v>8932.8799999999992</v>
      </c>
      <c r="G27" s="191">
        <f t="shared" si="1"/>
        <v>11372.628185599999</v>
      </c>
      <c r="H27" s="203"/>
      <c r="I27" s="203">
        <f t="shared" si="3"/>
        <v>11372.628185599999</v>
      </c>
      <c r="J27" s="72" t="s">
        <v>107</v>
      </c>
      <c r="Q27" s="189">
        <v>481</v>
      </c>
      <c r="R27" s="190" t="s">
        <v>338</v>
      </c>
      <c r="S27" s="190" t="s">
        <v>331</v>
      </c>
      <c r="T27" s="191">
        <v>0</v>
      </c>
      <c r="U27" s="191">
        <v>0</v>
      </c>
      <c r="V27" s="148">
        <f t="shared" si="4"/>
        <v>481</v>
      </c>
    </row>
    <row r="28" spans="1:22" s="148" customFormat="1">
      <c r="A28" s="192" t="s">
        <v>339</v>
      </c>
      <c r="B28" s="193" t="s">
        <v>185</v>
      </c>
      <c r="C28" s="193" t="s">
        <v>331</v>
      </c>
      <c r="D28" s="191">
        <f t="shared" si="0"/>
        <v>3113.65</v>
      </c>
      <c r="E28" s="191"/>
      <c r="F28" s="191">
        <f t="shared" si="2"/>
        <v>3113.65</v>
      </c>
      <c r="G28" s="191">
        <f t="shared" si="1"/>
        <v>3964.0500880000004</v>
      </c>
      <c r="H28" s="203"/>
      <c r="I28" s="203">
        <f t="shared" si="3"/>
        <v>3964.0500880000004</v>
      </c>
      <c r="J28" s="67" t="s">
        <v>109</v>
      </c>
      <c r="Q28" s="189">
        <v>482</v>
      </c>
      <c r="R28" s="190" t="s">
        <v>182</v>
      </c>
      <c r="S28" s="190" t="s">
        <v>331</v>
      </c>
      <c r="T28" s="191">
        <v>8932.8799999999992</v>
      </c>
      <c r="U28" s="191">
        <v>11372.628185599999</v>
      </c>
      <c r="V28" s="148">
        <f t="shared" si="4"/>
        <v>482</v>
      </c>
    </row>
    <row r="29" spans="1:22" s="148" customFormat="1">
      <c r="A29" s="189">
        <v>483</v>
      </c>
      <c r="B29" s="190" t="s">
        <v>418</v>
      </c>
      <c r="C29" s="190" t="s">
        <v>331</v>
      </c>
      <c r="D29" s="191">
        <f t="shared" si="0"/>
        <v>3766.14</v>
      </c>
      <c r="E29" s="191"/>
      <c r="F29" s="191">
        <f t="shared" ref="F29" si="5">D29+E29</f>
        <v>3766.14</v>
      </c>
      <c r="G29" s="191">
        <f t="shared" si="1"/>
        <v>4794.7481568000003</v>
      </c>
      <c r="H29" s="203"/>
      <c r="I29" s="203">
        <f t="shared" ref="I29" si="6">G29+H29</f>
        <v>4794.7481568000003</v>
      </c>
      <c r="J29" s="67" t="s">
        <v>109</v>
      </c>
      <c r="M29" s="148" t="s">
        <v>428</v>
      </c>
      <c r="Q29" s="189" t="s">
        <v>339</v>
      </c>
      <c r="R29" s="190" t="s">
        <v>185</v>
      </c>
      <c r="S29" s="190" t="s">
        <v>331</v>
      </c>
      <c r="T29" s="191">
        <v>3113.65</v>
      </c>
      <c r="U29" s="191">
        <v>3964.0500880000004</v>
      </c>
      <c r="V29" s="148" t="str">
        <f t="shared" si="4"/>
        <v>482a</v>
      </c>
    </row>
    <row r="30" spans="1:22" s="148" customFormat="1">
      <c r="A30" s="192">
        <v>485</v>
      </c>
      <c r="B30" s="193" t="s">
        <v>340</v>
      </c>
      <c r="C30" s="193" t="s">
        <v>331</v>
      </c>
      <c r="D30" s="191">
        <f t="shared" si="0"/>
        <v>3429.08</v>
      </c>
      <c r="E30" s="191"/>
      <c r="F30" s="191">
        <f t="shared" si="2"/>
        <v>3429.08</v>
      </c>
      <c r="G30" s="191">
        <f t="shared" si="1"/>
        <v>4365.6303295999996</v>
      </c>
      <c r="H30" s="203"/>
      <c r="I30" s="203">
        <f t="shared" si="3"/>
        <v>4365.6303295999996</v>
      </c>
      <c r="J30" s="7" t="s">
        <v>14</v>
      </c>
      <c r="Q30" s="189">
        <v>483</v>
      </c>
      <c r="R30" s="190" t="s">
        <v>418</v>
      </c>
      <c r="S30" s="190" t="s">
        <v>331</v>
      </c>
      <c r="T30" s="191">
        <v>3766.14</v>
      </c>
      <c r="U30" s="191">
        <v>4794.7481568000003</v>
      </c>
      <c r="V30" s="148">
        <f t="shared" si="4"/>
        <v>483</v>
      </c>
    </row>
    <row r="31" spans="1:22" s="148" customFormat="1">
      <c r="A31" s="192">
        <v>486</v>
      </c>
      <c r="B31" s="193" t="s">
        <v>207</v>
      </c>
      <c r="C31" s="193" t="s">
        <v>331</v>
      </c>
      <c r="D31" s="191">
        <f t="shared" si="0"/>
        <v>470.4</v>
      </c>
      <c r="E31" s="191"/>
      <c r="F31" s="191">
        <f t="shared" si="2"/>
        <v>470.4</v>
      </c>
      <c r="G31" s="191">
        <f t="shared" si="1"/>
        <v>598.87564799999996</v>
      </c>
      <c r="H31" s="203"/>
      <c r="I31" s="203">
        <f t="shared" si="3"/>
        <v>598.87564799999996</v>
      </c>
      <c r="J31" s="7" t="s">
        <v>146</v>
      </c>
      <c r="Q31" s="189">
        <v>485</v>
      </c>
      <c r="R31" s="190" t="s">
        <v>340</v>
      </c>
      <c r="S31" s="190" t="s">
        <v>331</v>
      </c>
      <c r="T31" s="191">
        <v>3429.08</v>
      </c>
      <c r="U31" s="191">
        <v>4365.6303295999996</v>
      </c>
      <c r="V31" s="148">
        <f t="shared" si="4"/>
        <v>485</v>
      </c>
    </row>
    <row r="32" spans="1:22" s="148" customFormat="1">
      <c r="A32" s="192">
        <v>493</v>
      </c>
      <c r="B32" s="193" t="s">
        <v>189</v>
      </c>
      <c r="C32" s="193" t="s">
        <v>331</v>
      </c>
      <c r="D32" s="191">
        <f t="shared" si="0"/>
        <v>2727.52</v>
      </c>
      <c r="E32" s="191"/>
      <c r="F32" s="191">
        <f t="shared" si="2"/>
        <v>2727.52</v>
      </c>
      <c r="G32" s="191">
        <f t="shared" si="1"/>
        <v>3472.4602623999999</v>
      </c>
      <c r="H32" s="203"/>
      <c r="I32" s="203">
        <f t="shared" si="3"/>
        <v>3472.4602623999999</v>
      </c>
      <c r="J32" s="67" t="s">
        <v>111</v>
      </c>
      <c r="Q32" s="189">
        <v>486</v>
      </c>
      <c r="R32" s="190" t="s">
        <v>207</v>
      </c>
      <c r="S32" s="190" t="s">
        <v>331</v>
      </c>
      <c r="T32" s="191">
        <v>470.4</v>
      </c>
      <c r="U32" s="191">
        <v>598.87564799999996</v>
      </c>
      <c r="V32" s="148">
        <f t="shared" si="4"/>
        <v>486</v>
      </c>
    </row>
    <row r="33" spans="1:22">
      <c r="A33" s="192">
        <v>494</v>
      </c>
      <c r="B33" s="208" t="s">
        <v>313</v>
      </c>
      <c r="C33" s="193" t="s">
        <v>331</v>
      </c>
      <c r="D33" s="191">
        <f t="shared" si="0"/>
        <v>1952.52</v>
      </c>
      <c r="E33" s="191"/>
      <c r="F33" s="191">
        <f t="shared" si="2"/>
        <v>1952.52</v>
      </c>
      <c r="G33" s="191">
        <f t="shared" si="1"/>
        <v>2485.7922624000003</v>
      </c>
      <c r="H33" s="203"/>
      <c r="I33" s="203">
        <f t="shared" si="3"/>
        <v>2485.7922624000003</v>
      </c>
      <c r="J33" s="7" t="s">
        <v>9</v>
      </c>
      <c r="Q33" s="189">
        <v>493</v>
      </c>
      <c r="R33" s="190" t="s">
        <v>189</v>
      </c>
      <c r="S33" s="190" t="s">
        <v>331</v>
      </c>
      <c r="T33" s="191">
        <v>2727.52</v>
      </c>
      <c r="U33" s="191">
        <v>3472.4602623999999</v>
      </c>
      <c r="V33" s="148">
        <f t="shared" si="4"/>
        <v>493</v>
      </c>
    </row>
    <row r="34" spans="1:22">
      <c r="A34" s="192" t="s">
        <v>341</v>
      </c>
      <c r="B34" s="193" t="s">
        <v>190</v>
      </c>
      <c r="C34" s="193" t="s">
        <v>331</v>
      </c>
      <c r="D34" s="191">
        <f t="shared" si="0"/>
        <v>3678.11</v>
      </c>
      <c r="E34" s="191"/>
      <c r="F34" s="191">
        <f t="shared" si="2"/>
        <v>3678.11</v>
      </c>
      <c r="G34" s="191">
        <f t="shared" si="1"/>
        <v>4682.6754031999999</v>
      </c>
      <c r="H34" s="203"/>
      <c r="I34" s="203">
        <f t="shared" si="3"/>
        <v>4682.6754031999999</v>
      </c>
      <c r="J34" s="67" t="s">
        <v>193</v>
      </c>
      <c r="Q34" s="189">
        <v>494</v>
      </c>
      <c r="R34" s="190" t="s">
        <v>313</v>
      </c>
      <c r="S34" s="190" t="s">
        <v>331</v>
      </c>
      <c r="T34" s="191">
        <v>1952.52</v>
      </c>
      <c r="U34" s="191">
        <v>2485.7922624000003</v>
      </c>
      <c r="V34" s="148">
        <f t="shared" si="4"/>
        <v>494</v>
      </c>
    </row>
    <row r="35" spans="1:22">
      <c r="A35" s="192">
        <v>497</v>
      </c>
      <c r="B35" s="193" t="s">
        <v>342</v>
      </c>
      <c r="C35" s="193" t="s">
        <v>343</v>
      </c>
      <c r="D35" s="191">
        <f t="shared" ref="D35:D63" si="7">VLOOKUP(A35,$Q$4:$U$67,4,0)</f>
        <v>-2944.96</v>
      </c>
      <c r="E35" s="191"/>
      <c r="F35" s="191">
        <f t="shared" si="2"/>
        <v>-2944.96</v>
      </c>
      <c r="G35" s="191">
        <f t="shared" ref="G35:G63" si="8">VLOOKUP(A35,$Q$4:$U$67,5,0)</f>
        <v>-3749.2874752000002</v>
      </c>
      <c r="H35" s="203"/>
      <c r="I35" s="203">
        <f t="shared" si="3"/>
        <v>-3749.2874752000002</v>
      </c>
      <c r="J35" s="67" t="s">
        <v>111</v>
      </c>
      <c r="Q35" s="189" t="s">
        <v>341</v>
      </c>
      <c r="R35" s="190" t="s">
        <v>190</v>
      </c>
      <c r="S35" s="190" t="s">
        <v>331</v>
      </c>
      <c r="T35" s="191">
        <v>3678.11</v>
      </c>
      <c r="U35" s="191">
        <v>4682.6754031999999</v>
      </c>
      <c r="V35" s="148" t="str">
        <f t="shared" si="4"/>
        <v>494a</v>
      </c>
    </row>
    <row r="36" spans="1:22" s="148" customFormat="1">
      <c r="A36" s="192">
        <v>498</v>
      </c>
      <c r="B36" s="200" t="s">
        <v>379</v>
      </c>
      <c r="C36" s="200" t="s">
        <v>343</v>
      </c>
      <c r="D36" s="191">
        <f t="shared" si="7"/>
        <v>17.100000000000001</v>
      </c>
      <c r="E36" s="191"/>
      <c r="F36" s="191">
        <f t="shared" ref="F36" si="9">D36+E36</f>
        <v>17.100000000000001</v>
      </c>
      <c r="G36" s="191">
        <f t="shared" si="8"/>
        <v>29376.728142400003</v>
      </c>
      <c r="H36" s="203"/>
      <c r="I36" s="203">
        <f t="shared" ref="I36" si="10">G36+H36</f>
        <v>29376.728142400003</v>
      </c>
      <c r="J36" s="116" t="s">
        <v>133</v>
      </c>
      <c r="Q36" s="189">
        <v>497</v>
      </c>
      <c r="R36" s="190" t="s">
        <v>342</v>
      </c>
      <c r="S36" s="190" t="s">
        <v>343</v>
      </c>
      <c r="T36" s="191">
        <v>-2944.96</v>
      </c>
      <c r="U36" s="191">
        <v>-3749.2874752000002</v>
      </c>
      <c r="V36" s="148">
        <f t="shared" si="4"/>
        <v>497</v>
      </c>
    </row>
    <row r="37" spans="1:22" s="148" customFormat="1">
      <c r="A37" s="192">
        <v>499</v>
      </c>
      <c r="B37" s="193" t="s">
        <v>192</v>
      </c>
      <c r="C37" s="193" t="s">
        <v>343</v>
      </c>
      <c r="D37" s="191">
        <f t="shared" si="7"/>
        <v>-6068.91</v>
      </c>
      <c r="E37" s="191"/>
      <c r="F37" s="191">
        <f t="shared" si="2"/>
        <v>-6068.91</v>
      </c>
      <c r="G37" s="191">
        <f t="shared" si="8"/>
        <v>-7726.4506991999997</v>
      </c>
      <c r="H37" s="203"/>
      <c r="I37" s="203">
        <f t="shared" si="3"/>
        <v>-7726.4506991999997</v>
      </c>
      <c r="J37" s="116" t="s">
        <v>133</v>
      </c>
      <c r="Q37" s="189">
        <v>498</v>
      </c>
      <c r="R37" s="190" t="s">
        <v>379</v>
      </c>
      <c r="S37" s="190" t="s">
        <v>343</v>
      </c>
      <c r="T37" s="191">
        <v>17.100000000000001</v>
      </c>
      <c r="U37" s="191">
        <v>29376.728142400003</v>
      </c>
      <c r="V37" s="148">
        <f t="shared" si="4"/>
        <v>498</v>
      </c>
    </row>
    <row r="38" spans="1:22" s="148" customFormat="1">
      <c r="A38" s="189" t="s">
        <v>421</v>
      </c>
      <c r="B38" s="193" t="s">
        <v>228</v>
      </c>
      <c r="C38" s="193" t="s">
        <v>344</v>
      </c>
      <c r="D38" s="191">
        <f t="shared" si="7"/>
        <v>241139.88</v>
      </c>
      <c r="E38" s="191"/>
      <c r="F38" s="191">
        <f t="shared" si="2"/>
        <v>241139.88</v>
      </c>
      <c r="G38" s="191">
        <f t="shared" si="8"/>
        <v>307000.00402560004</v>
      </c>
      <c r="H38" s="203"/>
      <c r="I38" s="203">
        <f t="shared" si="3"/>
        <v>307000.00402560004</v>
      </c>
      <c r="J38" s="7" t="s">
        <v>28</v>
      </c>
      <c r="P38" s="191"/>
      <c r="Q38" s="189">
        <v>499</v>
      </c>
      <c r="R38" s="190" t="s">
        <v>192</v>
      </c>
      <c r="S38" s="190" t="s">
        <v>343</v>
      </c>
      <c r="T38" s="191">
        <v>-6068.91</v>
      </c>
      <c r="U38" s="191">
        <v>-7726.4506991999997</v>
      </c>
      <c r="V38" s="148">
        <f t="shared" si="4"/>
        <v>499</v>
      </c>
    </row>
    <row r="39" spans="1:22" s="148" customFormat="1">
      <c r="A39" s="189" t="s">
        <v>345</v>
      </c>
      <c r="B39" s="193" t="s">
        <v>345</v>
      </c>
      <c r="C39" s="193" t="s">
        <v>344</v>
      </c>
      <c r="D39" s="191">
        <f t="shared" si="7"/>
        <v>0</v>
      </c>
      <c r="E39" s="191"/>
      <c r="F39" s="191">
        <f t="shared" si="2"/>
        <v>0</v>
      </c>
      <c r="G39" s="191">
        <f t="shared" si="8"/>
        <v>0</v>
      </c>
      <c r="H39" s="203"/>
      <c r="I39" s="203">
        <f t="shared" si="3"/>
        <v>0</v>
      </c>
      <c r="J39" s="7" t="s">
        <v>28</v>
      </c>
      <c r="K39" s="148" t="s">
        <v>361</v>
      </c>
      <c r="L39" s="191" t="s">
        <v>359</v>
      </c>
      <c r="M39" s="191" t="s">
        <v>358</v>
      </c>
      <c r="N39" s="191" t="s">
        <v>360</v>
      </c>
      <c r="O39" s="191"/>
      <c r="P39" s="191"/>
      <c r="Q39" s="189">
        <v>500</v>
      </c>
      <c r="R39" s="190" t="s">
        <v>419</v>
      </c>
      <c r="S39" s="190" t="s">
        <v>331</v>
      </c>
      <c r="T39" s="191">
        <v>0</v>
      </c>
      <c r="U39" s="191">
        <v>0</v>
      </c>
      <c r="V39" s="148" t="e">
        <f t="shared" si="4"/>
        <v>#N/A</v>
      </c>
    </row>
    <row r="40" spans="1:22">
      <c r="A40" s="189" t="s">
        <v>346</v>
      </c>
      <c r="B40" s="193" t="s">
        <v>346</v>
      </c>
      <c r="C40" s="193" t="s">
        <v>344</v>
      </c>
      <c r="D40" s="191">
        <f t="shared" si="7"/>
        <v>78089.08</v>
      </c>
      <c r="E40" s="191"/>
      <c r="F40" s="191">
        <f t="shared" si="2"/>
        <v>78089.08</v>
      </c>
      <c r="G40" s="191">
        <f t="shared" si="8"/>
        <v>99416.769529600002</v>
      </c>
      <c r="H40" s="203"/>
      <c r="I40" s="203">
        <f t="shared" si="3"/>
        <v>99416.769529600002</v>
      </c>
      <c r="J40" s="7" t="s">
        <v>28</v>
      </c>
      <c r="K40" s="193" t="s">
        <v>381</v>
      </c>
      <c r="L40" s="191">
        <f>D40</f>
        <v>78089.08</v>
      </c>
      <c r="M40" s="191">
        <v>78089.08</v>
      </c>
      <c r="N40" s="191">
        <f>L40-M40</f>
        <v>0</v>
      </c>
      <c r="O40" s="191"/>
      <c r="P40" s="191"/>
      <c r="Q40" s="189" t="s">
        <v>228</v>
      </c>
      <c r="R40" s="190" t="s">
        <v>228</v>
      </c>
      <c r="S40" s="190" t="s">
        <v>344</v>
      </c>
      <c r="T40" s="191">
        <v>0</v>
      </c>
      <c r="U40" s="191">
        <v>0</v>
      </c>
      <c r="V40" s="148" t="e">
        <f t="shared" si="4"/>
        <v>#N/A</v>
      </c>
    </row>
    <row r="41" spans="1:22" s="148" customFormat="1">
      <c r="A41" s="189" t="s">
        <v>316</v>
      </c>
      <c r="B41" s="193" t="s">
        <v>316</v>
      </c>
      <c r="C41" s="193" t="s">
        <v>344</v>
      </c>
      <c r="D41" s="191">
        <f t="shared" si="7"/>
        <v>21.17</v>
      </c>
      <c r="E41" s="191"/>
      <c r="F41" s="191">
        <f t="shared" si="2"/>
        <v>21.17</v>
      </c>
      <c r="G41" s="191">
        <f t="shared" si="8"/>
        <v>26.951950400000001</v>
      </c>
      <c r="H41" s="203"/>
      <c r="I41" s="203">
        <f t="shared" si="3"/>
        <v>26.951950400000001</v>
      </c>
      <c r="J41" s="7" t="s">
        <v>28</v>
      </c>
      <c r="K41" s="196" t="s">
        <v>316</v>
      </c>
      <c r="L41" s="191">
        <f>G41</f>
        <v>26.951950400000001</v>
      </c>
      <c r="M41" s="191">
        <v>26.95</v>
      </c>
      <c r="N41" s="191">
        <f t="shared" ref="N41:N46" si="11">L41-M41</f>
        <v>1.9504000000019062E-3</v>
      </c>
      <c r="O41" s="191"/>
      <c r="P41" s="191"/>
      <c r="Q41" s="189" t="s">
        <v>420</v>
      </c>
      <c r="R41" s="190" t="s">
        <v>420</v>
      </c>
      <c r="S41" s="190" t="s">
        <v>344</v>
      </c>
      <c r="T41" s="191">
        <v>-286260.37</v>
      </c>
      <c r="U41" s="191">
        <v>-364443.80225439998</v>
      </c>
      <c r="V41" s="148" t="str">
        <f t="shared" si="4"/>
        <v>Intercompany USA.</v>
      </c>
    </row>
    <row r="42" spans="1:22">
      <c r="A42" s="189" t="s">
        <v>300</v>
      </c>
      <c r="B42" s="193" t="s">
        <v>300</v>
      </c>
      <c r="C42" s="193" t="s">
        <v>344</v>
      </c>
      <c r="D42" s="191">
        <f t="shared" si="7"/>
        <v>4496.5600000000004</v>
      </c>
      <c r="E42" s="191"/>
      <c r="F42" s="191">
        <f t="shared" si="2"/>
        <v>4496.5600000000004</v>
      </c>
      <c r="G42" s="191">
        <f t="shared" si="8"/>
        <v>5724.6604672000003</v>
      </c>
      <c r="H42" s="203"/>
      <c r="I42" s="203">
        <f t="shared" si="3"/>
        <v>5724.6604672000003</v>
      </c>
      <c r="J42" s="7" t="s">
        <v>28</v>
      </c>
      <c r="K42" s="196" t="s">
        <v>300</v>
      </c>
      <c r="L42" s="191">
        <f>D42</f>
        <v>4496.5600000000004</v>
      </c>
      <c r="M42" s="191">
        <v>4496.5600000000004</v>
      </c>
      <c r="N42" s="191">
        <f t="shared" si="11"/>
        <v>0</v>
      </c>
      <c r="O42" s="191"/>
      <c r="P42" s="191"/>
      <c r="Q42" s="189" t="s">
        <v>345</v>
      </c>
      <c r="R42" s="190" t="s">
        <v>345</v>
      </c>
      <c r="S42" s="190" t="s">
        <v>344</v>
      </c>
      <c r="T42" s="191">
        <v>0</v>
      </c>
      <c r="U42" s="191">
        <v>0</v>
      </c>
      <c r="V42" s="148" t="str">
        <f t="shared" si="4"/>
        <v>Cash Bank Deposits</v>
      </c>
    </row>
    <row r="43" spans="1:22">
      <c r="A43" s="189" t="s">
        <v>347</v>
      </c>
      <c r="B43" s="193" t="s">
        <v>347</v>
      </c>
      <c r="C43" s="193" t="s">
        <v>344</v>
      </c>
      <c r="D43" s="191">
        <f t="shared" si="7"/>
        <v>0</v>
      </c>
      <c r="E43" s="191"/>
      <c r="F43" s="191">
        <f t="shared" si="2"/>
        <v>0</v>
      </c>
      <c r="G43" s="191">
        <f t="shared" si="8"/>
        <v>0</v>
      </c>
      <c r="H43" s="203"/>
      <c r="I43" s="203">
        <f t="shared" si="3"/>
        <v>0</v>
      </c>
      <c r="J43" s="7" t="s">
        <v>28</v>
      </c>
      <c r="K43" s="196" t="s">
        <v>347</v>
      </c>
      <c r="L43" s="191"/>
      <c r="M43" s="191"/>
      <c r="N43" s="191">
        <f t="shared" si="11"/>
        <v>0</v>
      </c>
      <c r="O43" s="195"/>
      <c r="P43" s="191"/>
      <c r="Q43" s="189" t="s">
        <v>346</v>
      </c>
      <c r="R43" s="190" t="s">
        <v>346</v>
      </c>
      <c r="S43" s="190" t="s">
        <v>344</v>
      </c>
      <c r="T43" s="191">
        <v>78089.08</v>
      </c>
      <c r="U43" s="191">
        <v>99416.769529600002</v>
      </c>
      <c r="V43" s="148" t="str">
        <f t="shared" si="4"/>
        <v>GetCtrl UK Ltd</v>
      </c>
    </row>
    <row r="44" spans="1:22">
      <c r="A44" s="189" t="s">
        <v>363</v>
      </c>
      <c r="B44" s="193" t="s">
        <v>363</v>
      </c>
      <c r="C44" s="193" t="s">
        <v>344</v>
      </c>
      <c r="D44" s="191">
        <f t="shared" si="7"/>
        <v>806.51</v>
      </c>
      <c r="E44" s="191"/>
      <c r="F44" s="191">
        <f t="shared" si="2"/>
        <v>806.51</v>
      </c>
      <c r="G44" s="191">
        <f t="shared" si="8"/>
        <v>1026.7840112000001</v>
      </c>
      <c r="H44" s="203"/>
      <c r="I44" s="203">
        <f t="shared" si="3"/>
        <v>1026.7840112000001</v>
      </c>
      <c r="J44" s="7" t="s">
        <v>28</v>
      </c>
      <c r="K44" s="196" t="s">
        <v>357</v>
      </c>
      <c r="L44" s="191">
        <f>G44</f>
        <v>1026.7840112000001</v>
      </c>
      <c r="M44" s="191">
        <v>1026.78</v>
      </c>
      <c r="N44" s="191">
        <f t="shared" si="11"/>
        <v>4.0112000001499837E-3</v>
      </c>
      <c r="O44" s="191"/>
      <c r="Q44" s="189" t="s">
        <v>421</v>
      </c>
      <c r="R44" s="190" t="s">
        <v>421</v>
      </c>
      <c r="S44" s="190" t="s">
        <v>344</v>
      </c>
      <c r="T44" s="191">
        <v>241139.88</v>
      </c>
      <c r="U44" s="191">
        <v>307000.00402560004</v>
      </c>
      <c r="V44" s="148" t="str">
        <f t="shared" si="4"/>
        <v>Deposit account- 0401</v>
      </c>
    </row>
    <row r="45" spans="1:22" s="148" customFormat="1">
      <c r="A45" s="189">
        <v>610</v>
      </c>
      <c r="B45" s="190" t="s">
        <v>422</v>
      </c>
      <c r="C45" s="190" t="s">
        <v>348</v>
      </c>
      <c r="D45" s="191">
        <f t="shared" si="7"/>
        <v>588763</v>
      </c>
      <c r="E45" s="191"/>
      <c r="F45" s="191">
        <f t="shared" ref="F45" si="12">D45+E45</f>
        <v>588763</v>
      </c>
      <c r="G45" s="191">
        <f t="shared" si="8"/>
        <v>749565.95056000003</v>
      </c>
      <c r="H45" s="203"/>
      <c r="I45" s="203">
        <f t="shared" ref="I45" si="13">G45+H45</f>
        <v>749565.95056000003</v>
      </c>
      <c r="J45" s="70" t="s">
        <v>104</v>
      </c>
      <c r="K45" s="196"/>
      <c r="L45" s="191"/>
      <c r="M45" s="191"/>
      <c r="N45" s="191"/>
      <c r="O45" s="203"/>
      <c r="Q45" s="189" t="s">
        <v>316</v>
      </c>
      <c r="R45" s="190" t="s">
        <v>316</v>
      </c>
      <c r="S45" s="190" t="s">
        <v>344</v>
      </c>
      <c r="T45" s="191">
        <v>21.17</v>
      </c>
      <c r="U45" s="191">
        <v>26.951950400000001</v>
      </c>
    </row>
    <row r="46" spans="1:22">
      <c r="A46" s="192">
        <v>620</v>
      </c>
      <c r="B46" s="193" t="s">
        <v>177</v>
      </c>
      <c r="C46" s="193" t="s">
        <v>348</v>
      </c>
      <c r="D46" s="191">
        <f t="shared" si="7"/>
        <v>4310.55</v>
      </c>
      <c r="E46" s="191"/>
      <c r="F46" s="191">
        <f t="shared" si="2"/>
        <v>4310.55</v>
      </c>
      <c r="G46" s="191">
        <f t="shared" si="8"/>
        <v>5487.8474160000005</v>
      </c>
      <c r="H46" s="203"/>
      <c r="I46" s="203">
        <f t="shared" si="3"/>
        <v>5487.8474160000005</v>
      </c>
      <c r="J46" s="7" t="s">
        <v>30</v>
      </c>
      <c r="K46" s="193" t="s">
        <v>345</v>
      </c>
      <c r="L46" s="191">
        <f>G38</f>
        <v>307000.00402560004</v>
      </c>
      <c r="M46" s="191">
        <v>307000</v>
      </c>
      <c r="N46" s="191">
        <f t="shared" si="11"/>
        <v>4.02560003567487E-3</v>
      </c>
      <c r="Q46" s="189" t="s">
        <v>300</v>
      </c>
      <c r="R46" s="190" t="s">
        <v>300</v>
      </c>
      <c r="S46" s="190" t="s">
        <v>344</v>
      </c>
      <c r="T46" s="191">
        <v>4496.5600000000004</v>
      </c>
      <c r="U46" s="191">
        <v>5724.6604672000003</v>
      </c>
      <c r="V46" s="148" t="str">
        <f t="shared" ref="V46:V66" si="14">VLOOKUP(Q46,$A$3:$A$63,1,0)</f>
        <v>Wise Bank GBP</v>
      </c>
    </row>
    <row r="47" spans="1:22">
      <c r="A47" s="192">
        <v>621</v>
      </c>
      <c r="B47" s="193" t="s">
        <v>176</v>
      </c>
      <c r="C47" s="193" t="s">
        <v>348</v>
      </c>
      <c r="D47" s="191">
        <f t="shared" si="7"/>
        <v>2616.7199999999998</v>
      </c>
      <c r="E47" s="191"/>
      <c r="F47" s="191">
        <f t="shared" si="2"/>
        <v>2616.7199999999998</v>
      </c>
      <c r="G47" s="191">
        <f t="shared" si="8"/>
        <v>3331.3985663999997</v>
      </c>
      <c r="H47" s="203"/>
      <c r="I47" s="203">
        <f t="shared" si="3"/>
        <v>3331.3985663999997</v>
      </c>
      <c r="J47" s="7" t="s">
        <v>30</v>
      </c>
      <c r="Q47" s="189" t="s">
        <v>347</v>
      </c>
      <c r="R47" s="190" t="s">
        <v>347</v>
      </c>
      <c r="S47" s="190" t="s">
        <v>344</v>
      </c>
      <c r="T47" s="191">
        <v>0</v>
      </c>
      <c r="U47" s="191">
        <v>0</v>
      </c>
      <c r="V47" s="148" t="str">
        <f t="shared" si="14"/>
        <v>SVB GBP 20251475</v>
      </c>
    </row>
    <row r="48" spans="1:22">
      <c r="A48" s="192">
        <v>710</v>
      </c>
      <c r="B48" s="193" t="s">
        <v>349</v>
      </c>
      <c r="C48" s="193" t="s">
        <v>350</v>
      </c>
      <c r="D48" s="191">
        <f t="shared" si="7"/>
        <v>2016.5</v>
      </c>
      <c r="E48" s="191"/>
      <c r="F48" s="191">
        <f t="shared" si="2"/>
        <v>2016.5</v>
      </c>
      <c r="G48" s="191">
        <f t="shared" si="8"/>
        <v>2567.2464800000002</v>
      </c>
      <c r="H48" s="203"/>
      <c r="I48" s="203">
        <f t="shared" si="3"/>
        <v>2567.2464800000002</v>
      </c>
      <c r="J48" s="55" t="s">
        <v>33</v>
      </c>
      <c r="Q48" s="189" t="s">
        <v>363</v>
      </c>
      <c r="R48" s="190" t="s">
        <v>363</v>
      </c>
      <c r="S48" s="190" t="s">
        <v>344</v>
      </c>
      <c r="T48" s="191">
        <v>806.51</v>
      </c>
      <c r="U48" s="191">
        <v>1026.7840112000001</v>
      </c>
      <c r="V48" s="148" t="str">
        <f t="shared" si="14"/>
        <v>GetCtrl UK Ltd USD</v>
      </c>
    </row>
    <row r="49" spans="1:22">
      <c r="A49" s="192">
        <v>711</v>
      </c>
      <c r="B49" s="193" t="s">
        <v>351</v>
      </c>
      <c r="C49" s="193" t="s">
        <v>350</v>
      </c>
      <c r="D49" s="191">
        <f t="shared" si="7"/>
        <v>-1035.96</v>
      </c>
      <c r="E49" s="191"/>
      <c r="F49" s="191">
        <f t="shared" si="2"/>
        <v>-1035.96</v>
      </c>
      <c r="G49" s="191">
        <f t="shared" si="8"/>
        <v>-1318.9013952</v>
      </c>
      <c r="H49" s="203"/>
      <c r="I49" s="203">
        <f t="shared" si="3"/>
        <v>-1318.9013952</v>
      </c>
      <c r="J49" s="55" t="s">
        <v>33</v>
      </c>
      <c r="Q49" s="189">
        <v>610</v>
      </c>
      <c r="R49" s="190" t="s">
        <v>422</v>
      </c>
      <c r="S49" s="190" t="s">
        <v>348</v>
      </c>
      <c r="T49" s="191">
        <v>588763</v>
      </c>
      <c r="U49" s="191">
        <v>749565.95056000003</v>
      </c>
      <c r="V49" s="148">
        <f t="shared" si="14"/>
        <v>610</v>
      </c>
    </row>
    <row r="50" spans="1:22">
      <c r="A50" s="192">
        <v>802</v>
      </c>
      <c r="B50" s="193" t="s">
        <v>352</v>
      </c>
      <c r="C50" s="193" t="s">
        <v>348</v>
      </c>
      <c r="D50" s="191">
        <f t="shared" si="7"/>
        <v>-510259.26</v>
      </c>
      <c r="E50" s="191"/>
      <c r="F50" s="191">
        <f t="shared" si="2"/>
        <v>-510259.26</v>
      </c>
      <c r="G50" s="191">
        <f t="shared" si="8"/>
        <v>-649621.26909120008</v>
      </c>
      <c r="H50" s="203"/>
      <c r="I50" s="203">
        <f t="shared" si="3"/>
        <v>-649621.26909120008</v>
      </c>
      <c r="J50" s="70" t="s">
        <v>104</v>
      </c>
      <c r="Q50" s="189">
        <v>620</v>
      </c>
      <c r="R50" s="190" t="s">
        <v>177</v>
      </c>
      <c r="S50" s="190" t="s">
        <v>348</v>
      </c>
      <c r="T50" s="191">
        <v>4310.55</v>
      </c>
      <c r="U50" s="191">
        <v>5487.8474160000005</v>
      </c>
      <c r="V50" s="148">
        <f t="shared" si="14"/>
        <v>620</v>
      </c>
    </row>
    <row r="51" spans="1:22">
      <c r="A51" s="192">
        <v>800</v>
      </c>
      <c r="B51" s="193" t="s">
        <v>353</v>
      </c>
      <c r="C51" s="193" t="s">
        <v>354</v>
      </c>
      <c r="D51" s="191">
        <f t="shared" si="7"/>
        <v>-16775.09</v>
      </c>
      <c r="E51" s="191"/>
      <c r="F51" s="191">
        <f t="shared" si="2"/>
        <v>-16775.09</v>
      </c>
      <c r="G51" s="191">
        <f t="shared" si="8"/>
        <v>-21356.7025808</v>
      </c>
      <c r="H51" s="203"/>
      <c r="I51" s="203">
        <f t="shared" si="3"/>
        <v>-21356.7025808</v>
      </c>
      <c r="J51" s="52" t="s">
        <v>37</v>
      </c>
      <c r="Q51" s="189">
        <v>621</v>
      </c>
      <c r="R51" s="190" t="s">
        <v>176</v>
      </c>
      <c r="S51" s="190" t="s">
        <v>348</v>
      </c>
      <c r="T51" s="191">
        <v>2616.7199999999998</v>
      </c>
      <c r="U51" s="191">
        <v>3331.3985663999997</v>
      </c>
      <c r="V51" s="148">
        <f t="shared" si="14"/>
        <v>621</v>
      </c>
    </row>
    <row r="52" spans="1:22" s="148" customFormat="1">
      <c r="A52" s="189" t="s">
        <v>420</v>
      </c>
      <c r="B52" s="193" t="s">
        <v>355</v>
      </c>
      <c r="C52" s="193" t="s">
        <v>354</v>
      </c>
      <c r="D52" s="191">
        <f t="shared" si="7"/>
        <v>-286260.37</v>
      </c>
      <c r="E52" s="191"/>
      <c r="F52" s="191">
        <f t="shared" ref="F52" si="15">D52+E52</f>
        <v>-286260.37</v>
      </c>
      <c r="G52" s="191">
        <f t="shared" si="8"/>
        <v>-364443.80225439998</v>
      </c>
      <c r="H52" s="203"/>
      <c r="I52" s="203">
        <f t="shared" ref="I52" si="16">G52+H52</f>
        <v>-364443.80225439998</v>
      </c>
      <c r="J52" s="70" t="s">
        <v>104</v>
      </c>
      <c r="Q52" s="189">
        <v>710</v>
      </c>
      <c r="R52" s="190" t="s">
        <v>349</v>
      </c>
      <c r="S52" s="190" t="s">
        <v>350</v>
      </c>
      <c r="T52" s="191">
        <v>2016.5</v>
      </c>
      <c r="U52" s="191">
        <v>2567.2464800000002</v>
      </c>
      <c r="V52" s="148">
        <f t="shared" si="14"/>
        <v>710</v>
      </c>
    </row>
    <row r="53" spans="1:22" s="148" customFormat="1">
      <c r="A53" s="192">
        <v>806</v>
      </c>
      <c r="B53" s="193" t="s">
        <v>200</v>
      </c>
      <c r="C53" s="193" t="s">
        <v>354</v>
      </c>
      <c r="D53" s="191">
        <f t="shared" si="7"/>
        <v>361.06</v>
      </c>
      <c r="E53" s="191"/>
      <c r="F53" s="191">
        <f t="shared" si="2"/>
        <v>361.06</v>
      </c>
      <c r="G53" s="191">
        <f t="shared" si="8"/>
        <v>459.67270719999999</v>
      </c>
      <c r="H53" s="203"/>
      <c r="I53" s="203">
        <f t="shared" si="3"/>
        <v>459.67270719999999</v>
      </c>
      <c r="J53" s="57" t="s">
        <v>90</v>
      </c>
      <c r="Q53" s="189">
        <v>711</v>
      </c>
      <c r="R53" s="190" t="s">
        <v>351</v>
      </c>
      <c r="S53" s="190" t="s">
        <v>350</v>
      </c>
      <c r="T53" s="191">
        <v>-1035.96</v>
      </c>
      <c r="U53" s="191">
        <v>-1318.9013952</v>
      </c>
      <c r="V53" s="148">
        <f t="shared" si="14"/>
        <v>711</v>
      </c>
    </row>
    <row r="54" spans="1:22">
      <c r="A54" s="192">
        <v>811</v>
      </c>
      <c r="B54" s="193" t="s">
        <v>229</v>
      </c>
      <c r="C54" s="193" t="s">
        <v>354</v>
      </c>
      <c r="D54" s="191">
        <f t="shared" si="7"/>
        <v>275.06</v>
      </c>
      <c r="E54" s="191"/>
      <c r="F54" s="191">
        <f t="shared" si="2"/>
        <v>275.06</v>
      </c>
      <c r="G54" s="191">
        <f t="shared" si="8"/>
        <v>350.1843872</v>
      </c>
      <c r="H54" s="203"/>
      <c r="I54" s="203">
        <f t="shared" si="3"/>
        <v>350.1843872</v>
      </c>
      <c r="J54" s="52" t="s">
        <v>37</v>
      </c>
      <c r="Q54" s="189">
        <v>802</v>
      </c>
      <c r="R54" s="190" t="s">
        <v>352</v>
      </c>
      <c r="S54" s="190" t="s">
        <v>348</v>
      </c>
      <c r="T54" s="191">
        <v>-510259.26</v>
      </c>
      <c r="U54" s="191">
        <v>-649621.26909120008</v>
      </c>
      <c r="V54" s="148">
        <f t="shared" si="14"/>
        <v>802</v>
      </c>
    </row>
    <row r="55" spans="1:22">
      <c r="A55" s="192">
        <v>814</v>
      </c>
      <c r="B55" s="193" t="s">
        <v>199</v>
      </c>
      <c r="C55" s="193" t="s">
        <v>354</v>
      </c>
      <c r="D55" s="191">
        <f t="shared" si="7"/>
        <v>400.4</v>
      </c>
      <c r="E55" s="191"/>
      <c r="F55" s="191">
        <f t="shared" si="2"/>
        <v>400.4</v>
      </c>
      <c r="G55" s="191">
        <f t="shared" si="8"/>
        <v>509.757248</v>
      </c>
      <c r="H55" s="203"/>
      <c r="I55" s="203">
        <f t="shared" si="3"/>
        <v>509.757248</v>
      </c>
      <c r="J55" s="57" t="s">
        <v>90</v>
      </c>
      <c r="Q55" s="189">
        <v>800</v>
      </c>
      <c r="R55" s="190" t="s">
        <v>353</v>
      </c>
      <c r="S55" s="190" t="s">
        <v>354</v>
      </c>
      <c r="T55" s="191">
        <v>-16775.09</v>
      </c>
      <c r="U55" s="191">
        <v>-21356.7025808</v>
      </c>
      <c r="V55" s="148">
        <f t="shared" si="14"/>
        <v>800</v>
      </c>
    </row>
    <row r="56" spans="1:22">
      <c r="A56" s="192">
        <v>820</v>
      </c>
      <c r="B56" s="193" t="s">
        <v>180</v>
      </c>
      <c r="C56" s="193" t="s">
        <v>354</v>
      </c>
      <c r="D56" s="191">
        <f t="shared" si="7"/>
        <v>2845.44</v>
      </c>
      <c r="E56" s="191"/>
      <c r="F56" s="191">
        <f t="shared" si="2"/>
        <v>2845.44</v>
      </c>
      <c r="G56" s="191">
        <f t="shared" si="8"/>
        <v>3622.5865728000003</v>
      </c>
      <c r="H56" s="203"/>
      <c r="I56" s="203">
        <f t="shared" si="3"/>
        <v>3622.5865728000003</v>
      </c>
      <c r="J56" s="7" t="s">
        <v>103</v>
      </c>
      <c r="Q56" s="189">
        <v>806</v>
      </c>
      <c r="R56" s="190" t="s">
        <v>200</v>
      </c>
      <c r="S56" s="190" t="s">
        <v>354</v>
      </c>
      <c r="T56" s="191">
        <v>361.06</v>
      </c>
      <c r="U56" s="191">
        <v>459.67270719999999</v>
      </c>
      <c r="V56" s="148">
        <f t="shared" si="14"/>
        <v>806</v>
      </c>
    </row>
    <row r="57" spans="1:22">
      <c r="A57" s="192">
        <v>825</v>
      </c>
      <c r="B57" s="193" t="s">
        <v>178</v>
      </c>
      <c r="C57" s="193" t="s">
        <v>354</v>
      </c>
      <c r="D57" s="191">
        <f t="shared" si="7"/>
        <v>-12217.17</v>
      </c>
      <c r="E57" s="191"/>
      <c r="F57" s="191">
        <f t="shared" si="2"/>
        <v>-12217.17</v>
      </c>
      <c r="G57" s="191">
        <f t="shared" si="8"/>
        <v>-15553.923470400001</v>
      </c>
      <c r="H57" s="203"/>
      <c r="I57" s="203">
        <f t="shared" si="3"/>
        <v>-15553.923470400001</v>
      </c>
      <c r="J57" s="57" t="s">
        <v>90</v>
      </c>
      <c r="Q57" s="189">
        <v>811</v>
      </c>
      <c r="R57" s="190" t="s">
        <v>229</v>
      </c>
      <c r="S57" s="190" t="s">
        <v>354</v>
      </c>
      <c r="T57" s="191">
        <v>275.06</v>
      </c>
      <c r="U57" s="191">
        <v>350.1843872</v>
      </c>
      <c r="V57" s="148">
        <f t="shared" si="14"/>
        <v>811</v>
      </c>
    </row>
    <row r="58" spans="1:22" s="148" customFormat="1">
      <c r="A58" s="189">
        <v>830</v>
      </c>
      <c r="B58" s="190" t="s">
        <v>423</v>
      </c>
      <c r="C58" s="190" t="s">
        <v>354</v>
      </c>
      <c r="D58" s="191">
        <f t="shared" si="7"/>
        <v>-10363</v>
      </c>
      <c r="E58" s="191"/>
      <c r="F58" s="191">
        <f t="shared" ref="F58" si="17">D58+E58</f>
        <v>-10363</v>
      </c>
      <c r="G58" s="191">
        <f t="shared" si="8"/>
        <v>-13193.342560000001</v>
      </c>
      <c r="H58" s="203"/>
      <c r="I58" s="203">
        <f t="shared" ref="I58" si="18">G58+H58</f>
        <v>-13193.342560000001</v>
      </c>
      <c r="J58" s="7" t="s">
        <v>103</v>
      </c>
      <c r="Q58" s="189">
        <v>814</v>
      </c>
      <c r="R58" s="190" t="s">
        <v>199</v>
      </c>
      <c r="S58" s="190" t="s">
        <v>354</v>
      </c>
      <c r="T58" s="191">
        <v>400.4</v>
      </c>
      <c r="U58" s="191">
        <v>509.757248</v>
      </c>
      <c r="V58" s="148">
        <f t="shared" si="14"/>
        <v>814</v>
      </c>
    </row>
    <row r="59" spans="1:22">
      <c r="A59" s="192">
        <v>858</v>
      </c>
      <c r="B59" s="193" t="s">
        <v>179</v>
      </c>
      <c r="C59" s="193" t="s">
        <v>354</v>
      </c>
      <c r="D59" s="191">
        <f t="shared" si="7"/>
        <v>-1797.84</v>
      </c>
      <c r="E59" s="191"/>
      <c r="F59" s="191">
        <f t="shared" si="2"/>
        <v>-1797.84</v>
      </c>
      <c r="G59" s="191">
        <f t="shared" si="8"/>
        <v>-2288.8660608</v>
      </c>
      <c r="H59" s="203"/>
      <c r="I59" s="203">
        <f t="shared" si="3"/>
        <v>-2288.8660608</v>
      </c>
      <c r="J59" s="57" t="s">
        <v>90</v>
      </c>
      <c r="Q59" s="189">
        <v>820</v>
      </c>
      <c r="R59" s="190" t="s">
        <v>180</v>
      </c>
      <c r="S59" s="190" t="s">
        <v>354</v>
      </c>
      <c r="T59" s="191">
        <v>2845.44</v>
      </c>
      <c r="U59" s="191">
        <v>3622.5865728000003</v>
      </c>
      <c r="V59" s="148">
        <f t="shared" si="14"/>
        <v>820</v>
      </c>
    </row>
    <row r="60" spans="1:22" s="148" customFormat="1">
      <c r="A60" s="192">
        <v>850</v>
      </c>
      <c r="B60" s="193" t="s">
        <v>380</v>
      </c>
      <c r="C60" s="193" t="s">
        <v>354</v>
      </c>
      <c r="D60" s="191">
        <f t="shared" si="7"/>
        <v>0.03</v>
      </c>
      <c r="E60" s="191"/>
      <c r="F60" s="191">
        <f t="shared" si="2"/>
        <v>0.03</v>
      </c>
      <c r="G60" s="191">
        <f t="shared" si="8"/>
        <v>3.8193600000000001E-2</v>
      </c>
      <c r="H60" s="203"/>
      <c r="I60" s="203">
        <f t="shared" si="3"/>
        <v>3.8193600000000001E-2</v>
      </c>
      <c r="J60" s="52" t="s">
        <v>37</v>
      </c>
      <c r="Q60" s="189">
        <v>825</v>
      </c>
      <c r="R60" s="190" t="s">
        <v>178</v>
      </c>
      <c r="S60" s="190" t="s">
        <v>354</v>
      </c>
      <c r="T60" s="191">
        <v>-12217.17</v>
      </c>
      <c r="U60" s="191">
        <v>-15553.923470400001</v>
      </c>
      <c r="V60" s="148">
        <f t="shared" si="14"/>
        <v>825</v>
      </c>
    </row>
    <row r="61" spans="1:22" s="148" customFormat="1">
      <c r="A61" s="189">
        <v>920</v>
      </c>
      <c r="B61" s="190" t="s">
        <v>424</v>
      </c>
      <c r="C61" s="190" t="s">
        <v>425</v>
      </c>
      <c r="D61" s="191">
        <f t="shared" si="7"/>
        <v>275</v>
      </c>
      <c r="E61" s="191"/>
      <c r="F61" s="191">
        <f t="shared" ref="F61:F62" si="19">D61+E61</f>
        <v>275</v>
      </c>
      <c r="G61" s="191">
        <f t="shared" si="8"/>
        <v>350.108</v>
      </c>
      <c r="H61" s="203"/>
      <c r="I61" s="203">
        <f t="shared" ref="I61:I62" si="20">G61+H61</f>
        <v>350.108</v>
      </c>
      <c r="J61" s="7" t="s">
        <v>44</v>
      </c>
      <c r="Q61" s="189">
        <v>830</v>
      </c>
      <c r="R61" s="190" t="s">
        <v>423</v>
      </c>
      <c r="S61" s="190" t="s">
        <v>354</v>
      </c>
      <c r="T61" s="191">
        <v>-10363</v>
      </c>
      <c r="U61" s="191">
        <v>-13193.342560000001</v>
      </c>
      <c r="V61" s="148">
        <f t="shared" si="14"/>
        <v>830</v>
      </c>
    </row>
    <row r="62" spans="1:22" s="148" customFormat="1">
      <c r="A62" s="189">
        <v>950</v>
      </c>
      <c r="B62" s="190" t="s">
        <v>426</v>
      </c>
      <c r="C62" s="190" t="s">
        <v>356</v>
      </c>
      <c r="D62" s="191">
        <f t="shared" si="7"/>
        <v>-1</v>
      </c>
      <c r="E62" s="191"/>
      <c r="F62" s="191">
        <f t="shared" si="19"/>
        <v>-1</v>
      </c>
      <c r="G62" s="191">
        <f t="shared" si="8"/>
        <v>-1.27312</v>
      </c>
      <c r="H62" s="203"/>
      <c r="I62" s="203">
        <f t="shared" si="20"/>
        <v>-1.27312</v>
      </c>
      <c r="J62" s="7" t="s">
        <v>44</v>
      </c>
      <c r="Q62" s="189">
        <v>850</v>
      </c>
      <c r="R62" s="190" t="s">
        <v>380</v>
      </c>
      <c r="S62" s="190" t="s">
        <v>354</v>
      </c>
      <c r="T62" s="191">
        <v>0.03</v>
      </c>
      <c r="U62" s="191">
        <v>3.8193600000000001E-2</v>
      </c>
      <c r="V62" s="148">
        <f t="shared" si="14"/>
        <v>850</v>
      </c>
    </row>
    <row r="63" spans="1:22">
      <c r="A63" s="192">
        <v>960</v>
      </c>
      <c r="B63" s="193" t="s">
        <v>201</v>
      </c>
      <c r="C63" s="193" t="s">
        <v>356</v>
      </c>
      <c r="D63" s="191">
        <f t="shared" si="7"/>
        <v>-43959.33</v>
      </c>
      <c r="E63" s="191"/>
      <c r="F63" s="191">
        <f t="shared" si="2"/>
        <v>-43959.33</v>
      </c>
      <c r="G63" s="191">
        <f t="shared" si="8"/>
        <v>-85320.46</v>
      </c>
      <c r="H63" s="203"/>
      <c r="I63" s="221">
        <f t="shared" si="3"/>
        <v>-85320.46</v>
      </c>
      <c r="J63" s="7" t="s">
        <v>44</v>
      </c>
      <c r="K63" s="72" t="s">
        <v>395</v>
      </c>
      <c r="Q63" s="189">
        <v>858</v>
      </c>
      <c r="R63" s="190" t="s">
        <v>179</v>
      </c>
      <c r="S63" s="190" t="s">
        <v>354</v>
      </c>
      <c r="T63" s="191">
        <v>-1797.84</v>
      </c>
      <c r="U63" s="191">
        <v>-2288.8660608</v>
      </c>
      <c r="V63" s="148">
        <f t="shared" si="14"/>
        <v>858</v>
      </c>
    </row>
    <row r="64" spans="1:22">
      <c r="D64" s="194">
        <f>SUM(D3:D63)</f>
        <v>-2.0372681319713593E-10</v>
      </c>
      <c r="E64" s="194">
        <f t="shared" ref="E64:H64" si="21">SUM(E3:E63)</f>
        <v>0</v>
      </c>
      <c r="F64" s="194">
        <f>SUM(F3:F63)</f>
        <v>-2.0372681319713593E-10</v>
      </c>
      <c r="G64" s="194">
        <f t="shared" si="21"/>
        <v>-1.7462298274040222E-10</v>
      </c>
      <c r="H64" s="194">
        <f t="shared" si="21"/>
        <v>0</v>
      </c>
      <c r="I64" s="194">
        <f>SUM(I3:I63)</f>
        <v>-1.7462298274040222E-10</v>
      </c>
      <c r="Q64" s="189">
        <v>920</v>
      </c>
      <c r="R64" s="190" t="s">
        <v>424</v>
      </c>
      <c r="S64" s="190" t="s">
        <v>425</v>
      </c>
      <c r="T64" s="191">
        <v>275</v>
      </c>
      <c r="U64" s="191">
        <v>350.108</v>
      </c>
      <c r="V64" s="148">
        <f t="shared" si="14"/>
        <v>920</v>
      </c>
    </row>
    <row r="65" spans="2:22">
      <c r="G65" s="75"/>
      <c r="H65" s="75"/>
      <c r="I65" s="75"/>
      <c r="Q65" s="189">
        <v>950</v>
      </c>
      <c r="R65" s="190" t="s">
        <v>426</v>
      </c>
      <c r="S65" s="190" t="s">
        <v>356</v>
      </c>
      <c r="T65" s="191">
        <v>-1</v>
      </c>
      <c r="U65" s="191">
        <v>-1.27312</v>
      </c>
      <c r="V65" s="148">
        <f t="shared" si="14"/>
        <v>950</v>
      </c>
    </row>
    <row r="66" spans="2:22">
      <c r="C66" s="222" t="s">
        <v>110</v>
      </c>
      <c r="D66" s="209">
        <f t="shared" ref="D66:I66" si="22">SUM(D3:D37)</f>
        <v>-43747.940000000221</v>
      </c>
      <c r="E66" s="209">
        <f t="shared" si="22"/>
        <v>0</v>
      </c>
      <c r="F66" s="209">
        <f t="shared" si="22"/>
        <v>-43747.940000000221</v>
      </c>
      <c r="G66" s="209">
        <f t="shared" si="22"/>
        <v>-26341.419582399943</v>
      </c>
      <c r="H66" s="209">
        <f t="shared" si="22"/>
        <v>0</v>
      </c>
      <c r="I66" s="209">
        <f t="shared" si="22"/>
        <v>-26341.419582399943</v>
      </c>
      <c r="Q66" s="189">
        <v>960</v>
      </c>
      <c r="R66" s="190" t="s">
        <v>201</v>
      </c>
      <c r="S66" s="190" t="s">
        <v>356</v>
      </c>
      <c r="T66" s="191">
        <v>-43959.33</v>
      </c>
      <c r="U66" s="191">
        <v>-85320.46</v>
      </c>
      <c r="V66" s="148">
        <f t="shared" si="14"/>
        <v>960</v>
      </c>
    </row>
    <row r="67" spans="2:22">
      <c r="Q67" s="189"/>
      <c r="R67" s="190"/>
      <c r="S67" s="190"/>
      <c r="T67" s="191"/>
      <c r="U67" s="191"/>
      <c r="V67" s="148"/>
    </row>
    <row r="68" spans="2:22" ht="13.5" thickBot="1">
      <c r="C68" s="72" t="s">
        <v>406</v>
      </c>
      <c r="D68" s="72" t="s">
        <v>172</v>
      </c>
      <c r="E68" s="72" t="s">
        <v>124</v>
      </c>
      <c r="K68" s="192"/>
      <c r="L68" s="193"/>
      <c r="M68" s="193"/>
      <c r="N68" s="191"/>
      <c r="O68" s="191"/>
      <c r="P68" s="70"/>
      <c r="Q68" s="185"/>
      <c r="R68" s="185" t="s">
        <v>427</v>
      </c>
      <c r="S68" s="186"/>
      <c r="T68" s="217">
        <f>SUM(T4:T67)</f>
        <v>-1.7462298274040222E-10</v>
      </c>
      <c r="U68" s="217">
        <f>SUM(U4:U67)</f>
        <v>0</v>
      </c>
    </row>
    <row r="69" spans="2:22">
      <c r="B69" s="72"/>
      <c r="C69" s="72" t="s">
        <v>405</v>
      </c>
      <c r="D69" s="209">
        <f>SUM(F5:F37)-F37-F35-F36-F29</f>
        <v>550245.69000000006</v>
      </c>
      <c r="E69" s="209">
        <f>SUM(G5:G37)-G37-G35-G36-G29</f>
        <v>700528.79285279999</v>
      </c>
      <c r="F69" s="209"/>
      <c r="L69" s="148"/>
      <c r="N69"/>
    </row>
    <row r="70" spans="2:22">
      <c r="C70" s="72" t="s">
        <v>407</v>
      </c>
      <c r="D70" s="68">
        <f>+D21+D23+D24+D27</f>
        <v>346249.83000000007</v>
      </c>
      <c r="E70" s="68">
        <f>+I21+I23+I24+I27</f>
        <v>440817.58356960001</v>
      </c>
      <c r="F70" s="68"/>
      <c r="G70" s="67"/>
      <c r="H70" s="67"/>
      <c r="I70" s="67"/>
      <c r="L70" s="148"/>
      <c r="N70"/>
    </row>
    <row r="71" spans="2:22">
      <c r="C71" s="72" t="s">
        <v>408</v>
      </c>
      <c r="D71" s="68">
        <f>D69-D70</f>
        <v>203995.86</v>
      </c>
      <c r="E71" s="68">
        <f>E69-E70</f>
        <v>259711.20928319998</v>
      </c>
      <c r="F71" s="68"/>
      <c r="G71" s="67"/>
      <c r="H71" s="219"/>
      <c r="I71" s="219"/>
      <c r="J71" s="218"/>
      <c r="L71" s="148"/>
      <c r="N71"/>
    </row>
    <row r="72" spans="2:22">
      <c r="G72" s="67"/>
      <c r="H72" s="220"/>
      <c r="I72" s="220"/>
      <c r="L72" s="148"/>
      <c r="N72"/>
    </row>
    <row r="73" spans="2:22">
      <c r="G73" s="67"/>
      <c r="H73" s="220"/>
      <c r="I73" s="220"/>
      <c r="L73" s="148"/>
      <c r="N73"/>
    </row>
    <row r="74" spans="2:22">
      <c r="C74" s="72" t="s">
        <v>409</v>
      </c>
      <c r="D74" s="204">
        <f>D70*1.07</f>
        <v>370487.31810000009</v>
      </c>
      <c r="E74" s="204">
        <f>E70*1.07</f>
        <v>471674.81441947207</v>
      </c>
      <c r="F74" s="204"/>
      <c r="G74" s="7"/>
      <c r="H74" s="7"/>
      <c r="I74" s="7"/>
      <c r="L74" s="148"/>
      <c r="N74"/>
    </row>
    <row r="75" spans="2:22">
      <c r="C75" s="72" t="s">
        <v>410</v>
      </c>
      <c r="D75" s="204">
        <f>D71*1.07</f>
        <v>218275.57019999999</v>
      </c>
      <c r="E75" s="204">
        <f>E71*1.07</f>
        <v>277890.993933024</v>
      </c>
      <c r="F75" s="204"/>
      <c r="G75" s="7"/>
      <c r="H75" s="7"/>
      <c r="I75" s="7"/>
      <c r="L75" s="148"/>
      <c r="N75"/>
    </row>
    <row r="76" spans="2:22" ht="13" thickBot="1">
      <c r="D76" s="212">
        <f>SUM(D74:D75)</f>
        <v>588762.88830000011</v>
      </c>
      <c r="E76" s="212">
        <f>SUM(E74:E75)</f>
        <v>749565.80835249601</v>
      </c>
      <c r="F76" s="201"/>
      <c r="G76" s="67"/>
      <c r="H76" s="22"/>
      <c r="I76" s="22"/>
      <c r="J76" s="203"/>
    </row>
    <row r="77" spans="2:22" ht="13" thickTop="1">
      <c r="D77" s="201"/>
      <c r="E77" s="201"/>
      <c r="F77" s="201"/>
      <c r="G77" s="67"/>
      <c r="H77" s="22"/>
      <c r="I77" s="22"/>
      <c r="J77" s="203"/>
    </row>
    <row r="78" spans="2:22">
      <c r="D78" s="201"/>
      <c r="E78" s="201"/>
      <c r="F78" s="201"/>
      <c r="G78" s="7"/>
      <c r="H78" s="22"/>
      <c r="I78" s="22"/>
      <c r="J78" s="203"/>
    </row>
    <row r="79" spans="2:22">
      <c r="D79" s="201"/>
      <c r="E79" s="201"/>
      <c r="F79" s="201"/>
      <c r="G79" s="202"/>
      <c r="H79" s="202"/>
      <c r="I79" s="202"/>
      <c r="J79" s="203"/>
    </row>
    <row r="80" spans="2:22">
      <c r="C80" s="72" t="s">
        <v>411</v>
      </c>
      <c r="D80" s="213">
        <f>D21+D22+D23+D24+D25+D27</f>
        <v>464536.85000000009</v>
      </c>
      <c r="E80" s="201"/>
      <c r="F80" s="201"/>
      <c r="G80" s="202"/>
      <c r="H80" s="202"/>
      <c r="I80" s="202"/>
      <c r="J80" s="203"/>
    </row>
    <row r="81" spans="3:10">
      <c r="D81" s="201"/>
      <c r="E81" s="201"/>
      <c r="F81" s="201"/>
      <c r="G81" s="202"/>
      <c r="H81" s="202"/>
      <c r="I81" s="202"/>
      <c r="J81" s="203"/>
    </row>
    <row r="82" spans="3:10">
      <c r="D82" s="7"/>
      <c r="E82" s="7"/>
      <c r="F82" s="7"/>
      <c r="G82" s="7"/>
      <c r="H82" s="7"/>
      <c r="I82" s="7"/>
      <c r="J82" s="7"/>
    </row>
    <row r="84" spans="3:10">
      <c r="C84" s="196" t="s">
        <v>181</v>
      </c>
      <c r="D84" s="193" t="s">
        <v>331</v>
      </c>
      <c r="E84" s="191">
        <v>299089.7</v>
      </c>
    </row>
    <row r="85" spans="3:10">
      <c r="C85" s="196" t="s">
        <v>183</v>
      </c>
      <c r="D85" s="193" t="s">
        <v>331</v>
      </c>
      <c r="E85" s="191">
        <v>105000</v>
      </c>
    </row>
    <row r="86" spans="3:10">
      <c r="C86" s="196" t="s">
        <v>202</v>
      </c>
      <c r="D86" s="193" t="s">
        <v>331</v>
      </c>
      <c r="E86" s="191">
        <v>37717.97</v>
      </c>
    </row>
    <row r="87" spans="3:10">
      <c r="C87" s="196" t="s">
        <v>184</v>
      </c>
      <c r="D87" s="193" t="s">
        <v>331</v>
      </c>
      <c r="E87" s="191">
        <v>13287.02</v>
      </c>
    </row>
    <row r="88" spans="3:10">
      <c r="C88" s="196" t="s">
        <v>182</v>
      </c>
      <c r="D88" s="193" t="s">
        <v>331</v>
      </c>
      <c r="E88" s="191">
        <v>8932.8799999999992</v>
      </c>
    </row>
    <row r="89" spans="3:10">
      <c r="C89" s="193" t="s">
        <v>185</v>
      </c>
      <c r="D89" s="193" t="s">
        <v>331</v>
      </c>
      <c r="E89" s="191">
        <v>3113.65</v>
      </c>
    </row>
    <row r="90" spans="3:10" ht="13" thickBot="1">
      <c r="E90" s="214">
        <f>SUM(E84:E89)</f>
        <v>467141.22000000009</v>
      </c>
    </row>
    <row r="91" spans="3:10" ht="13" thickTop="1"/>
    <row r="95" spans="3:10">
      <c r="D95" t="s">
        <v>172</v>
      </c>
      <c r="E95" s="148" t="s">
        <v>124</v>
      </c>
    </row>
    <row r="96" spans="3:10" ht="13" thickBot="1">
      <c r="C96" s="148"/>
      <c r="D96" s="212">
        <v>588762.88830000011</v>
      </c>
      <c r="E96" s="212">
        <v>749565.80835249601</v>
      </c>
    </row>
    <row r="97" ht="13" thickTop="1"/>
  </sheetData>
  <autoFilter ref="A1:J64" xr:uid="{00000000-0001-0000-0600-000000000000}"/>
  <conditionalFormatting sqref="B29">
    <cfRule type="duplicateValues" dxfId="5" priority="5"/>
  </conditionalFormatting>
  <conditionalFormatting sqref="B45">
    <cfRule type="duplicateValues" dxfId="4" priority="4"/>
  </conditionalFormatting>
  <conditionalFormatting sqref="B58">
    <cfRule type="duplicateValues" dxfId="3" priority="3"/>
  </conditionalFormatting>
  <conditionalFormatting sqref="R2:R3 R67:R68">
    <cfRule type="duplicateValues" dxfId="2" priority="9"/>
  </conditionalFormatting>
  <conditionalFormatting sqref="B61:B62">
    <cfRule type="duplicateValues" dxfId="1" priority="2"/>
  </conditionalFormatting>
  <conditionalFormatting sqref="R4:R6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2F33-F912-4AA9-AF4B-96F09BECDA5E}">
  <dimension ref="B1:M40"/>
  <sheetViews>
    <sheetView topLeftCell="A13" zoomScale="130" zoomScaleNormal="130" workbookViewId="0">
      <selection activeCell="C30" sqref="C30:C40"/>
    </sheetView>
  </sheetViews>
  <sheetFormatPr defaultRowHeight="12.5"/>
  <cols>
    <col min="2" max="2" width="26.6328125" bestFit="1" customWidth="1"/>
    <col min="3" max="3" width="12.81640625" bestFit="1" customWidth="1"/>
    <col min="12" max="12" width="10" bestFit="1" customWidth="1"/>
  </cols>
  <sheetData>
    <row r="1" spans="2:13">
      <c r="B1" s="72" t="s">
        <v>384</v>
      </c>
    </row>
    <row r="3" spans="2:13">
      <c r="B3" s="157" t="s">
        <v>239</v>
      </c>
      <c r="C3" s="158">
        <f>1420500.3-1400000+C36-75021-8797.5-46442.34</f>
        <v>0</v>
      </c>
      <c r="D3" s="7" t="s">
        <v>28</v>
      </c>
      <c r="G3" s="158"/>
    </row>
    <row r="4" spans="2:13">
      <c r="B4" s="157" t="s">
        <v>240</v>
      </c>
      <c r="C4" s="171">
        <f>6635139.34+1400000</f>
        <v>8035139.3399999999</v>
      </c>
      <c r="D4" s="70" t="s">
        <v>104</v>
      </c>
    </row>
    <row r="5" spans="2:13">
      <c r="B5" s="157" t="s">
        <v>241</v>
      </c>
      <c r="C5" s="171">
        <f>232986.58+75021+46442.34+10000</f>
        <v>364449.91999999993</v>
      </c>
      <c r="D5" s="70" t="s">
        <v>104</v>
      </c>
    </row>
    <row r="6" spans="2:13">
      <c r="B6" s="157" t="s">
        <v>242</v>
      </c>
      <c r="C6" s="171">
        <f>-8345043.34-C36-10000</f>
        <v>-8464803.879999999</v>
      </c>
      <c r="D6" s="69" t="s">
        <v>127</v>
      </c>
      <c r="M6" t="s">
        <v>315</v>
      </c>
    </row>
    <row r="7" spans="2:13">
      <c r="B7" s="157" t="s">
        <v>243</v>
      </c>
      <c r="C7" s="158">
        <f>55000</f>
        <v>55000</v>
      </c>
      <c r="D7" s="72" t="s">
        <v>128</v>
      </c>
    </row>
    <row r="8" spans="2:13" s="148" customFormat="1">
      <c r="B8" s="7" t="s">
        <v>44</v>
      </c>
      <c r="C8" s="73">
        <v>1417.12</v>
      </c>
      <c r="D8" s="7" t="s">
        <v>44</v>
      </c>
      <c r="H8" s="72" t="s">
        <v>400</v>
      </c>
    </row>
    <row r="9" spans="2:13" s="148" customFormat="1">
      <c r="B9" s="157" t="s">
        <v>397</v>
      </c>
      <c r="C9" s="73">
        <f>-L25</f>
        <v>5862.5</v>
      </c>
      <c r="D9" s="116" t="s">
        <v>106</v>
      </c>
      <c r="H9" s="72"/>
    </row>
    <row r="10" spans="2:13" s="148" customFormat="1">
      <c r="B10" s="157" t="s">
        <v>398</v>
      </c>
      <c r="C10" s="73">
        <f>-L15</f>
        <v>1900</v>
      </c>
      <c r="D10" s="116" t="s">
        <v>106</v>
      </c>
      <c r="H10" s="72"/>
    </row>
    <row r="11" spans="2:13" s="148" customFormat="1">
      <c r="B11" s="157" t="s">
        <v>399</v>
      </c>
      <c r="C11" s="158">
        <f>-L23</f>
        <v>1045</v>
      </c>
      <c r="D11" s="67" t="s">
        <v>111</v>
      </c>
      <c r="G11" s="148">
        <v>8797.5</v>
      </c>
    </row>
    <row r="12" spans="2:13">
      <c r="B12" s="157" t="s">
        <v>396</v>
      </c>
      <c r="C12">
        <f>-L19</f>
        <v>-10</v>
      </c>
      <c r="D12" s="67" t="s">
        <v>111</v>
      </c>
    </row>
    <row r="13" spans="2:13">
      <c r="C13" s="158">
        <f>SUM(C3:C12)</f>
        <v>8.1854523159563541E-10</v>
      </c>
      <c r="L13" t="s">
        <v>385</v>
      </c>
    </row>
    <row r="14" spans="2:13">
      <c r="L14">
        <v>1420500.3</v>
      </c>
    </row>
    <row r="15" spans="2:13">
      <c r="L15">
        <v>-1900</v>
      </c>
    </row>
    <row r="16" spans="2:13">
      <c r="L16" s="206">
        <v>17501.09</v>
      </c>
    </row>
    <row r="17" spans="3:12">
      <c r="L17">
        <v>-75021</v>
      </c>
    </row>
    <row r="18" spans="3:12">
      <c r="F18" s="72" t="s">
        <v>244</v>
      </c>
      <c r="L18" s="206">
        <v>14970</v>
      </c>
    </row>
    <row r="19" spans="3:12">
      <c r="L19">
        <v>10</v>
      </c>
    </row>
    <row r="20" spans="3:12">
      <c r="C20" s="73"/>
      <c r="D20" s="148"/>
      <c r="L20" s="206">
        <v>19999.060000000001</v>
      </c>
    </row>
    <row r="21" spans="3:12">
      <c r="C21" s="73">
        <v>490000</v>
      </c>
      <c r="D21" s="148" t="s">
        <v>230</v>
      </c>
      <c r="L21" s="206">
        <v>24990.1</v>
      </c>
    </row>
    <row r="22" spans="3:12">
      <c r="C22" s="73">
        <v>147977</v>
      </c>
      <c r="D22" s="148" t="s">
        <v>230</v>
      </c>
      <c r="L22" s="206">
        <v>12301.23</v>
      </c>
    </row>
    <row r="23" spans="3:12">
      <c r="C23" s="73">
        <v>409463.33</v>
      </c>
      <c r="D23" s="148" t="s">
        <v>230</v>
      </c>
      <c r="L23">
        <v>-1045</v>
      </c>
    </row>
    <row r="24" spans="3:12">
      <c r="C24" s="73">
        <v>3800000.15</v>
      </c>
      <c r="D24" s="148" t="s">
        <v>230</v>
      </c>
      <c r="L24" s="206">
        <v>19999.060000000001</v>
      </c>
    </row>
    <row r="25" spans="3:12">
      <c r="C25" s="73">
        <v>10002.030000000001</v>
      </c>
      <c r="D25" s="148" t="s">
        <v>230</v>
      </c>
      <c r="L25">
        <v>-5862.5</v>
      </c>
    </row>
    <row r="26" spans="3:12">
      <c r="C26" s="73"/>
      <c r="D26" s="148"/>
      <c r="L26" s="207">
        <v>-1400000</v>
      </c>
    </row>
    <row r="27" spans="3:12">
      <c r="L27">
        <v>-46442.34</v>
      </c>
    </row>
    <row r="28" spans="3:12">
      <c r="C28" s="73"/>
      <c r="D28" s="148"/>
      <c r="L28" s="73">
        <f>SUM(L14:L27)</f>
        <v>3.2014213502407074E-10</v>
      </c>
    </row>
    <row r="29" spans="3:12">
      <c r="C29" s="73"/>
      <c r="D29" s="148"/>
      <c r="F29" t="s">
        <v>303</v>
      </c>
    </row>
    <row r="30" spans="3:12">
      <c r="C30" s="73">
        <v>17501.09</v>
      </c>
      <c r="D30" s="148"/>
    </row>
    <row r="31" spans="3:12">
      <c r="C31" s="73">
        <v>14970</v>
      </c>
      <c r="D31" s="148"/>
    </row>
    <row r="32" spans="3:12">
      <c r="C32">
        <v>19999.060000000001</v>
      </c>
    </row>
    <row r="33" spans="3:6">
      <c r="C33" s="73">
        <v>24990.1</v>
      </c>
      <c r="D33" s="148"/>
    </row>
    <row r="34" spans="3:6">
      <c r="C34" s="73">
        <v>12301.23</v>
      </c>
      <c r="D34" s="148"/>
    </row>
    <row r="35" spans="3:6">
      <c r="C35" s="73">
        <v>19999.060000000001</v>
      </c>
      <c r="D35" s="148"/>
    </row>
    <row r="36" spans="3:6" ht="13" thickBot="1">
      <c r="C36" s="172">
        <f>SUM(C30:C35)</f>
        <v>109760.54</v>
      </c>
    </row>
    <row r="37" spans="3:6" ht="13" thickTop="1"/>
    <row r="38" spans="3:6">
      <c r="C38" s="179">
        <v>10000</v>
      </c>
      <c r="F38" s="148" t="s">
        <v>315</v>
      </c>
    </row>
    <row r="40" spans="3:6">
      <c r="C40" s="180">
        <f>C36+C38</f>
        <v>119760.54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6:AB80"/>
  <sheetViews>
    <sheetView topLeftCell="A27" zoomScale="130" zoomScaleNormal="130" workbookViewId="0">
      <selection activeCell="E46" sqref="D46:E46"/>
    </sheetView>
  </sheetViews>
  <sheetFormatPr defaultColWidth="8.81640625" defaultRowHeight="12.5"/>
  <cols>
    <col min="1" max="1" width="2" style="148" customWidth="1"/>
    <col min="2" max="2" width="3.81640625" style="148" customWidth="1"/>
    <col min="3" max="3" width="4.1796875" style="148" customWidth="1"/>
    <col min="4" max="4" width="31.1796875" style="148" customWidth="1"/>
    <col min="5" max="6" width="12.453125" style="148" customWidth="1"/>
    <col min="7" max="8" width="13.6328125" style="148" bestFit="1" customWidth="1"/>
    <col min="9" max="9" width="15.36328125" style="148" bestFit="1" customWidth="1"/>
    <col min="10" max="10" width="12" style="148" bestFit="1" customWidth="1"/>
    <col min="11" max="11" width="5" style="148" customWidth="1"/>
    <col min="12" max="13" width="4.1796875" style="148" customWidth="1"/>
    <col min="14" max="15" width="15.36328125" style="148" bestFit="1" customWidth="1"/>
    <col min="16" max="16" width="12.453125" style="148" bestFit="1" customWidth="1"/>
    <col min="17" max="17" width="12.453125" style="148" customWidth="1"/>
    <col min="18" max="18" width="13.81640625" style="148" bestFit="1" customWidth="1"/>
    <col min="19" max="19" width="13.54296875" style="148" bestFit="1" customWidth="1"/>
    <col min="20" max="20" width="11.1796875" style="148" bestFit="1" customWidth="1"/>
    <col min="21" max="21" width="11.90625" style="148" bestFit="1" customWidth="1"/>
    <col min="22" max="22" width="11.1796875" style="148" bestFit="1" customWidth="1"/>
    <col min="23" max="23" width="8.81640625" style="148"/>
    <col min="24" max="24" width="13.54296875" style="148" bestFit="1" customWidth="1"/>
    <col min="25" max="26" width="8.81640625" style="148"/>
    <col min="27" max="27" width="13.54296875" style="148" bestFit="1" customWidth="1"/>
    <col min="28" max="28" width="10.1796875" style="148" bestFit="1" customWidth="1"/>
    <col min="29" max="16384" width="8.81640625" style="148"/>
  </cols>
  <sheetData>
    <row r="6" spans="2:18" ht="15.5">
      <c r="B6" s="51" t="str">
        <f>Summary!B6</f>
        <v>GetCtrl LTD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2:18" ht="15.5">
      <c r="B7" s="30" t="s">
        <v>195</v>
      </c>
      <c r="C7" s="31"/>
      <c r="D7" s="31"/>
      <c r="J7" s="65">
        <f>Summary!J7</f>
        <v>45291</v>
      </c>
      <c r="K7" s="31"/>
      <c r="L7" s="31"/>
      <c r="M7" s="31"/>
      <c r="P7" s="31"/>
      <c r="R7" s="31"/>
    </row>
    <row r="8" spans="2:18" ht="15.5">
      <c r="B8" s="215" t="s">
        <v>416</v>
      </c>
      <c r="C8" s="31"/>
      <c r="D8" s="31"/>
      <c r="E8" s="30"/>
      <c r="F8" s="30"/>
      <c r="G8" s="30"/>
      <c r="H8" s="30"/>
      <c r="I8" s="30"/>
      <c r="J8" s="31"/>
      <c r="K8" s="31"/>
      <c r="L8" s="31"/>
      <c r="M8" s="31"/>
      <c r="N8" s="30"/>
      <c r="O8" s="30"/>
      <c r="P8" s="31"/>
      <c r="Q8" s="30"/>
      <c r="R8" s="31"/>
    </row>
    <row r="9" spans="2:18" ht="13.5" thickBot="1">
      <c r="B9" s="1"/>
    </row>
    <row r="10" spans="2:18">
      <c r="B10" s="12"/>
      <c r="C10" s="13"/>
      <c r="D10" s="13"/>
      <c r="E10" s="13"/>
      <c r="F10" s="13"/>
      <c r="G10" s="13"/>
      <c r="H10" s="13"/>
      <c r="I10" s="13"/>
      <c r="J10" s="14"/>
      <c r="N10" s="13"/>
      <c r="O10" s="13"/>
      <c r="Q10" s="13"/>
    </row>
    <row r="11" spans="2:18" ht="13">
      <c r="B11" s="15"/>
      <c r="C11" s="7"/>
      <c r="D11" s="7"/>
      <c r="E11" s="35">
        <f>$J$7</f>
        <v>45291</v>
      </c>
      <c r="F11" s="35">
        <f>$J$7</f>
        <v>45291</v>
      </c>
      <c r="G11" s="178">
        <f>$J$7</f>
        <v>45291</v>
      </c>
      <c r="H11" s="35" t="s">
        <v>112</v>
      </c>
      <c r="I11" s="35">
        <f>$J$7</f>
        <v>45291</v>
      </c>
      <c r="J11" s="16"/>
      <c r="N11" s="35">
        <v>45199</v>
      </c>
      <c r="O11" s="35">
        <v>45107</v>
      </c>
      <c r="P11" s="154">
        <v>45016</v>
      </c>
      <c r="Q11" s="154">
        <v>44926</v>
      </c>
    </row>
    <row r="12" spans="2:18" ht="13">
      <c r="B12" s="15"/>
      <c r="C12" s="7"/>
      <c r="D12" s="7"/>
      <c r="E12" s="149" t="s">
        <v>173</v>
      </c>
      <c r="F12" s="149" t="s">
        <v>174</v>
      </c>
      <c r="G12" s="149" t="s">
        <v>175</v>
      </c>
      <c r="H12" s="149"/>
      <c r="I12" s="149" t="s">
        <v>197</v>
      </c>
      <c r="J12" s="16"/>
      <c r="N12" s="149" t="s">
        <v>197</v>
      </c>
      <c r="O12" s="149" t="s">
        <v>197</v>
      </c>
      <c r="P12" s="175" t="s">
        <v>197</v>
      </c>
      <c r="Q12" s="175" t="s">
        <v>197</v>
      </c>
    </row>
    <row r="13" spans="2:18" ht="13">
      <c r="B13" s="15"/>
      <c r="C13" s="7"/>
      <c r="D13" s="7"/>
      <c r="E13" s="131" t="s">
        <v>124</v>
      </c>
      <c r="F13" s="131" t="s">
        <v>124</v>
      </c>
      <c r="G13" s="131" t="s">
        <v>124</v>
      </c>
      <c r="H13" s="131"/>
      <c r="I13" s="131" t="s">
        <v>124</v>
      </c>
      <c r="J13" s="16"/>
      <c r="N13" s="131" t="s">
        <v>124</v>
      </c>
      <c r="O13" s="131" t="s">
        <v>124</v>
      </c>
      <c r="P13" s="173" t="s">
        <v>124</v>
      </c>
      <c r="Q13" s="173" t="s">
        <v>124</v>
      </c>
    </row>
    <row r="14" spans="2:18" ht="13">
      <c r="B14" s="20" t="s">
        <v>26</v>
      </c>
      <c r="C14" s="7"/>
      <c r="D14" s="7"/>
      <c r="E14" s="33"/>
      <c r="F14" s="33"/>
      <c r="G14" s="33"/>
      <c r="H14" s="33"/>
      <c r="I14" s="33"/>
      <c r="J14" s="16"/>
      <c r="N14" s="33"/>
      <c r="O14" s="33"/>
      <c r="P14" s="33"/>
      <c r="Q14" s="33"/>
    </row>
    <row r="15" spans="2:18" ht="5.25" customHeight="1">
      <c r="B15" s="20"/>
      <c r="C15" s="7"/>
      <c r="D15" s="7"/>
      <c r="E15" s="33"/>
      <c r="F15" s="33"/>
      <c r="G15" s="33"/>
      <c r="H15" s="33"/>
      <c r="I15" s="33"/>
      <c r="J15" s="16"/>
      <c r="N15" s="33"/>
      <c r="O15" s="33"/>
      <c r="P15" s="33"/>
      <c r="Q15" s="33"/>
    </row>
    <row r="16" spans="2:18" ht="13">
      <c r="B16" s="24"/>
      <c r="C16" s="29" t="s">
        <v>27</v>
      </c>
      <c r="D16" s="7"/>
      <c r="E16" s="34"/>
      <c r="F16" s="34"/>
      <c r="G16" s="34"/>
      <c r="H16" s="34"/>
      <c r="I16" s="34"/>
      <c r="J16" s="16"/>
      <c r="N16" s="34"/>
      <c r="O16" s="34"/>
      <c r="P16" s="34"/>
      <c r="Q16" s="34"/>
    </row>
    <row r="17" spans="2:24">
      <c r="B17" s="15"/>
      <c r="C17" s="7"/>
      <c r="D17" s="7" t="s">
        <v>28</v>
      </c>
      <c r="E17" s="33">
        <f>SUMIF(TB!$J$2:$J$121,D17,TB!$I$2:$I121)</f>
        <v>771696.04999999993</v>
      </c>
      <c r="F17" s="33">
        <f>SUMIF('TB UK'!$J$2:$J$63,D17,'TB UK'!$I$2:$I$64)</f>
        <v>413195.16998400004</v>
      </c>
      <c r="G17" s="33">
        <f>'TB US'!C3</f>
        <v>0</v>
      </c>
      <c r="H17" s="33"/>
      <c r="I17" s="33">
        <f>SUM(E17:G17)</f>
        <v>1184891.2199840001</v>
      </c>
      <c r="J17" s="16"/>
      <c r="N17" s="33">
        <v>1661133.9297337246</v>
      </c>
      <c r="O17" s="33">
        <v>2268299.2243243242</v>
      </c>
      <c r="P17" s="33">
        <v>2947698.8193350383</v>
      </c>
      <c r="Q17" s="33">
        <v>3536756.0993350381</v>
      </c>
      <c r="T17" s="66"/>
      <c r="V17" s="66"/>
    </row>
    <row r="18" spans="2:24">
      <c r="B18" s="15"/>
      <c r="C18" s="7"/>
      <c r="D18" s="7" t="s">
        <v>29</v>
      </c>
      <c r="E18" s="33">
        <f>SUMIF(TB!$J$2:$J$121,D18,TB!$I$2:$I122)</f>
        <v>0</v>
      </c>
      <c r="F18" s="33">
        <f>SUMIF('TB UK'!$J$2:$J$63,D18,'TB UK'!$I$2:$I$64)</f>
        <v>0</v>
      </c>
      <c r="G18" s="33"/>
      <c r="H18" s="33"/>
      <c r="I18" s="33">
        <f t="shared" ref="I18:I21" si="0">SUM(E18:G18)</f>
        <v>0</v>
      </c>
      <c r="J18" s="16"/>
      <c r="N18" s="33">
        <v>0</v>
      </c>
      <c r="O18" s="33">
        <v>0</v>
      </c>
      <c r="P18" s="33">
        <v>0</v>
      </c>
      <c r="Q18" s="33">
        <v>0</v>
      </c>
    </row>
    <row r="19" spans="2:24">
      <c r="B19" s="15"/>
      <c r="C19" s="7"/>
      <c r="D19" s="7" t="s">
        <v>30</v>
      </c>
      <c r="E19" s="33">
        <f>SUMIF(TB!$J$2:$J$121,D19,TB!$I$2:$I123)</f>
        <v>0</v>
      </c>
      <c r="F19" s="33">
        <f>SUMIF('TB UK'!$J$2:$J$63,D19,'TB UK'!$I$2:$I$64)</f>
        <v>8819.2459823999998</v>
      </c>
      <c r="G19" s="33"/>
      <c r="H19" s="33"/>
      <c r="I19" s="33">
        <f t="shared" si="0"/>
        <v>8819.2459823999998</v>
      </c>
      <c r="J19" s="16"/>
      <c r="N19" s="33">
        <v>8450.8537637999998</v>
      </c>
      <c r="O19" s="33">
        <v>0</v>
      </c>
      <c r="P19" s="33">
        <v>0</v>
      </c>
      <c r="Q19" s="33">
        <v>0</v>
      </c>
    </row>
    <row r="20" spans="2:24">
      <c r="B20" s="15"/>
      <c r="C20" s="7"/>
      <c r="D20" s="7" t="s">
        <v>103</v>
      </c>
      <c r="E20" s="33">
        <f>SUMIF(TB!$J$2:$J$121,D20,TB!$I$2:$I124)</f>
        <v>30723.68</v>
      </c>
      <c r="F20" s="33">
        <f>SUMIF('TB UK'!$J$2:$J$63,D20,'TB UK'!$I$2:$I$64)</f>
        <v>-9570.7559872000002</v>
      </c>
      <c r="G20" s="33"/>
      <c r="H20" s="33"/>
      <c r="I20" s="33">
        <f t="shared" si="0"/>
        <v>21152.924012800002</v>
      </c>
      <c r="J20" s="16"/>
      <c r="N20" s="33">
        <v>34155.971909</v>
      </c>
      <c r="O20" s="33">
        <v>33030.42</v>
      </c>
      <c r="P20" s="33">
        <v>54259.039999999994</v>
      </c>
      <c r="Q20" s="33">
        <v>58083.46</v>
      </c>
      <c r="V20" s="66"/>
      <c r="X20" s="73"/>
    </row>
    <row r="21" spans="2:24">
      <c r="B21" s="15"/>
      <c r="C21" s="7"/>
      <c r="D21" s="7" t="s">
        <v>31</v>
      </c>
      <c r="E21" s="33">
        <f>SUMIF(TB!$J$2:$J$121,D21,TB!$I$2:$I125)</f>
        <v>27670.25</v>
      </c>
      <c r="F21" s="33">
        <f>SUMIF('TB UK'!$J$2:$J$63,D21,'TB UK'!$I$2:$I$64)</f>
        <v>0</v>
      </c>
      <c r="G21" s="33"/>
      <c r="H21" s="33"/>
      <c r="I21" s="33">
        <f t="shared" si="0"/>
        <v>27670.25</v>
      </c>
      <c r="J21" s="16"/>
      <c r="N21" s="33">
        <v>8021.39</v>
      </c>
      <c r="O21" s="33">
        <v>19238.39</v>
      </c>
      <c r="P21" s="33">
        <v>14904.8</v>
      </c>
      <c r="Q21" s="33">
        <v>15863.04</v>
      </c>
      <c r="X21" s="73"/>
    </row>
    <row r="22" spans="2:24" ht="13">
      <c r="B22" s="20"/>
      <c r="C22" s="36" t="s">
        <v>32</v>
      </c>
      <c r="D22" s="7"/>
      <c r="E22" s="10">
        <f>SUM(E17:E21)</f>
        <v>830089.98</v>
      </c>
      <c r="F22" s="10">
        <f>SUM(F17:F21)</f>
        <v>412443.65997920005</v>
      </c>
      <c r="G22" s="10">
        <f>SUM(G17:G21)</f>
        <v>0</v>
      </c>
      <c r="H22" s="10"/>
      <c r="I22" s="10">
        <f>SUM(I17:I21)</f>
        <v>1242533.6399792</v>
      </c>
      <c r="J22" s="16"/>
      <c r="N22" s="10">
        <v>1711762.1454065247</v>
      </c>
      <c r="O22" s="10">
        <v>2320568.0343243242</v>
      </c>
      <c r="P22" s="10">
        <v>3016862.6593350382</v>
      </c>
      <c r="Q22" s="10">
        <v>3610702.5993350381</v>
      </c>
      <c r="X22" s="73"/>
    </row>
    <row r="23" spans="2:24" ht="5.25" customHeight="1">
      <c r="B23" s="15"/>
      <c r="C23" s="7"/>
      <c r="D23" s="7"/>
      <c r="E23" s="34"/>
      <c r="F23" s="34"/>
      <c r="G23" s="34"/>
      <c r="H23" s="34"/>
      <c r="I23" s="34"/>
      <c r="J23" s="16"/>
      <c r="N23" s="34"/>
      <c r="O23" s="34"/>
      <c r="P23" s="34"/>
      <c r="Q23" s="34"/>
    </row>
    <row r="24" spans="2:24" ht="13">
      <c r="B24" s="15"/>
      <c r="C24" s="29" t="s">
        <v>91</v>
      </c>
      <c r="D24" s="7"/>
      <c r="E24" s="7"/>
      <c r="F24" s="7"/>
      <c r="G24" s="7"/>
      <c r="H24" s="7"/>
      <c r="I24" s="7"/>
      <c r="J24" s="16"/>
      <c r="N24" s="7"/>
      <c r="O24" s="7"/>
    </row>
    <row r="25" spans="2:24" ht="13">
      <c r="B25" s="15"/>
      <c r="C25" s="29"/>
      <c r="D25" s="67" t="s">
        <v>132</v>
      </c>
      <c r="E25" s="33">
        <f>SUMIF(TB!$J$2:$J$121,D25,TB!$I$2:$I129)</f>
        <v>40247.32</v>
      </c>
      <c r="F25" s="33">
        <f>SUMIF('TB UK'!$J$2:$J$63,D25,'TB UK'!$I$2:$I$64)</f>
        <v>0</v>
      </c>
      <c r="G25" s="33"/>
      <c r="H25" s="33"/>
      <c r="I25" s="33">
        <f t="shared" ref="I25:I27" si="1">SUM(E25:G25)</f>
        <v>40247.32</v>
      </c>
      <c r="J25" s="16"/>
      <c r="N25" s="33">
        <v>38975.675675675673</v>
      </c>
      <c r="O25" s="33">
        <v>38975.675675675673</v>
      </c>
      <c r="P25" s="33">
        <v>40980.392156862741</v>
      </c>
      <c r="Q25" s="33">
        <v>65064.502156862742</v>
      </c>
    </row>
    <row r="26" spans="2:24" ht="13">
      <c r="B26" s="15"/>
      <c r="C26" s="29"/>
      <c r="D26" s="55" t="s">
        <v>33</v>
      </c>
      <c r="E26" s="33">
        <f>SUMIF(TB!$J$2:$J$121,D26,TB!$I$2:$I130)</f>
        <v>87591.01999999999</v>
      </c>
      <c r="F26" s="33">
        <f>SUMIF('TB UK'!$J$2:$J$63,D26,'TB UK'!$I$2:$I$64)</f>
        <v>1248.3450848000002</v>
      </c>
      <c r="G26" s="33"/>
      <c r="H26" s="33"/>
      <c r="I26" s="33">
        <f t="shared" si="1"/>
        <v>88839.365084799996</v>
      </c>
      <c r="J26" s="16"/>
      <c r="N26" s="33">
        <v>111724.5099676</v>
      </c>
      <c r="O26" s="33">
        <v>104560.78</v>
      </c>
      <c r="P26" s="33">
        <v>104743.37999999999</v>
      </c>
      <c r="Q26" s="33">
        <v>104904.81</v>
      </c>
      <c r="S26" s="66"/>
      <c r="T26" s="66"/>
    </row>
    <row r="27" spans="2:24" ht="13">
      <c r="B27" s="15"/>
      <c r="C27" s="29"/>
      <c r="D27" s="55" t="s">
        <v>308</v>
      </c>
      <c r="E27" s="33">
        <f>SUMIF(TB!$J$2:$J$121,D27,TB!$I$2:$I131)</f>
        <v>160149.19</v>
      </c>
      <c r="F27" s="33"/>
      <c r="G27" s="33"/>
      <c r="H27" s="33"/>
      <c r="I27" s="33">
        <f t="shared" si="1"/>
        <v>160149.19</v>
      </c>
      <c r="J27" s="16"/>
      <c r="N27" s="33">
        <v>160149.19</v>
      </c>
      <c r="O27" s="33">
        <v>160149.19</v>
      </c>
      <c r="P27" s="33"/>
      <c r="Q27" s="33">
        <v>160149.19011082692</v>
      </c>
      <c r="S27" s="66"/>
      <c r="T27" s="66"/>
    </row>
    <row r="28" spans="2:24" ht="13">
      <c r="B28" s="15"/>
      <c r="C28" s="36" t="s">
        <v>92</v>
      </c>
      <c r="D28" s="7"/>
      <c r="E28" s="10">
        <f>SUM(E25:E27)</f>
        <v>287987.53000000003</v>
      </c>
      <c r="F28" s="10">
        <f t="shared" ref="F28:I28" si="2">SUM(F25:F27)</f>
        <v>1248.3450848000002</v>
      </c>
      <c r="G28" s="10">
        <f t="shared" si="2"/>
        <v>0</v>
      </c>
      <c r="H28" s="10"/>
      <c r="I28" s="10">
        <f t="shared" si="2"/>
        <v>289235.87508480001</v>
      </c>
      <c r="J28" s="16"/>
      <c r="N28" s="10">
        <v>310849.37564327568</v>
      </c>
      <c r="O28" s="10">
        <v>303685.64567567571</v>
      </c>
      <c r="P28" s="10">
        <v>145723.77215686272</v>
      </c>
      <c r="Q28" s="10">
        <v>330118.50226768968</v>
      </c>
    </row>
    <row r="29" spans="2:24">
      <c r="B29" s="15"/>
      <c r="C29" s="7"/>
      <c r="D29" s="7"/>
      <c r="E29" s="7"/>
      <c r="F29" s="7"/>
      <c r="G29" s="7"/>
      <c r="H29" s="7"/>
      <c r="I29" s="7"/>
      <c r="J29" s="16"/>
      <c r="N29" s="7"/>
      <c r="O29" s="7"/>
    </row>
    <row r="30" spans="2:24" ht="5.25" customHeight="1">
      <c r="B30" s="15"/>
      <c r="C30" s="7"/>
      <c r="D30" s="7"/>
      <c r="E30" s="7"/>
      <c r="F30" s="7"/>
      <c r="G30" s="7"/>
      <c r="H30" s="7"/>
      <c r="I30" s="7"/>
      <c r="J30" s="16"/>
      <c r="N30" s="7"/>
      <c r="O30" s="7"/>
    </row>
    <row r="31" spans="2:24" ht="13.5" thickBot="1">
      <c r="B31" s="20" t="s">
        <v>47</v>
      </c>
      <c r="C31" s="36"/>
      <c r="D31" s="7"/>
      <c r="E31" s="37">
        <f>E22+E28</f>
        <v>1118077.51</v>
      </c>
      <c r="F31" s="37">
        <f>F22+F28</f>
        <v>413692.00506400003</v>
      </c>
      <c r="G31" s="37">
        <f>G22+G28</f>
        <v>0</v>
      </c>
      <c r="H31" s="37"/>
      <c r="I31" s="37">
        <f>I22+I28</f>
        <v>1531769.5150639999</v>
      </c>
      <c r="J31" s="16"/>
      <c r="N31" s="37">
        <v>2022611.5210498003</v>
      </c>
      <c r="O31" s="37">
        <v>2624253.6799999997</v>
      </c>
      <c r="P31" s="37">
        <v>3162586.4314919007</v>
      </c>
      <c r="Q31" s="37">
        <v>3940821.1016027275</v>
      </c>
    </row>
    <row r="32" spans="2:24" ht="13" thickTop="1">
      <c r="B32" s="15"/>
      <c r="C32" s="7"/>
      <c r="D32" s="7"/>
      <c r="E32" s="7"/>
      <c r="F32" s="7"/>
      <c r="G32" s="7"/>
      <c r="H32" s="7"/>
      <c r="I32" s="7"/>
      <c r="J32" s="16"/>
      <c r="N32" s="7"/>
      <c r="O32" s="7"/>
    </row>
    <row r="33" spans="2:25" ht="13">
      <c r="B33" s="20" t="s">
        <v>34</v>
      </c>
      <c r="C33" s="7"/>
      <c r="D33" s="7"/>
      <c r="E33" s="7"/>
      <c r="F33" s="7"/>
      <c r="G33" s="7"/>
      <c r="H33" s="7"/>
      <c r="I33" s="7"/>
      <c r="J33" s="16"/>
      <c r="N33" s="7"/>
      <c r="O33" s="7"/>
    </row>
    <row r="34" spans="2:25" ht="5.25" customHeight="1">
      <c r="B34" s="15"/>
      <c r="C34" s="29"/>
      <c r="D34" s="7"/>
      <c r="E34" s="7"/>
      <c r="F34" s="7"/>
      <c r="G34" s="7"/>
      <c r="H34" s="7"/>
      <c r="I34" s="7"/>
      <c r="J34" s="16"/>
      <c r="N34" s="7"/>
      <c r="O34" s="7"/>
    </row>
    <row r="35" spans="2:25" ht="13">
      <c r="B35" s="20"/>
      <c r="C35" s="29" t="s">
        <v>35</v>
      </c>
      <c r="D35" s="7"/>
      <c r="E35" s="7"/>
      <c r="F35" s="7"/>
      <c r="G35" s="7"/>
      <c r="H35" s="7"/>
      <c r="I35" s="7"/>
      <c r="J35" s="16"/>
      <c r="N35" s="7"/>
      <c r="O35" s="7"/>
    </row>
    <row r="36" spans="2:25" ht="13">
      <c r="B36" s="20"/>
      <c r="C36" s="7"/>
      <c r="D36" s="52" t="s">
        <v>36</v>
      </c>
      <c r="E36" s="33">
        <f>-SUMIF(TB!$J$2:$J$121,D36,TB!$I$2:$I135)</f>
        <v>0</v>
      </c>
      <c r="F36" s="33">
        <f>-SUMIF('TB UK'!$J$2:$J$63,D36,'TB UK'!$I$2:$I$64)</f>
        <v>0</v>
      </c>
      <c r="G36" s="33"/>
      <c r="H36" s="33"/>
      <c r="I36" s="33">
        <f t="shared" ref="I36:I41" si="3">SUM(E36:G36)</f>
        <v>0</v>
      </c>
      <c r="J36" s="16"/>
      <c r="N36" s="33">
        <v>0</v>
      </c>
      <c r="O36" s="33">
        <v>0</v>
      </c>
      <c r="P36" s="33">
        <v>0</v>
      </c>
      <c r="Q36" s="33">
        <v>0</v>
      </c>
      <c r="R36" s="148" t="s">
        <v>149</v>
      </c>
      <c r="S36" s="148" t="s">
        <v>216</v>
      </c>
      <c r="T36" s="148" t="s">
        <v>215</v>
      </c>
      <c r="U36" s="148" t="s">
        <v>171</v>
      </c>
      <c r="V36" s="148" t="s">
        <v>214</v>
      </c>
      <c r="W36" s="148" t="s">
        <v>217</v>
      </c>
    </row>
    <row r="37" spans="2:25" ht="13">
      <c r="B37" s="20"/>
      <c r="C37" s="7"/>
      <c r="D37" s="52" t="s">
        <v>37</v>
      </c>
      <c r="E37" s="33">
        <f>-SUMIF(TB!$J$2:$J$121,D37,TB!$I$2:$I135)</f>
        <v>73761.726225530743</v>
      </c>
      <c r="F37" s="33">
        <f>-SUMIF('TB UK'!$J$2:$J$63,D37,'TB UK'!$I$2:$I$64)</f>
        <v>21006.48</v>
      </c>
      <c r="G37" s="33"/>
      <c r="H37" s="33"/>
      <c r="I37" s="33">
        <f t="shared" si="3"/>
        <v>94768.206225530739</v>
      </c>
      <c r="J37" s="16"/>
      <c r="N37" s="33">
        <v>52317.40847745775</v>
      </c>
      <c r="O37" s="33">
        <v>36805.546721991712</v>
      </c>
      <c r="P37" s="33">
        <v>63510.972102351305</v>
      </c>
      <c r="Q37" s="33">
        <v>69130.882546177891</v>
      </c>
      <c r="R37" s="176">
        <f>U37+T37</f>
        <v>6.1177455999422818</v>
      </c>
      <c r="T37" s="128">
        <f>'TB US'!C5</f>
        <v>364449.91999999993</v>
      </c>
      <c r="U37" s="73">
        <f>'TB UK'!G52</f>
        <v>-364443.80225439998</v>
      </c>
      <c r="V37" s="148" t="s">
        <v>219</v>
      </c>
      <c r="W37" s="148" t="s">
        <v>124</v>
      </c>
    </row>
    <row r="38" spans="2:25" ht="13">
      <c r="B38" s="20"/>
      <c r="C38" s="7"/>
      <c r="D38" s="52" t="s">
        <v>38</v>
      </c>
      <c r="E38" s="33">
        <f>-SUMIF(TB!$J$2:$J$121,D38,TB!$I$2:$I135)</f>
        <v>8995.7017525255742</v>
      </c>
      <c r="F38" s="33">
        <f>-SUMIF('TB UK'!$J$2:$J$63,D38,'TB UK'!$I$2:$I$64)</f>
        <v>0</v>
      </c>
      <c r="G38" s="33"/>
      <c r="H38" s="33"/>
      <c r="I38" s="33">
        <f t="shared" si="3"/>
        <v>8995.7017525255742</v>
      </c>
      <c r="J38" s="16"/>
      <c r="N38" s="33">
        <v>8648.6486486486483</v>
      </c>
      <c r="O38" s="33">
        <v>11027.027027027027</v>
      </c>
      <c r="P38" s="33">
        <v>20610.908559249787</v>
      </c>
      <c r="Q38" s="33">
        <v>20610.908559249787</v>
      </c>
      <c r="R38" s="153">
        <f>U38+S38</f>
        <v>485.50169999993523</v>
      </c>
      <c r="S38" s="68">
        <f>510744.65-AJE!N30-AJE!N31</f>
        <v>-78018.238300000055</v>
      </c>
      <c r="U38" s="73">
        <f>'TB UK'!F50+'TB UK'!F45</f>
        <v>78503.739999999991</v>
      </c>
      <c r="V38" s="148" t="s">
        <v>218</v>
      </c>
      <c r="W38" s="148" t="s">
        <v>172</v>
      </c>
    </row>
    <row r="39" spans="2:25" ht="13">
      <c r="B39" s="20"/>
      <c r="C39" s="7"/>
      <c r="D39" s="57" t="s">
        <v>90</v>
      </c>
      <c r="E39" s="33">
        <f>-SUMIF(TB!$J$2:$J$121,D39,TB!$I$2:$I135)</f>
        <v>93603.46</v>
      </c>
      <c r="F39" s="33">
        <f>-SUMIF('TB UK'!$J$2:$J$63,D39,'TB UK'!$I$2:$I$64)</f>
        <v>16873.359576000003</v>
      </c>
      <c r="G39" s="33"/>
      <c r="H39" s="33"/>
      <c r="I39" s="33">
        <f t="shared" si="3"/>
        <v>110476.81957600001</v>
      </c>
      <c r="J39" s="16"/>
      <c r="N39" s="33">
        <v>167532.7209136</v>
      </c>
      <c r="O39" s="33">
        <v>122256.08</v>
      </c>
      <c r="P39" s="33">
        <v>151006.47263711283</v>
      </c>
      <c r="Q39" s="33">
        <v>181822.17263711285</v>
      </c>
      <c r="R39" s="176">
        <f>S39+T39</f>
        <v>140</v>
      </c>
      <c r="S39" s="68">
        <f>TB!I23+TB!G25</f>
        <v>-8034999.3399999999</v>
      </c>
      <c r="T39" s="66">
        <f>'TB US'!C4</f>
        <v>8035139.3399999999</v>
      </c>
      <c r="V39" s="148" t="s">
        <v>220</v>
      </c>
      <c r="W39" s="148" t="s">
        <v>124</v>
      </c>
    </row>
    <row r="40" spans="2:25" ht="13">
      <c r="B40" s="20"/>
      <c r="C40" s="7"/>
      <c r="D40" s="70" t="s">
        <v>104</v>
      </c>
      <c r="E40" s="33">
        <f>-SUMIF(TB!$J$2:$J$121,D40,TB!$I$2:$I135)</f>
        <v>1534943.098352496</v>
      </c>
      <c r="F40" s="33">
        <f>-SUMIF('TB UK'!$J$2:$J$63,D40,'TB UK'!$I$2:$I$64)</f>
        <v>264499.12078560004</v>
      </c>
      <c r="G40" s="33">
        <f>-'TB US'!C4-'TB US'!C5</f>
        <v>-8399589.2599999998</v>
      </c>
      <c r="H40" s="33">
        <v>6600000</v>
      </c>
      <c r="I40" s="123">
        <f>SUM(E40:H40)</f>
        <v>-147.0408619036898</v>
      </c>
      <c r="J40" s="16"/>
      <c r="N40" s="123">
        <v>-140.19063080009073</v>
      </c>
      <c r="O40" s="123">
        <v>-5743.9100000020117</v>
      </c>
      <c r="P40" s="123">
        <v>-150.75</v>
      </c>
      <c r="Q40" s="123">
        <v>-121.86000000033528</v>
      </c>
    </row>
    <row r="41" spans="2:25" ht="13">
      <c r="B41" s="20"/>
      <c r="C41" s="7"/>
      <c r="D41" s="18" t="s">
        <v>39</v>
      </c>
      <c r="E41" s="33">
        <f>-SUMIF(TB!$J$2:$J$121,D41,TB!$I$2:$I135)</f>
        <v>0</v>
      </c>
      <c r="F41" s="33">
        <f>-SUMIF('TB UK'!$J$2:$J$63,D41,'TB UK'!$I$2:$I$64)</f>
        <v>0</v>
      </c>
      <c r="G41" s="33"/>
      <c r="H41" s="33"/>
      <c r="I41" s="33">
        <f t="shared" si="3"/>
        <v>0</v>
      </c>
      <c r="J41" s="16"/>
      <c r="N41" s="33">
        <v>0</v>
      </c>
      <c r="O41" s="33">
        <v>0</v>
      </c>
      <c r="P41" s="33">
        <v>0</v>
      </c>
      <c r="Q41" s="33">
        <v>105113.10031258879</v>
      </c>
      <c r="R41" s="176">
        <f>U41+S41</f>
        <v>0.92311630398035049</v>
      </c>
      <c r="S41" s="68">
        <f>TB!I24</f>
        <v>-99943.758352495963</v>
      </c>
      <c r="U41" s="73">
        <f>'TB UK'!I50+'TB UK'!I45</f>
        <v>99944.681468799943</v>
      </c>
      <c r="V41" s="148" t="s">
        <v>218</v>
      </c>
      <c r="W41" s="148" t="s">
        <v>124</v>
      </c>
    </row>
    <row r="42" spans="2:25" ht="13">
      <c r="B42" s="20"/>
      <c r="C42" s="36" t="s">
        <v>40</v>
      </c>
      <c r="D42" s="7"/>
      <c r="E42" s="10">
        <f>SUM(E36:E41)</f>
        <v>1711303.9863305525</v>
      </c>
      <c r="F42" s="10">
        <f>SUM(F36:F41)</f>
        <v>302378.96036160004</v>
      </c>
      <c r="G42" s="10">
        <f>SUM(G36:G41)</f>
        <v>-8399589.2599999998</v>
      </c>
      <c r="H42" s="10">
        <f>SUM(H36:H41)</f>
        <v>6600000</v>
      </c>
      <c r="I42" s="10">
        <f>SUM(I36:I41)</f>
        <v>214093.68669215264</v>
      </c>
      <c r="J42" s="16"/>
      <c r="N42" s="10">
        <v>228358.58740890631</v>
      </c>
      <c r="O42" s="10">
        <v>164344.74374901672</v>
      </c>
      <c r="P42" s="10">
        <v>234977.60329871392</v>
      </c>
      <c r="Q42" s="10">
        <v>376555.20405512897</v>
      </c>
      <c r="R42" s="223"/>
      <c r="S42" s="73"/>
      <c r="T42" s="73"/>
      <c r="U42" s="72"/>
    </row>
    <row r="43" spans="2:25" ht="5.25" customHeight="1">
      <c r="B43" s="15"/>
      <c r="C43" s="7"/>
      <c r="D43" s="7"/>
      <c r="E43" s="34"/>
      <c r="F43" s="34"/>
      <c r="G43" s="34"/>
      <c r="H43" s="34"/>
      <c r="I43" s="34"/>
      <c r="J43" s="16"/>
      <c r="N43" s="34"/>
      <c r="O43" s="34"/>
      <c r="P43" s="34"/>
      <c r="Q43" s="34"/>
      <c r="R43" s="72"/>
      <c r="S43" s="73"/>
      <c r="U43" s="72"/>
    </row>
    <row r="44" spans="2:25" ht="13">
      <c r="B44" s="15"/>
      <c r="C44" s="29" t="s">
        <v>41</v>
      </c>
      <c r="D44" s="7"/>
      <c r="E44" s="7"/>
      <c r="F44" s="7"/>
      <c r="G44" s="7"/>
      <c r="H44" s="7"/>
      <c r="I44" s="7"/>
      <c r="J44" s="16"/>
      <c r="N44" s="7"/>
      <c r="O44" s="7"/>
      <c r="R44" s="153"/>
      <c r="S44" s="75"/>
    </row>
    <row r="45" spans="2:25" ht="13">
      <c r="B45" s="20"/>
      <c r="C45" s="7"/>
      <c r="D45" s="7" t="s">
        <v>105</v>
      </c>
      <c r="E45" s="33">
        <f>-SUMIF(TB!$J$2:$J$121,D45,TB!$I$2:$I135)</f>
        <v>0</v>
      </c>
      <c r="F45" s="33">
        <f>-SUMIF('TB UK'!$J$2:$J$63,D45,'TB UK'!$I$2:$I$64)</f>
        <v>0</v>
      </c>
      <c r="G45" s="33"/>
      <c r="H45" s="33"/>
      <c r="I45" s="33"/>
      <c r="J45" s="16"/>
      <c r="N45" s="33"/>
      <c r="O45" s="33"/>
      <c r="P45" s="33"/>
      <c r="Q45" s="33">
        <v>0</v>
      </c>
      <c r="Y45" s="78"/>
    </row>
    <row r="46" spans="2:25" ht="13">
      <c r="B46" s="20"/>
      <c r="C46" s="7"/>
      <c r="D46" s="130" t="s">
        <v>143</v>
      </c>
      <c r="E46" s="123">
        <f>-SUMIF(TB!$J$2:$J$121,D46,TB!$I$2:$I136)</f>
        <v>161891.73000000001</v>
      </c>
      <c r="F46" s="33">
        <f>-SUMIF('TB UK'!$J$2:$J$63,D46,'TB UK'!$I$2:$I$64)</f>
        <v>0</v>
      </c>
      <c r="G46" s="123"/>
      <c r="H46" s="123"/>
      <c r="I46" s="33">
        <f t="shared" ref="I46" si="4">SUM(E46:G46)</f>
        <v>161891.73000000001</v>
      </c>
      <c r="J46" s="19"/>
      <c r="N46" s="33">
        <v>161891.73000000001</v>
      </c>
      <c r="O46" s="33">
        <v>161891.73000000001</v>
      </c>
      <c r="P46" s="123"/>
      <c r="Q46" s="33">
        <v>56778.630292696791</v>
      </c>
      <c r="Y46" s="78"/>
    </row>
    <row r="47" spans="2:25" ht="13">
      <c r="B47" s="20"/>
      <c r="C47" s="36" t="s">
        <v>42</v>
      </c>
      <c r="D47" s="7"/>
      <c r="E47" s="10">
        <f>SUM(E45:E46)</f>
        <v>161891.73000000001</v>
      </c>
      <c r="F47" s="10">
        <f>SUM(F45:F46)</f>
        <v>0</v>
      </c>
      <c r="G47" s="10">
        <f>SUM(G45:G46)</f>
        <v>0</v>
      </c>
      <c r="H47" s="10">
        <f t="shared" ref="H47:I47" si="5">SUM(H45:H46)</f>
        <v>0</v>
      </c>
      <c r="I47" s="10">
        <f t="shared" si="5"/>
        <v>161891.73000000001</v>
      </c>
      <c r="J47" s="16"/>
      <c r="N47" s="10">
        <v>161891.73000000001</v>
      </c>
      <c r="O47" s="10">
        <v>161891.73000000001</v>
      </c>
      <c r="P47" s="10">
        <v>0</v>
      </c>
      <c r="Q47" s="10">
        <v>56778.630292696791</v>
      </c>
      <c r="T47" s="75"/>
      <c r="U47" s="72"/>
      <c r="Y47" s="77"/>
    </row>
    <row r="48" spans="2:25" ht="5.25" customHeight="1">
      <c r="B48" s="15"/>
      <c r="C48" s="7"/>
      <c r="D48" s="7"/>
      <c r="E48" s="7"/>
      <c r="F48" s="7"/>
      <c r="G48" s="7"/>
      <c r="H48" s="7"/>
      <c r="I48" s="7"/>
      <c r="J48" s="16"/>
      <c r="N48" s="7"/>
      <c r="O48" s="7"/>
      <c r="Y48" s="77"/>
    </row>
    <row r="49" spans="2:28" ht="13">
      <c r="B49" s="15"/>
      <c r="C49" s="29" t="s">
        <v>43</v>
      </c>
      <c r="D49" s="7"/>
      <c r="E49" s="7"/>
      <c r="F49" s="7"/>
      <c r="G49" s="7"/>
      <c r="H49" s="7"/>
      <c r="I49" s="7"/>
      <c r="J49" s="16"/>
      <c r="N49" s="7"/>
      <c r="O49" s="7"/>
      <c r="T49" s="75"/>
      <c r="U49" s="72"/>
      <c r="Y49" s="77"/>
    </row>
    <row r="50" spans="2:28">
      <c r="B50" s="15"/>
      <c r="C50" s="7"/>
      <c r="D50" s="69" t="s">
        <v>126</v>
      </c>
      <c r="E50" s="33">
        <f>-SUMIF(TB!$J$2:$J$121,D50,TB!$I$2:$I140)</f>
        <v>0</v>
      </c>
      <c r="F50" s="33">
        <f>-SUMIF('TB UK'!$J$2:$J$63,D50,'TB UK'!$I$2:$I$64)</f>
        <v>0</v>
      </c>
      <c r="G50" s="33"/>
      <c r="H50" s="33"/>
      <c r="I50" s="33">
        <f t="shared" ref="I50:I56" si="6">SUM(E50:H50)</f>
        <v>0</v>
      </c>
      <c r="J50" s="16"/>
      <c r="N50" s="33">
        <v>0</v>
      </c>
      <c r="O50" s="33">
        <v>0</v>
      </c>
      <c r="P50" s="33">
        <v>0</v>
      </c>
      <c r="Q50" s="33">
        <v>0</v>
      </c>
      <c r="Y50" s="77"/>
    </row>
    <row r="51" spans="2:28">
      <c r="B51" s="15"/>
      <c r="C51" s="7"/>
      <c r="D51" s="69" t="s">
        <v>127</v>
      </c>
      <c r="E51" s="33">
        <f>-SUMIF(TB!$J$2:$J$121,D51,TB!$I$2:$I141)</f>
        <v>0</v>
      </c>
      <c r="F51" s="33">
        <f>-SUMIF('TB UK'!$J$2:$J$63,D51,'TB UK'!$I$2:$I$64)</f>
        <v>0</v>
      </c>
      <c r="G51" s="33">
        <f>-'TB US'!C6</f>
        <v>8464803.879999999</v>
      </c>
      <c r="H51" s="33"/>
      <c r="I51" s="33">
        <f t="shared" si="6"/>
        <v>8464803.879999999</v>
      </c>
      <c r="J51" s="16"/>
      <c r="N51" s="33">
        <v>8464794.3399999999</v>
      </c>
      <c r="O51" s="33">
        <v>8464794.3399999999</v>
      </c>
      <c r="P51" s="33">
        <v>8454794.3399999999</v>
      </c>
      <c r="Q51" s="33">
        <v>8345043.3399999999</v>
      </c>
      <c r="R51" s="66">
        <f>Q51-I51</f>
        <v>-119760.53999999911</v>
      </c>
      <c r="Y51" s="78"/>
    </row>
    <row r="52" spans="2:28">
      <c r="B52" s="15"/>
      <c r="C52" s="7"/>
      <c r="D52" s="148" t="s">
        <v>304</v>
      </c>
      <c r="E52" s="33">
        <f>-SUMIF(TB!$J$2:$J$121,D52,TB!$I$2:$I142)</f>
        <v>6600000</v>
      </c>
      <c r="F52" s="33">
        <f>-SUMIF('TB UK'!$J$2:$J$63,D52,'TB UK'!$I$2:$I$64)</f>
        <v>0</v>
      </c>
      <c r="G52" s="33"/>
      <c r="H52" s="33">
        <v>-6600000</v>
      </c>
      <c r="I52" s="33">
        <f t="shared" si="6"/>
        <v>0</v>
      </c>
      <c r="J52" s="16"/>
      <c r="N52" s="33">
        <v>0</v>
      </c>
      <c r="O52" s="33">
        <v>0</v>
      </c>
      <c r="P52" s="33"/>
      <c r="Q52" s="33"/>
      <c r="Y52" s="78"/>
    </row>
    <row r="53" spans="2:28">
      <c r="B53" s="15"/>
      <c r="C53" s="7"/>
      <c r="D53" s="72" t="s">
        <v>128</v>
      </c>
      <c r="E53" s="123">
        <f>-SUMIF(TB!$J$2:$J$121,D53,TB!$I$2:$I142)</f>
        <v>0</v>
      </c>
      <c r="F53" s="33">
        <f>-SUMIF('TB UK'!$J$2:$J$63,D53,'TB UK'!$I$2:$I$64)</f>
        <v>0</v>
      </c>
      <c r="G53" s="33">
        <f>-'TB US'!C7</f>
        <v>-55000</v>
      </c>
      <c r="H53" s="33"/>
      <c r="I53" s="33">
        <f t="shared" si="6"/>
        <v>-55000</v>
      </c>
      <c r="J53" s="16"/>
      <c r="N53" s="33">
        <v>-55000</v>
      </c>
      <c r="O53" s="33">
        <v>-55000</v>
      </c>
      <c r="P53" s="33">
        <v>-55000</v>
      </c>
      <c r="Q53" s="33">
        <v>-55000</v>
      </c>
      <c r="Y53" s="77"/>
    </row>
    <row r="54" spans="2:28">
      <c r="B54" s="15"/>
      <c r="C54" s="7"/>
      <c r="D54" s="69" t="s">
        <v>152</v>
      </c>
      <c r="E54" s="123">
        <f>-SUMIF(TB!$J$2:$J$121,D54,TB!$I$2:$I143)</f>
        <v>0</v>
      </c>
      <c r="F54" s="33">
        <f>-SUMIF('TB UK'!$J$2:$J$63,D54,'TB UK'!$I$2:$I$64)</f>
        <v>0</v>
      </c>
      <c r="G54" s="123"/>
      <c r="H54" s="123"/>
      <c r="I54" s="33">
        <f t="shared" si="6"/>
        <v>0</v>
      </c>
      <c r="J54" s="16"/>
      <c r="N54" s="33">
        <v>0</v>
      </c>
      <c r="O54" s="33">
        <v>0</v>
      </c>
      <c r="P54" s="33">
        <v>0</v>
      </c>
      <c r="Q54" s="33">
        <v>0</v>
      </c>
      <c r="Y54" s="77"/>
    </row>
    <row r="55" spans="2:28">
      <c r="B55" s="15"/>
      <c r="C55" s="7"/>
      <c r="D55" s="7" t="s">
        <v>44</v>
      </c>
      <c r="E55" s="33">
        <f>-SUMIF(TB!$J$2:$J$121,D55,TB!$I$2:$I141)</f>
        <v>-4866459.41</v>
      </c>
      <c r="F55" s="33">
        <f>-SUMIF('TB UK'!$J$2:$J$63,D55,'TB UK'!$I$2:$I$64)</f>
        <v>84971.625120000012</v>
      </c>
      <c r="G55" s="21">
        <v>-1417</v>
      </c>
      <c r="H55" s="21"/>
      <c r="I55" s="33">
        <f t="shared" si="6"/>
        <v>-4782904.7848800002</v>
      </c>
      <c r="J55" s="142"/>
      <c r="N55" s="33">
        <v>-4801942.7397990003</v>
      </c>
      <c r="O55" s="33">
        <v>-4799851.8600000003</v>
      </c>
      <c r="P55" s="33">
        <v>-4799346.2622506386</v>
      </c>
      <c r="Q55" s="33">
        <v>-1344275.36</v>
      </c>
      <c r="Y55" s="77"/>
      <c r="AA55" s="73"/>
      <c r="AB55" s="75"/>
    </row>
    <row r="56" spans="2:28">
      <c r="B56" s="15"/>
      <c r="C56" s="7"/>
      <c r="D56" s="7" t="s">
        <v>45</v>
      </c>
      <c r="E56" s="21">
        <f>'P&amp;L'!F73</f>
        <v>-2488658.7963305521</v>
      </c>
      <c r="F56" s="21">
        <f>'P&amp;L (consolidate)'!F75</f>
        <v>26341.419582400031</v>
      </c>
      <c r="G56" s="21">
        <f>'P&amp;L (consolidate)'!G75</f>
        <v>-8797.5</v>
      </c>
      <c r="H56" s="21"/>
      <c r="I56" s="33">
        <f t="shared" si="6"/>
        <v>-2471114.8767481521</v>
      </c>
      <c r="J56" s="16"/>
      <c r="N56" s="33">
        <v>-1975490.2765601065</v>
      </c>
      <c r="O56" s="33">
        <v>-1311925.1537490187</v>
      </c>
      <c r="P56" s="33">
        <v>-672839.12955617346</v>
      </c>
      <c r="Q56" s="33">
        <v>-3438280.7127450984</v>
      </c>
      <c r="AA56" s="73"/>
      <c r="AB56" s="75"/>
    </row>
    <row r="57" spans="2:28" ht="13">
      <c r="B57" s="15"/>
      <c r="C57" s="36" t="s">
        <v>46</v>
      </c>
      <c r="D57" s="7"/>
      <c r="E57" s="10">
        <f>SUM(E50:E56)</f>
        <v>-755118.20633055223</v>
      </c>
      <c r="F57" s="10">
        <f>SUM(F50:F56)</f>
        <v>111313.04470240005</v>
      </c>
      <c r="G57" s="10">
        <f>SUM(G50:G56)</f>
        <v>8399589.379999999</v>
      </c>
      <c r="H57" s="10">
        <f t="shared" ref="H57:I57" si="7">SUM(H50:H56)</f>
        <v>-6600000</v>
      </c>
      <c r="I57" s="10">
        <f t="shared" si="7"/>
        <v>1155784.2183718467</v>
      </c>
      <c r="J57" s="16"/>
      <c r="N57" s="10">
        <v>1632361.323640893</v>
      </c>
      <c r="O57" s="10">
        <v>2298017.3262509806</v>
      </c>
      <c r="P57" s="10">
        <v>2927608.9481931878</v>
      </c>
      <c r="Q57" s="10">
        <v>3507487.2672549011</v>
      </c>
    </row>
    <row r="58" spans="2:28" ht="5.25" customHeight="1">
      <c r="B58" s="15"/>
      <c r="C58" s="7"/>
      <c r="D58" s="7"/>
      <c r="E58" s="7"/>
      <c r="F58" s="7"/>
      <c r="G58" s="7"/>
      <c r="H58" s="7"/>
      <c r="I58" s="7"/>
      <c r="J58" s="16"/>
      <c r="N58" s="7"/>
      <c r="O58" s="7"/>
    </row>
    <row r="59" spans="2:28" ht="13">
      <c r="B59" s="20" t="s">
        <v>48</v>
      </c>
      <c r="C59" s="7"/>
      <c r="D59" s="7"/>
      <c r="E59" s="7"/>
      <c r="F59" s="7"/>
      <c r="G59" s="7"/>
      <c r="H59" s="7"/>
      <c r="I59" s="7"/>
      <c r="J59" s="16"/>
      <c r="N59" s="7"/>
      <c r="O59" s="7"/>
    </row>
    <row r="60" spans="2:28" ht="13.5" thickBot="1">
      <c r="B60" s="20" t="s">
        <v>49</v>
      </c>
      <c r="C60" s="7"/>
      <c r="D60" s="7"/>
      <c r="E60" s="37">
        <f>E42+E57+E47</f>
        <v>1118077.5100000002</v>
      </c>
      <c r="F60" s="37">
        <f>F42+F57+F47</f>
        <v>413692.00506400008</v>
      </c>
      <c r="G60" s="37">
        <f>G42+G57+G47</f>
        <v>0.11999999918043613</v>
      </c>
      <c r="H60" s="37">
        <f>H42+H57+H47</f>
        <v>0</v>
      </c>
      <c r="I60" s="37">
        <f>I42+I57+I47</f>
        <v>1531769.6350639993</v>
      </c>
      <c r="J60" s="16"/>
      <c r="N60" s="37">
        <v>2022611.6410497993</v>
      </c>
      <c r="O60" s="37">
        <v>2624253.7999999975</v>
      </c>
      <c r="P60" s="37">
        <v>3162586.5514919017</v>
      </c>
      <c r="Q60" s="37">
        <v>3940821.1016027271</v>
      </c>
    </row>
    <row r="61" spans="2:28" ht="13.5" thickTop="1" thickBot="1">
      <c r="B61" s="26"/>
      <c r="C61" s="27"/>
      <c r="D61" s="27"/>
      <c r="E61" s="27"/>
      <c r="F61" s="27"/>
      <c r="G61" s="27"/>
      <c r="H61" s="27"/>
      <c r="I61" s="27"/>
      <c r="J61" s="28"/>
      <c r="N61" s="27"/>
      <c r="O61" s="27"/>
      <c r="Q61" s="7"/>
    </row>
    <row r="62" spans="2:28" ht="9" customHeight="1">
      <c r="B62" s="12"/>
      <c r="C62" s="13"/>
      <c r="D62" s="13"/>
      <c r="E62" s="13"/>
      <c r="F62" s="13"/>
      <c r="G62" s="13"/>
      <c r="H62" s="13"/>
      <c r="I62" s="13"/>
      <c r="J62" s="14"/>
      <c r="N62" s="13"/>
      <c r="O62" s="13"/>
      <c r="Q62" s="7"/>
    </row>
    <row r="63" spans="2:28" ht="13">
      <c r="B63" s="15"/>
      <c r="C63" s="29" t="s">
        <v>25</v>
      </c>
      <c r="D63" s="7"/>
      <c r="E63" s="7"/>
      <c r="F63" s="7"/>
      <c r="G63" s="7"/>
      <c r="H63" s="7"/>
      <c r="I63" s="7"/>
      <c r="J63" s="16"/>
      <c r="N63" s="7"/>
      <c r="O63" s="7"/>
      <c r="Q63" s="7"/>
    </row>
    <row r="64" spans="2:28" ht="6.75" customHeight="1">
      <c r="B64" s="15"/>
      <c r="C64" s="25"/>
      <c r="D64" s="7"/>
      <c r="E64" s="7"/>
      <c r="F64" s="7"/>
      <c r="G64" s="7"/>
      <c r="H64" s="7"/>
      <c r="I64" s="7"/>
      <c r="J64" s="16"/>
      <c r="N64" s="7"/>
      <c r="O64" s="7"/>
      <c r="Q64" s="7"/>
    </row>
    <row r="65" spans="2:17" ht="13">
      <c r="B65" s="15"/>
      <c r="C65" s="25" t="s">
        <v>22</v>
      </c>
      <c r="D65" s="67" t="s">
        <v>131</v>
      </c>
      <c r="E65" s="7"/>
      <c r="F65" s="7"/>
      <c r="G65" s="7"/>
      <c r="H65" s="7"/>
      <c r="I65" s="7"/>
      <c r="J65" s="16"/>
      <c r="N65" s="7"/>
      <c r="O65" s="7"/>
      <c r="Q65" s="7"/>
    </row>
    <row r="66" spans="2:17" ht="6.75" customHeight="1">
      <c r="B66" s="15"/>
      <c r="C66" s="7"/>
      <c r="D66" s="7"/>
      <c r="E66" s="7"/>
      <c r="F66" s="7"/>
      <c r="G66" s="7"/>
      <c r="H66" s="7"/>
      <c r="I66" s="7"/>
      <c r="J66" s="16"/>
      <c r="N66" s="7"/>
      <c r="O66" s="7"/>
      <c r="Q66" s="7"/>
    </row>
    <row r="67" spans="2:17" ht="13" hidden="1">
      <c r="B67" s="15"/>
      <c r="C67" s="25" t="s">
        <v>23</v>
      </c>
      <c r="D67" s="7"/>
      <c r="E67" s="7"/>
      <c r="F67" s="7"/>
      <c r="G67" s="7"/>
      <c r="H67" s="7"/>
      <c r="I67" s="7"/>
      <c r="J67" s="16"/>
      <c r="N67" s="7"/>
      <c r="O67" s="7"/>
      <c r="Q67" s="7"/>
    </row>
    <row r="68" spans="2:17" ht="6.75" hidden="1" customHeight="1">
      <c r="B68" s="15"/>
      <c r="C68" s="7"/>
      <c r="D68" s="7"/>
      <c r="E68" s="7"/>
      <c r="F68" s="7"/>
      <c r="G68" s="7"/>
      <c r="H68" s="7"/>
      <c r="I68" s="7"/>
      <c r="J68" s="16"/>
      <c r="N68" s="7"/>
      <c r="O68" s="7"/>
      <c r="Q68" s="27"/>
    </row>
    <row r="69" spans="2:17" ht="13" hidden="1">
      <c r="B69" s="15"/>
      <c r="C69" s="25" t="s">
        <v>24</v>
      </c>
      <c r="D69" s="7"/>
      <c r="E69" s="7"/>
      <c r="F69" s="7"/>
      <c r="G69" s="7"/>
      <c r="H69" s="7"/>
      <c r="I69" s="7"/>
      <c r="J69" s="16"/>
      <c r="N69" s="7"/>
      <c r="O69" s="7"/>
    </row>
    <row r="70" spans="2:17" ht="7.5" customHeight="1" thickBot="1">
      <c r="B70" s="26"/>
      <c r="C70" s="27"/>
      <c r="D70" s="27"/>
      <c r="E70" s="27"/>
      <c r="F70" s="27"/>
      <c r="G70" s="27"/>
      <c r="H70" s="27"/>
      <c r="I70" s="27"/>
      <c r="J70" s="28"/>
      <c r="N70" s="27"/>
      <c r="O70" s="27"/>
    </row>
    <row r="72" spans="2:17">
      <c r="Q72" s="66">
        <v>0</v>
      </c>
    </row>
    <row r="74" spans="2:17">
      <c r="E74" s="66">
        <f>E31-E60</f>
        <v>0</v>
      </c>
      <c r="F74" s="66">
        <f>F31-F60</f>
        <v>0</v>
      </c>
      <c r="G74" s="66">
        <f>G31-G60</f>
        <v>-0.11999999918043613</v>
      </c>
      <c r="H74" s="66">
        <f t="shared" ref="H74:I74" si="8">H31-H60</f>
        <v>0</v>
      </c>
      <c r="I74" s="66">
        <f t="shared" si="8"/>
        <v>-0.11999999941326678</v>
      </c>
      <c r="N74" s="66">
        <v>-0.11999999894760549</v>
      </c>
      <c r="O74" s="66">
        <v>-0.11999999778345227</v>
      </c>
    </row>
    <row r="76" spans="2:17">
      <c r="D76" s="72" t="s">
        <v>383</v>
      </c>
    </row>
    <row r="77" spans="2:17">
      <c r="D77" s="72"/>
      <c r="E77" s="204">
        <v>-1348339.29</v>
      </c>
      <c r="F77" s="204">
        <v>4063.93</v>
      </c>
      <c r="G77" s="204">
        <v>0</v>
      </c>
    </row>
    <row r="78" spans="2:17">
      <c r="D78" s="72"/>
      <c r="E78" s="204">
        <v>-3518120.1227450981</v>
      </c>
      <c r="F78" s="204">
        <v>81256.53</v>
      </c>
      <c r="G78" s="205">
        <v>-1417.12</v>
      </c>
      <c r="H78" s="72"/>
    </row>
    <row r="79" spans="2:17">
      <c r="D79" s="72" t="s">
        <v>382</v>
      </c>
      <c r="E79" s="204">
        <f>SUM(E77:E78)</f>
        <v>-4866459.4127450977</v>
      </c>
      <c r="F79" s="204">
        <f t="shared" ref="F79:G79" si="9">SUM(F77:F78)</f>
        <v>85320.459999999992</v>
      </c>
      <c r="G79" s="204">
        <f t="shared" si="9"/>
        <v>-1417.12</v>
      </c>
    </row>
    <row r="80" spans="2:17">
      <c r="D80" s="72" t="s">
        <v>149</v>
      </c>
      <c r="E80" s="204">
        <f>E55-E79</f>
        <v>2.7450975030660629E-3</v>
      </c>
      <c r="F80" s="204">
        <f t="shared" ref="F80:G80" si="10">F55-F79</f>
        <v>-348.83487999998033</v>
      </c>
      <c r="G80" s="204">
        <f t="shared" si="10"/>
        <v>0.11999999999989086</v>
      </c>
    </row>
  </sheetData>
  <pageMargins left="0.74803149606299213" right="0.74803149606299213" top="0.98425196850393704" bottom="0.98425196850393704" header="0.51181102362204722" footer="0.51181102362204722"/>
  <pageSetup paperSize="9" scale="70" orientation="portrait" r:id="rId1"/>
  <headerFooter scaleWithDoc="0"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6:O90"/>
  <sheetViews>
    <sheetView topLeftCell="A62" zoomScaleNormal="100" workbookViewId="0">
      <selection activeCell="F71" sqref="F71"/>
    </sheetView>
  </sheetViews>
  <sheetFormatPr defaultColWidth="8.81640625" defaultRowHeight="12.5"/>
  <cols>
    <col min="1" max="1" width="2" style="148" customWidth="1"/>
    <col min="2" max="2" width="10" style="148" customWidth="1"/>
    <col min="3" max="3" width="18.453125" style="148" customWidth="1"/>
    <col min="4" max="4" width="21.453125" style="148" customWidth="1"/>
    <col min="5" max="5" width="13.1796875" style="148" bestFit="1" customWidth="1"/>
    <col min="6" max="6" width="11.81640625" style="148" customWidth="1"/>
    <col min="7" max="7" width="9.90625" style="148" customWidth="1"/>
    <col min="8" max="8" width="15.36328125" style="148" bestFit="1" customWidth="1"/>
    <col min="9" max="11" width="11.81640625" style="148" customWidth="1"/>
    <col min="12" max="14" width="12.453125" style="148" bestFit="1" customWidth="1"/>
    <col min="15" max="15" width="13.54296875" style="148" bestFit="1" customWidth="1"/>
    <col min="16" max="16384" width="8.81640625" style="148"/>
  </cols>
  <sheetData>
    <row r="6" spans="2:15" ht="15.5">
      <c r="B6" s="51" t="str">
        <f>Summary!B6</f>
        <v>GetCtrl LTD</v>
      </c>
      <c r="C6" s="31"/>
      <c r="D6" s="31"/>
      <c r="E6" s="31"/>
      <c r="F6" s="31"/>
      <c r="G6" s="31"/>
      <c r="H6" s="31"/>
      <c r="I6" s="31"/>
      <c r="J6" s="31"/>
      <c r="K6" s="31"/>
      <c r="O6" s="31"/>
    </row>
    <row r="7" spans="2:15" ht="15.5">
      <c r="B7" s="30" t="s">
        <v>196</v>
      </c>
      <c r="C7" s="31"/>
      <c r="D7" s="31"/>
      <c r="E7" s="31"/>
      <c r="F7" s="31"/>
      <c r="H7" s="177">
        <f>Summary!J7</f>
        <v>45291</v>
      </c>
      <c r="J7" s="64"/>
      <c r="K7" s="64"/>
    </row>
    <row r="8" spans="2:15" ht="15.5">
      <c r="B8" s="30" t="s">
        <v>129</v>
      </c>
      <c r="C8" s="31"/>
      <c r="D8" s="31"/>
      <c r="E8" s="31"/>
      <c r="F8" s="31"/>
      <c r="G8" s="31"/>
      <c r="H8" s="31"/>
      <c r="I8" s="31"/>
      <c r="J8" s="31"/>
      <c r="K8" s="31"/>
      <c r="O8" s="31"/>
    </row>
    <row r="9" spans="2:15" ht="13.5" thickBot="1">
      <c r="B9" s="1"/>
    </row>
    <row r="10" spans="2:15">
      <c r="B10" s="12"/>
      <c r="C10" s="13"/>
      <c r="D10" s="13"/>
      <c r="E10" s="13"/>
      <c r="F10" s="13"/>
      <c r="G10" s="13"/>
      <c r="H10" s="13"/>
      <c r="I10" s="14"/>
      <c r="J10" s="7"/>
      <c r="K10" s="7"/>
      <c r="O10" s="13"/>
    </row>
    <row r="11" spans="2:15" ht="13">
      <c r="B11" s="15"/>
      <c r="C11" s="7"/>
      <c r="D11" s="7"/>
      <c r="E11" s="35">
        <f>$H$7</f>
        <v>45291</v>
      </c>
      <c r="F11" s="35">
        <f>$H$7</f>
        <v>45291</v>
      </c>
      <c r="G11" s="35">
        <f>$H$7</f>
        <v>45291</v>
      </c>
      <c r="H11" s="35">
        <f>$H$7</f>
        <v>45291</v>
      </c>
      <c r="I11" s="16"/>
      <c r="J11" s="7"/>
      <c r="K11" s="154" t="s">
        <v>365</v>
      </c>
      <c r="L11" s="154" t="s">
        <v>364</v>
      </c>
      <c r="M11" s="154" t="s">
        <v>318</v>
      </c>
      <c r="N11" s="154" t="s">
        <v>317</v>
      </c>
      <c r="O11" s="154">
        <v>44926</v>
      </c>
    </row>
    <row r="12" spans="2:15" ht="13">
      <c r="B12" s="15"/>
      <c r="C12" s="7"/>
      <c r="D12" s="7"/>
      <c r="E12" s="149" t="s">
        <v>173</v>
      </c>
      <c r="F12" s="149" t="s">
        <v>174</v>
      </c>
      <c r="G12" s="149" t="s">
        <v>175</v>
      </c>
      <c r="H12" s="149" t="s">
        <v>197</v>
      </c>
      <c r="I12" s="16"/>
      <c r="J12" s="7"/>
      <c r="K12" s="175" t="s">
        <v>197</v>
      </c>
      <c r="L12" s="175" t="s">
        <v>197</v>
      </c>
      <c r="M12" s="175" t="s">
        <v>197</v>
      </c>
      <c r="N12" s="175" t="s">
        <v>197</v>
      </c>
      <c r="O12" s="175" t="s">
        <v>197</v>
      </c>
    </row>
    <row r="13" spans="2:15" ht="13">
      <c r="B13" s="15"/>
      <c r="C13" s="7"/>
      <c r="D13" s="7"/>
      <c r="E13" s="131" t="s">
        <v>124</v>
      </c>
      <c r="F13" s="131" t="s">
        <v>124</v>
      </c>
      <c r="G13" s="131" t="s">
        <v>124</v>
      </c>
      <c r="H13" s="131" t="s">
        <v>124</v>
      </c>
      <c r="I13" s="16"/>
      <c r="J13" s="7"/>
      <c r="K13" s="173" t="s">
        <v>124</v>
      </c>
      <c r="L13" s="173" t="s">
        <v>124</v>
      </c>
      <c r="M13" s="173" t="s">
        <v>124</v>
      </c>
      <c r="N13" s="173" t="s">
        <v>124</v>
      </c>
      <c r="O13" s="173" t="s">
        <v>124</v>
      </c>
    </row>
    <row r="14" spans="2:15" s="5" customFormat="1" ht="13">
      <c r="B14" s="17"/>
      <c r="C14" s="18"/>
      <c r="D14" s="18"/>
      <c r="E14" s="6"/>
      <c r="F14" s="6"/>
      <c r="G14" s="18"/>
      <c r="H14" s="18"/>
      <c r="I14" s="19"/>
      <c r="J14" s="18"/>
      <c r="K14" s="18"/>
      <c r="L14" s="148"/>
      <c r="M14" s="148"/>
      <c r="N14" s="148"/>
      <c r="O14" s="148"/>
    </row>
    <row r="15" spans="2:15" ht="13">
      <c r="B15" s="20" t="s">
        <v>1</v>
      </c>
      <c r="C15" s="7"/>
      <c r="D15" s="7"/>
      <c r="E15" s="21">
        <f>-SUMIF(TB!$J$2:$J$121,B15,TB!$I$2:$I$121)</f>
        <v>0</v>
      </c>
      <c r="F15" s="21"/>
      <c r="G15" s="7"/>
      <c r="H15" s="7"/>
      <c r="I15" s="16"/>
      <c r="J15" s="7"/>
      <c r="K15" s="7"/>
    </row>
    <row r="16" spans="2:15" ht="13">
      <c r="B16" s="20"/>
      <c r="C16" s="7"/>
      <c r="D16" s="7"/>
      <c r="E16" s="21"/>
      <c r="F16" s="21"/>
      <c r="G16" s="7"/>
      <c r="H16" s="7"/>
      <c r="I16" s="16"/>
      <c r="J16" s="7"/>
      <c r="K16" s="7"/>
    </row>
    <row r="17" spans="2:15">
      <c r="B17" s="24" t="s">
        <v>2</v>
      </c>
      <c r="C17" s="7"/>
      <c r="D17" s="7"/>
      <c r="E17" s="21"/>
      <c r="F17" s="21"/>
      <c r="G17" s="7"/>
      <c r="H17" s="7"/>
      <c r="I17" s="16"/>
      <c r="J17" s="7"/>
      <c r="K17" s="7"/>
    </row>
    <row r="18" spans="2:15">
      <c r="B18" s="53" t="s">
        <v>84</v>
      </c>
      <c r="C18" s="7"/>
      <c r="D18" s="7"/>
      <c r="E18" s="21">
        <f>SUMIF(TB!$J$2:$J$121,B18,TB!$I$2:$I$121)</f>
        <v>0</v>
      </c>
      <c r="F18" s="21"/>
      <c r="G18" s="7"/>
      <c r="H18" s="7"/>
      <c r="I18" s="16"/>
      <c r="J18" s="7"/>
      <c r="K18" s="7"/>
    </row>
    <row r="19" spans="2:15">
      <c r="B19" s="53" t="s">
        <v>85</v>
      </c>
      <c r="C19" s="7"/>
      <c r="D19" s="7"/>
      <c r="E19" s="21">
        <f>SUMIF(TB!$J$2:$J$121,B19,TB!$I$2:$I$121)</f>
        <v>0</v>
      </c>
      <c r="F19" s="21"/>
      <c r="G19" s="7"/>
      <c r="H19" s="7"/>
      <c r="I19" s="16"/>
      <c r="J19" s="7"/>
      <c r="K19" s="7"/>
    </row>
    <row r="20" spans="2:15">
      <c r="B20" s="53" t="s">
        <v>86</v>
      </c>
      <c r="C20" s="7"/>
      <c r="D20" s="7"/>
      <c r="E20" s="21">
        <f>SUMIF(TB!$J$2:$J$121,B20,TB!$I$2:$I$121)</f>
        <v>0</v>
      </c>
      <c r="F20" s="21"/>
      <c r="G20" s="7"/>
      <c r="H20" s="7"/>
      <c r="I20" s="16"/>
      <c r="J20" s="7"/>
      <c r="K20" s="7"/>
    </row>
    <row r="21" spans="2:15" ht="13">
      <c r="B21" s="20" t="s">
        <v>87</v>
      </c>
      <c r="C21" s="7"/>
      <c r="D21" s="7"/>
      <c r="E21" s="10">
        <f>SUM(E18:E20)</f>
        <v>0</v>
      </c>
      <c r="F21" s="10">
        <f t="shared" ref="F21:H21" si="0">SUM(F18:F20)</f>
        <v>0</v>
      </c>
      <c r="G21" s="10">
        <f t="shared" si="0"/>
        <v>0</v>
      </c>
      <c r="H21" s="10">
        <f t="shared" si="0"/>
        <v>0</v>
      </c>
      <c r="I21" s="16"/>
      <c r="J21" s="7"/>
      <c r="K21" s="7"/>
      <c r="L21" s="10"/>
      <c r="M21" s="10"/>
      <c r="N21" s="10">
        <v>0</v>
      </c>
      <c r="O21" s="10">
        <v>0</v>
      </c>
    </row>
    <row r="22" spans="2:15">
      <c r="B22" s="15"/>
      <c r="C22" s="7"/>
      <c r="D22" s="7"/>
      <c r="E22" s="22"/>
      <c r="F22" s="22"/>
      <c r="G22" s="22"/>
      <c r="H22" s="22"/>
      <c r="I22" s="16"/>
      <c r="J22" s="7"/>
      <c r="K22" s="7"/>
      <c r="L22" s="22"/>
      <c r="M22" s="22"/>
      <c r="N22" s="22"/>
      <c r="O22" s="22"/>
    </row>
    <row r="23" spans="2:15" ht="13.5" thickBot="1">
      <c r="B23" s="20" t="s">
        <v>3</v>
      </c>
      <c r="C23" s="7"/>
      <c r="D23" s="7"/>
      <c r="E23" s="9">
        <f>E15-E21</f>
        <v>0</v>
      </c>
      <c r="F23" s="9">
        <f t="shared" ref="F23:G23" si="1">F15-F21</f>
        <v>0</v>
      </c>
      <c r="G23" s="9">
        <f t="shared" si="1"/>
        <v>0</v>
      </c>
      <c r="H23" s="9">
        <f t="shared" ref="H23" si="2">H15-H21</f>
        <v>0</v>
      </c>
      <c r="I23" s="16"/>
      <c r="J23" s="7"/>
      <c r="K23" s="7"/>
      <c r="L23" s="9"/>
      <c r="M23" s="9"/>
      <c r="N23" s="9">
        <v>0</v>
      </c>
      <c r="O23" s="9">
        <v>0</v>
      </c>
    </row>
    <row r="24" spans="2:15" ht="13" thickTop="1">
      <c r="B24" s="15"/>
      <c r="C24" s="7"/>
      <c r="D24" s="7"/>
      <c r="E24" s="22"/>
      <c r="F24" s="22"/>
      <c r="G24" s="7"/>
      <c r="H24" s="7"/>
      <c r="I24" s="16"/>
      <c r="J24" s="7"/>
      <c r="K24" s="7"/>
    </row>
    <row r="25" spans="2:15" ht="13">
      <c r="B25" s="23" t="s">
        <v>4</v>
      </c>
      <c r="C25" s="7"/>
      <c r="D25" s="7"/>
      <c r="E25" s="22"/>
      <c r="F25" s="22"/>
      <c r="G25" s="7"/>
      <c r="H25" s="7"/>
      <c r="I25" s="16"/>
      <c r="J25" s="7"/>
      <c r="K25" s="7"/>
    </row>
    <row r="26" spans="2:15">
      <c r="B26" s="15"/>
      <c r="C26" s="7"/>
      <c r="D26" s="7"/>
      <c r="E26" s="22"/>
      <c r="F26" s="22"/>
      <c r="G26" s="7"/>
      <c r="H26" s="7"/>
      <c r="I26" s="16"/>
      <c r="J26" s="7"/>
      <c r="K26" s="7"/>
    </row>
    <row r="27" spans="2:15">
      <c r="B27" s="24" t="s">
        <v>5</v>
      </c>
      <c r="C27" s="7"/>
      <c r="D27" s="7"/>
      <c r="E27" s="22"/>
      <c r="F27" s="22"/>
      <c r="G27" s="7"/>
      <c r="H27" s="7"/>
      <c r="I27" s="16"/>
      <c r="J27" s="7"/>
      <c r="K27" s="7"/>
    </row>
    <row r="28" spans="2:15" ht="13">
      <c r="B28" s="15"/>
      <c r="C28" s="67" t="s">
        <v>107</v>
      </c>
      <c r="D28" s="7"/>
      <c r="E28" s="21">
        <f>SUMIF(TB!$J$2:$J$121,C28,TB!$I$2:$I$121)</f>
        <v>926825.31</v>
      </c>
      <c r="F28" s="21">
        <f>SUMIF('TB UK'!$J$2:$J$63,C28,'TB UK'!$I$2:$I$64)</f>
        <v>440817.58356960001</v>
      </c>
      <c r="G28" s="25"/>
      <c r="H28" s="41">
        <f>SUM(E28:G28)</f>
        <v>1367642.8935696001</v>
      </c>
      <c r="I28" s="16"/>
      <c r="J28" s="7"/>
      <c r="K28" s="41">
        <f>H28-N28-M28-L28</f>
        <v>190802.87894860003</v>
      </c>
      <c r="L28" s="66">
        <v>266332.64867505431</v>
      </c>
      <c r="M28" s="66">
        <v>398915.1813025811</v>
      </c>
      <c r="N28" s="66">
        <v>511592.18464336463</v>
      </c>
      <c r="O28" s="66">
        <v>1778094.490130719</v>
      </c>
    </row>
    <row r="29" spans="2:15">
      <c r="B29" s="15"/>
      <c r="C29" s="67" t="s">
        <v>154</v>
      </c>
      <c r="D29" s="7"/>
      <c r="E29" s="21">
        <f>SUMIF(TB!$J$2:$J$121,C29,TB!$I$2:$I$121)</f>
        <v>-10104.27</v>
      </c>
      <c r="F29" s="21">
        <f>SUMIF('TB UK'!$J$2:$J$63,C29,'TB UK'!$I$2:$I$64)</f>
        <v>0</v>
      </c>
      <c r="G29" s="7"/>
      <c r="H29" s="41">
        <f t="shared" ref="H29:H34" si="3">SUM(E29:G29)</f>
        <v>-10104.27</v>
      </c>
      <c r="I29" s="16"/>
      <c r="J29" s="7"/>
      <c r="K29" s="41">
        <f t="shared" ref="K29:K77" si="4">H29-N29-M29-L29</f>
        <v>0</v>
      </c>
      <c r="L29" s="66">
        <v>0</v>
      </c>
      <c r="M29" s="66">
        <v>-10798.52</v>
      </c>
      <c r="N29" s="66">
        <v>694.25</v>
      </c>
      <c r="O29" s="66">
        <v>134443.92230747372</v>
      </c>
    </row>
    <row r="30" spans="2:15">
      <c r="B30" s="15"/>
      <c r="C30" s="67" t="s">
        <v>144</v>
      </c>
      <c r="D30" s="7"/>
      <c r="E30" s="21">
        <f>SUMIF(TB!$J$2:$J$121,C30,TB!$I$2:$I$121)</f>
        <v>0</v>
      </c>
      <c r="F30" s="21">
        <f>SUMIF('TB UK'!$J$2:$J$63,C30,'TB UK'!$I$2:$I$64)</f>
        <v>0</v>
      </c>
      <c r="G30" s="7"/>
      <c r="H30" s="41">
        <f t="shared" si="3"/>
        <v>0</v>
      </c>
      <c r="I30" s="16"/>
      <c r="J30" s="7"/>
      <c r="K30" s="41">
        <f t="shared" si="4"/>
        <v>0</v>
      </c>
      <c r="L30" s="66">
        <v>0</v>
      </c>
      <c r="M30" s="66">
        <v>0</v>
      </c>
      <c r="N30" s="66">
        <v>0</v>
      </c>
      <c r="O30" s="66">
        <v>0</v>
      </c>
    </row>
    <row r="31" spans="2:15">
      <c r="B31" s="15"/>
      <c r="C31" s="7" t="s">
        <v>158</v>
      </c>
      <c r="D31" s="7"/>
      <c r="E31" s="21">
        <f>SUMIF(TB!$J$2:$J$121,C31,TB!$I$2:$I$121)</f>
        <v>0</v>
      </c>
      <c r="F31" s="21">
        <f>SUMIF('TB UK'!$J$2:$J$63,C31,'TB UK'!$I$2:$I$64)</f>
        <v>0</v>
      </c>
      <c r="G31" s="7"/>
      <c r="H31" s="41">
        <f t="shared" si="3"/>
        <v>0</v>
      </c>
      <c r="I31" s="16"/>
      <c r="J31" s="7"/>
      <c r="K31" s="41">
        <f t="shared" si="4"/>
        <v>0</v>
      </c>
      <c r="L31" s="66">
        <v>0</v>
      </c>
      <c r="M31" s="66">
        <v>0</v>
      </c>
      <c r="N31" s="66">
        <v>0</v>
      </c>
      <c r="O31" s="66">
        <v>48064.79</v>
      </c>
    </row>
    <row r="32" spans="2:15">
      <c r="B32" s="15"/>
      <c r="C32" s="54" t="s">
        <v>88</v>
      </c>
      <c r="D32" s="7"/>
      <c r="E32" s="21">
        <f>SUMIF(TB!$J$2:$J$121,C32,TB!$I$2:$I$121)</f>
        <v>0</v>
      </c>
      <c r="F32" s="21">
        <f>SUMIF('TB UK'!$J$2:$J$63,C32,'TB UK'!$I$2:$I$64)</f>
        <v>0</v>
      </c>
      <c r="G32" s="7"/>
      <c r="H32" s="41">
        <f t="shared" si="3"/>
        <v>0</v>
      </c>
      <c r="I32" s="16"/>
      <c r="J32" s="7"/>
      <c r="K32" s="41">
        <f t="shared" si="4"/>
        <v>0</v>
      </c>
      <c r="L32" s="66">
        <v>0</v>
      </c>
      <c r="M32" s="66">
        <v>0</v>
      </c>
      <c r="N32" s="66">
        <v>0</v>
      </c>
      <c r="O32" s="66">
        <v>0</v>
      </c>
    </row>
    <row r="33" spans="2:15">
      <c r="B33" s="15"/>
      <c r="C33" s="7" t="s">
        <v>8</v>
      </c>
      <c r="D33" s="7"/>
      <c r="E33" s="21">
        <f>SUMIF(TB!$J$2:$J$121,C33,TB!$I$2:$I$121)</f>
        <v>176539.07554452715</v>
      </c>
      <c r="F33" s="21">
        <f>SUMIF('TB UK'!$J$2:$J$63,C33,'TB UK'!$I$2:$I$64)</f>
        <v>0</v>
      </c>
      <c r="G33" s="7"/>
      <c r="H33" s="41">
        <f t="shared" si="3"/>
        <v>176539.07554452715</v>
      </c>
      <c r="I33" s="16"/>
      <c r="J33" s="7"/>
      <c r="K33" s="41">
        <f t="shared" si="4"/>
        <v>50108.511220202847</v>
      </c>
      <c r="L33" s="66">
        <v>41915.130810810799</v>
      </c>
      <c r="M33" s="66">
        <v>39611.183442470596</v>
      </c>
      <c r="N33" s="66">
        <v>44904.250071042909</v>
      </c>
      <c r="O33" s="66">
        <v>211311.4202898551</v>
      </c>
    </row>
    <row r="34" spans="2:15">
      <c r="B34" s="15"/>
      <c r="C34" s="55" t="s">
        <v>50</v>
      </c>
      <c r="D34" s="7"/>
      <c r="E34" s="21">
        <f>SUMIF(TB!$J$2:$J$121,C34,TB!$I$2:$I$121)</f>
        <v>250045.96623104493</v>
      </c>
      <c r="F34" s="21">
        <f>SUMIF('TB UK'!$J$2:$J$63,C34,'TB UK'!$I$2:$I$64)</f>
        <v>0</v>
      </c>
      <c r="G34" s="7"/>
      <c r="H34" s="41">
        <f t="shared" si="3"/>
        <v>250045.96623104493</v>
      </c>
      <c r="I34" s="16"/>
      <c r="J34" s="7"/>
      <c r="K34" s="41">
        <f t="shared" si="4"/>
        <v>41016.675456986355</v>
      </c>
      <c r="L34" s="66">
        <v>104282.21378927297</v>
      </c>
      <c r="M34" s="66">
        <v>52216.784605443594</v>
      </c>
      <c r="N34" s="66">
        <v>52530.29237934202</v>
      </c>
      <c r="O34" s="66">
        <v>473557.24254617793</v>
      </c>
    </row>
    <row r="35" spans="2:15" ht="13">
      <c r="B35" s="20" t="s">
        <v>17</v>
      </c>
      <c r="C35" s="7"/>
      <c r="D35" s="7"/>
      <c r="E35" s="10">
        <f>SUM(E28:E34)</f>
        <v>1343306.0817755722</v>
      </c>
      <c r="F35" s="10">
        <f t="shared" ref="F35:H35" si="5">SUM(F28:F34)</f>
        <v>440817.58356960001</v>
      </c>
      <c r="G35" s="10">
        <f t="shared" si="5"/>
        <v>0</v>
      </c>
      <c r="H35" s="10">
        <f t="shared" si="5"/>
        <v>1784123.6653451719</v>
      </c>
      <c r="I35" s="16"/>
      <c r="J35" s="7"/>
      <c r="K35" s="10">
        <f t="shared" ref="K35" si="6">SUM(K28:K34)</f>
        <v>281928.06562578923</v>
      </c>
      <c r="L35" s="10">
        <v>412529.99327513808</v>
      </c>
      <c r="M35" s="10">
        <v>479944.62935049518</v>
      </c>
      <c r="N35" s="10">
        <v>609720.97709374956</v>
      </c>
      <c r="O35" s="10">
        <v>2645471.8652742258</v>
      </c>
    </row>
    <row r="36" spans="2:15">
      <c r="B36" s="15"/>
      <c r="C36" s="7"/>
      <c r="D36" s="7"/>
      <c r="E36" s="22"/>
      <c r="F36" s="22"/>
      <c r="G36" s="7"/>
      <c r="H36" s="7"/>
      <c r="I36" s="16"/>
      <c r="J36" s="7"/>
      <c r="K36" s="41"/>
    </row>
    <row r="37" spans="2:15">
      <c r="B37" s="24" t="s">
        <v>6</v>
      </c>
      <c r="C37" s="7"/>
      <c r="D37" s="7"/>
      <c r="E37" s="22"/>
      <c r="F37" s="22"/>
      <c r="G37" s="7"/>
      <c r="H37" s="7"/>
      <c r="I37" s="16"/>
      <c r="J37" s="7"/>
      <c r="K37" s="41"/>
    </row>
    <row r="38" spans="2:15">
      <c r="B38" s="15"/>
      <c r="C38" s="67" t="s">
        <v>108</v>
      </c>
      <c r="D38" s="7"/>
      <c r="E38" s="21">
        <f>SUMIF(TB!$J$2:$J$121,C38,TB!$I$2:$I$121)</f>
        <v>0</v>
      </c>
      <c r="F38" s="21">
        <f>SUMIF('TB UK'!$J$2:$J$63,C38,'TB UK'!$I$2:$I$64)</f>
        <v>0</v>
      </c>
      <c r="G38" s="7"/>
      <c r="H38" s="41">
        <f>SUM(E38:G38)</f>
        <v>0</v>
      </c>
      <c r="I38" s="16"/>
      <c r="J38" s="7"/>
      <c r="K38" s="41">
        <f t="shared" si="4"/>
        <v>0</v>
      </c>
      <c r="L38" s="66">
        <v>0</v>
      </c>
      <c r="M38" s="66">
        <v>0</v>
      </c>
      <c r="N38" s="66">
        <v>0</v>
      </c>
      <c r="O38" s="66">
        <v>0</v>
      </c>
    </row>
    <row r="39" spans="2:15" ht="13">
      <c r="B39" s="15"/>
      <c r="C39" s="7" t="s">
        <v>9</v>
      </c>
      <c r="D39" s="7"/>
      <c r="E39" s="21">
        <f>SUMIF(TB!$J$2:$J$121,C39,TB!$I$2:$I$121)</f>
        <v>14359.730000000001</v>
      </c>
      <c r="F39" s="21">
        <f>SUMIF('TB UK'!$J$2:$J$63,C39,'TB UK'!$I$2:$I$64)</f>
        <v>2485.7922624000003</v>
      </c>
      <c r="G39" s="25"/>
      <c r="H39" s="41">
        <f t="shared" ref="H39:H46" si="7">SUM(E39:G39)</f>
        <v>16845.522262400002</v>
      </c>
      <c r="I39" s="16"/>
      <c r="J39" s="7"/>
      <c r="K39" s="41">
        <f t="shared" si="4"/>
        <v>2538.7954382267799</v>
      </c>
      <c r="L39" s="66">
        <v>10804.429438281106</v>
      </c>
      <c r="M39" s="66">
        <v>1226.6775242047024</v>
      </c>
      <c r="N39" s="66">
        <v>2275.6198616874135</v>
      </c>
      <c r="O39" s="66">
        <v>39325.25</v>
      </c>
    </row>
    <row r="40" spans="2:15">
      <c r="B40" s="15"/>
      <c r="C40" s="7" t="s">
        <v>53</v>
      </c>
      <c r="D40" s="7"/>
      <c r="E40" s="21">
        <f>SUMIF(TB!$J$2:$J$121,C40,TB!$I$2:$I$121)</f>
        <v>2721.08</v>
      </c>
      <c r="F40" s="21">
        <f>SUMIF('TB UK'!$J$2:$J$63,C40,'TB UK'!$I$2:$I$64)</f>
        <v>0</v>
      </c>
      <c r="G40" s="7"/>
      <c r="H40" s="41">
        <f t="shared" si="7"/>
        <v>2721.08</v>
      </c>
      <c r="I40" s="16"/>
      <c r="J40" s="7"/>
      <c r="K40" s="41">
        <f t="shared" si="4"/>
        <v>0</v>
      </c>
      <c r="L40" s="66">
        <v>0</v>
      </c>
      <c r="M40" s="66">
        <v>2721.08</v>
      </c>
      <c r="N40" s="66">
        <v>0</v>
      </c>
      <c r="O40" s="66">
        <v>0</v>
      </c>
    </row>
    <row r="41" spans="2:15">
      <c r="B41" s="15"/>
      <c r="C41" s="7" t="s">
        <v>155</v>
      </c>
      <c r="D41" s="7"/>
      <c r="E41" s="21">
        <f>SUMIF(TB!$J$2:$J$121,C41,TB!$I$2:$I$121)</f>
        <v>123717.82931524958</v>
      </c>
      <c r="F41" s="21">
        <f>SUMIF('TB UK'!$J$2:$J$63,C41,'TB UK'!$I$2:$I$64)</f>
        <v>0</v>
      </c>
      <c r="G41" s="7"/>
      <c r="H41" s="41">
        <f t="shared" si="7"/>
        <v>123717.82931524958</v>
      </c>
      <c r="I41" s="16"/>
      <c r="J41" s="7"/>
      <c r="K41" s="41">
        <f t="shared" si="4"/>
        <v>64971.055654161697</v>
      </c>
      <c r="L41" s="66">
        <v>15183.398723328541</v>
      </c>
      <c r="M41" s="66">
        <v>25725.485477178419</v>
      </c>
      <c r="N41" s="66">
        <v>17837.889460580915</v>
      </c>
      <c r="O41" s="66">
        <v>19971.689999999999</v>
      </c>
    </row>
    <row r="42" spans="2:15">
      <c r="B42" s="15"/>
      <c r="C42" s="7" t="s">
        <v>10</v>
      </c>
      <c r="D42" s="7"/>
      <c r="E42" s="21">
        <f>SUMIF(TB!$J$2:$J$121,C42,TB!$I$2:$I$121)</f>
        <v>0</v>
      </c>
      <c r="F42" s="21">
        <f>SUMIF('TB UK'!$J$2:$J$63,C42,'TB UK'!$I$2:$I$64)</f>
        <v>11063.4128</v>
      </c>
      <c r="G42" s="7"/>
      <c r="H42" s="41">
        <f t="shared" si="7"/>
        <v>11063.4128</v>
      </c>
      <c r="I42" s="16"/>
      <c r="J42" s="7"/>
      <c r="K42" s="41">
        <f t="shared" si="4"/>
        <v>462.13420000000042</v>
      </c>
      <c r="L42" s="66">
        <v>10601.2786</v>
      </c>
      <c r="M42" s="66">
        <v>0</v>
      </c>
      <c r="N42" s="66">
        <v>0</v>
      </c>
      <c r="O42" s="66">
        <v>0</v>
      </c>
    </row>
    <row r="43" spans="2:15">
      <c r="B43" s="15"/>
      <c r="C43" s="7" t="s">
        <v>11</v>
      </c>
      <c r="D43" s="7"/>
      <c r="E43" s="21">
        <f>SUMIF(TB!$J$2:$J$121,C43,TB!$I$2:$I$121)</f>
        <v>0</v>
      </c>
      <c r="F43" s="21">
        <f>SUMIF('TB UK'!$J$2:$J$63,C43,'TB UK'!$I$2:$I$64)</f>
        <v>0</v>
      </c>
      <c r="G43" s="7"/>
      <c r="H43" s="41">
        <f t="shared" si="7"/>
        <v>0</v>
      </c>
      <c r="I43" s="16"/>
      <c r="J43" s="7"/>
      <c r="K43" s="41">
        <f t="shared" si="4"/>
        <v>0</v>
      </c>
      <c r="L43" s="66">
        <v>0</v>
      </c>
      <c r="M43" s="66">
        <v>0</v>
      </c>
      <c r="N43" s="66">
        <v>0</v>
      </c>
      <c r="O43" s="66">
        <v>0</v>
      </c>
    </row>
    <row r="44" spans="2:15">
      <c r="B44" s="15"/>
      <c r="C44" s="67" t="s">
        <v>194</v>
      </c>
      <c r="D44" s="7"/>
      <c r="E44" s="21">
        <f>SUMIF(TB!$J$2:$J$121,C44,TB!$I$2:$I$121)</f>
        <v>0</v>
      </c>
      <c r="F44" s="21">
        <f>SUMIF('TB UK'!$J$2:$J$63,C44,'TB UK'!$I$2:$I$64)</f>
        <v>0</v>
      </c>
      <c r="G44" s="7"/>
      <c r="H44" s="41">
        <f t="shared" si="7"/>
        <v>0</v>
      </c>
      <c r="I44" s="16"/>
      <c r="J44" s="7"/>
      <c r="K44" s="41">
        <f t="shared" si="4"/>
        <v>0</v>
      </c>
      <c r="L44" s="66">
        <v>0</v>
      </c>
      <c r="M44" s="66">
        <v>0</v>
      </c>
      <c r="N44" s="66">
        <v>0</v>
      </c>
      <c r="O44" s="66">
        <v>0</v>
      </c>
    </row>
    <row r="45" spans="2:15">
      <c r="B45" s="15"/>
      <c r="C45" s="7" t="s">
        <v>139</v>
      </c>
      <c r="D45" s="7"/>
      <c r="E45" s="21">
        <f>SUMIF(TB!$J$2:$J$121,C45,TB!$I$2:$I$121)</f>
        <v>0</v>
      </c>
      <c r="F45" s="21">
        <f>SUMIF('TB UK'!$J$2:$J$63,C45,'TB UK'!$I$2:$I$64)</f>
        <v>0</v>
      </c>
      <c r="G45" s="7"/>
      <c r="H45" s="41">
        <f t="shared" si="7"/>
        <v>0</v>
      </c>
      <c r="I45" s="16"/>
      <c r="J45" s="7"/>
      <c r="K45" s="41">
        <f t="shared" si="4"/>
        <v>0</v>
      </c>
      <c r="L45" s="66">
        <v>0</v>
      </c>
      <c r="M45" s="66">
        <v>0</v>
      </c>
      <c r="N45" s="66">
        <v>0</v>
      </c>
      <c r="O45" s="66">
        <v>0</v>
      </c>
    </row>
    <row r="46" spans="2:15">
      <c r="B46" s="15"/>
      <c r="C46" s="72" t="s">
        <v>233</v>
      </c>
      <c r="D46" s="7"/>
      <c r="E46" s="21">
        <f>SUMIF(TB!$J$2:$J$121,C46,TB!$I$2:$I$121)</f>
        <v>471674.81441947207</v>
      </c>
      <c r="F46" s="21">
        <f>SUMIF('TB UK'!$J$2:$J$63,C46,'TB UK'!$I$2:$I$64)</f>
        <v>-471674.40944000002</v>
      </c>
      <c r="G46" s="7"/>
      <c r="H46" s="41">
        <f t="shared" si="7"/>
        <v>0.40497947204858065</v>
      </c>
      <c r="I46" s="16"/>
      <c r="J46" s="7"/>
      <c r="K46" s="41">
        <f t="shared" si="4"/>
        <v>0.40497947204858065</v>
      </c>
      <c r="L46" s="66">
        <v>0</v>
      </c>
      <c r="M46" s="66">
        <v>0</v>
      </c>
      <c r="N46" s="66">
        <v>0</v>
      </c>
      <c r="O46" s="66">
        <v>1.9999999960418791E-2</v>
      </c>
    </row>
    <row r="47" spans="2:15" ht="13">
      <c r="B47" s="20" t="s">
        <v>18</v>
      </c>
      <c r="C47" s="7"/>
      <c r="D47" s="7"/>
      <c r="E47" s="10">
        <f>SUM(E38:E46)</f>
        <v>612473.45373472164</v>
      </c>
      <c r="F47" s="10">
        <f>SUM(F38:F46)</f>
        <v>-458125.20437759999</v>
      </c>
      <c r="G47" s="10">
        <f>SUM(G38:G46)</f>
        <v>0</v>
      </c>
      <c r="H47" s="10">
        <f>SUM(H38:H46)</f>
        <v>154348.24935712162</v>
      </c>
      <c r="I47" s="16"/>
      <c r="J47" s="7"/>
      <c r="K47" s="10">
        <f>SUM(K38:K46)</f>
        <v>67972.390271860524</v>
      </c>
      <c r="L47" s="10">
        <v>36589.106761609633</v>
      </c>
      <c r="M47" s="10">
        <v>29673.243001383125</v>
      </c>
      <c r="N47" s="10">
        <v>20113.509322268328</v>
      </c>
      <c r="O47" s="10">
        <v>59296.959999999963</v>
      </c>
    </row>
    <row r="48" spans="2:15">
      <c r="B48" s="15"/>
      <c r="C48" s="8"/>
      <c r="D48" s="7"/>
      <c r="E48" s="22"/>
      <c r="F48" s="22"/>
      <c r="G48" s="7"/>
      <c r="H48" s="7"/>
      <c r="I48" s="16"/>
      <c r="J48" s="7"/>
      <c r="K48" s="41"/>
    </row>
    <row r="49" spans="2:15">
      <c r="B49" s="24" t="s">
        <v>7</v>
      </c>
      <c r="C49" s="7"/>
      <c r="D49" s="7"/>
      <c r="E49" s="22"/>
      <c r="F49" s="22"/>
      <c r="G49" s="7"/>
      <c r="H49" s="7"/>
      <c r="I49" s="16"/>
      <c r="J49" s="7"/>
      <c r="K49" s="41"/>
    </row>
    <row r="50" spans="2:15">
      <c r="B50" s="15"/>
      <c r="C50" s="67" t="s">
        <v>109</v>
      </c>
      <c r="D50" s="7"/>
      <c r="E50" s="127">
        <f>SUMIF(TB!$J$2:$J$121,C50,TB!$I$2:$I$121)</f>
        <v>153711.53</v>
      </c>
      <c r="F50" s="21">
        <f>SUMIF('TB UK'!$J$2:$J$63,C50,'TB UK'!$I$2:$I$64)</f>
        <v>159352.36914719999</v>
      </c>
      <c r="G50" s="7"/>
      <c r="H50" s="41">
        <f t="shared" ref="H50:H64" si="8">SUM(E50:G50)</f>
        <v>313063.89914719999</v>
      </c>
      <c r="I50" s="16"/>
      <c r="J50" s="7"/>
      <c r="K50" s="41">
        <f t="shared" si="4"/>
        <v>73215.009015400021</v>
      </c>
      <c r="L50" s="66">
        <v>149571.0360777459</v>
      </c>
      <c r="M50" s="66">
        <v>42816.998697418647</v>
      </c>
      <c r="N50" s="66">
        <v>47460.855356635409</v>
      </c>
      <c r="O50" s="66">
        <v>411763.22250639385</v>
      </c>
    </row>
    <row r="51" spans="2:15">
      <c r="B51" s="15"/>
      <c r="C51" s="7" t="s">
        <v>140</v>
      </c>
      <c r="D51" s="7"/>
      <c r="E51" s="21">
        <f>SUMIF(TB!$J$2:$J$121,C51,TB!$I$2:$I$121)</f>
        <v>40385.611240694787</v>
      </c>
      <c r="F51" s="21">
        <f>SUMIF('TB UK'!$J$2:$J$63,C51,'TB UK'!$I$2:$I$64)</f>
        <v>48460.485271999998</v>
      </c>
      <c r="G51" s="21"/>
      <c r="H51" s="41">
        <f t="shared" si="8"/>
        <v>88846.096512694785</v>
      </c>
      <c r="I51" s="16"/>
      <c r="J51" s="7"/>
      <c r="K51" s="41">
        <f t="shared" si="4"/>
        <v>17124.244584046126</v>
      </c>
      <c r="L51" s="66">
        <v>18763.314901621638</v>
      </c>
      <c r="M51" s="66">
        <v>28149.22702702702</v>
      </c>
      <c r="N51" s="66">
        <v>24809.31</v>
      </c>
      <c r="O51" s="66">
        <v>50797.74</v>
      </c>
    </row>
    <row r="52" spans="2:15">
      <c r="B52" s="15"/>
      <c r="C52" s="116" t="s">
        <v>106</v>
      </c>
      <c r="D52" s="7"/>
      <c r="E52" s="21">
        <f>SUMIF(TB!$J$2:$J$121,C52,TB!$I$2:$I$121)</f>
        <v>27086.2</v>
      </c>
      <c r="F52" s="21">
        <f>SUMIF('TB UK'!$J$2:$J$63,C52,'TB UK'!$I$2:$I$64)</f>
        <v>2501.6808000000001</v>
      </c>
      <c r="G52" s="21">
        <f>'TB US'!C9+'TB US'!C10</f>
        <v>7762.5</v>
      </c>
      <c r="H52" s="41">
        <f t="shared" si="8"/>
        <v>37350.380799999999</v>
      </c>
      <c r="I52" s="16"/>
      <c r="J52" s="7"/>
      <c r="K52" s="41">
        <f t="shared" si="4"/>
        <v>13971.171999999993</v>
      </c>
      <c r="L52" s="66">
        <v>7204.7487999999994</v>
      </c>
      <c r="M52" s="66">
        <v>11612.69</v>
      </c>
      <c r="N52" s="66">
        <v>4561.7700000000004</v>
      </c>
      <c r="O52" s="66">
        <v>109803.57625177607</v>
      </c>
    </row>
    <row r="53" spans="2:15">
      <c r="B53" s="15"/>
      <c r="C53" s="7" t="s">
        <v>12</v>
      </c>
      <c r="D53" s="7"/>
      <c r="E53" s="21">
        <f>SUMIF(TB!$J$2:$J$121,C53,TB!$I$2:$I$121)</f>
        <v>1474.03</v>
      </c>
      <c r="F53" s="21">
        <f>SUMIF('TB UK'!$J$2:$J$63,C53,'TB UK'!$I$2:$I$64)</f>
        <v>1966.9704000000002</v>
      </c>
      <c r="G53" s="7"/>
      <c r="H53" s="41">
        <f t="shared" si="8"/>
        <v>3441.0003999999999</v>
      </c>
      <c r="I53" s="16"/>
      <c r="J53" s="7"/>
      <c r="K53" s="41">
        <f t="shared" si="4"/>
        <v>1556.1930999999997</v>
      </c>
      <c r="L53" s="66">
        <v>45.207300000000032</v>
      </c>
      <c r="M53" s="66">
        <v>919.8</v>
      </c>
      <c r="N53" s="66">
        <v>919.8</v>
      </c>
      <c r="O53" s="66">
        <v>2879.81</v>
      </c>
    </row>
    <row r="54" spans="2:15">
      <c r="B54" s="15"/>
      <c r="C54" s="55" t="s">
        <v>93</v>
      </c>
      <c r="D54" s="7"/>
      <c r="E54" s="21">
        <f>SUMIF(TB!$J$2:$J$121,C54,TB!$I$2:$I$121)</f>
        <v>11946.89</v>
      </c>
      <c r="F54" s="21">
        <f>SUMIF('TB UK'!$J$2:$J$63,C54,'TB UK'!$I$2:$I$64)</f>
        <v>1642.3248000000001</v>
      </c>
      <c r="G54" s="7"/>
      <c r="H54" s="41">
        <f t="shared" si="8"/>
        <v>13589.2148</v>
      </c>
      <c r="I54" s="16"/>
      <c r="J54" s="7"/>
      <c r="K54" s="41">
        <f t="shared" si="4"/>
        <v>4838.6422000000011</v>
      </c>
      <c r="L54" s="66">
        <v>3948.9625999999998</v>
      </c>
      <c r="M54" s="66">
        <v>2287.25</v>
      </c>
      <c r="N54" s="66">
        <v>2514.3599999999997</v>
      </c>
      <c r="O54" s="66">
        <v>23473.806913895991</v>
      </c>
    </row>
    <row r="55" spans="2:15">
      <c r="B55" s="15"/>
      <c r="C55" s="7" t="s">
        <v>15</v>
      </c>
      <c r="D55" s="7"/>
      <c r="E55" s="21">
        <f>SUMIF(TB!$J$2:$J$121,C55,TB!$I$2:$I$121)</f>
        <v>0</v>
      </c>
      <c r="F55" s="21">
        <f>SUMIF('TB UK'!$J$2:$J$63,C55,'TB UK'!$I$2:$I$64)</f>
        <v>0</v>
      </c>
      <c r="G55" s="7"/>
      <c r="H55" s="41">
        <f t="shared" si="8"/>
        <v>0</v>
      </c>
      <c r="I55" s="16"/>
      <c r="J55" s="7"/>
      <c r="K55" s="41">
        <f t="shared" si="4"/>
        <v>0</v>
      </c>
      <c r="L55" s="66">
        <v>0</v>
      </c>
      <c r="M55" s="66">
        <v>0</v>
      </c>
      <c r="N55" s="66">
        <v>0</v>
      </c>
      <c r="O55" s="66">
        <v>0</v>
      </c>
    </row>
    <row r="56" spans="2:15">
      <c r="B56" s="15"/>
      <c r="C56" s="7" t="s">
        <v>13</v>
      </c>
      <c r="D56" s="7"/>
      <c r="E56" s="21">
        <f>SUMIF(TB!$J$2:$J$121,C56,TB!$I$2:$I$121)</f>
        <v>122403.24119106699</v>
      </c>
      <c r="F56" s="21">
        <f>SUMIF('TB UK'!$J$2:$J$63,C56,'TB UK'!$I$2:$I$64)</f>
        <v>17024.058790400002</v>
      </c>
      <c r="G56" s="7"/>
      <c r="H56" s="41">
        <f t="shared" si="8"/>
        <v>139427.29998146699</v>
      </c>
      <c r="I56" s="16"/>
      <c r="J56" s="7"/>
      <c r="K56" s="41">
        <f t="shared" si="4"/>
        <v>32064.972818467009</v>
      </c>
      <c r="L56" s="66">
        <v>29924.757162999973</v>
      </c>
      <c r="M56" s="66">
        <v>35177.98000000001</v>
      </c>
      <c r="N56" s="66">
        <v>42259.59</v>
      </c>
      <c r="O56" s="66">
        <v>157960.68049445865</v>
      </c>
    </row>
    <row r="57" spans="2:15">
      <c r="B57" s="15"/>
      <c r="C57" s="7" t="s">
        <v>14</v>
      </c>
      <c r="D57" s="7"/>
      <c r="E57" s="21">
        <f>SUMIF(TB!$J$2:$J$121,C57,TB!$I$2:$I$121)</f>
        <v>12435.96</v>
      </c>
      <c r="F57" s="21">
        <f>SUMIF('TB UK'!$J$2:$J$63,C57,'TB UK'!$I$2:$I$64)</f>
        <v>5056.5652848</v>
      </c>
      <c r="G57" s="7"/>
      <c r="H57" s="41">
        <f t="shared" si="8"/>
        <v>17492.525284799998</v>
      </c>
      <c r="I57" s="16"/>
      <c r="J57" s="7"/>
      <c r="K57" s="41">
        <f t="shared" si="4"/>
        <v>-4276.7566114284537</v>
      </c>
      <c r="L57" s="66">
        <v>12308.079116145462</v>
      </c>
      <c r="M57" s="66">
        <v>5395.0527800829886</v>
      </c>
      <c r="N57" s="66">
        <v>4066.1500000000005</v>
      </c>
      <c r="O57" s="66">
        <v>21155.253086104007</v>
      </c>
    </row>
    <row r="58" spans="2:15">
      <c r="B58" s="15"/>
      <c r="C58" s="7" t="s">
        <v>146</v>
      </c>
      <c r="D58" s="7"/>
      <c r="E58" s="21">
        <f>SUMIF(TB!$J$2:$J$121,C58,TB!$I$2:$I$121)</f>
        <v>37571.74</v>
      </c>
      <c r="F58" s="21">
        <f>SUMIF('TB UK'!$J$2:$J$63,C58,'TB UK'!$I$2:$I$64)</f>
        <v>4503.0509024000003</v>
      </c>
      <c r="G58" s="7"/>
      <c r="H58" s="41">
        <f t="shared" si="8"/>
        <v>42074.790902399996</v>
      </c>
      <c r="I58" s="16"/>
      <c r="J58" s="7"/>
      <c r="K58" s="41">
        <f t="shared" si="4"/>
        <v>10996.297341399166</v>
      </c>
      <c r="L58" s="66">
        <v>9725.9381114849293</v>
      </c>
      <c r="M58" s="66">
        <v>10903.554247469869</v>
      </c>
      <c r="N58" s="66">
        <v>10449.001202046036</v>
      </c>
      <c r="O58" s="66">
        <v>52854.57</v>
      </c>
    </row>
    <row r="59" spans="2:15">
      <c r="B59" s="15"/>
      <c r="C59" s="67" t="s">
        <v>193</v>
      </c>
      <c r="D59" s="7"/>
      <c r="E59" s="21">
        <f>SUMIF(TB!$J$2:$J$121,C59,TB!$I$2:$I$121)</f>
        <v>0</v>
      </c>
      <c r="F59" s="21">
        <f>SUMIF('TB UK'!$J$2:$J$63,C59,'TB UK'!$I$2:$I$64)</f>
        <v>4682.6754031999999</v>
      </c>
      <c r="G59" s="7"/>
      <c r="H59" s="41">
        <f t="shared" si="8"/>
        <v>4682.6754031999999</v>
      </c>
      <c r="I59" s="16"/>
      <c r="J59" s="7"/>
      <c r="K59" s="41">
        <f t="shared" si="4"/>
        <v>195.60188980000021</v>
      </c>
      <c r="L59" s="66">
        <v>175.2735133999995</v>
      </c>
      <c r="M59" s="66">
        <v>4311.8</v>
      </c>
      <c r="N59" s="66">
        <v>0</v>
      </c>
      <c r="O59" s="66">
        <v>13696.03</v>
      </c>
    </row>
    <row r="60" spans="2:15">
      <c r="B60" s="15"/>
      <c r="C60" s="67" t="s">
        <v>145</v>
      </c>
      <c r="D60" s="7"/>
      <c r="E60" s="21">
        <f>SUMIF(TB!$J$2:$J$121,C60,TB!$I$2:$I$121)</f>
        <v>2482.0100000000002</v>
      </c>
      <c r="F60" s="21">
        <f>SUMIF('TB UK'!$J$2:$J$63,C60,'TB UK'!$I$2:$I$64)</f>
        <v>0</v>
      </c>
      <c r="G60" s="7"/>
      <c r="H60" s="41">
        <f t="shared" si="8"/>
        <v>2482.0100000000002</v>
      </c>
      <c r="I60" s="16"/>
      <c r="J60" s="7"/>
      <c r="K60" s="41">
        <f t="shared" si="4"/>
        <v>532.05000000000018</v>
      </c>
      <c r="L60" s="66">
        <v>283.59000000000015</v>
      </c>
      <c r="M60" s="66">
        <v>969.16999999999985</v>
      </c>
      <c r="N60" s="66">
        <v>697.2</v>
      </c>
      <c r="O60" s="66">
        <v>5288.01</v>
      </c>
    </row>
    <row r="61" spans="2:15">
      <c r="B61" s="15"/>
      <c r="C61" s="7" t="s">
        <v>16</v>
      </c>
      <c r="D61" s="7"/>
      <c r="E61" s="21">
        <f>SUMIF(TB!$J$2:$J$121,C61,TB!$I$2:$I$121)</f>
        <v>-176539.07554452715</v>
      </c>
      <c r="F61" s="21">
        <f>SUMIF('TB UK'!$J$2:$J$63,C61,'TB UK'!$I$2:$I$64)</f>
        <v>0</v>
      </c>
      <c r="G61" s="7"/>
      <c r="H61" s="41">
        <f t="shared" si="8"/>
        <v>-176539.07554452715</v>
      </c>
      <c r="I61" s="16"/>
      <c r="J61" s="7"/>
      <c r="K61" s="41">
        <f t="shared" si="4"/>
        <v>-50108.511220202847</v>
      </c>
      <c r="L61" s="66">
        <v>-41915.130810810799</v>
      </c>
      <c r="M61" s="66">
        <v>-39611.183442470596</v>
      </c>
      <c r="N61" s="66">
        <v>-44904.250071042909</v>
      </c>
      <c r="O61" s="66">
        <v>-211311.4202898551</v>
      </c>
    </row>
    <row r="62" spans="2:15">
      <c r="B62" s="15"/>
      <c r="C62" s="72" t="s">
        <v>235</v>
      </c>
      <c r="D62" s="7"/>
      <c r="E62" s="21">
        <f>SUMIF(TB!$J$2:$J$121,C62,TB!$I$2:$I$121)</f>
        <v>277890.993933024</v>
      </c>
      <c r="F62" s="21">
        <f>SUMIF('TB UK'!$J$2:$J$63,C62,'TB UK'!$I$2:$I$64)</f>
        <v>-277891.54112000001</v>
      </c>
      <c r="G62" s="7"/>
      <c r="H62" s="41">
        <f t="shared" ref="H62" si="9">SUM(E62:G62)</f>
        <v>-0.54718697600765154</v>
      </c>
      <c r="I62" s="16"/>
      <c r="J62" s="7"/>
      <c r="K62" s="41">
        <f t="shared" si="4"/>
        <v>-0.54718697600765154</v>
      </c>
      <c r="L62" s="66">
        <v>0</v>
      </c>
      <c r="M62" s="66">
        <v>0</v>
      </c>
      <c r="N62" s="66">
        <v>0</v>
      </c>
      <c r="O62" s="66">
        <v>0.32000000000698492</v>
      </c>
    </row>
    <row r="63" spans="2:15">
      <c r="B63" s="15"/>
      <c r="C63" s="52" t="s">
        <v>62</v>
      </c>
      <c r="D63" s="7"/>
      <c r="E63" s="21">
        <f>SUMIF(TB!$J$2:$J$121,C63,TB!$I$2:$I$121)</f>
        <v>24780</v>
      </c>
      <c r="F63" s="21">
        <f>SUMIF('TB UK'!$J$2:$J$63,C63,'TB UK'!$I$2:$I$64)</f>
        <v>420.12959999999998</v>
      </c>
      <c r="G63" s="7"/>
      <c r="H63" s="41">
        <f t="shared" si="8"/>
        <v>25200.1296</v>
      </c>
      <c r="I63" s="16"/>
      <c r="J63" s="7"/>
      <c r="K63" s="41">
        <f t="shared" si="4"/>
        <v>24797.549399999996</v>
      </c>
      <c r="L63" s="66">
        <v>-15.399800000000027</v>
      </c>
      <c r="M63" s="66">
        <v>210.15</v>
      </c>
      <c r="N63" s="66">
        <v>207.83</v>
      </c>
      <c r="O63" s="66">
        <v>22400.89</v>
      </c>
    </row>
    <row r="64" spans="2:15">
      <c r="B64" s="15"/>
      <c r="C64" s="67" t="s">
        <v>111</v>
      </c>
      <c r="D64" s="7"/>
      <c r="E64" s="21">
        <f>SUMIF(TB!$J$2:$J$121,C64,TB!$I$2:$I$121)</f>
        <v>18127.309999999998</v>
      </c>
      <c r="F64" s="21">
        <f>SUMIF('TB UK'!$J$2:$J$63,C64,'TB UK'!$I$2:$I$64)</f>
        <v>1528.7115712</v>
      </c>
      <c r="G64" s="21">
        <f>'TB US'!C11+'TB US'!C12</f>
        <v>1035</v>
      </c>
      <c r="H64" s="41">
        <f t="shared" si="8"/>
        <v>20691.021571199999</v>
      </c>
      <c r="I64" s="16"/>
      <c r="J64" s="7"/>
      <c r="K64" s="41">
        <f t="shared" si="4"/>
        <v>7974.0627224912132</v>
      </c>
      <c r="L64" s="66">
        <v>-17588.390335246957</v>
      </c>
      <c r="M64" s="66">
        <v>14239.512531438704</v>
      </c>
      <c r="N64" s="66">
        <v>16065.836652517039</v>
      </c>
      <c r="O64" s="66">
        <v>39892.200000000004</v>
      </c>
    </row>
    <row r="65" spans="2:15" ht="13">
      <c r="B65" s="20" t="s">
        <v>19</v>
      </c>
      <c r="C65" s="7"/>
      <c r="D65" s="7"/>
      <c r="E65" s="10">
        <f>SUM(E50:E64)</f>
        <v>553756.44082025858</v>
      </c>
      <c r="F65" s="10">
        <f>SUM(F50:F64)</f>
        <v>-30752.519148800035</v>
      </c>
      <c r="G65" s="10">
        <f>SUM(G50:G64)</f>
        <v>8797.5</v>
      </c>
      <c r="H65" s="10">
        <f>SUM(H50:H64)</f>
        <v>531801.42167145864</v>
      </c>
      <c r="I65" s="16"/>
      <c r="J65" s="7"/>
      <c r="K65" s="10">
        <f>SUM(K50:K64)</f>
        <v>132879.98005299619</v>
      </c>
      <c r="L65" s="10">
        <v>172431.98663734016</v>
      </c>
      <c r="M65" s="10">
        <v>117382.00184096664</v>
      </c>
      <c r="N65" s="10">
        <v>109107.45314015559</v>
      </c>
      <c r="O65" s="10">
        <v>700654.68896277354</v>
      </c>
    </row>
    <row r="66" spans="2:15">
      <c r="B66" s="15"/>
      <c r="C66" s="7"/>
      <c r="D66" s="7"/>
      <c r="E66" s="22"/>
      <c r="F66" s="22"/>
      <c r="G66" s="22"/>
      <c r="H66" s="22"/>
      <c r="I66" s="16"/>
      <c r="J66" s="7"/>
      <c r="K66" s="41">
        <f t="shared" si="4"/>
        <v>0</v>
      </c>
      <c r="L66" s="22">
        <v>0</v>
      </c>
      <c r="M66" s="22">
        <v>0</v>
      </c>
      <c r="N66" s="22"/>
      <c r="O66" s="22"/>
    </row>
    <row r="67" spans="2:15" ht="13.5" thickBot="1">
      <c r="B67" s="20" t="s">
        <v>20</v>
      </c>
      <c r="C67" s="7"/>
      <c r="D67" s="7"/>
      <c r="E67" s="9">
        <f>+E47+E65+E35</f>
        <v>2509535.9763305523</v>
      </c>
      <c r="F67" s="9">
        <f>+F47+F65+F35</f>
        <v>-48060.139956800034</v>
      </c>
      <c r="G67" s="9">
        <f>+G47+G65+G35</f>
        <v>8797.5</v>
      </c>
      <c r="H67" s="9">
        <f>+H47+H65+H35</f>
        <v>2470273.336373752</v>
      </c>
      <c r="I67" s="16"/>
      <c r="J67" s="7"/>
      <c r="K67" s="9">
        <f>+K47+K65+K35</f>
        <v>482780.43595064594</v>
      </c>
      <c r="L67" s="9">
        <v>621551.08667408791</v>
      </c>
      <c r="M67" s="9">
        <v>626999.87419284484</v>
      </c>
      <c r="N67" s="9">
        <v>738941.93955617351</v>
      </c>
      <c r="O67" s="9">
        <v>3405423.5142369992</v>
      </c>
    </row>
    <row r="68" spans="2:15" ht="13" thickTop="1">
      <c r="B68" s="15"/>
      <c r="C68" s="7"/>
      <c r="D68" s="7"/>
      <c r="E68" s="22"/>
      <c r="F68" s="22"/>
      <c r="G68" s="7"/>
      <c r="H68" s="7"/>
      <c r="I68" s="16"/>
      <c r="J68" s="7"/>
      <c r="K68" s="41"/>
    </row>
    <row r="69" spans="2:15">
      <c r="B69" s="115"/>
      <c r="C69" s="116" t="s">
        <v>133</v>
      </c>
      <c r="D69" s="7"/>
      <c r="E69" s="21">
        <f>SUMIF(TB!$J$2:$J$121,C69,TB!$I$2:$I$121)</f>
        <v>-20877.18</v>
      </c>
      <c r="F69" s="21">
        <f>SUMIF('TB UK'!$J$2:$J$63,C69,'TB UK'!$I$2:$I$64)</f>
        <v>21718.720374400003</v>
      </c>
      <c r="G69" s="7"/>
      <c r="H69" s="41">
        <f t="shared" ref="H69" si="10">SUM(E69:G69)</f>
        <v>841.5403744000032</v>
      </c>
      <c r="I69" s="16"/>
      <c r="J69" s="7"/>
      <c r="K69" s="41">
        <f t="shared" si="4"/>
        <v>12844.164237400008</v>
      </c>
      <c r="L69" s="66">
        <v>42014.036136999988</v>
      </c>
      <c r="M69" s="66">
        <v>12086.150000000009</v>
      </c>
      <c r="N69" s="66">
        <v>-66102.81</v>
      </c>
      <c r="O69" s="66">
        <v>32857.198508098903</v>
      </c>
    </row>
    <row r="70" spans="2:15">
      <c r="B70" s="115"/>
      <c r="C70" s="116"/>
      <c r="D70" s="7"/>
      <c r="E70" s="22"/>
      <c r="F70" s="22"/>
      <c r="G70" s="7"/>
      <c r="H70" s="7"/>
      <c r="I70" s="16"/>
      <c r="J70" s="7"/>
      <c r="K70" s="41"/>
    </row>
    <row r="71" spans="2:15" ht="13.5" thickBot="1">
      <c r="B71" s="115" t="s">
        <v>134</v>
      </c>
      <c r="C71" s="116"/>
      <c r="D71" s="7"/>
      <c r="E71" s="118">
        <f>E23-E67-E69</f>
        <v>-2488658.7963305521</v>
      </c>
      <c r="F71" s="118">
        <f>F23-F67-F69</f>
        <v>26341.419582400031</v>
      </c>
      <c r="G71" s="118">
        <f>G23-G67-G69</f>
        <v>-8797.5</v>
      </c>
      <c r="H71" s="118">
        <f>H23-H67-H69</f>
        <v>-2471114.8767481521</v>
      </c>
      <c r="I71" s="16"/>
      <c r="J71" s="7"/>
      <c r="K71" s="118">
        <f>K23-K67-K69</f>
        <v>-495624.60018804594</v>
      </c>
      <c r="L71" s="118">
        <v>-663565.12281108787</v>
      </c>
      <c r="M71" s="118">
        <v>-639086.02419284498</v>
      </c>
      <c r="N71" s="118">
        <v>-672839.12955617346</v>
      </c>
      <c r="O71" s="118">
        <v>-3438280.7127450979</v>
      </c>
    </row>
    <row r="72" spans="2:15">
      <c r="B72" s="15"/>
      <c r="C72" s="7"/>
      <c r="D72" s="7"/>
      <c r="E72" s="22"/>
      <c r="F72" s="22"/>
      <c r="G72" s="22"/>
      <c r="H72" s="22"/>
      <c r="I72" s="16"/>
      <c r="J72" s="7"/>
      <c r="K72" s="41"/>
      <c r="L72" s="22"/>
      <c r="M72" s="22"/>
      <c r="N72" s="22"/>
      <c r="O72" s="22"/>
    </row>
    <row r="73" spans="2:15">
      <c r="B73" s="115" t="s">
        <v>135</v>
      </c>
      <c r="C73" s="7"/>
      <c r="D73" s="7"/>
      <c r="E73" s="21">
        <f>SUMIF(TB!$J$2:$J$121,C73,TB!$I$2:$I$121)</f>
        <v>0</v>
      </c>
      <c r="F73" s="21">
        <f>SUMIF('TB UK'!$J$2:$J$63,C73,'TB UK'!$I$2:$I$64)</f>
        <v>0</v>
      </c>
      <c r="G73" s="21">
        <f>SUMIF(TB!$J$2:$J$121,E73,TB!$I$2:$I$121)</f>
        <v>0</v>
      </c>
      <c r="H73" s="41">
        <f t="shared" ref="H73" si="11">SUM(E73:G73)</f>
        <v>0</v>
      </c>
      <c r="I73" s="16"/>
      <c r="J73" s="7"/>
      <c r="K73" s="41">
        <f t="shared" si="4"/>
        <v>0</v>
      </c>
      <c r="L73" s="66">
        <v>0</v>
      </c>
      <c r="M73" s="66">
        <v>0</v>
      </c>
      <c r="N73" s="66">
        <v>0</v>
      </c>
      <c r="O73" s="66">
        <v>0</v>
      </c>
    </row>
    <row r="74" spans="2:15">
      <c r="B74" s="115"/>
      <c r="C74" s="7"/>
      <c r="D74" s="7"/>
      <c r="E74" s="22"/>
      <c r="F74" s="22"/>
      <c r="G74" s="22"/>
      <c r="H74" s="22"/>
      <c r="I74" s="16"/>
      <c r="J74" s="7"/>
      <c r="K74" s="41"/>
      <c r="L74" s="22"/>
      <c r="M74" s="22"/>
      <c r="N74" s="22"/>
      <c r="O74" s="22"/>
    </row>
    <row r="75" spans="2:15" ht="14.5" thickBot="1">
      <c r="B75" s="117" t="s">
        <v>136</v>
      </c>
      <c r="C75" s="7"/>
      <c r="D75" s="7"/>
      <c r="E75" s="118">
        <f>E71-E73</f>
        <v>-2488658.7963305521</v>
      </c>
      <c r="F75" s="118">
        <f t="shared" ref="F75:G75" si="12">F71-F73</f>
        <v>26341.419582400031</v>
      </c>
      <c r="G75" s="118">
        <f t="shared" si="12"/>
        <v>-8797.5</v>
      </c>
      <c r="H75" s="118">
        <f t="shared" ref="H75" si="13">H71-H73</f>
        <v>-2471114.8767481521</v>
      </c>
      <c r="I75" s="16"/>
      <c r="J75" s="7"/>
      <c r="K75" s="118">
        <f t="shared" ref="K75" si="14">K71-K73</f>
        <v>-495624.60018804594</v>
      </c>
      <c r="L75" s="118">
        <v>-663565.12281108787</v>
      </c>
      <c r="M75" s="118">
        <v>-639086.02419284498</v>
      </c>
      <c r="N75" s="118">
        <v>-672839.12955617346</v>
      </c>
      <c r="O75" s="118">
        <v>-3438280.7127450979</v>
      </c>
    </row>
    <row r="76" spans="2:15">
      <c r="B76" s="15"/>
      <c r="C76" s="7"/>
      <c r="D76" s="7"/>
      <c r="E76" s="22"/>
      <c r="F76" s="22"/>
      <c r="G76" s="22"/>
      <c r="H76" s="22"/>
      <c r="I76" s="16"/>
      <c r="J76" s="7"/>
      <c r="K76" s="41"/>
      <c r="L76" s="22"/>
      <c r="M76" s="22">
        <v>0</v>
      </c>
      <c r="N76" s="22"/>
      <c r="O76" s="22"/>
    </row>
    <row r="77" spans="2:15">
      <c r="B77" s="15"/>
      <c r="C77" s="7"/>
      <c r="D77" s="7"/>
      <c r="E77" s="22"/>
      <c r="F77" s="22"/>
      <c r="G77" s="22"/>
      <c r="H77" s="22"/>
      <c r="I77" s="16"/>
      <c r="J77" s="7"/>
      <c r="K77" s="41">
        <f t="shared" si="4"/>
        <v>0</v>
      </c>
      <c r="L77" s="22">
        <v>0</v>
      </c>
      <c r="M77" s="22">
        <v>0</v>
      </c>
      <c r="N77" s="22"/>
      <c r="O77" s="22"/>
    </row>
    <row r="78" spans="2:15" ht="13.5" thickBot="1">
      <c r="B78" s="20" t="s">
        <v>54</v>
      </c>
      <c r="C78" s="7"/>
      <c r="D78" s="7"/>
      <c r="E78" s="11">
        <f>E23-E67+E63</f>
        <v>-2484755.9763305523</v>
      </c>
      <c r="F78" s="11">
        <f>F23-F67+F63</f>
        <v>48480.269556800034</v>
      </c>
      <c r="G78" s="11">
        <f>G23-G67+G63</f>
        <v>-8797.5</v>
      </c>
      <c r="H78" s="11">
        <f>H23-H67+H63</f>
        <v>-2445073.2067737519</v>
      </c>
      <c r="I78" s="16"/>
      <c r="J78" s="7"/>
      <c r="K78" s="11">
        <f>K23-K67+K63</f>
        <v>-457982.88655064593</v>
      </c>
      <c r="L78" s="11">
        <v>-621566.48647408781</v>
      </c>
      <c r="M78" s="11">
        <v>-626789.72419284482</v>
      </c>
      <c r="N78" s="11">
        <v>-738734.10955617356</v>
      </c>
      <c r="O78" s="11">
        <v>-3383022.6242369991</v>
      </c>
    </row>
    <row r="79" spans="2:15" s="7" customFormat="1" ht="13" thickBot="1">
      <c r="B79" s="15"/>
      <c r="I79" s="16"/>
    </row>
    <row r="80" spans="2:15" s="7" customFormat="1">
      <c r="B80" s="12"/>
      <c r="C80" s="13"/>
      <c r="D80" s="13"/>
      <c r="E80" s="13"/>
      <c r="F80" s="13"/>
      <c r="G80" s="13"/>
      <c r="H80" s="13"/>
      <c r="I80" s="14"/>
      <c r="O80" s="13"/>
    </row>
    <row r="81" spans="2:15" s="7" customFormat="1" ht="13">
      <c r="B81" s="23" t="s">
        <v>25</v>
      </c>
      <c r="I81" s="16"/>
    </row>
    <row r="82" spans="2:15" s="7" customFormat="1" ht="4.5" customHeight="1">
      <c r="B82" s="56"/>
      <c r="I82" s="16"/>
    </row>
    <row r="83" spans="2:15" s="7" customFormat="1" ht="13">
      <c r="B83" s="56" t="s">
        <v>22</v>
      </c>
      <c r="C83" s="67" t="s">
        <v>130</v>
      </c>
      <c r="I83" s="16"/>
    </row>
    <row r="84" spans="2:15" s="7" customFormat="1" ht="13" thickBot="1">
      <c r="B84" s="26"/>
      <c r="C84" s="27"/>
      <c r="D84" s="27"/>
      <c r="E84" s="27"/>
      <c r="F84" s="27"/>
      <c r="G84" s="27"/>
      <c r="H84" s="27"/>
      <c r="I84" s="28"/>
      <c r="O84" s="27"/>
    </row>
    <row r="85" spans="2:15" s="7" customFormat="1"/>
    <row r="86" spans="2:15" s="7" customFormat="1"/>
    <row r="87" spans="2:15" s="7" customFormat="1">
      <c r="E87" s="41"/>
      <c r="F87" s="41"/>
    </row>
    <row r="88" spans="2:15" s="7" customFormat="1">
      <c r="B88" s="7" t="s">
        <v>205</v>
      </c>
      <c r="E88" s="138">
        <f>(E71+E69)/12</f>
        <v>-209127.99802754601</v>
      </c>
      <c r="F88" s="138">
        <f t="shared" ref="F88:H88" si="15">(F71+F69)/12</f>
        <v>4005.0116630666694</v>
      </c>
      <c r="G88" s="138">
        <f t="shared" si="15"/>
        <v>-733.125</v>
      </c>
      <c r="H88" s="138">
        <f t="shared" si="15"/>
        <v>-205856.11136447932</v>
      </c>
      <c r="K88" s="138">
        <f>(K71+K69)/3</f>
        <v>-160926.81198354866</v>
      </c>
      <c r="L88" s="138">
        <f t="shared" ref="L88:N88" si="16">(L71+L69)/3</f>
        <v>-207183.69555802931</v>
      </c>
      <c r="M88" s="138">
        <f t="shared" si="16"/>
        <v>-208999.95806428164</v>
      </c>
      <c r="N88" s="138">
        <f t="shared" si="16"/>
        <v>-246313.97985205785</v>
      </c>
      <c r="O88" s="138">
        <f>(O71+O69)/12</f>
        <v>-283785.29285308329</v>
      </c>
    </row>
    <row r="89" spans="2:15" s="7" customFormat="1"/>
    <row r="90" spans="2:15" s="39" customFormat="1"/>
  </sheetData>
  <phoneticPr fontId="11" type="noConversion"/>
  <pageMargins left="0.74803149606299213" right="0.74803149606299213" top="0.98425196850393704" bottom="0.98425196850393704" header="0.51181102362204722" footer="0.51181102362204722"/>
  <pageSetup paperSize="9" scale="66" orientation="portrait" r:id="rId1"/>
  <headerFooter scaleWithDoc="0">
    <oddFooter>&amp;C&amp;G</oddFooter>
  </headerFooter>
  <legacy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C00D-9005-47C6-91D3-14316A78D769}">
  <dimension ref="A1:N64"/>
  <sheetViews>
    <sheetView rightToLeft="1" topLeftCell="A40" workbookViewId="0">
      <selection activeCell="K59" activeCellId="1" sqref="K52 K59"/>
    </sheetView>
  </sheetViews>
  <sheetFormatPr defaultRowHeight="12.5"/>
  <cols>
    <col min="2" max="2" width="16" bestFit="1" customWidth="1"/>
    <col min="3" max="3" width="11.6328125" bestFit="1" customWidth="1"/>
    <col min="4" max="4" width="11.36328125" bestFit="1" customWidth="1"/>
    <col min="5" max="5" width="11.08984375" bestFit="1" customWidth="1"/>
    <col min="6" max="6" width="10.08984375" bestFit="1" customWidth="1"/>
    <col min="8" max="8" width="12" bestFit="1" customWidth="1"/>
    <col min="11" max="11" width="12.1796875" bestFit="1" customWidth="1"/>
    <col min="13" max="13" width="17.36328125" bestFit="1" customWidth="1"/>
  </cols>
  <sheetData>
    <row r="1" spans="1:14" ht="14">
      <c r="A1" s="159" t="s">
        <v>245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>
      <c r="A2" s="161" t="s">
        <v>246</v>
      </c>
      <c r="B2" s="161" t="s">
        <v>247</v>
      </c>
      <c r="C2" s="161" t="s">
        <v>248</v>
      </c>
      <c r="D2" s="161" t="s">
        <v>249</v>
      </c>
      <c r="E2" s="161" t="s">
        <v>250</v>
      </c>
      <c r="F2" s="161" t="s">
        <v>251</v>
      </c>
      <c r="G2" s="161" t="s">
        <v>252</v>
      </c>
      <c r="H2" s="162" t="s">
        <v>253</v>
      </c>
      <c r="I2" s="161" t="s">
        <v>254</v>
      </c>
      <c r="J2" s="161" t="s">
        <v>255</v>
      </c>
      <c r="K2" s="161" t="s">
        <v>256</v>
      </c>
      <c r="L2" s="148"/>
      <c r="M2" s="161" t="s">
        <v>257</v>
      </c>
      <c r="N2" s="148"/>
    </row>
    <row r="3" spans="1:14">
      <c r="A3" s="163">
        <v>1</v>
      </c>
      <c r="B3" s="163" t="s">
        <v>258</v>
      </c>
      <c r="C3" s="164">
        <v>380073</v>
      </c>
      <c r="D3" s="164">
        <v>24375</v>
      </c>
      <c r="E3" s="164">
        <v>14140.8</v>
      </c>
      <c r="F3" s="164">
        <v>31237.5</v>
      </c>
      <c r="G3" s="163" t="s">
        <v>259</v>
      </c>
      <c r="H3" s="164">
        <v>26755.439999999999</v>
      </c>
      <c r="I3" s="163" t="s">
        <v>259</v>
      </c>
      <c r="J3" s="163" t="s">
        <v>259</v>
      </c>
      <c r="K3" s="164">
        <v>476581.74</v>
      </c>
      <c r="L3" s="163" t="s">
        <v>260</v>
      </c>
      <c r="M3" s="148">
        <v>1</v>
      </c>
      <c r="N3" s="148"/>
    </row>
    <row r="4" spans="1:14">
      <c r="A4" s="163">
        <v>2</v>
      </c>
      <c r="B4" s="163" t="s">
        <v>261</v>
      </c>
      <c r="C4" s="164">
        <v>928500.03</v>
      </c>
      <c r="D4" s="164">
        <v>11700</v>
      </c>
      <c r="E4" s="164">
        <v>7070.4</v>
      </c>
      <c r="F4" s="164">
        <v>14994</v>
      </c>
      <c r="G4" s="163" t="s">
        <v>259</v>
      </c>
      <c r="H4" s="164">
        <v>23140.75</v>
      </c>
      <c r="I4" s="163" t="s">
        <v>259</v>
      </c>
      <c r="J4" s="163" t="s">
        <v>259</v>
      </c>
      <c r="K4" s="164">
        <v>985405.18</v>
      </c>
      <c r="L4" s="163" t="s">
        <v>262</v>
      </c>
      <c r="M4" s="164">
        <f>7/12</f>
        <v>0.58333333333333337</v>
      </c>
      <c r="N4" s="148"/>
    </row>
    <row r="5" spans="1:14">
      <c r="A5" s="163">
        <v>3</v>
      </c>
      <c r="B5" s="163" t="s">
        <v>263</v>
      </c>
      <c r="C5" s="164">
        <v>456199.42</v>
      </c>
      <c r="D5" s="164">
        <v>28210</v>
      </c>
      <c r="E5" s="164">
        <v>14140.8</v>
      </c>
      <c r="F5" s="164">
        <v>36152.199999999997</v>
      </c>
      <c r="G5" s="163" t="s">
        <v>259</v>
      </c>
      <c r="H5" s="164">
        <v>32858.080000000002</v>
      </c>
      <c r="I5" s="163" t="s">
        <v>259</v>
      </c>
      <c r="J5" s="163" t="s">
        <v>259</v>
      </c>
      <c r="K5" s="164">
        <v>567560.5</v>
      </c>
      <c r="L5" s="163" t="s">
        <v>260</v>
      </c>
      <c r="M5" s="148">
        <v>1</v>
      </c>
      <c r="N5" s="148"/>
    </row>
    <row r="6" spans="1:14">
      <c r="A6" s="163">
        <v>4</v>
      </c>
      <c r="B6" s="163" t="s">
        <v>264</v>
      </c>
      <c r="C6" s="164">
        <v>174084</v>
      </c>
      <c r="D6" s="164">
        <v>9785.8799999999992</v>
      </c>
      <c r="E6" s="164">
        <v>12175.2</v>
      </c>
      <c r="F6" s="164">
        <v>14094.36</v>
      </c>
      <c r="G6" s="164">
        <v>1212.1199999999999</v>
      </c>
      <c r="H6" s="164">
        <v>11025.74</v>
      </c>
      <c r="I6" s="163" t="s">
        <v>259</v>
      </c>
      <c r="J6" s="163" t="s">
        <v>259</v>
      </c>
      <c r="K6" s="164">
        <v>222377.3</v>
      </c>
      <c r="L6" s="163" t="s">
        <v>260</v>
      </c>
      <c r="M6" s="148">
        <v>1</v>
      </c>
      <c r="N6" s="148"/>
    </row>
    <row r="7" spans="1:14">
      <c r="A7" s="163">
        <v>5</v>
      </c>
      <c r="B7" s="163" t="s">
        <v>265</v>
      </c>
      <c r="C7" s="164">
        <v>184608.06</v>
      </c>
      <c r="D7" s="164">
        <v>11700</v>
      </c>
      <c r="E7" s="164">
        <v>13327.2</v>
      </c>
      <c r="F7" s="164">
        <v>14994</v>
      </c>
      <c r="G7" s="163" t="s">
        <v>259</v>
      </c>
      <c r="H7" s="164">
        <v>11867.63</v>
      </c>
      <c r="I7" s="163" t="s">
        <v>259</v>
      </c>
      <c r="J7" s="163" t="s">
        <v>259</v>
      </c>
      <c r="K7" s="164">
        <v>236496.89</v>
      </c>
      <c r="L7" s="163" t="s">
        <v>262</v>
      </c>
      <c r="M7" s="148">
        <v>1</v>
      </c>
      <c r="N7" s="148"/>
    </row>
    <row r="8" spans="1:14">
      <c r="A8" s="163">
        <v>7</v>
      </c>
      <c r="B8" s="163" t="s">
        <v>266</v>
      </c>
      <c r="C8" s="164">
        <v>565874.88</v>
      </c>
      <c r="D8" s="164">
        <v>31974.12</v>
      </c>
      <c r="E8" s="164">
        <v>14140.8</v>
      </c>
      <c r="F8" s="164">
        <v>45981.599999999999</v>
      </c>
      <c r="G8" s="164">
        <v>3905.88</v>
      </c>
      <c r="H8" s="164">
        <v>38041.42</v>
      </c>
      <c r="I8" s="163" t="s">
        <v>259</v>
      </c>
      <c r="J8" s="163" t="s">
        <v>259</v>
      </c>
      <c r="K8" s="164">
        <v>699918.7</v>
      </c>
      <c r="L8" s="163" t="s">
        <v>260</v>
      </c>
      <c r="M8" s="148">
        <v>1</v>
      </c>
      <c r="N8" s="148"/>
    </row>
    <row r="9" spans="1:14">
      <c r="A9" s="163">
        <v>8</v>
      </c>
      <c r="B9" s="163" t="s">
        <v>267</v>
      </c>
      <c r="C9" s="164">
        <v>386616</v>
      </c>
      <c r="D9" s="164">
        <v>24960</v>
      </c>
      <c r="E9" s="164">
        <v>14140.8</v>
      </c>
      <c r="F9" s="164">
        <v>31987.200000000001</v>
      </c>
      <c r="G9" s="163" t="s">
        <v>259</v>
      </c>
      <c r="H9" s="164">
        <v>27160.02</v>
      </c>
      <c r="I9" s="163" t="s">
        <v>259</v>
      </c>
      <c r="J9" s="163" t="s">
        <v>259</v>
      </c>
      <c r="K9" s="164">
        <v>484864.02</v>
      </c>
      <c r="L9" s="163" t="s">
        <v>260</v>
      </c>
      <c r="M9" s="148">
        <v>1</v>
      </c>
      <c r="N9" s="148"/>
    </row>
    <row r="10" spans="1:14">
      <c r="A10" s="163">
        <v>9</v>
      </c>
      <c r="B10" s="163" t="s">
        <v>268</v>
      </c>
      <c r="C10" s="164">
        <v>8752.2999999999993</v>
      </c>
      <c r="D10" s="164">
        <v>400.4</v>
      </c>
      <c r="E10" s="163" t="s">
        <v>259</v>
      </c>
      <c r="F10" s="164">
        <v>513.13</v>
      </c>
      <c r="G10" s="163" t="s">
        <v>259</v>
      </c>
      <c r="H10" s="164">
        <v>289.58</v>
      </c>
      <c r="I10" s="163" t="s">
        <v>259</v>
      </c>
      <c r="J10" s="163" t="s">
        <v>259</v>
      </c>
      <c r="K10" s="164">
        <v>9955.41</v>
      </c>
      <c r="L10" s="163" t="s">
        <v>260</v>
      </c>
      <c r="M10" s="148">
        <f>1/12</f>
        <v>8.3333333333333329E-2</v>
      </c>
      <c r="N10" s="148"/>
    </row>
    <row r="11" spans="1:14">
      <c r="A11" s="163">
        <v>10</v>
      </c>
      <c r="B11" s="163" t="s">
        <v>269</v>
      </c>
      <c r="C11" s="164">
        <v>224265.1</v>
      </c>
      <c r="D11" s="164">
        <v>14407.19</v>
      </c>
      <c r="E11" s="164">
        <v>14140.8</v>
      </c>
      <c r="F11" s="164">
        <v>18463.37</v>
      </c>
      <c r="G11" s="163" t="s">
        <v>259</v>
      </c>
      <c r="H11" s="164">
        <v>14776.2</v>
      </c>
      <c r="I11" s="163" t="s">
        <v>259</v>
      </c>
      <c r="J11" s="163" t="s">
        <v>259</v>
      </c>
      <c r="K11" s="164">
        <v>286052.65999999997</v>
      </c>
      <c r="L11" s="163" t="s">
        <v>260</v>
      </c>
      <c r="M11" s="148">
        <v>1</v>
      </c>
      <c r="N11" s="148"/>
    </row>
    <row r="12" spans="1:14">
      <c r="A12" s="163">
        <v>11</v>
      </c>
      <c r="B12" s="163" t="s">
        <v>270</v>
      </c>
      <c r="C12" s="164">
        <v>270598.51</v>
      </c>
      <c r="D12" s="164">
        <v>17484.349999999999</v>
      </c>
      <c r="E12" s="164">
        <v>8998.0499999999993</v>
      </c>
      <c r="F12" s="164">
        <v>22406.87</v>
      </c>
      <c r="G12" s="163" t="s">
        <v>259</v>
      </c>
      <c r="H12" s="164">
        <v>19446.830000000002</v>
      </c>
      <c r="I12" s="163" t="s">
        <v>259</v>
      </c>
      <c r="J12" s="163" t="s">
        <v>259</v>
      </c>
      <c r="K12" s="164">
        <v>338934.61</v>
      </c>
      <c r="L12" s="163" t="s">
        <v>260</v>
      </c>
      <c r="M12" s="148">
        <f>8/12</f>
        <v>0.66666666666666663</v>
      </c>
      <c r="N12" s="148"/>
    </row>
    <row r="13" spans="1:14">
      <c r="A13" s="163">
        <v>12</v>
      </c>
      <c r="B13" s="163" t="s">
        <v>271</v>
      </c>
      <c r="C13" s="164">
        <v>308884</v>
      </c>
      <c r="D13" s="164">
        <v>19760</v>
      </c>
      <c r="E13" s="164">
        <v>9427.2000000000007</v>
      </c>
      <c r="F13" s="164">
        <v>25323.200000000001</v>
      </c>
      <c r="G13" s="163" t="s">
        <v>259</v>
      </c>
      <c r="H13" s="164">
        <v>22436.400000000001</v>
      </c>
      <c r="I13" s="163" t="s">
        <v>259</v>
      </c>
      <c r="J13" s="163" t="s">
        <v>259</v>
      </c>
      <c r="K13" s="164">
        <v>385830.8</v>
      </c>
      <c r="L13" s="163" t="s">
        <v>260</v>
      </c>
      <c r="M13" s="148">
        <f>8/12</f>
        <v>0.66666666666666663</v>
      </c>
      <c r="N13" s="148"/>
    </row>
    <row r="14" spans="1:14">
      <c r="A14" s="163">
        <v>13</v>
      </c>
      <c r="B14" s="163" t="s">
        <v>272</v>
      </c>
      <c r="C14" s="164">
        <v>205318.3</v>
      </c>
      <c r="D14" s="164">
        <v>12000.75</v>
      </c>
      <c r="E14" s="164">
        <v>9355.0499999999993</v>
      </c>
      <c r="F14" s="164">
        <v>15806.18</v>
      </c>
      <c r="G14" s="164">
        <v>333.01</v>
      </c>
      <c r="H14" s="164">
        <v>13583.24</v>
      </c>
      <c r="I14" s="163" t="s">
        <v>259</v>
      </c>
      <c r="J14" s="163" t="s">
        <v>259</v>
      </c>
      <c r="K14" s="164">
        <v>256396.53</v>
      </c>
      <c r="L14" s="163" t="s">
        <v>260</v>
      </c>
      <c r="M14" s="148">
        <f>8/12</f>
        <v>0.66666666666666663</v>
      </c>
      <c r="N14" s="148"/>
    </row>
    <row r="15" spans="1:14">
      <c r="A15" s="163">
        <v>14</v>
      </c>
      <c r="B15" s="163" t="s">
        <v>273</v>
      </c>
      <c r="C15" s="164">
        <v>179964.23</v>
      </c>
      <c r="D15" s="164">
        <v>11600.88</v>
      </c>
      <c r="E15" s="164">
        <v>8248.7999999999993</v>
      </c>
      <c r="F15" s="164">
        <v>14866.97</v>
      </c>
      <c r="G15" s="163" t="s">
        <v>259</v>
      </c>
      <c r="H15" s="164">
        <v>12411.83</v>
      </c>
      <c r="I15" s="163" t="s">
        <v>259</v>
      </c>
      <c r="J15" s="163" t="s">
        <v>259</v>
      </c>
      <c r="K15" s="164">
        <v>227092.71</v>
      </c>
      <c r="L15" s="163" t="s">
        <v>262</v>
      </c>
      <c r="M15" s="148">
        <f>7/12</f>
        <v>0.58333333333333337</v>
      </c>
      <c r="N15" s="148"/>
    </row>
    <row r="16" spans="1:14">
      <c r="A16" s="163">
        <v>15</v>
      </c>
      <c r="B16" s="163" t="s">
        <v>274</v>
      </c>
      <c r="C16" s="164">
        <v>208710</v>
      </c>
      <c r="D16" s="164">
        <v>12733.62</v>
      </c>
      <c r="E16" s="164">
        <v>7070.4</v>
      </c>
      <c r="F16" s="164">
        <v>17273.080000000002</v>
      </c>
      <c r="G16" s="164">
        <v>744.78</v>
      </c>
      <c r="H16" s="164">
        <v>14445.12</v>
      </c>
      <c r="I16" s="163" t="s">
        <v>259</v>
      </c>
      <c r="J16" s="163" t="s">
        <v>259</v>
      </c>
      <c r="K16" s="164">
        <v>260977</v>
      </c>
      <c r="L16" s="163" t="s">
        <v>260</v>
      </c>
      <c r="M16" s="148">
        <f>6/12</f>
        <v>0.5</v>
      </c>
      <c r="N16" s="148"/>
    </row>
    <row r="17" spans="1:14">
      <c r="A17" s="163">
        <v>16</v>
      </c>
      <c r="B17" s="163" t="s">
        <v>275</v>
      </c>
      <c r="C17" s="164">
        <v>114900</v>
      </c>
      <c r="D17" s="164">
        <v>7131.64</v>
      </c>
      <c r="E17" s="164">
        <v>4713.6000000000004</v>
      </c>
      <c r="F17" s="164">
        <v>9496.2000000000007</v>
      </c>
      <c r="G17" s="164">
        <v>278.36</v>
      </c>
      <c r="H17" s="164">
        <v>7975.71</v>
      </c>
      <c r="I17" s="163" t="s">
        <v>259</v>
      </c>
      <c r="J17" s="163" t="s">
        <v>259</v>
      </c>
      <c r="K17" s="164">
        <v>144495.51</v>
      </c>
      <c r="L17" s="163" t="s">
        <v>260</v>
      </c>
      <c r="M17" s="148">
        <f>4/12</f>
        <v>0.33333333333333331</v>
      </c>
      <c r="N17" s="148"/>
    </row>
    <row r="18" spans="1:14" ht="14">
      <c r="A18" s="159">
        <v>15</v>
      </c>
      <c r="B18" s="165" t="s">
        <v>276</v>
      </c>
      <c r="C18" s="166">
        <v>4597347.83</v>
      </c>
      <c r="D18" s="166">
        <v>238223.83</v>
      </c>
      <c r="E18" s="166">
        <v>151089.9</v>
      </c>
      <c r="F18" s="166">
        <v>313589.86</v>
      </c>
      <c r="G18" s="166">
        <v>6474.15</v>
      </c>
      <c r="H18" s="166">
        <v>276213.99</v>
      </c>
      <c r="I18" s="159" t="s">
        <v>259</v>
      </c>
      <c r="J18" s="159" t="s">
        <v>259</v>
      </c>
      <c r="K18" s="166">
        <v>5582939.5599999996</v>
      </c>
      <c r="L18" s="148"/>
      <c r="M18" s="148">
        <f>SUM(M3:M17)</f>
        <v>11.083333333333334</v>
      </c>
      <c r="N18" s="148"/>
    </row>
    <row r="19" spans="1:14" ht="14">
      <c r="A19" s="159">
        <v>15</v>
      </c>
      <c r="B19" s="159" t="s">
        <v>277</v>
      </c>
      <c r="C19" s="166">
        <v>4597347.83</v>
      </c>
      <c r="D19" s="166">
        <v>238223.83</v>
      </c>
      <c r="E19" s="166">
        <v>151089.9</v>
      </c>
      <c r="F19" s="166">
        <v>313589.86</v>
      </c>
      <c r="G19" s="166">
        <v>6474.15</v>
      </c>
      <c r="H19" s="166">
        <v>276213.99</v>
      </c>
      <c r="I19" s="159" t="s">
        <v>259</v>
      </c>
      <c r="J19" s="159" t="s">
        <v>259</v>
      </c>
      <c r="K19" s="166">
        <v>5582939.5599999996</v>
      </c>
      <c r="L19" s="148"/>
      <c r="M19" s="148"/>
      <c r="N19" s="148"/>
    </row>
    <row r="20" spans="1:14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</row>
    <row r="21" spans="1:14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</row>
    <row r="22" spans="1:14">
      <c r="A22" s="148"/>
      <c r="B22" s="148"/>
      <c r="C22" s="148"/>
      <c r="D22" s="148"/>
      <c r="E22" s="148"/>
      <c r="F22" s="148"/>
      <c r="G22" s="148"/>
      <c r="H22" s="148"/>
      <c r="I22" s="148"/>
      <c r="J22" s="148" t="s">
        <v>278</v>
      </c>
      <c r="K22" s="167">
        <f>K4+K7+K15</f>
        <v>1448994.78</v>
      </c>
      <c r="L22" s="148"/>
      <c r="M22" s="167">
        <f>(M4+M7+M15)/M18</f>
        <v>0.1954887218045113</v>
      </c>
      <c r="N22" s="72" t="s">
        <v>280</v>
      </c>
    </row>
    <row r="23" spans="1:14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67">
        <f>1-M22</f>
        <v>0.80451127819548873</v>
      </c>
      <c r="N23" s="148"/>
    </row>
    <row r="25" spans="1:14">
      <c r="A25" s="161" t="s">
        <v>246</v>
      </c>
      <c r="B25" s="161" t="s">
        <v>247</v>
      </c>
      <c r="C25" s="161" t="s">
        <v>248</v>
      </c>
      <c r="D25" s="161" t="s">
        <v>249</v>
      </c>
      <c r="E25" s="161" t="s">
        <v>250</v>
      </c>
      <c r="F25" s="161" t="s">
        <v>251</v>
      </c>
      <c r="G25" s="161" t="s">
        <v>252</v>
      </c>
      <c r="H25" s="162" t="s">
        <v>253</v>
      </c>
      <c r="I25" s="161" t="s">
        <v>254</v>
      </c>
      <c r="J25" s="161" t="s">
        <v>255</v>
      </c>
      <c r="K25" s="161" t="s">
        <v>256</v>
      </c>
    </row>
    <row r="26" spans="1:14">
      <c r="A26" s="163">
        <v>1</v>
      </c>
      <c r="B26" s="163" t="s">
        <v>258</v>
      </c>
      <c r="C26" s="164">
        <v>105675</v>
      </c>
      <c r="D26" s="164">
        <v>6825</v>
      </c>
      <c r="E26" s="164">
        <v>3535.2</v>
      </c>
      <c r="F26" s="164">
        <v>8746.5</v>
      </c>
      <c r="G26" s="163" t="s">
        <v>259</v>
      </c>
      <c r="H26" s="164">
        <v>7392.73</v>
      </c>
      <c r="I26" s="163" t="s">
        <v>259</v>
      </c>
      <c r="J26" s="163" t="s">
        <v>259</v>
      </c>
      <c r="K26" s="164">
        <v>132174.43</v>
      </c>
      <c r="L26" s="163" t="s">
        <v>260</v>
      </c>
    </row>
    <row r="27" spans="1:14">
      <c r="A27" s="163">
        <v>3</v>
      </c>
      <c r="B27" s="163" t="s">
        <v>263</v>
      </c>
      <c r="C27" s="164">
        <v>116175</v>
      </c>
      <c r="D27" s="164">
        <v>7507.5</v>
      </c>
      <c r="E27" s="164">
        <v>3535.2</v>
      </c>
      <c r="F27" s="164">
        <v>9621.15</v>
      </c>
      <c r="G27" s="163" t="s">
        <v>259</v>
      </c>
      <c r="H27" s="164">
        <v>8246.65</v>
      </c>
      <c r="I27" s="163" t="s">
        <v>259</v>
      </c>
      <c r="J27" s="163" t="s">
        <v>259</v>
      </c>
      <c r="K27" s="164">
        <v>145085.5</v>
      </c>
      <c r="L27" s="163" t="s">
        <v>260</v>
      </c>
    </row>
    <row r="28" spans="1:14">
      <c r="A28" s="163">
        <v>4</v>
      </c>
      <c r="B28" s="163" t="s">
        <v>264</v>
      </c>
      <c r="C28" s="164">
        <v>54675</v>
      </c>
      <c r="D28" s="164">
        <v>3384</v>
      </c>
      <c r="E28" s="164">
        <v>3535.2</v>
      </c>
      <c r="F28" s="164">
        <v>4498.2</v>
      </c>
      <c r="G28" s="164">
        <v>126</v>
      </c>
      <c r="H28" s="164">
        <v>3502.8</v>
      </c>
      <c r="I28" s="163" t="s">
        <v>259</v>
      </c>
      <c r="J28" s="163" t="s">
        <v>259</v>
      </c>
      <c r="K28" s="164">
        <v>69721.2</v>
      </c>
      <c r="L28" s="163" t="s">
        <v>260</v>
      </c>
    </row>
    <row r="29" spans="1:14">
      <c r="A29" s="163">
        <v>5</v>
      </c>
      <c r="B29" s="163" t="s">
        <v>265</v>
      </c>
      <c r="C29" s="164">
        <v>48675</v>
      </c>
      <c r="D29" s="164">
        <v>3120</v>
      </c>
      <c r="E29" s="164">
        <v>3535.2</v>
      </c>
      <c r="F29" s="164">
        <v>3998.4</v>
      </c>
      <c r="G29" s="163" t="s">
        <v>259</v>
      </c>
      <c r="H29" s="164">
        <v>3060.87</v>
      </c>
      <c r="I29" s="163" t="s">
        <v>259</v>
      </c>
      <c r="J29" s="163" t="s">
        <v>259</v>
      </c>
      <c r="K29" s="164">
        <v>62389.47</v>
      </c>
      <c r="L29" s="170" t="s">
        <v>262</v>
      </c>
    </row>
    <row r="30" spans="1:14">
      <c r="A30" s="163">
        <v>7</v>
      </c>
      <c r="B30" s="163" t="s">
        <v>266</v>
      </c>
      <c r="C30" s="164">
        <v>141000</v>
      </c>
      <c r="D30" s="164">
        <v>8060.51</v>
      </c>
      <c r="E30" s="164">
        <v>3535.2</v>
      </c>
      <c r="F30" s="164">
        <v>11495.4</v>
      </c>
      <c r="G30" s="164">
        <v>909.49</v>
      </c>
      <c r="H30" s="164">
        <v>9957.99</v>
      </c>
      <c r="I30" s="163" t="s">
        <v>259</v>
      </c>
      <c r="J30" s="163" t="s">
        <v>259</v>
      </c>
      <c r="K30" s="164">
        <v>174958.59</v>
      </c>
      <c r="L30" s="163" t="s">
        <v>260</v>
      </c>
    </row>
    <row r="31" spans="1:14">
      <c r="A31" s="163">
        <v>8</v>
      </c>
      <c r="B31" s="163" t="s">
        <v>267</v>
      </c>
      <c r="C31" s="164">
        <v>96675</v>
      </c>
      <c r="D31" s="164">
        <v>6240</v>
      </c>
      <c r="E31" s="164">
        <v>3535.2</v>
      </c>
      <c r="F31" s="164">
        <v>7996.8</v>
      </c>
      <c r="G31" s="163" t="s">
        <v>259</v>
      </c>
      <c r="H31" s="164">
        <v>6662.23</v>
      </c>
      <c r="I31" s="163" t="s">
        <v>259</v>
      </c>
      <c r="J31" s="163" t="s">
        <v>259</v>
      </c>
      <c r="K31" s="164">
        <v>121109.23</v>
      </c>
      <c r="L31" s="163" t="s">
        <v>260</v>
      </c>
    </row>
    <row r="32" spans="1:14">
      <c r="A32" s="163">
        <v>10</v>
      </c>
      <c r="B32" s="163" t="s">
        <v>269</v>
      </c>
      <c r="C32" s="164">
        <v>55875</v>
      </c>
      <c r="D32" s="164">
        <v>3588</v>
      </c>
      <c r="E32" s="164">
        <v>3535.2</v>
      </c>
      <c r="F32" s="164">
        <v>4598.16</v>
      </c>
      <c r="G32" s="163" t="s">
        <v>259</v>
      </c>
      <c r="H32" s="164">
        <v>3608.51</v>
      </c>
      <c r="I32" s="163" t="s">
        <v>259</v>
      </c>
      <c r="J32" s="163" t="s">
        <v>259</v>
      </c>
      <c r="K32" s="164">
        <v>71204.87</v>
      </c>
      <c r="L32" s="163" t="s">
        <v>260</v>
      </c>
    </row>
    <row r="33" spans="1:12">
      <c r="A33" s="163">
        <v>11</v>
      </c>
      <c r="B33" s="163" t="s">
        <v>270</v>
      </c>
      <c r="C33" s="164">
        <v>111675</v>
      </c>
      <c r="D33" s="164">
        <v>7215</v>
      </c>
      <c r="E33" s="164">
        <v>3535.2</v>
      </c>
      <c r="F33" s="164">
        <v>9246.2999999999993</v>
      </c>
      <c r="G33" s="163" t="s">
        <v>259</v>
      </c>
      <c r="H33" s="164">
        <v>7860.83</v>
      </c>
      <c r="I33" s="163" t="s">
        <v>259</v>
      </c>
      <c r="J33" s="163" t="s">
        <v>259</v>
      </c>
      <c r="K33" s="164">
        <v>139532.32999999999</v>
      </c>
      <c r="L33" s="163" t="s">
        <v>260</v>
      </c>
    </row>
    <row r="34" spans="1:12">
      <c r="A34" s="163">
        <v>12</v>
      </c>
      <c r="B34" s="163" t="s">
        <v>271</v>
      </c>
      <c r="C34" s="164">
        <v>115831.5</v>
      </c>
      <c r="D34" s="164">
        <v>7410</v>
      </c>
      <c r="E34" s="164">
        <v>3535.2</v>
      </c>
      <c r="F34" s="164">
        <v>9496.2000000000007</v>
      </c>
      <c r="G34" s="163" t="s">
        <v>259</v>
      </c>
      <c r="H34" s="164">
        <v>8166.6</v>
      </c>
      <c r="I34" s="163" t="s">
        <v>259</v>
      </c>
      <c r="J34" s="163" t="s">
        <v>259</v>
      </c>
      <c r="K34" s="164">
        <v>144439.5</v>
      </c>
      <c r="L34" s="163" t="s">
        <v>260</v>
      </c>
    </row>
    <row r="35" spans="1:12">
      <c r="A35" s="163">
        <v>13</v>
      </c>
      <c r="B35" s="163" t="s">
        <v>272</v>
      </c>
      <c r="C35" s="164">
        <v>33173.79</v>
      </c>
      <c r="D35" s="164">
        <v>1586.91</v>
      </c>
      <c r="E35" s="164">
        <v>1178.4000000000001</v>
      </c>
      <c r="F35" s="164">
        <v>2082.5</v>
      </c>
      <c r="G35" s="164">
        <v>38.090000000000003</v>
      </c>
      <c r="H35" s="164">
        <v>1628.29</v>
      </c>
      <c r="I35" s="163" t="s">
        <v>259</v>
      </c>
      <c r="J35" s="163" t="s">
        <v>259</v>
      </c>
      <c r="K35" s="164">
        <v>39687.980000000003</v>
      </c>
      <c r="L35" s="163" t="s">
        <v>260</v>
      </c>
    </row>
    <row r="36" spans="1:12">
      <c r="A36" s="163">
        <v>14</v>
      </c>
      <c r="B36" s="163" t="s">
        <v>273</v>
      </c>
      <c r="C36" s="164">
        <v>83175</v>
      </c>
      <c r="D36" s="164">
        <v>5362.5</v>
      </c>
      <c r="E36" s="164">
        <v>3535.2</v>
      </c>
      <c r="F36" s="164">
        <v>6872.25</v>
      </c>
      <c r="G36" s="163" t="s">
        <v>259</v>
      </c>
      <c r="H36" s="164">
        <v>5680.33</v>
      </c>
      <c r="I36" s="163" t="s">
        <v>259</v>
      </c>
      <c r="J36" s="163" t="s">
        <v>259</v>
      </c>
      <c r="K36" s="164">
        <v>104625.28</v>
      </c>
      <c r="L36" s="170" t="s">
        <v>262</v>
      </c>
    </row>
    <row r="37" spans="1:12">
      <c r="A37" s="163">
        <v>15</v>
      </c>
      <c r="B37" s="163" t="s">
        <v>274</v>
      </c>
      <c r="C37" s="164">
        <v>108675</v>
      </c>
      <c r="D37" s="164">
        <v>6655.47</v>
      </c>
      <c r="E37" s="164">
        <v>3535.2</v>
      </c>
      <c r="F37" s="164">
        <v>8996.4</v>
      </c>
      <c r="G37" s="164">
        <v>364.53</v>
      </c>
      <c r="H37" s="164">
        <v>7421.13</v>
      </c>
      <c r="I37" s="163" t="s">
        <v>259</v>
      </c>
      <c r="J37" s="163" t="s">
        <v>259</v>
      </c>
      <c r="K37" s="164">
        <v>135647.73000000001</v>
      </c>
      <c r="L37" s="163" t="s">
        <v>260</v>
      </c>
    </row>
    <row r="38" spans="1:12">
      <c r="A38" s="163">
        <v>16</v>
      </c>
      <c r="B38" s="163" t="s">
        <v>275</v>
      </c>
      <c r="C38" s="164">
        <v>98669.21</v>
      </c>
      <c r="D38" s="164">
        <v>5321.82</v>
      </c>
      <c r="E38" s="164">
        <v>3535.2</v>
      </c>
      <c r="F38" s="164">
        <v>7012.59</v>
      </c>
      <c r="G38" s="164">
        <v>150.19999999999999</v>
      </c>
      <c r="H38" s="164">
        <v>6164.12</v>
      </c>
      <c r="I38" s="163" t="s">
        <v>259</v>
      </c>
      <c r="J38" s="163" t="s">
        <v>259</v>
      </c>
      <c r="K38" s="164">
        <v>120853.14</v>
      </c>
      <c r="L38" s="163" t="s">
        <v>260</v>
      </c>
    </row>
    <row r="39" spans="1:12" ht="14">
      <c r="A39" s="159">
        <v>13</v>
      </c>
      <c r="B39" s="165" t="s">
        <v>276</v>
      </c>
      <c r="C39" s="166">
        <v>1169949.5</v>
      </c>
      <c r="D39" s="166">
        <v>72276.710000000006</v>
      </c>
      <c r="E39" s="166">
        <v>43600.800000000003</v>
      </c>
      <c r="F39" s="166">
        <v>94660.85</v>
      </c>
      <c r="G39" s="166">
        <v>1588.31</v>
      </c>
      <c r="H39" s="166">
        <v>79353.08</v>
      </c>
      <c r="I39" s="159" t="s">
        <v>259</v>
      </c>
      <c r="J39" s="159" t="s">
        <v>259</v>
      </c>
      <c r="K39" s="166">
        <v>1461429.25</v>
      </c>
    </row>
    <row r="40" spans="1:12" ht="14">
      <c r="A40" s="159">
        <v>13</v>
      </c>
      <c r="B40" s="159" t="s">
        <v>277</v>
      </c>
      <c r="C40" s="166">
        <v>1169949.5</v>
      </c>
      <c r="D40" s="166">
        <v>72276.710000000006</v>
      </c>
      <c r="E40" s="166">
        <v>43600.800000000003</v>
      </c>
      <c r="F40" s="166">
        <v>94660.85</v>
      </c>
      <c r="G40" s="166">
        <v>1588.31</v>
      </c>
      <c r="H40" s="166">
        <v>79353.08</v>
      </c>
      <c r="I40" s="159" t="s">
        <v>259</v>
      </c>
      <c r="J40" s="159" t="s">
        <v>259</v>
      </c>
      <c r="K40" s="166">
        <v>1461429.25</v>
      </c>
    </row>
    <row r="43" spans="1:12">
      <c r="J43" s="148" t="s">
        <v>278</v>
      </c>
      <c r="K43" s="171">
        <f>K29+K36</f>
        <v>167014.75</v>
      </c>
    </row>
    <row r="46" spans="1:12">
      <c r="A46">
        <v>2023</v>
      </c>
      <c r="B46" s="72" t="s">
        <v>373</v>
      </c>
    </row>
    <row r="48" spans="1:12">
      <c r="A48" s="161" t="s">
        <v>246</v>
      </c>
      <c r="B48" s="161" t="s">
        <v>247</v>
      </c>
      <c r="C48" s="161" t="s">
        <v>248</v>
      </c>
      <c r="D48" s="161" t="s">
        <v>249</v>
      </c>
      <c r="E48" s="161" t="s">
        <v>250</v>
      </c>
      <c r="F48" s="161" t="s">
        <v>251</v>
      </c>
      <c r="G48" s="161" t="s">
        <v>252</v>
      </c>
      <c r="H48" s="162" t="s">
        <v>253</v>
      </c>
      <c r="I48" s="161" t="s">
        <v>254</v>
      </c>
      <c r="J48" s="161" t="s">
        <v>255</v>
      </c>
      <c r="K48" s="161" t="s">
        <v>256</v>
      </c>
    </row>
    <row r="49" spans="1:12">
      <c r="A49" s="163">
        <v>1</v>
      </c>
      <c r="B49" s="163" t="s">
        <v>258</v>
      </c>
      <c r="C49" s="164">
        <v>425208</v>
      </c>
      <c r="D49" s="164">
        <v>27300</v>
      </c>
      <c r="E49" s="164">
        <v>14140.8</v>
      </c>
      <c r="F49" s="164">
        <v>34986</v>
      </c>
      <c r="G49" s="163" t="s">
        <v>259</v>
      </c>
      <c r="H49" s="164">
        <v>29787.74</v>
      </c>
      <c r="I49" s="163" t="s">
        <v>259</v>
      </c>
      <c r="J49" s="163" t="s">
        <v>259</v>
      </c>
      <c r="K49" s="164">
        <v>531422.54</v>
      </c>
      <c r="L49" s="163"/>
    </row>
    <row r="50" spans="1:12">
      <c r="A50" s="163">
        <v>3</v>
      </c>
      <c r="B50" s="163" t="s">
        <v>263</v>
      </c>
      <c r="C50" s="164">
        <v>274492.2</v>
      </c>
      <c r="D50" s="164">
        <v>17549.7</v>
      </c>
      <c r="E50" s="164">
        <v>10369.950000000001</v>
      </c>
      <c r="F50" s="164">
        <v>22490.61</v>
      </c>
      <c r="G50" s="163" t="s">
        <v>259</v>
      </c>
      <c r="H50" s="164">
        <v>18934.84</v>
      </c>
      <c r="I50" s="163" t="s">
        <v>259</v>
      </c>
      <c r="J50" s="163" t="s">
        <v>259</v>
      </c>
      <c r="K50" s="164">
        <v>343837.3</v>
      </c>
      <c r="L50" s="163"/>
    </row>
    <row r="51" spans="1:12">
      <c r="A51" s="163">
        <v>4</v>
      </c>
      <c r="B51" s="163" t="s">
        <v>264</v>
      </c>
      <c r="C51" s="164">
        <v>221208</v>
      </c>
      <c r="D51" s="164">
        <v>13536</v>
      </c>
      <c r="E51" s="164">
        <v>14140.8</v>
      </c>
      <c r="F51" s="164">
        <v>17992.8</v>
      </c>
      <c r="G51" s="164">
        <v>504</v>
      </c>
      <c r="H51" s="164">
        <v>14231.5</v>
      </c>
      <c r="I51" s="163" t="s">
        <v>259</v>
      </c>
      <c r="J51" s="163" t="s">
        <v>259</v>
      </c>
      <c r="K51" s="164">
        <v>281613.09999999998</v>
      </c>
      <c r="L51" s="163"/>
    </row>
    <row r="52" spans="1:12">
      <c r="A52" s="163">
        <v>5</v>
      </c>
      <c r="B52" s="163" t="s">
        <v>265</v>
      </c>
      <c r="C52" s="164">
        <v>197208</v>
      </c>
      <c r="D52" s="164">
        <v>12480</v>
      </c>
      <c r="E52" s="164">
        <v>14140.8</v>
      </c>
      <c r="F52" s="164">
        <v>15993.6</v>
      </c>
      <c r="G52" s="163" t="s">
        <v>259</v>
      </c>
      <c r="H52" s="164">
        <v>12430.68</v>
      </c>
      <c r="I52" s="163" t="s">
        <v>259</v>
      </c>
      <c r="J52" s="163" t="s">
        <v>259</v>
      </c>
      <c r="K52" s="183">
        <v>252253.08</v>
      </c>
      <c r="L52" s="170" t="s">
        <v>262</v>
      </c>
    </row>
    <row r="53" spans="1:12">
      <c r="A53" s="163">
        <v>7</v>
      </c>
      <c r="B53" s="163" t="s">
        <v>266</v>
      </c>
      <c r="C53" s="164">
        <v>226383.4</v>
      </c>
      <c r="D53" s="164">
        <v>10470.91</v>
      </c>
      <c r="E53" s="164">
        <v>4713.6000000000004</v>
      </c>
      <c r="F53" s="164">
        <v>14867.38</v>
      </c>
      <c r="G53" s="164">
        <v>1130.29</v>
      </c>
      <c r="H53" s="164">
        <v>12937.6</v>
      </c>
      <c r="I53" s="163" t="s">
        <v>259</v>
      </c>
      <c r="J53" s="163" t="s">
        <v>259</v>
      </c>
      <c r="K53" s="164">
        <v>270503.18</v>
      </c>
      <c r="L53" s="163"/>
    </row>
    <row r="54" spans="1:12">
      <c r="A54" s="163">
        <v>8</v>
      </c>
      <c r="B54" s="163" t="s">
        <v>267</v>
      </c>
      <c r="C54" s="164">
        <v>390859.1</v>
      </c>
      <c r="D54" s="164">
        <v>24960</v>
      </c>
      <c r="E54" s="164">
        <v>14140.8</v>
      </c>
      <c r="F54" s="164">
        <v>31987.200000000001</v>
      </c>
      <c r="G54" s="163" t="s">
        <v>259</v>
      </c>
      <c r="H54" s="164">
        <v>26896.14</v>
      </c>
      <c r="I54" s="163" t="s">
        <v>259</v>
      </c>
      <c r="J54" s="163" t="s">
        <v>259</v>
      </c>
      <c r="K54" s="164">
        <v>488843.24</v>
      </c>
      <c r="L54" s="163"/>
    </row>
    <row r="55" spans="1:12">
      <c r="A55" s="163">
        <v>10</v>
      </c>
      <c r="B55" s="163" t="s">
        <v>269</v>
      </c>
      <c r="C55" s="164">
        <v>229996.92</v>
      </c>
      <c r="D55" s="164">
        <v>14531.4</v>
      </c>
      <c r="E55" s="164">
        <v>14140.8</v>
      </c>
      <c r="F55" s="164">
        <v>18622.55</v>
      </c>
      <c r="G55" s="163" t="s">
        <v>259</v>
      </c>
      <c r="H55" s="164">
        <v>14878.09</v>
      </c>
      <c r="I55" s="163" t="s">
        <v>259</v>
      </c>
      <c r="J55" s="163" t="s">
        <v>259</v>
      </c>
      <c r="K55" s="164">
        <v>292169.76</v>
      </c>
      <c r="L55" s="163"/>
    </row>
    <row r="56" spans="1:12">
      <c r="A56" s="163">
        <v>11</v>
      </c>
      <c r="B56" s="163" t="s">
        <v>270</v>
      </c>
      <c r="C56" s="164">
        <v>257650.4</v>
      </c>
      <c r="D56" s="164">
        <v>16498.3</v>
      </c>
      <c r="E56" s="164">
        <v>8248.7999999999993</v>
      </c>
      <c r="F56" s="164">
        <v>21143.200000000001</v>
      </c>
      <c r="G56" s="163" t="s">
        <v>259</v>
      </c>
      <c r="H56" s="164">
        <v>18134.71</v>
      </c>
      <c r="I56" s="163" t="s">
        <v>259</v>
      </c>
      <c r="J56" s="163" t="s">
        <v>259</v>
      </c>
      <c r="K56" s="164">
        <v>321675.40999999997</v>
      </c>
      <c r="L56" s="163"/>
    </row>
    <row r="57" spans="1:12">
      <c r="A57" s="163">
        <v>12</v>
      </c>
      <c r="B57" s="163" t="s">
        <v>271</v>
      </c>
      <c r="C57" s="164">
        <v>466043</v>
      </c>
      <c r="D57" s="164">
        <v>29640</v>
      </c>
      <c r="E57" s="164">
        <v>14140.8</v>
      </c>
      <c r="F57" s="164">
        <v>37984.800000000003</v>
      </c>
      <c r="G57" s="163" t="s">
        <v>259</v>
      </c>
      <c r="H57" s="164">
        <v>33008.51</v>
      </c>
      <c r="I57" s="163" t="s">
        <v>259</v>
      </c>
      <c r="J57" s="163" t="s">
        <v>259</v>
      </c>
      <c r="K57" s="164">
        <v>580817.11</v>
      </c>
      <c r="L57" s="163"/>
    </row>
    <row r="58" spans="1:12">
      <c r="A58" s="163">
        <v>13</v>
      </c>
      <c r="B58" s="163" t="s">
        <v>272</v>
      </c>
      <c r="C58" s="164">
        <v>33173.79</v>
      </c>
      <c r="D58" s="164">
        <v>1586.91</v>
      </c>
      <c r="E58" s="164">
        <v>1178.4000000000001</v>
      </c>
      <c r="F58" s="164">
        <v>2082.5</v>
      </c>
      <c r="G58" s="164">
        <v>38.090000000000003</v>
      </c>
      <c r="H58" s="164">
        <v>1628.29</v>
      </c>
      <c r="I58" s="163" t="s">
        <v>259</v>
      </c>
      <c r="J58" s="163" t="s">
        <v>259</v>
      </c>
      <c r="K58" s="164">
        <v>39687.980000000003</v>
      </c>
      <c r="L58" s="163"/>
    </row>
    <row r="59" spans="1:12">
      <c r="A59" s="163">
        <v>14</v>
      </c>
      <c r="B59" s="163" t="s">
        <v>273</v>
      </c>
      <c r="C59" s="164">
        <v>224232.76</v>
      </c>
      <c r="D59" s="164">
        <v>20770.75</v>
      </c>
      <c r="E59" s="164">
        <v>14140.8</v>
      </c>
      <c r="F59" s="164">
        <v>26618.52</v>
      </c>
      <c r="G59" s="163" t="s">
        <v>259</v>
      </c>
      <c r="H59" s="164">
        <v>16119.2</v>
      </c>
      <c r="I59" s="163" t="s">
        <v>259</v>
      </c>
      <c r="J59" s="163" t="s">
        <v>259</v>
      </c>
      <c r="K59" s="183">
        <v>301882.03000000003</v>
      </c>
      <c r="L59" s="170" t="s">
        <v>262</v>
      </c>
    </row>
    <row r="60" spans="1:12">
      <c r="A60" s="163">
        <v>15</v>
      </c>
      <c r="B60" s="163" t="s">
        <v>274</v>
      </c>
      <c r="C60" s="164">
        <v>254031.31</v>
      </c>
      <c r="D60" s="164">
        <v>15503.09</v>
      </c>
      <c r="E60" s="164">
        <v>9427.2000000000007</v>
      </c>
      <c r="F60" s="164">
        <v>20798.02</v>
      </c>
      <c r="G60" s="164">
        <v>725.86</v>
      </c>
      <c r="H60" s="164">
        <v>17035.29</v>
      </c>
      <c r="I60" s="163" t="s">
        <v>259</v>
      </c>
      <c r="J60" s="163" t="s">
        <v>259</v>
      </c>
      <c r="K60" s="164">
        <v>317520.77</v>
      </c>
      <c r="L60" s="163"/>
    </row>
    <row r="61" spans="1:12">
      <c r="A61" s="163">
        <v>16</v>
      </c>
      <c r="B61" s="163" t="s">
        <v>275</v>
      </c>
      <c r="C61" s="164">
        <v>98669.21</v>
      </c>
      <c r="D61" s="164">
        <v>5321.82</v>
      </c>
      <c r="E61" s="164">
        <v>3535.2</v>
      </c>
      <c r="F61" s="164">
        <v>7012.59</v>
      </c>
      <c r="G61" s="164">
        <v>150.19999999999999</v>
      </c>
      <c r="H61" s="164">
        <v>6164.12</v>
      </c>
      <c r="I61" s="163" t="s">
        <v>259</v>
      </c>
      <c r="J61" s="163" t="s">
        <v>259</v>
      </c>
      <c r="K61" s="164">
        <v>120853.14</v>
      </c>
      <c r="L61" s="163"/>
    </row>
    <row r="62" spans="1:12" ht="14">
      <c r="A62" s="159">
        <v>13</v>
      </c>
      <c r="B62" s="165" t="s">
        <v>276</v>
      </c>
      <c r="C62" s="166">
        <v>3299156.09</v>
      </c>
      <c r="D62" s="166">
        <v>210148.88</v>
      </c>
      <c r="E62" s="166">
        <v>136458.75</v>
      </c>
      <c r="F62" s="166">
        <v>272579.77</v>
      </c>
      <c r="G62" s="166">
        <v>2548.44</v>
      </c>
      <c r="H62" s="166">
        <v>222186.71</v>
      </c>
      <c r="I62" s="159" t="s">
        <v>259</v>
      </c>
      <c r="J62" s="159" t="s">
        <v>259</v>
      </c>
      <c r="K62" s="166">
        <v>4143078.64</v>
      </c>
    </row>
    <row r="63" spans="1:12" ht="14">
      <c r="A63" s="159">
        <v>13</v>
      </c>
      <c r="B63" s="159" t="s">
        <v>277</v>
      </c>
      <c r="C63" s="166">
        <v>3299156.09</v>
      </c>
      <c r="D63" s="166">
        <v>210148.88</v>
      </c>
      <c r="E63" s="166">
        <v>136458.75</v>
      </c>
      <c r="F63" s="166">
        <v>272579.77</v>
      </c>
      <c r="G63" s="166">
        <v>2548.44</v>
      </c>
      <c r="H63" s="166">
        <v>222186.71</v>
      </c>
      <c r="I63" s="159" t="s">
        <v>259</v>
      </c>
      <c r="J63" s="159" t="s">
        <v>259</v>
      </c>
      <c r="K63" s="166">
        <v>4143078.64</v>
      </c>
    </row>
    <row r="64" spans="1:12">
      <c r="K64" s="17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3DC0-311B-41AB-AF61-59EB8275D1B0}">
  <dimension ref="A2:G14"/>
  <sheetViews>
    <sheetView workbookViewId="0">
      <selection activeCell="C7" sqref="C7"/>
    </sheetView>
  </sheetViews>
  <sheetFormatPr defaultRowHeight="12.5"/>
  <cols>
    <col min="3" max="3" width="11.1796875" bestFit="1" customWidth="1"/>
  </cols>
  <sheetData>
    <row r="2" spans="1:7">
      <c r="A2" s="148"/>
      <c r="B2" s="148"/>
      <c r="C2" s="72" t="s">
        <v>281</v>
      </c>
      <c r="D2" s="148"/>
      <c r="E2" s="148"/>
      <c r="F2" s="148"/>
      <c r="G2" s="148"/>
    </row>
    <row r="3" spans="1:7">
      <c r="A3" s="72" t="s">
        <v>93</v>
      </c>
      <c r="B3" s="148"/>
      <c r="C3" s="73">
        <f>'P&amp;L'!E53</f>
        <v>43957.04</v>
      </c>
      <c r="D3" s="148"/>
      <c r="E3" s="148"/>
      <c r="F3" s="148"/>
      <c r="G3" s="148"/>
    </row>
    <row r="4" spans="1:7">
      <c r="A4" s="148" t="s">
        <v>13</v>
      </c>
      <c r="B4" s="148"/>
      <c r="C4" s="73">
        <f>'P&amp;L'!E55</f>
        <v>450797.14999999997</v>
      </c>
      <c r="D4" s="148"/>
      <c r="E4" s="148"/>
      <c r="F4" s="148"/>
      <c r="G4" s="148"/>
    </row>
    <row r="5" spans="1:7">
      <c r="A5" s="148" t="s">
        <v>14</v>
      </c>
      <c r="B5" s="148"/>
      <c r="C5" s="73">
        <f>'P&amp;L'!E56</f>
        <v>45477.34</v>
      </c>
      <c r="D5" s="148"/>
      <c r="E5" s="148"/>
      <c r="F5" s="148"/>
      <c r="G5" s="148"/>
    </row>
    <row r="6" spans="1:7">
      <c r="A6" s="148" t="s">
        <v>146</v>
      </c>
      <c r="B6" s="148"/>
      <c r="C6" s="73">
        <f>'P&amp;L'!E57</f>
        <v>138368.52000000002</v>
      </c>
      <c r="D6" s="148"/>
      <c r="E6" s="148"/>
      <c r="F6" s="148"/>
      <c r="G6" s="148"/>
    </row>
    <row r="7" spans="1:7">
      <c r="A7" s="72" t="s">
        <v>145</v>
      </c>
      <c r="B7" s="148"/>
      <c r="C7" s="73">
        <f>'P&amp;L'!E58</f>
        <v>9112.91</v>
      </c>
      <c r="D7" s="148"/>
      <c r="E7" s="148"/>
      <c r="F7" s="148"/>
      <c r="G7" s="148"/>
    </row>
    <row r="8" spans="1:7">
      <c r="A8" s="72" t="s">
        <v>111</v>
      </c>
      <c r="B8" s="148"/>
      <c r="C8" s="73">
        <f>'P&amp;L'!E62</f>
        <v>65589.66</v>
      </c>
      <c r="D8" s="148"/>
      <c r="E8" s="148"/>
      <c r="F8" s="148"/>
      <c r="G8" s="148"/>
    </row>
    <row r="9" spans="1:7" ht="13" thickBot="1">
      <c r="A9" s="148"/>
      <c r="B9" s="148"/>
      <c r="C9" s="168">
        <f>SUM(C3:C8)</f>
        <v>753302.62</v>
      </c>
      <c r="D9" s="148"/>
      <c r="E9" s="148"/>
      <c r="F9" s="148"/>
      <c r="G9" s="148"/>
    </row>
    <row r="10" spans="1:7" ht="13" thickTop="1">
      <c r="A10" s="148"/>
      <c r="B10" s="148"/>
      <c r="C10" s="148"/>
      <c r="D10" s="148"/>
      <c r="E10" s="148"/>
      <c r="F10" s="148"/>
      <c r="G10" s="148"/>
    </row>
    <row r="11" spans="1:7">
      <c r="A11" s="148"/>
      <c r="B11" s="148"/>
      <c r="C11" s="169">
        <v>0.85</v>
      </c>
      <c r="D11" s="148"/>
      <c r="E11" s="148"/>
      <c r="F11" s="148"/>
      <c r="G11" s="72" t="s">
        <v>282</v>
      </c>
    </row>
    <row r="12" spans="1:7">
      <c r="A12" s="148"/>
      <c r="B12" s="148"/>
      <c r="C12" s="148"/>
      <c r="D12" s="148"/>
      <c r="E12" s="148"/>
      <c r="F12" s="148"/>
      <c r="G12" s="148"/>
    </row>
    <row r="13" spans="1:7">
      <c r="A13" s="148"/>
      <c r="B13" s="148"/>
      <c r="C13" s="153">
        <f>C9*C11</f>
        <v>640307.22699999996</v>
      </c>
      <c r="D13" s="148"/>
      <c r="E13" s="148"/>
      <c r="F13" s="148"/>
      <c r="G13" s="148"/>
    </row>
    <row r="14" spans="1:7">
      <c r="A14" s="148"/>
      <c r="B14" s="148"/>
      <c r="C14" s="148"/>
      <c r="D14" s="148"/>
      <c r="E14" s="148"/>
      <c r="F14" s="148"/>
      <c r="G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ea877e-3a18-4027-9275-e075222c53bf" xsi:nil="true"/>
    <lcf76f155ced4ddcb4097134ff3c332f xmlns="aa0882e9-c2ef-43de-8c81-81936401b15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AC9C847F66F4FA4EFBEA3C5C10E3C" ma:contentTypeVersion="15" ma:contentTypeDescription="Create a new document." ma:contentTypeScope="" ma:versionID="e86509f3d1585fb0b0a401a80aced89b">
  <xsd:schema xmlns:xsd="http://www.w3.org/2001/XMLSchema" xmlns:xs="http://www.w3.org/2001/XMLSchema" xmlns:p="http://schemas.microsoft.com/office/2006/metadata/properties" xmlns:ns2="aa0882e9-c2ef-43de-8c81-81936401b15a" xmlns:ns3="42ea877e-3a18-4027-9275-e075222c53bf" targetNamespace="http://schemas.microsoft.com/office/2006/metadata/properties" ma:root="true" ma:fieldsID="477c03998f35515a998fc4aad0925811" ns2:_="" ns3:_="">
    <xsd:import namespace="aa0882e9-c2ef-43de-8c81-81936401b15a"/>
    <xsd:import namespace="42ea877e-3a18-4027-9275-e075222c53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882e9-c2ef-43de-8c81-81936401b1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a877e-3a18-4027-9275-e075222c53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1de99e-8154-4d72-b568-7d159e6b49c9}" ma:internalName="TaxCatchAll" ma:showField="CatchAllData" ma:web="42ea877e-3a18-4027-9275-e075222c53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DE578-3E1C-43AF-941B-408A3DFD6E18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a0882e9-c2ef-43de-8c81-81936401b15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2ea877e-3a18-4027-9275-e075222c53b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2BFC47A-CE6F-496C-8837-6F7C53E3E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0882e9-c2ef-43de-8c81-81936401b15a"/>
    <ds:schemaRef ds:uri="42ea877e-3a18-4027-9275-e075222c5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20F703-9101-43FD-8487-635440C6C7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Summary</vt:lpstr>
      <vt:lpstr>BS</vt:lpstr>
      <vt:lpstr>CF</vt:lpstr>
      <vt:lpstr>P&amp;L</vt:lpstr>
      <vt:lpstr>TB</vt:lpstr>
      <vt:lpstr>AJE</vt:lpstr>
      <vt:lpstr>TB UK</vt:lpstr>
      <vt:lpstr>TB US</vt:lpstr>
      <vt:lpstr>BS (consolidate)</vt:lpstr>
      <vt:lpstr>P&amp;L (consolidate)</vt:lpstr>
      <vt:lpstr>Payroll Israel + allocation</vt:lpstr>
      <vt:lpstr>אלוקציה הוצ</vt:lpstr>
      <vt:lpstr>BS!Print_Area</vt:lpstr>
      <vt:lpstr>'BS (consolidate)'!Print_Area</vt:lpstr>
      <vt:lpstr>CF!Print_Area</vt:lpstr>
      <vt:lpstr>'P&amp;L'!Print_Area</vt:lpstr>
      <vt:lpstr>'P&amp;L (consolidate)'!Print_Area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Tzvibel</dc:creator>
  <cp:lastModifiedBy>Daniel Avraham</cp:lastModifiedBy>
  <cp:lastPrinted>2024-02-18T06:21:37Z</cp:lastPrinted>
  <dcterms:created xsi:type="dcterms:W3CDTF">2008-02-04T09:15:14Z</dcterms:created>
  <dcterms:modified xsi:type="dcterms:W3CDTF">2024-05-19T12:15:44Z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0x010100348AC9C847F66F4FA4EFBEA3C5C10E3C</vt:lpwstr>
  </property>
  <property fmtid="{D5CDD505-2E9C-101B-9397-08002B2CF9AE}" pid="3" name="MediaServiceImageTags">
    <vt:lpwstr/>
  </property>
</Properties>
</file>