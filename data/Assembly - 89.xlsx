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ya.Kapulsky\Downloads\"/>
    </mc:Choice>
  </mc:AlternateContent>
  <xr:revisionPtr revIDLastSave="0" documentId="8_{A9B3277C-65AE-42EB-AF97-9A29CDE1107B}" xr6:coauthVersionLast="47" xr6:coauthVersionMax="47" xr10:uidLastSave="{00000000-0000-0000-0000-000000000000}"/>
  <bookViews>
    <workbookView xWindow="28680" yWindow="-120" windowWidth="29040" windowHeight="15840" tabRatio="846" firstSheet="1" activeTab="7" xr2:uid="{00000000-000D-0000-FFFF-FFFF00000000}"/>
  </bookViews>
  <sheets>
    <sheet name="דוח התאמה למס" sheetId="1" state="hidden" r:id="rId1"/>
    <sheet name="Exp By type" sheetId="21" r:id="rId2"/>
    <sheet name="Summary " sheetId="22" r:id="rId3"/>
    <sheet name="COA1" sheetId="2" r:id="rId4"/>
    <sheet name="FS" sheetId="20" r:id="rId5"/>
    <sheet name="FS Notes" sheetId="18" r:id="rId6"/>
    <sheet name="P&amp;L USD CONS" sheetId="5" r:id="rId7"/>
    <sheet name="BS USD CONS " sheetId="4" r:id="rId8"/>
    <sheet name="BS LTD USD " sheetId="6" r:id="rId9"/>
    <sheet name="P&amp;L LTD  USD" sheetId="7" r:id="rId10"/>
    <sheet name="BS &amp; P&amp;L INC " sheetId="8" r:id="rId11"/>
    <sheet name="Tech Plant Check" sheetId="9" state="hidden" r:id="rId12"/>
    <sheet name="R&amp;D 20A" sheetId="10" state="hidden" r:id="rId13"/>
    <sheet name="CF FS" sheetId="17" r:id="rId14"/>
    <sheet name="CF WP" sheetId="16" r:id="rId15"/>
    <sheet name="Changes in equity" sheetId="19" r:id="rId16"/>
    <sheet name="AJE 2021" sheetId="11" r:id="rId17"/>
    <sheet name="Tech Plant Check ILS" sheetId="12" r:id="rId18"/>
    <sheet name="TB LTD 12.21" sheetId="3" r:id="rId19"/>
  </sheets>
  <externalReferences>
    <externalReference r:id="rId20"/>
    <externalReference r:id="rId21"/>
    <externalReference r:id="rId22"/>
  </externalReferences>
  <definedNames>
    <definedName name="_xlnm._FilterDatabase" localSheetId="10" hidden="1">'BS &amp; P&amp;L INC '!$C$57:$H$82</definedName>
    <definedName name="_xlnm._FilterDatabase" localSheetId="14" hidden="1">'CF WP'!$A$40:$D$60</definedName>
    <definedName name="_xlnm._FilterDatabase" localSheetId="3" hidden="1">'COA1'!$A$1:$J$780</definedName>
    <definedName name="_xlnm._FilterDatabase" localSheetId="18" hidden="1">'TB LTD 12.21'!$A$1:$K$360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5" roundtripDataSignature="AMtx7mgLVOR3buP0+cSeuOEa24qiqHuSNg=="/>
    </ext>
  </extLst>
</workbook>
</file>

<file path=xl/calcChain.xml><?xml version="1.0" encoding="utf-8"?>
<calcChain xmlns="http://schemas.openxmlformats.org/spreadsheetml/2006/main">
  <c r="E13" i="6" l="1"/>
  <c r="E14" i="6"/>
  <c r="J104" i="11"/>
  <c r="K105" i="11" s="1"/>
  <c r="K36" i="6" s="1"/>
  <c r="K79" i="7"/>
  <c r="L79" i="7" s="1"/>
  <c r="E79" i="7"/>
  <c r="F79" i="7" s="1"/>
  <c r="J79" i="7"/>
  <c r="D79" i="7"/>
  <c r="H105" i="11"/>
  <c r="E36" i="6" s="1"/>
  <c r="J94" i="11"/>
  <c r="C65" i="16" l="1"/>
  <c r="C33" i="17" s="1"/>
  <c r="C88" i="16" l="1"/>
  <c r="D27" i="17"/>
  <c r="C27" i="17"/>
  <c r="B27" i="17"/>
  <c r="D26" i="17"/>
  <c r="C26" i="17"/>
  <c r="B26" i="17"/>
  <c r="D25" i="17"/>
  <c r="C25" i="17"/>
  <c r="B25" i="17"/>
  <c r="D24" i="17"/>
  <c r="C24" i="17"/>
  <c r="B24" i="17"/>
  <c r="B23" i="17"/>
  <c r="B22" i="17"/>
  <c r="B21" i="17"/>
  <c r="B20" i="17"/>
  <c r="B19" i="17"/>
  <c r="B18" i="17"/>
  <c r="B17" i="17"/>
  <c r="B51" i="16"/>
  <c r="K22" i="16"/>
  <c r="B48" i="16"/>
  <c r="K11" i="16"/>
  <c r="C27" i="20"/>
  <c r="E9" i="19" l="1"/>
  <c r="G26" i="19"/>
  <c r="J29" i="19" l="1"/>
  <c r="J11" i="19"/>
  <c r="H29" i="19"/>
  <c r="I153" i="3"/>
  <c r="H11" i="19"/>
  <c r="H32" i="19"/>
  <c r="H14" i="19"/>
  <c r="H13" i="19"/>
  <c r="H15" i="19" s="1"/>
  <c r="E18" i="7"/>
  <c r="J100" i="11"/>
  <c r="F99" i="11"/>
  <c r="K90" i="11"/>
  <c r="K113" i="11" s="1"/>
  <c r="L113" i="11" s="1"/>
  <c r="J90" i="11"/>
  <c r="B57" i="17"/>
  <c r="B56" i="17"/>
  <c r="B55" i="17"/>
  <c r="C66" i="16"/>
  <c r="D106" i="16"/>
  <c r="K81" i="7" l="1"/>
  <c r="K114" i="11"/>
  <c r="H33" i="19"/>
  <c r="H31" i="16"/>
  <c r="I12" i="16"/>
  <c r="C87" i="16" s="1"/>
  <c r="C193" i="16"/>
  <c r="K9" i="16" s="1"/>
  <c r="K10" i="16"/>
  <c r="K14" i="16"/>
  <c r="K16" i="16"/>
  <c r="K21" i="16"/>
  <c r="K25" i="16"/>
  <c r="K28" i="16"/>
  <c r="H28" i="16" s="1"/>
  <c r="K27" i="16"/>
  <c r="D87" i="16" l="1"/>
  <c r="D56" i="17"/>
  <c r="F23" i="16"/>
  <c r="H25" i="16"/>
  <c r="F12" i="16"/>
  <c r="C215" i="16"/>
  <c r="C209" i="16"/>
  <c r="C219" i="16" l="1"/>
  <c r="I23" i="16"/>
  <c r="B193" i="16"/>
  <c r="C73" i="16" l="1"/>
  <c r="D73" i="16" s="1"/>
  <c r="D42" i="17" s="1"/>
  <c r="B73" i="16"/>
  <c r="B54" i="17" l="1"/>
  <c r="J26" i="19"/>
  <c r="G373" i="3"/>
  <c r="J20" i="11" l="1"/>
  <c r="J19" i="11"/>
  <c r="J18" i="11"/>
  <c r="J17" i="11"/>
  <c r="G27" i="19" l="1"/>
  <c r="D31" i="19"/>
  <c r="E26" i="19"/>
  <c r="C26" i="19"/>
  <c r="E27" i="19"/>
  <c r="C8" i="19"/>
  <c r="E8" i="19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11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G362" i="3"/>
  <c r="E31" i="19" l="1"/>
  <c r="C31" i="19"/>
  <c r="C34" i="19"/>
  <c r="J27" i="19"/>
  <c r="N16" i="6" l="1"/>
  <c r="N17" i="6"/>
  <c r="N18" i="6"/>
  <c r="N24" i="6"/>
  <c r="N26" i="6"/>
  <c r="N27" i="6"/>
  <c r="N28" i="6"/>
  <c r="N29" i="6"/>
  <c r="N37" i="6"/>
  <c r="N39" i="6"/>
  <c r="N42" i="6"/>
  <c r="N44" i="6"/>
  <c r="N46" i="6"/>
  <c r="N47" i="6"/>
  <c r="N48" i="6"/>
  <c r="N57" i="6"/>
  <c r="K22" i="6"/>
  <c r="E22" i="6"/>
  <c r="E43" i="6" l="1"/>
  <c r="G89" i="11" l="1"/>
  <c r="K4" i="22" l="1"/>
  <c r="D97" i="16"/>
  <c r="K13" i="6"/>
  <c r="K52" i="7"/>
  <c r="E52" i="7"/>
  <c r="E80" i="7"/>
  <c r="K77" i="11" l="1"/>
  <c r="J77" i="11"/>
  <c r="H77" i="11"/>
  <c r="G77" i="11"/>
  <c r="F23" i="4" l="1"/>
  <c r="H86" i="11" l="1"/>
  <c r="H95" i="11"/>
  <c r="H94" i="11"/>
  <c r="F95" i="11"/>
  <c r="G367" i="3"/>
  <c r="G366" i="3"/>
  <c r="G364" i="3"/>
  <c r="E34" i="6" l="1"/>
  <c r="H117" i="11"/>
  <c r="G369" i="3"/>
  <c r="I105" i="3" l="1"/>
  <c r="D130" i="16" l="1"/>
  <c r="I18" i="16" s="1"/>
  <c r="I21" i="16" s="1"/>
  <c r="C85" i="16" s="1"/>
  <c r="D129" i="16"/>
  <c r="C72" i="16" l="1"/>
  <c r="D72" i="16" s="1"/>
  <c r="D41" i="17" s="1"/>
  <c r="F18" i="16"/>
  <c r="C58" i="16" s="1"/>
  <c r="D58" i="16" s="1"/>
  <c r="D54" i="17"/>
  <c r="D85" i="16"/>
  <c r="D127" i="16"/>
  <c r="D133" i="16" s="1"/>
  <c r="C166" i="16"/>
  <c r="H26" i="16"/>
  <c r="C198" i="16"/>
  <c r="C163" i="16" s="1"/>
  <c r="C164" i="16"/>
  <c r="C162" i="16"/>
  <c r="C169" i="16" l="1"/>
  <c r="F35" i="4" l="1"/>
  <c r="C56" i="16" l="1"/>
  <c r="D56" i="16" s="1"/>
  <c r="B56" i="16"/>
  <c r="F16" i="4" l="1"/>
  <c r="I44" i="5"/>
  <c r="F90" i="11"/>
  <c r="H90" i="11"/>
  <c r="H114" i="11" l="1"/>
  <c r="E81" i="7"/>
  <c r="K35" i="6"/>
  <c r="L35" i="6" l="1"/>
  <c r="N35" i="6" s="1"/>
  <c r="K20" i="6"/>
  <c r="K56" i="7"/>
  <c r="K80" i="7"/>
  <c r="K30" i="6"/>
  <c r="L20" i="6" l="1"/>
  <c r="N20" i="6" s="1"/>
  <c r="F28" i="18" l="1"/>
  <c r="F40" i="4" l="1"/>
  <c r="C46" i="20" l="1"/>
  <c r="C39" i="20"/>
  <c r="V27" i="11"/>
  <c r="W28" i="11" s="1"/>
  <c r="E20" i="6"/>
  <c r="M20" i="6" s="1"/>
  <c r="E35" i="6"/>
  <c r="M35" i="6" s="1"/>
  <c r="D15" i="18" l="1"/>
  <c r="E56" i="7"/>
  <c r="H80" i="11"/>
  <c r="K80" i="11" l="1"/>
  <c r="G81" i="11"/>
  <c r="D27" i="18"/>
  <c r="E68" i="7"/>
  <c r="E41" i="7"/>
  <c r="D48" i="18" s="1"/>
  <c r="E30" i="7"/>
  <c r="F20" i="11"/>
  <c r="F19" i="11"/>
  <c r="F18" i="11"/>
  <c r="D38" i="18" l="1"/>
  <c r="C140" i="16"/>
  <c r="G10" i="19" s="1"/>
  <c r="J81" i="11"/>
  <c r="H21" i="11"/>
  <c r="K18" i="7"/>
  <c r="K30" i="7"/>
  <c r="K41" i="7"/>
  <c r="U23" i="11"/>
  <c r="V23" i="11"/>
  <c r="G22" i="8" s="1"/>
  <c r="M93" i="8"/>
  <c r="F64" i="11"/>
  <c r="H75" i="8"/>
  <c r="H76" i="8"/>
  <c r="H77" i="8"/>
  <c r="F91" i="8"/>
  <c r="H88" i="8"/>
  <c r="F92" i="8"/>
  <c r="F89" i="8"/>
  <c r="F88" i="8"/>
  <c r="F86" i="8"/>
  <c r="F87" i="8" s="1"/>
  <c r="W10" i="11"/>
  <c r="G50" i="8" s="1"/>
  <c r="W85" i="11"/>
  <c r="G51" i="8" s="1"/>
  <c r="W9" i="11"/>
  <c r="V12" i="11" s="1"/>
  <c r="G44" i="8" s="1"/>
  <c r="W8" i="11"/>
  <c r="G48" i="8" s="1"/>
  <c r="L87" i="8"/>
  <c r="K87" i="8"/>
  <c r="F85" i="8"/>
  <c r="F78" i="8"/>
  <c r="F55" i="8"/>
  <c r="E7" i="7"/>
  <c r="H47" i="11"/>
  <c r="E33" i="6" s="1"/>
  <c r="F31" i="16" l="1"/>
  <c r="J10" i="19"/>
  <c r="K37" i="7"/>
  <c r="K25" i="7"/>
  <c r="K21" i="11"/>
  <c r="G49" i="8"/>
  <c r="I49" i="8" s="1"/>
  <c r="I50" i="8" s="1"/>
  <c r="K47" i="11"/>
  <c r="V11" i="11"/>
  <c r="G42" i="8" s="1"/>
  <c r="V86" i="11"/>
  <c r="G40" i="8" s="1"/>
  <c r="H40" i="8" s="1"/>
  <c r="V87" i="11"/>
  <c r="G41" i="8" s="1"/>
  <c r="F48" i="11"/>
  <c r="F47" i="11"/>
  <c r="D29" i="5"/>
  <c r="E30" i="6"/>
  <c r="M30" i="6" s="1"/>
  <c r="J48" i="11" l="1"/>
  <c r="K7" i="7" s="1"/>
  <c r="K33" i="6"/>
  <c r="M33" i="6" s="1"/>
  <c r="H100" i="11"/>
  <c r="D25" i="4"/>
  <c r="F100" i="11" l="1"/>
  <c r="J43" i="11"/>
  <c r="K51" i="7" s="1"/>
  <c r="G43" i="11"/>
  <c r="E51" i="7" s="1"/>
  <c r="F43" i="11"/>
  <c r="F42" i="11"/>
  <c r="E77" i="7"/>
  <c r="E75" i="7" s="1"/>
  <c r="J38" i="11"/>
  <c r="J39" i="11"/>
  <c r="J37" i="11"/>
  <c r="H36" i="11"/>
  <c r="F37" i="11"/>
  <c r="F38" i="11"/>
  <c r="F39" i="11"/>
  <c r="F36" i="11"/>
  <c r="M36" i="6" l="1"/>
  <c r="E31" i="6"/>
  <c r="K77" i="7"/>
  <c r="K36" i="11"/>
  <c r="K31" i="6" s="1"/>
  <c r="E37" i="7"/>
  <c r="E25" i="7"/>
  <c r="K75" i="7" l="1"/>
  <c r="G31" i="11"/>
  <c r="J31" i="11"/>
  <c r="K14" i="6" s="1"/>
  <c r="F31" i="11"/>
  <c r="F30" i="11"/>
  <c r="D61" i="18"/>
  <c r="D59" i="18"/>
  <c r="D60" i="18"/>
  <c r="D58" i="18"/>
  <c r="D57" i="18"/>
  <c r="D56" i="18"/>
  <c r="D55" i="18"/>
  <c r="D54" i="18"/>
  <c r="F62" i="18"/>
  <c r="D49" i="18"/>
  <c r="D47" i="18"/>
  <c r="D46" i="18"/>
  <c r="D45" i="18"/>
  <c r="F50" i="18"/>
  <c r="D40" i="18"/>
  <c r="D37" i="18"/>
  <c r="D39" i="18"/>
  <c r="D36" i="18"/>
  <c r="D35" i="18"/>
  <c r="M14" i="6" l="1"/>
  <c r="D62" i="18"/>
  <c r="D50" i="18"/>
  <c r="D34" i="18" l="1"/>
  <c r="D41" i="18" s="1"/>
  <c r="F41" i="18"/>
  <c r="D25" i="18"/>
  <c r="D26" i="18"/>
  <c r="D23" i="18"/>
  <c r="D24" i="18"/>
  <c r="D28" i="18" l="1"/>
  <c r="D13" i="18"/>
  <c r="D12" i="18"/>
  <c r="D11" i="18"/>
  <c r="D10" i="18"/>
  <c r="F14" i="18"/>
  <c r="F16" i="18" s="1"/>
  <c r="G9" i="19"/>
  <c r="F13" i="19"/>
  <c r="E13" i="19"/>
  <c r="D13" i="19"/>
  <c r="C13" i="19"/>
  <c r="J8" i="19"/>
  <c r="J9" i="19" l="1"/>
  <c r="G13" i="19"/>
  <c r="D14" i="18"/>
  <c r="D16" i="18" s="1"/>
  <c r="G25" i="11" l="1"/>
  <c r="F26" i="11"/>
  <c r="F25" i="11"/>
  <c r="E9" i="6" l="1"/>
  <c r="H26" i="11"/>
  <c r="V16" i="11"/>
  <c r="J25" i="11"/>
  <c r="K9" i="6" l="1"/>
  <c r="M9" i="6" s="1"/>
  <c r="K26" i="11"/>
  <c r="P26" i="11" s="1"/>
  <c r="W17" i="11"/>
  <c r="G10" i="8"/>
  <c r="C39" i="17"/>
  <c r="D32" i="17"/>
  <c r="C32" i="17"/>
  <c r="C152" i="16"/>
  <c r="C154" i="16" s="1"/>
  <c r="C45" i="16"/>
  <c r="C138" i="16"/>
  <c r="D134" i="16"/>
  <c r="D116" i="16"/>
  <c r="D122" i="16" s="1"/>
  <c r="A114" i="16"/>
  <c r="D105" i="16"/>
  <c r="D111" i="16" s="1"/>
  <c r="A103" i="16"/>
  <c r="D95" i="16"/>
  <c r="D94" i="16"/>
  <c r="A92" i="16"/>
  <c r="C80" i="16"/>
  <c r="D80" i="16" s="1"/>
  <c r="D49" i="17" s="1"/>
  <c r="C79" i="16"/>
  <c r="C48" i="17" s="1"/>
  <c r="D70" i="16"/>
  <c r="D39" i="17" s="1"/>
  <c r="B49" i="16"/>
  <c r="I36" i="16"/>
  <c r="D33" i="16"/>
  <c r="D36" i="16" s="1"/>
  <c r="A31" i="16"/>
  <c r="A28" i="16"/>
  <c r="A27" i="16"/>
  <c r="D20" i="16"/>
  <c r="F13" i="16"/>
  <c r="C44" i="16" s="1"/>
  <c r="D88" i="16" l="1"/>
  <c r="D57" i="17"/>
  <c r="D44" i="16"/>
  <c r="D12" i="17" s="1"/>
  <c r="D35" i="17"/>
  <c r="K36" i="16"/>
  <c r="D79" i="16"/>
  <c r="D48" i="17" s="1"/>
  <c r="C147" i="16"/>
  <c r="D100" i="16"/>
  <c r="D37" i="16"/>
  <c r="C49" i="17"/>
  <c r="H36" i="16"/>
  <c r="C74" i="16"/>
  <c r="D74" i="16" s="1"/>
  <c r="D43" i="17" s="1"/>
  <c r="C12" i="17"/>
  <c r="D71" i="16"/>
  <c r="D40" i="17" s="1"/>
  <c r="C13" i="17"/>
  <c r="D45" i="16"/>
  <c r="D13" i="17" s="1"/>
  <c r="G13" i="16"/>
  <c r="J40" i="16" l="1"/>
  <c r="C47" i="16"/>
  <c r="D47" i="16"/>
  <c r="D15" i="17" s="1"/>
  <c r="C199" i="16"/>
  <c r="M18" i="16"/>
  <c r="C75" i="16"/>
  <c r="C43" i="17"/>
  <c r="D66" i="16"/>
  <c r="D34" i="17" s="1"/>
  <c r="G36" i="16"/>
  <c r="C68" i="16"/>
  <c r="C15" i="17" l="1"/>
  <c r="D44" i="17"/>
  <c r="D75" i="16"/>
  <c r="C44" i="17"/>
  <c r="D65" i="16"/>
  <c r="D33" i="17" s="1"/>
  <c r="C36" i="17" l="1"/>
  <c r="D68" i="16"/>
  <c r="D36" i="17" s="1"/>
  <c r="J18" i="12" l="1"/>
  <c r="F14" i="11" l="1"/>
  <c r="F13" i="11"/>
  <c r="F12" i="11"/>
  <c r="F21" i="11"/>
  <c r="K68" i="7"/>
  <c r="E52" i="6"/>
  <c r="F17" i="11"/>
  <c r="K52" i="6" l="1"/>
  <c r="K14" i="11" l="1"/>
  <c r="K13" i="11"/>
  <c r="J12" i="11"/>
  <c r="F41" i="4" l="1"/>
  <c r="I114" i="3" l="1"/>
  <c r="H70" i="12" l="1"/>
  <c r="G69" i="12"/>
  <c r="I69" i="12" s="1"/>
  <c r="E69" i="12"/>
  <c r="G68" i="12"/>
  <c r="G70" i="12" s="1"/>
  <c r="E68" i="12"/>
  <c r="E70" i="12" s="1"/>
  <c r="D68" i="12"/>
  <c r="D70" i="12" s="1"/>
  <c r="C68" i="12"/>
  <c r="C70" i="12" s="1"/>
  <c r="I67" i="12"/>
  <c r="D67" i="12"/>
  <c r="I66" i="12"/>
  <c r="I65" i="12"/>
  <c r="D65" i="12"/>
  <c r="C65" i="12"/>
  <c r="I64" i="12"/>
  <c r="I63" i="12"/>
  <c r="G62" i="12"/>
  <c r="I62" i="12" s="1"/>
  <c r="E62" i="12"/>
  <c r="D62" i="12"/>
  <c r="I61" i="12"/>
  <c r="E56" i="12"/>
  <c r="C56" i="12"/>
  <c r="H48" i="12"/>
  <c r="H49" i="12" s="1"/>
  <c r="G48" i="12"/>
  <c r="E48" i="12"/>
  <c r="E49" i="12" s="1"/>
  <c r="D48" i="12"/>
  <c r="C48" i="12"/>
  <c r="H47" i="12"/>
  <c r="G47" i="12"/>
  <c r="E47" i="12"/>
  <c r="D47" i="12"/>
  <c r="H38" i="12"/>
  <c r="G37" i="12"/>
  <c r="I37" i="12" s="1"/>
  <c r="E37" i="12"/>
  <c r="G36" i="12"/>
  <c r="I36" i="12" s="1"/>
  <c r="E36" i="12"/>
  <c r="E38" i="12" s="1"/>
  <c r="D36" i="12"/>
  <c r="D38" i="12" s="1"/>
  <c r="C36" i="12"/>
  <c r="C38" i="12" s="1"/>
  <c r="I35" i="12"/>
  <c r="D35" i="12"/>
  <c r="C35" i="12"/>
  <c r="C37" i="12" s="1"/>
  <c r="K34" i="12"/>
  <c r="K38" i="12" s="1"/>
  <c r="I34" i="12"/>
  <c r="I33" i="12"/>
  <c r="D33" i="12"/>
  <c r="C33" i="12"/>
  <c r="I32" i="12"/>
  <c r="I31" i="12"/>
  <c r="G30" i="12"/>
  <c r="I30" i="12" s="1"/>
  <c r="E30" i="12"/>
  <c r="D30" i="12"/>
  <c r="I29" i="12"/>
  <c r="K27" i="12"/>
  <c r="K29" i="12" s="1"/>
  <c r="E26" i="12"/>
  <c r="E24" i="12"/>
  <c r="C24" i="12"/>
  <c r="E16" i="12"/>
  <c r="E15" i="12"/>
  <c r="D15" i="12"/>
  <c r="J14" i="12"/>
  <c r="K14" i="12" s="1"/>
  <c r="D4" i="12"/>
  <c r="C4" i="12"/>
  <c r="C5" i="12" s="1"/>
  <c r="D2" i="12" s="1"/>
  <c r="G3" i="12"/>
  <c r="E3" i="12"/>
  <c r="K86" i="11"/>
  <c r="C20" i="10"/>
  <c r="C19" i="10"/>
  <c r="C18" i="10"/>
  <c r="G8" i="10"/>
  <c r="F8" i="10"/>
  <c r="E8" i="10"/>
  <c r="F7" i="10"/>
  <c r="E7" i="10"/>
  <c r="D7" i="10"/>
  <c r="C6" i="10"/>
  <c r="D6" i="10" s="1"/>
  <c r="E6" i="10" s="1"/>
  <c r="C5" i="10"/>
  <c r="D5" i="10" s="1"/>
  <c r="B5" i="10"/>
  <c r="E1" i="10"/>
  <c r="F1" i="10" s="1"/>
  <c r="G1" i="10" s="1"/>
  <c r="H1" i="10" s="1"/>
  <c r="I1" i="10" s="1"/>
  <c r="D1" i="10"/>
  <c r="I69" i="9"/>
  <c r="H69" i="9"/>
  <c r="G69" i="9"/>
  <c r="E69" i="9"/>
  <c r="I68" i="9"/>
  <c r="G68" i="9"/>
  <c r="E68" i="9"/>
  <c r="G67" i="9"/>
  <c r="I67" i="9" s="1"/>
  <c r="E67" i="9"/>
  <c r="D67" i="9"/>
  <c r="D69" i="9" s="1"/>
  <c r="C67" i="9"/>
  <c r="C69" i="9" s="1"/>
  <c r="I66" i="9"/>
  <c r="D66" i="9"/>
  <c r="I65" i="9"/>
  <c r="I64" i="9"/>
  <c r="D64" i="9"/>
  <c r="D68" i="9" s="1"/>
  <c r="C64" i="9"/>
  <c r="I63" i="9"/>
  <c r="I62" i="9"/>
  <c r="G61" i="9"/>
  <c r="I61" i="9" s="1"/>
  <c r="E61" i="9"/>
  <c r="D61" i="9"/>
  <c r="I60" i="9"/>
  <c r="E55" i="9"/>
  <c r="C55" i="9"/>
  <c r="I47" i="9"/>
  <c r="I48" i="9" s="1"/>
  <c r="H47" i="9"/>
  <c r="H48" i="9" s="1"/>
  <c r="G47" i="9"/>
  <c r="G49" i="9" s="1"/>
  <c r="E47" i="9"/>
  <c r="D47" i="9"/>
  <c r="D48" i="9" s="1"/>
  <c r="C47" i="9"/>
  <c r="H46" i="9"/>
  <c r="G46" i="9"/>
  <c r="I46" i="9" s="1"/>
  <c r="E46" i="9"/>
  <c r="E57" i="9" s="1"/>
  <c r="D46" i="9"/>
  <c r="E49" i="9" s="1"/>
  <c r="H37" i="9"/>
  <c r="D37" i="9"/>
  <c r="C37" i="9"/>
  <c r="I36" i="9"/>
  <c r="G36" i="9"/>
  <c r="E36" i="9"/>
  <c r="G35" i="9"/>
  <c r="G37" i="9" s="1"/>
  <c r="I37" i="9" s="1"/>
  <c r="E35" i="9"/>
  <c r="E37" i="9" s="1"/>
  <c r="D35" i="9"/>
  <c r="C35" i="9"/>
  <c r="I34" i="9"/>
  <c r="D34" i="9"/>
  <c r="C34" i="9"/>
  <c r="C36" i="9" s="1"/>
  <c r="K33" i="9"/>
  <c r="K37" i="9" s="1"/>
  <c r="I33" i="9"/>
  <c r="I32" i="9"/>
  <c r="D32" i="9"/>
  <c r="D36" i="9" s="1"/>
  <c r="C32" i="9"/>
  <c r="I31" i="9"/>
  <c r="I30" i="9"/>
  <c r="I29" i="9"/>
  <c r="G29" i="9"/>
  <c r="E29" i="9"/>
  <c r="D29" i="9"/>
  <c r="K28" i="9"/>
  <c r="I28" i="9"/>
  <c r="K26" i="9"/>
  <c r="E25" i="9"/>
  <c r="E23" i="9"/>
  <c r="C23" i="9"/>
  <c r="J18" i="9"/>
  <c r="E16" i="9"/>
  <c r="E15" i="9"/>
  <c r="D15" i="9"/>
  <c r="J14" i="9"/>
  <c r="K14" i="9" s="1"/>
  <c r="C5" i="9"/>
  <c r="D2" i="9" s="1"/>
  <c r="D5" i="9" s="1"/>
  <c r="E2" i="9" s="1"/>
  <c r="E5" i="9" s="1"/>
  <c r="G2" i="9" s="1"/>
  <c r="G5" i="9" s="1"/>
  <c r="D4" i="9"/>
  <c r="C4" i="9"/>
  <c r="G3" i="9"/>
  <c r="E3" i="9"/>
  <c r="H74" i="8"/>
  <c r="H73" i="8"/>
  <c r="H72" i="8"/>
  <c r="H71" i="8"/>
  <c r="H70" i="8"/>
  <c r="H69" i="8"/>
  <c r="H68" i="8"/>
  <c r="H67" i="8"/>
  <c r="H66" i="8"/>
  <c r="H65" i="8"/>
  <c r="H63" i="8"/>
  <c r="H62" i="8"/>
  <c r="H61" i="8"/>
  <c r="H60" i="8"/>
  <c r="H59" i="8"/>
  <c r="H58" i="8"/>
  <c r="H54" i="8"/>
  <c r="H53" i="8"/>
  <c r="H52" i="8"/>
  <c r="H51" i="8"/>
  <c r="H50" i="8"/>
  <c r="H49" i="8"/>
  <c r="H48" i="8"/>
  <c r="H44" i="8"/>
  <c r="H43" i="8"/>
  <c r="H42" i="8"/>
  <c r="H41" i="8"/>
  <c r="K5" i="22" s="1"/>
  <c r="F39" i="8"/>
  <c r="F28" i="8"/>
  <c r="H24" i="8"/>
  <c r="H23" i="8"/>
  <c r="H21" i="8"/>
  <c r="H20" i="8"/>
  <c r="F19" i="8"/>
  <c r="H19" i="8" s="1"/>
  <c r="F18" i="8"/>
  <c r="F25" i="8" s="1"/>
  <c r="H17" i="8"/>
  <c r="H18" i="8" s="1"/>
  <c r="F11" i="8"/>
  <c r="H11" i="8" s="1"/>
  <c r="F25" i="4" s="1"/>
  <c r="J25" i="4" s="1"/>
  <c r="H10" i="8"/>
  <c r="F9" i="4" s="1"/>
  <c r="F8" i="8"/>
  <c r="H7" i="8"/>
  <c r="K43" i="6"/>
  <c r="D39" i="5"/>
  <c r="F31" i="5"/>
  <c r="E23" i="5"/>
  <c r="F13" i="5"/>
  <c r="J62" i="4"/>
  <c r="L62" i="4" s="1"/>
  <c r="F58" i="4"/>
  <c r="F57" i="4"/>
  <c r="F56" i="4"/>
  <c r="F55" i="4"/>
  <c r="F54" i="4"/>
  <c r="F47" i="4"/>
  <c r="D47" i="4"/>
  <c r="F46" i="4"/>
  <c r="F45" i="4"/>
  <c r="J44" i="4"/>
  <c r="H43" i="4"/>
  <c r="H50" i="4" s="1"/>
  <c r="F39" i="4"/>
  <c r="D39" i="4"/>
  <c r="F37" i="4"/>
  <c r="F36" i="4"/>
  <c r="F26" i="4"/>
  <c r="F22" i="4"/>
  <c r="H18" i="4"/>
  <c r="F17" i="4"/>
  <c r="F15" i="4"/>
  <c r="F14" i="4"/>
  <c r="F13" i="4"/>
  <c r="D13" i="4"/>
  <c r="F12" i="4"/>
  <c r="D12" i="4"/>
  <c r="F11" i="4"/>
  <c r="D11" i="4"/>
  <c r="F3" i="4"/>
  <c r="J3" i="4" s="1"/>
  <c r="L3" i="4" s="1"/>
  <c r="K360" i="3"/>
  <c r="J360" i="3"/>
  <c r="I360" i="3"/>
  <c r="H360" i="3"/>
  <c r="K359" i="3"/>
  <c r="J359" i="3"/>
  <c r="I359" i="3"/>
  <c r="H359" i="3"/>
  <c r="K358" i="3"/>
  <c r="J358" i="3"/>
  <c r="I358" i="3"/>
  <c r="H358" i="3"/>
  <c r="K357" i="3"/>
  <c r="J357" i="3"/>
  <c r="I357" i="3"/>
  <c r="H357" i="3"/>
  <c r="K356" i="3"/>
  <c r="J356" i="3"/>
  <c r="I356" i="3"/>
  <c r="H356" i="3"/>
  <c r="K355" i="3"/>
  <c r="J355" i="3"/>
  <c r="I355" i="3"/>
  <c r="H355" i="3"/>
  <c r="K354" i="3"/>
  <c r="J354" i="3"/>
  <c r="I354" i="3"/>
  <c r="H354" i="3"/>
  <c r="K353" i="3"/>
  <c r="J353" i="3"/>
  <c r="I353" i="3"/>
  <c r="H353" i="3"/>
  <c r="K352" i="3"/>
  <c r="J352" i="3"/>
  <c r="I352" i="3"/>
  <c r="H352" i="3"/>
  <c r="K351" i="3"/>
  <c r="J351" i="3"/>
  <c r="I351" i="3"/>
  <c r="H351" i="3"/>
  <c r="K350" i="3"/>
  <c r="J350" i="3"/>
  <c r="I350" i="3"/>
  <c r="H350" i="3"/>
  <c r="K349" i="3"/>
  <c r="J349" i="3"/>
  <c r="I349" i="3"/>
  <c r="H349" i="3"/>
  <c r="K348" i="3"/>
  <c r="J348" i="3"/>
  <c r="I348" i="3"/>
  <c r="H348" i="3"/>
  <c r="K347" i="3"/>
  <c r="J347" i="3"/>
  <c r="I347" i="3"/>
  <c r="H347" i="3"/>
  <c r="K346" i="3"/>
  <c r="J346" i="3"/>
  <c r="I346" i="3"/>
  <c r="H346" i="3"/>
  <c r="K345" i="3"/>
  <c r="J345" i="3"/>
  <c r="I345" i="3"/>
  <c r="H345" i="3"/>
  <c r="K344" i="3"/>
  <c r="J344" i="3"/>
  <c r="I344" i="3"/>
  <c r="H344" i="3"/>
  <c r="K343" i="3"/>
  <c r="J343" i="3"/>
  <c r="I343" i="3"/>
  <c r="H343" i="3"/>
  <c r="K342" i="3"/>
  <c r="J342" i="3"/>
  <c r="I342" i="3"/>
  <c r="H342" i="3"/>
  <c r="K341" i="3"/>
  <c r="J341" i="3"/>
  <c r="I341" i="3"/>
  <c r="H341" i="3"/>
  <c r="K340" i="3"/>
  <c r="J340" i="3"/>
  <c r="I340" i="3"/>
  <c r="H340" i="3"/>
  <c r="K339" i="3"/>
  <c r="J339" i="3"/>
  <c r="I339" i="3"/>
  <c r="H339" i="3"/>
  <c r="K338" i="3"/>
  <c r="J338" i="3"/>
  <c r="I338" i="3"/>
  <c r="H338" i="3"/>
  <c r="K337" i="3"/>
  <c r="J337" i="3"/>
  <c r="I337" i="3"/>
  <c r="H337" i="3"/>
  <c r="K336" i="3"/>
  <c r="J336" i="3"/>
  <c r="I336" i="3"/>
  <c r="H336" i="3"/>
  <c r="K335" i="3"/>
  <c r="J335" i="3"/>
  <c r="I335" i="3"/>
  <c r="H335" i="3"/>
  <c r="K334" i="3"/>
  <c r="J334" i="3"/>
  <c r="I334" i="3"/>
  <c r="H334" i="3"/>
  <c r="K333" i="3"/>
  <c r="J333" i="3"/>
  <c r="I333" i="3"/>
  <c r="H333" i="3"/>
  <c r="K332" i="3"/>
  <c r="J332" i="3"/>
  <c r="I332" i="3"/>
  <c r="H332" i="3"/>
  <c r="K331" i="3"/>
  <c r="J331" i="3"/>
  <c r="I331" i="3"/>
  <c r="H331" i="3"/>
  <c r="K330" i="3"/>
  <c r="J330" i="3"/>
  <c r="I330" i="3"/>
  <c r="H330" i="3"/>
  <c r="K329" i="3"/>
  <c r="J329" i="3"/>
  <c r="I329" i="3"/>
  <c r="H329" i="3"/>
  <c r="K328" i="3"/>
  <c r="J328" i="3"/>
  <c r="I328" i="3"/>
  <c r="H328" i="3"/>
  <c r="K327" i="3"/>
  <c r="J327" i="3"/>
  <c r="I327" i="3"/>
  <c r="H327" i="3"/>
  <c r="K326" i="3"/>
  <c r="J326" i="3"/>
  <c r="I326" i="3"/>
  <c r="H326" i="3"/>
  <c r="K325" i="3"/>
  <c r="J325" i="3"/>
  <c r="I325" i="3"/>
  <c r="H325" i="3"/>
  <c r="K324" i="3"/>
  <c r="J324" i="3"/>
  <c r="I324" i="3"/>
  <c r="H324" i="3"/>
  <c r="K323" i="3"/>
  <c r="J323" i="3"/>
  <c r="I323" i="3"/>
  <c r="H323" i="3"/>
  <c r="K322" i="3"/>
  <c r="J322" i="3"/>
  <c r="I322" i="3"/>
  <c r="H322" i="3"/>
  <c r="K321" i="3"/>
  <c r="J321" i="3"/>
  <c r="I321" i="3"/>
  <c r="H321" i="3"/>
  <c r="K320" i="3"/>
  <c r="J320" i="3"/>
  <c r="I320" i="3"/>
  <c r="H320" i="3"/>
  <c r="K319" i="3"/>
  <c r="J319" i="3"/>
  <c r="I319" i="3"/>
  <c r="H319" i="3"/>
  <c r="K318" i="3"/>
  <c r="J318" i="3"/>
  <c r="I318" i="3"/>
  <c r="H318" i="3"/>
  <c r="K317" i="3"/>
  <c r="J317" i="3"/>
  <c r="I317" i="3"/>
  <c r="H317" i="3"/>
  <c r="K316" i="3"/>
  <c r="J316" i="3"/>
  <c r="I316" i="3"/>
  <c r="H316" i="3"/>
  <c r="K315" i="3"/>
  <c r="J315" i="3"/>
  <c r="I315" i="3"/>
  <c r="H315" i="3"/>
  <c r="K314" i="3"/>
  <c r="J314" i="3"/>
  <c r="I314" i="3"/>
  <c r="H314" i="3"/>
  <c r="K313" i="3"/>
  <c r="J313" i="3"/>
  <c r="I313" i="3"/>
  <c r="H313" i="3"/>
  <c r="K312" i="3"/>
  <c r="J312" i="3"/>
  <c r="I312" i="3"/>
  <c r="H312" i="3"/>
  <c r="K311" i="3"/>
  <c r="J311" i="3"/>
  <c r="I311" i="3"/>
  <c r="H311" i="3"/>
  <c r="K310" i="3"/>
  <c r="J310" i="3"/>
  <c r="I310" i="3"/>
  <c r="H310" i="3"/>
  <c r="K309" i="3"/>
  <c r="J309" i="3"/>
  <c r="I309" i="3"/>
  <c r="H309" i="3"/>
  <c r="K308" i="3"/>
  <c r="J308" i="3"/>
  <c r="I308" i="3"/>
  <c r="H308" i="3"/>
  <c r="K307" i="3"/>
  <c r="J307" i="3"/>
  <c r="I307" i="3"/>
  <c r="H307" i="3"/>
  <c r="K306" i="3"/>
  <c r="J306" i="3"/>
  <c r="I306" i="3"/>
  <c r="H306" i="3"/>
  <c r="K305" i="3"/>
  <c r="J305" i="3"/>
  <c r="I305" i="3"/>
  <c r="H305" i="3"/>
  <c r="K304" i="3"/>
  <c r="J304" i="3"/>
  <c r="I304" i="3"/>
  <c r="H304" i="3"/>
  <c r="K303" i="3"/>
  <c r="J303" i="3"/>
  <c r="I303" i="3"/>
  <c r="H303" i="3"/>
  <c r="K302" i="3"/>
  <c r="J302" i="3"/>
  <c r="I302" i="3"/>
  <c r="H302" i="3"/>
  <c r="K301" i="3"/>
  <c r="J301" i="3"/>
  <c r="I301" i="3"/>
  <c r="H301" i="3"/>
  <c r="K300" i="3"/>
  <c r="J300" i="3"/>
  <c r="I300" i="3"/>
  <c r="H300" i="3"/>
  <c r="K299" i="3"/>
  <c r="J299" i="3"/>
  <c r="I299" i="3"/>
  <c r="H299" i="3"/>
  <c r="K298" i="3"/>
  <c r="J298" i="3"/>
  <c r="I298" i="3"/>
  <c r="H298" i="3"/>
  <c r="K297" i="3"/>
  <c r="J297" i="3"/>
  <c r="I297" i="3"/>
  <c r="H297" i="3"/>
  <c r="K296" i="3"/>
  <c r="J296" i="3"/>
  <c r="I296" i="3"/>
  <c r="H296" i="3"/>
  <c r="K295" i="3"/>
  <c r="J295" i="3"/>
  <c r="I295" i="3"/>
  <c r="H295" i="3"/>
  <c r="K294" i="3"/>
  <c r="J294" i="3"/>
  <c r="I294" i="3"/>
  <c r="H294" i="3"/>
  <c r="K293" i="3"/>
  <c r="J293" i="3"/>
  <c r="I293" i="3"/>
  <c r="H293" i="3"/>
  <c r="K292" i="3"/>
  <c r="J292" i="3"/>
  <c r="I292" i="3"/>
  <c r="H292" i="3"/>
  <c r="K291" i="3"/>
  <c r="J291" i="3"/>
  <c r="I291" i="3"/>
  <c r="H291" i="3"/>
  <c r="K290" i="3"/>
  <c r="J290" i="3"/>
  <c r="I290" i="3"/>
  <c r="H290" i="3"/>
  <c r="K289" i="3"/>
  <c r="J289" i="3"/>
  <c r="I289" i="3"/>
  <c r="H289" i="3"/>
  <c r="K288" i="3"/>
  <c r="J288" i="3"/>
  <c r="I288" i="3"/>
  <c r="H288" i="3"/>
  <c r="K287" i="3"/>
  <c r="J287" i="3"/>
  <c r="I287" i="3"/>
  <c r="H287" i="3"/>
  <c r="K286" i="3"/>
  <c r="J286" i="3"/>
  <c r="I286" i="3"/>
  <c r="H286" i="3"/>
  <c r="K285" i="3"/>
  <c r="J285" i="3"/>
  <c r="I285" i="3"/>
  <c r="H285" i="3"/>
  <c r="K284" i="3"/>
  <c r="J284" i="3"/>
  <c r="I284" i="3"/>
  <c r="H284" i="3"/>
  <c r="K283" i="3"/>
  <c r="J283" i="3"/>
  <c r="I283" i="3"/>
  <c r="H283" i="3"/>
  <c r="K282" i="3"/>
  <c r="J282" i="3"/>
  <c r="I282" i="3"/>
  <c r="H282" i="3"/>
  <c r="K281" i="3"/>
  <c r="J281" i="3"/>
  <c r="I281" i="3"/>
  <c r="H281" i="3"/>
  <c r="K280" i="3"/>
  <c r="J280" i="3"/>
  <c r="I280" i="3"/>
  <c r="H280" i="3"/>
  <c r="K279" i="3"/>
  <c r="J279" i="3"/>
  <c r="I279" i="3"/>
  <c r="H279" i="3"/>
  <c r="K278" i="3"/>
  <c r="J278" i="3"/>
  <c r="I278" i="3"/>
  <c r="H278" i="3"/>
  <c r="K277" i="3"/>
  <c r="J277" i="3"/>
  <c r="I277" i="3"/>
  <c r="H277" i="3"/>
  <c r="K276" i="3"/>
  <c r="J276" i="3"/>
  <c r="I276" i="3"/>
  <c r="H276" i="3"/>
  <c r="K275" i="3"/>
  <c r="J275" i="3"/>
  <c r="I275" i="3"/>
  <c r="H275" i="3"/>
  <c r="K274" i="3"/>
  <c r="J274" i="3"/>
  <c r="I274" i="3"/>
  <c r="H274" i="3"/>
  <c r="K273" i="3"/>
  <c r="J273" i="3"/>
  <c r="I273" i="3"/>
  <c r="H273" i="3"/>
  <c r="K272" i="3"/>
  <c r="J272" i="3"/>
  <c r="I272" i="3"/>
  <c r="H272" i="3"/>
  <c r="K271" i="3"/>
  <c r="J271" i="3"/>
  <c r="I271" i="3"/>
  <c r="H271" i="3"/>
  <c r="K270" i="3"/>
  <c r="J270" i="3"/>
  <c r="I270" i="3"/>
  <c r="H270" i="3"/>
  <c r="K269" i="3"/>
  <c r="J269" i="3"/>
  <c r="I269" i="3"/>
  <c r="H269" i="3"/>
  <c r="K268" i="3"/>
  <c r="J268" i="3"/>
  <c r="I268" i="3"/>
  <c r="H268" i="3"/>
  <c r="K267" i="3"/>
  <c r="J267" i="3"/>
  <c r="I267" i="3"/>
  <c r="H267" i="3"/>
  <c r="K266" i="3"/>
  <c r="J266" i="3"/>
  <c r="I266" i="3"/>
  <c r="H266" i="3"/>
  <c r="K265" i="3"/>
  <c r="J265" i="3"/>
  <c r="I265" i="3"/>
  <c r="H265" i="3"/>
  <c r="K264" i="3"/>
  <c r="J264" i="3"/>
  <c r="I264" i="3"/>
  <c r="H264" i="3"/>
  <c r="K263" i="3"/>
  <c r="J263" i="3"/>
  <c r="I263" i="3"/>
  <c r="H263" i="3"/>
  <c r="K262" i="3"/>
  <c r="J262" i="3"/>
  <c r="I262" i="3"/>
  <c r="H262" i="3"/>
  <c r="K261" i="3"/>
  <c r="J261" i="3"/>
  <c r="I261" i="3"/>
  <c r="H261" i="3"/>
  <c r="K260" i="3"/>
  <c r="J260" i="3"/>
  <c r="I260" i="3"/>
  <c r="H260" i="3"/>
  <c r="K259" i="3"/>
  <c r="J259" i="3"/>
  <c r="I259" i="3"/>
  <c r="H259" i="3"/>
  <c r="K258" i="3"/>
  <c r="J258" i="3"/>
  <c r="I258" i="3"/>
  <c r="H258" i="3"/>
  <c r="K257" i="3"/>
  <c r="J257" i="3"/>
  <c r="I257" i="3"/>
  <c r="H257" i="3"/>
  <c r="K256" i="3"/>
  <c r="J256" i="3"/>
  <c r="I256" i="3"/>
  <c r="H256" i="3"/>
  <c r="K255" i="3"/>
  <c r="J255" i="3"/>
  <c r="I255" i="3"/>
  <c r="H255" i="3"/>
  <c r="K254" i="3"/>
  <c r="J254" i="3"/>
  <c r="I254" i="3"/>
  <c r="H254" i="3"/>
  <c r="K253" i="3"/>
  <c r="J253" i="3"/>
  <c r="I253" i="3"/>
  <c r="H253" i="3"/>
  <c r="K252" i="3"/>
  <c r="J252" i="3"/>
  <c r="I252" i="3"/>
  <c r="H252" i="3"/>
  <c r="K251" i="3"/>
  <c r="J251" i="3"/>
  <c r="I251" i="3"/>
  <c r="H251" i="3"/>
  <c r="K250" i="3"/>
  <c r="J250" i="3"/>
  <c r="I250" i="3"/>
  <c r="H250" i="3"/>
  <c r="K249" i="3"/>
  <c r="J249" i="3"/>
  <c r="I249" i="3"/>
  <c r="H249" i="3"/>
  <c r="K248" i="3"/>
  <c r="J248" i="3"/>
  <c r="I248" i="3"/>
  <c r="H248" i="3"/>
  <c r="K247" i="3"/>
  <c r="J247" i="3"/>
  <c r="I247" i="3"/>
  <c r="H247" i="3"/>
  <c r="K246" i="3"/>
  <c r="J246" i="3"/>
  <c r="I246" i="3"/>
  <c r="H246" i="3"/>
  <c r="K245" i="3"/>
  <c r="J245" i="3"/>
  <c r="I245" i="3"/>
  <c r="H245" i="3"/>
  <c r="K244" i="3"/>
  <c r="J244" i="3"/>
  <c r="I244" i="3"/>
  <c r="H244" i="3"/>
  <c r="K243" i="3"/>
  <c r="J243" i="3"/>
  <c r="I243" i="3"/>
  <c r="H243" i="3"/>
  <c r="K242" i="3"/>
  <c r="J242" i="3"/>
  <c r="I242" i="3"/>
  <c r="H242" i="3"/>
  <c r="K241" i="3"/>
  <c r="J241" i="3"/>
  <c r="I241" i="3"/>
  <c r="H241" i="3"/>
  <c r="K240" i="3"/>
  <c r="J240" i="3"/>
  <c r="I240" i="3"/>
  <c r="H240" i="3"/>
  <c r="K239" i="3"/>
  <c r="J239" i="3"/>
  <c r="I239" i="3"/>
  <c r="H239" i="3"/>
  <c r="K238" i="3"/>
  <c r="J238" i="3"/>
  <c r="I238" i="3"/>
  <c r="H238" i="3"/>
  <c r="K237" i="3"/>
  <c r="J237" i="3"/>
  <c r="I237" i="3"/>
  <c r="H237" i="3"/>
  <c r="K236" i="3"/>
  <c r="J236" i="3"/>
  <c r="I236" i="3"/>
  <c r="H236" i="3"/>
  <c r="K235" i="3"/>
  <c r="J235" i="3"/>
  <c r="I235" i="3"/>
  <c r="H235" i="3"/>
  <c r="K234" i="3"/>
  <c r="J234" i="3"/>
  <c r="I234" i="3"/>
  <c r="H234" i="3"/>
  <c r="K233" i="3"/>
  <c r="J233" i="3"/>
  <c r="I233" i="3"/>
  <c r="H233" i="3"/>
  <c r="K232" i="3"/>
  <c r="J232" i="3"/>
  <c r="I232" i="3"/>
  <c r="H232" i="3"/>
  <c r="K231" i="3"/>
  <c r="J231" i="3"/>
  <c r="I231" i="3"/>
  <c r="H231" i="3"/>
  <c r="K230" i="3"/>
  <c r="J230" i="3"/>
  <c r="I230" i="3"/>
  <c r="H230" i="3"/>
  <c r="K229" i="3"/>
  <c r="J229" i="3"/>
  <c r="I229" i="3"/>
  <c r="H229" i="3"/>
  <c r="K228" i="3"/>
  <c r="J228" i="3"/>
  <c r="I228" i="3"/>
  <c r="H228" i="3"/>
  <c r="K227" i="3"/>
  <c r="J227" i="3"/>
  <c r="I227" i="3"/>
  <c r="H227" i="3"/>
  <c r="K226" i="3"/>
  <c r="J226" i="3"/>
  <c r="I226" i="3"/>
  <c r="H226" i="3"/>
  <c r="K225" i="3"/>
  <c r="J225" i="3"/>
  <c r="I225" i="3"/>
  <c r="H225" i="3"/>
  <c r="K224" i="3"/>
  <c r="J224" i="3"/>
  <c r="I224" i="3"/>
  <c r="H224" i="3"/>
  <c r="K223" i="3"/>
  <c r="J223" i="3"/>
  <c r="I223" i="3"/>
  <c r="H223" i="3"/>
  <c r="K222" i="3"/>
  <c r="J222" i="3"/>
  <c r="I222" i="3"/>
  <c r="H222" i="3"/>
  <c r="K221" i="3"/>
  <c r="J221" i="3"/>
  <c r="I221" i="3"/>
  <c r="H221" i="3"/>
  <c r="K220" i="3"/>
  <c r="J220" i="3"/>
  <c r="I220" i="3"/>
  <c r="H220" i="3"/>
  <c r="K219" i="3"/>
  <c r="J219" i="3"/>
  <c r="I219" i="3"/>
  <c r="H219" i="3"/>
  <c r="K218" i="3"/>
  <c r="J218" i="3"/>
  <c r="I218" i="3"/>
  <c r="H218" i="3"/>
  <c r="K217" i="3"/>
  <c r="J217" i="3"/>
  <c r="I217" i="3"/>
  <c r="H217" i="3"/>
  <c r="K216" i="3"/>
  <c r="J216" i="3"/>
  <c r="I216" i="3"/>
  <c r="H216" i="3"/>
  <c r="K215" i="3"/>
  <c r="J215" i="3"/>
  <c r="I215" i="3"/>
  <c r="H215" i="3"/>
  <c r="K214" i="3"/>
  <c r="J214" i="3"/>
  <c r="I214" i="3"/>
  <c r="H214" i="3"/>
  <c r="K213" i="3"/>
  <c r="J213" i="3"/>
  <c r="I213" i="3"/>
  <c r="H213" i="3"/>
  <c r="K212" i="3"/>
  <c r="J212" i="3"/>
  <c r="I212" i="3"/>
  <c r="H212" i="3"/>
  <c r="K211" i="3"/>
  <c r="J211" i="3"/>
  <c r="I211" i="3"/>
  <c r="H211" i="3"/>
  <c r="K210" i="3"/>
  <c r="J210" i="3"/>
  <c r="I210" i="3"/>
  <c r="H210" i="3"/>
  <c r="K209" i="3"/>
  <c r="J209" i="3"/>
  <c r="I209" i="3"/>
  <c r="H209" i="3"/>
  <c r="K208" i="3"/>
  <c r="J208" i="3"/>
  <c r="I208" i="3"/>
  <c r="H208" i="3"/>
  <c r="K207" i="3"/>
  <c r="J207" i="3"/>
  <c r="I207" i="3"/>
  <c r="H207" i="3"/>
  <c r="K206" i="3"/>
  <c r="J206" i="3"/>
  <c r="I206" i="3"/>
  <c r="H206" i="3"/>
  <c r="K205" i="3"/>
  <c r="J205" i="3"/>
  <c r="I205" i="3"/>
  <c r="H205" i="3"/>
  <c r="K204" i="3"/>
  <c r="J204" i="3"/>
  <c r="I204" i="3"/>
  <c r="H204" i="3"/>
  <c r="K203" i="3"/>
  <c r="J203" i="3"/>
  <c r="I203" i="3"/>
  <c r="H203" i="3"/>
  <c r="K202" i="3"/>
  <c r="J202" i="3"/>
  <c r="I202" i="3"/>
  <c r="H202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K198" i="3"/>
  <c r="J198" i="3"/>
  <c r="I198" i="3"/>
  <c r="H198" i="3"/>
  <c r="K197" i="3"/>
  <c r="J197" i="3"/>
  <c r="I197" i="3"/>
  <c r="H197" i="3"/>
  <c r="K196" i="3"/>
  <c r="J196" i="3"/>
  <c r="I196" i="3"/>
  <c r="H196" i="3"/>
  <c r="K195" i="3"/>
  <c r="J195" i="3"/>
  <c r="I195" i="3"/>
  <c r="H195" i="3"/>
  <c r="K194" i="3"/>
  <c r="J194" i="3"/>
  <c r="I194" i="3"/>
  <c r="H194" i="3"/>
  <c r="K193" i="3"/>
  <c r="J193" i="3"/>
  <c r="I193" i="3"/>
  <c r="H193" i="3"/>
  <c r="K192" i="3"/>
  <c r="J192" i="3"/>
  <c r="I192" i="3"/>
  <c r="H192" i="3"/>
  <c r="K191" i="3"/>
  <c r="J191" i="3"/>
  <c r="I191" i="3"/>
  <c r="H191" i="3"/>
  <c r="K190" i="3"/>
  <c r="J190" i="3"/>
  <c r="I190" i="3"/>
  <c r="H190" i="3"/>
  <c r="K189" i="3"/>
  <c r="J189" i="3"/>
  <c r="I189" i="3"/>
  <c r="H189" i="3"/>
  <c r="K188" i="3"/>
  <c r="J188" i="3"/>
  <c r="I188" i="3"/>
  <c r="H188" i="3"/>
  <c r="K187" i="3"/>
  <c r="J187" i="3"/>
  <c r="I187" i="3"/>
  <c r="H187" i="3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K182" i="3"/>
  <c r="J182" i="3"/>
  <c r="I182" i="3"/>
  <c r="H182" i="3"/>
  <c r="K181" i="3"/>
  <c r="J181" i="3"/>
  <c r="I181" i="3"/>
  <c r="H181" i="3"/>
  <c r="K180" i="3"/>
  <c r="J180" i="3"/>
  <c r="I180" i="3"/>
  <c r="H180" i="3"/>
  <c r="K179" i="3"/>
  <c r="J179" i="3"/>
  <c r="I179" i="3"/>
  <c r="H179" i="3"/>
  <c r="K178" i="3"/>
  <c r="J178" i="3"/>
  <c r="I178" i="3"/>
  <c r="H178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K174" i="3"/>
  <c r="J174" i="3"/>
  <c r="I174" i="3"/>
  <c r="H174" i="3"/>
  <c r="K173" i="3"/>
  <c r="J173" i="3"/>
  <c r="I173" i="3"/>
  <c r="H173" i="3"/>
  <c r="K172" i="3"/>
  <c r="J172" i="3"/>
  <c r="I172" i="3"/>
  <c r="H172" i="3"/>
  <c r="K171" i="3"/>
  <c r="J171" i="3"/>
  <c r="I171" i="3"/>
  <c r="H171" i="3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K166" i="3"/>
  <c r="J166" i="3"/>
  <c r="I166" i="3"/>
  <c r="H166" i="3"/>
  <c r="K165" i="3"/>
  <c r="J165" i="3"/>
  <c r="I165" i="3"/>
  <c r="H165" i="3"/>
  <c r="K164" i="3"/>
  <c r="J164" i="3"/>
  <c r="I164" i="3"/>
  <c r="H164" i="3"/>
  <c r="K163" i="3"/>
  <c r="J163" i="3"/>
  <c r="I163" i="3"/>
  <c r="H163" i="3"/>
  <c r="K162" i="3"/>
  <c r="J162" i="3"/>
  <c r="I162" i="3"/>
  <c r="H162" i="3"/>
  <c r="K161" i="3"/>
  <c r="I161" i="3"/>
  <c r="H161" i="3"/>
  <c r="K160" i="3"/>
  <c r="J160" i="3"/>
  <c r="I160" i="3"/>
  <c r="H160" i="3"/>
  <c r="K159" i="3"/>
  <c r="J159" i="3"/>
  <c r="I159" i="3"/>
  <c r="H159" i="3"/>
  <c r="K158" i="3"/>
  <c r="J158" i="3"/>
  <c r="I158" i="3"/>
  <c r="H158" i="3"/>
  <c r="K157" i="3"/>
  <c r="J157" i="3"/>
  <c r="I157" i="3"/>
  <c r="H157" i="3"/>
  <c r="K156" i="3"/>
  <c r="J156" i="3"/>
  <c r="I156" i="3"/>
  <c r="H156" i="3"/>
  <c r="K155" i="3"/>
  <c r="J155" i="3"/>
  <c r="I155" i="3"/>
  <c r="H155" i="3"/>
  <c r="K154" i="3"/>
  <c r="J154" i="3"/>
  <c r="I154" i="3"/>
  <c r="H154" i="3"/>
  <c r="K153" i="3"/>
  <c r="J153" i="3"/>
  <c r="H153" i="3"/>
  <c r="K152" i="3"/>
  <c r="J152" i="3"/>
  <c r="I152" i="3"/>
  <c r="H152" i="3"/>
  <c r="K151" i="3"/>
  <c r="J151" i="3"/>
  <c r="I151" i="3"/>
  <c r="H151" i="3"/>
  <c r="K150" i="3"/>
  <c r="J150" i="3"/>
  <c r="I150" i="3"/>
  <c r="H150" i="3"/>
  <c r="K149" i="3"/>
  <c r="J149" i="3"/>
  <c r="I149" i="3"/>
  <c r="H149" i="3"/>
  <c r="K148" i="3"/>
  <c r="J148" i="3"/>
  <c r="I148" i="3"/>
  <c r="H148" i="3"/>
  <c r="K147" i="3"/>
  <c r="J147" i="3"/>
  <c r="I147" i="3"/>
  <c r="H147" i="3"/>
  <c r="K146" i="3"/>
  <c r="J146" i="3"/>
  <c r="I146" i="3"/>
  <c r="H146" i="3"/>
  <c r="K145" i="3"/>
  <c r="J145" i="3"/>
  <c r="I145" i="3"/>
  <c r="H145" i="3"/>
  <c r="K144" i="3"/>
  <c r="J144" i="3"/>
  <c r="I144" i="3"/>
  <c r="H144" i="3"/>
  <c r="K143" i="3"/>
  <c r="J143" i="3"/>
  <c r="I143" i="3"/>
  <c r="H143" i="3"/>
  <c r="K142" i="3"/>
  <c r="J142" i="3"/>
  <c r="I142" i="3"/>
  <c r="H142" i="3"/>
  <c r="K141" i="3"/>
  <c r="J141" i="3"/>
  <c r="I141" i="3"/>
  <c r="H141" i="3"/>
  <c r="K140" i="3"/>
  <c r="J140" i="3"/>
  <c r="I140" i="3"/>
  <c r="H140" i="3"/>
  <c r="K139" i="3"/>
  <c r="J139" i="3"/>
  <c r="I139" i="3"/>
  <c r="H139" i="3"/>
  <c r="K138" i="3"/>
  <c r="J138" i="3"/>
  <c r="I138" i="3"/>
  <c r="H138" i="3"/>
  <c r="K137" i="3"/>
  <c r="J137" i="3"/>
  <c r="I137" i="3"/>
  <c r="H137" i="3"/>
  <c r="K136" i="3"/>
  <c r="J136" i="3"/>
  <c r="I136" i="3"/>
  <c r="H136" i="3"/>
  <c r="K135" i="3"/>
  <c r="J135" i="3"/>
  <c r="I135" i="3"/>
  <c r="H135" i="3"/>
  <c r="K134" i="3"/>
  <c r="J134" i="3"/>
  <c r="I134" i="3"/>
  <c r="H134" i="3"/>
  <c r="K133" i="3"/>
  <c r="J133" i="3"/>
  <c r="I133" i="3"/>
  <c r="H133" i="3"/>
  <c r="K132" i="3"/>
  <c r="J132" i="3"/>
  <c r="I132" i="3"/>
  <c r="H132" i="3"/>
  <c r="K131" i="3"/>
  <c r="J131" i="3"/>
  <c r="I131" i="3"/>
  <c r="H131" i="3"/>
  <c r="K130" i="3"/>
  <c r="J130" i="3"/>
  <c r="I130" i="3"/>
  <c r="H130" i="3"/>
  <c r="K129" i="3"/>
  <c r="J129" i="3"/>
  <c r="I129" i="3"/>
  <c r="H129" i="3"/>
  <c r="K128" i="3"/>
  <c r="J128" i="3"/>
  <c r="I128" i="3"/>
  <c r="H128" i="3"/>
  <c r="K127" i="3"/>
  <c r="J127" i="3"/>
  <c r="I127" i="3"/>
  <c r="H127" i="3"/>
  <c r="K126" i="3"/>
  <c r="J126" i="3"/>
  <c r="I126" i="3"/>
  <c r="H126" i="3"/>
  <c r="K125" i="3"/>
  <c r="J125" i="3"/>
  <c r="I125" i="3"/>
  <c r="H125" i="3"/>
  <c r="K124" i="3"/>
  <c r="J124" i="3"/>
  <c r="I124" i="3"/>
  <c r="H124" i="3"/>
  <c r="K123" i="3"/>
  <c r="J123" i="3"/>
  <c r="I123" i="3"/>
  <c r="H123" i="3"/>
  <c r="K122" i="3"/>
  <c r="J122" i="3"/>
  <c r="I122" i="3"/>
  <c r="H122" i="3"/>
  <c r="K121" i="3"/>
  <c r="J121" i="3"/>
  <c r="I121" i="3"/>
  <c r="H121" i="3"/>
  <c r="K120" i="3"/>
  <c r="J120" i="3"/>
  <c r="I120" i="3"/>
  <c r="H120" i="3"/>
  <c r="K119" i="3"/>
  <c r="J119" i="3"/>
  <c r="I119" i="3"/>
  <c r="H119" i="3"/>
  <c r="K118" i="3"/>
  <c r="J118" i="3"/>
  <c r="I118" i="3"/>
  <c r="H118" i="3"/>
  <c r="K117" i="3"/>
  <c r="J117" i="3"/>
  <c r="I117" i="3"/>
  <c r="H117" i="3"/>
  <c r="K116" i="3"/>
  <c r="J116" i="3"/>
  <c r="I116" i="3"/>
  <c r="H116" i="3"/>
  <c r="K115" i="3"/>
  <c r="J115" i="3"/>
  <c r="I115" i="3"/>
  <c r="H115" i="3"/>
  <c r="K114" i="3"/>
  <c r="J114" i="3"/>
  <c r="H114" i="3"/>
  <c r="K113" i="3"/>
  <c r="J113" i="3"/>
  <c r="I113" i="3"/>
  <c r="H113" i="3"/>
  <c r="K112" i="3"/>
  <c r="J112" i="3"/>
  <c r="I112" i="3"/>
  <c r="H112" i="3"/>
  <c r="K111" i="3"/>
  <c r="J111" i="3"/>
  <c r="I111" i="3"/>
  <c r="H111" i="3"/>
  <c r="K110" i="3"/>
  <c r="J110" i="3"/>
  <c r="I110" i="3"/>
  <c r="H110" i="3"/>
  <c r="K109" i="3"/>
  <c r="J109" i="3"/>
  <c r="I109" i="3"/>
  <c r="H109" i="3"/>
  <c r="K108" i="3"/>
  <c r="J108" i="3"/>
  <c r="I108" i="3"/>
  <c r="H108" i="3"/>
  <c r="K107" i="3"/>
  <c r="J107" i="3"/>
  <c r="I107" i="3"/>
  <c r="H107" i="3"/>
  <c r="K106" i="3"/>
  <c r="J106" i="3"/>
  <c r="I106" i="3"/>
  <c r="H106" i="3"/>
  <c r="K105" i="3"/>
  <c r="J105" i="3"/>
  <c r="H105" i="3"/>
  <c r="K104" i="3"/>
  <c r="J104" i="3"/>
  <c r="I104" i="3"/>
  <c r="H104" i="3"/>
  <c r="K103" i="3"/>
  <c r="J103" i="3"/>
  <c r="I103" i="3"/>
  <c r="H103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I99" i="3"/>
  <c r="H99" i="3"/>
  <c r="K98" i="3"/>
  <c r="J98" i="3"/>
  <c r="I98" i="3"/>
  <c r="H98" i="3"/>
  <c r="K97" i="3"/>
  <c r="J97" i="3"/>
  <c r="I97" i="3"/>
  <c r="H97" i="3"/>
  <c r="K96" i="3"/>
  <c r="J96" i="3"/>
  <c r="I96" i="3"/>
  <c r="H96" i="3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K87" i="3"/>
  <c r="J87" i="3"/>
  <c r="I87" i="3"/>
  <c r="H87" i="3"/>
  <c r="K86" i="3"/>
  <c r="J86" i="3"/>
  <c r="I86" i="3"/>
  <c r="H86" i="3"/>
  <c r="K85" i="3"/>
  <c r="J85" i="3"/>
  <c r="I85" i="3"/>
  <c r="H85" i="3"/>
  <c r="K84" i="3"/>
  <c r="J84" i="3"/>
  <c r="I84" i="3"/>
  <c r="H84" i="3"/>
  <c r="K83" i="3"/>
  <c r="J83" i="3"/>
  <c r="I83" i="3"/>
  <c r="H83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K77" i="3"/>
  <c r="J77" i="3"/>
  <c r="I77" i="3"/>
  <c r="H77" i="3"/>
  <c r="K76" i="3"/>
  <c r="J76" i="3"/>
  <c r="I76" i="3"/>
  <c r="H76" i="3"/>
  <c r="K75" i="3"/>
  <c r="J75" i="3"/>
  <c r="I75" i="3"/>
  <c r="H75" i="3"/>
  <c r="K74" i="3"/>
  <c r="J74" i="3"/>
  <c r="I74" i="3"/>
  <c r="H74" i="3"/>
  <c r="K73" i="3"/>
  <c r="J73" i="3"/>
  <c r="I73" i="3"/>
  <c r="H73" i="3"/>
  <c r="K72" i="3"/>
  <c r="J72" i="3"/>
  <c r="I72" i="3"/>
  <c r="H72" i="3"/>
  <c r="K71" i="3"/>
  <c r="J71" i="3"/>
  <c r="I71" i="3"/>
  <c r="H71" i="3"/>
  <c r="K70" i="3"/>
  <c r="J70" i="3"/>
  <c r="I70" i="3"/>
  <c r="H70" i="3"/>
  <c r="K69" i="3"/>
  <c r="J69" i="3"/>
  <c r="I69" i="3"/>
  <c r="H69" i="3"/>
  <c r="K68" i="3"/>
  <c r="J68" i="3"/>
  <c r="I68" i="3"/>
  <c r="H68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63" i="3"/>
  <c r="J63" i="3"/>
  <c r="I63" i="3"/>
  <c r="H63" i="3"/>
  <c r="K62" i="3"/>
  <c r="J62" i="3"/>
  <c r="I62" i="3"/>
  <c r="H62" i="3"/>
  <c r="K61" i="3"/>
  <c r="J61" i="3"/>
  <c r="I61" i="3"/>
  <c r="H61" i="3"/>
  <c r="K60" i="3"/>
  <c r="J60" i="3"/>
  <c r="I60" i="3"/>
  <c r="H60" i="3"/>
  <c r="K59" i="3"/>
  <c r="J59" i="3"/>
  <c r="I59" i="3"/>
  <c r="H59" i="3"/>
  <c r="K58" i="3"/>
  <c r="J58" i="3"/>
  <c r="I58" i="3"/>
  <c r="H58" i="3"/>
  <c r="K57" i="3"/>
  <c r="J57" i="3"/>
  <c r="I57" i="3"/>
  <c r="H57" i="3"/>
  <c r="K56" i="3"/>
  <c r="J56" i="3"/>
  <c r="I56" i="3"/>
  <c r="H56" i="3"/>
  <c r="K55" i="3"/>
  <c r="J55" i="3"/>
  <c r="I55" i="3"/>
  <c r="H55" i="3"/>
  <c r="K54" i="3"/>
  <c r="J54" i="3"/>
  <c r="I54" i="3"/>
  <c r="H54" i="3"/>
  <c r="K53" i="3"/>
  <c r="J53" i="3"/>
  <c r="I53" i="3"/>
  <c r="H53" i="3"/>
  <c r="K52" i="3"/>
  <c r="J52" i="3"/>
  <c r="I52" i="3"/>
  <c r="H52" i="3"/>
  <c r="K51" i="3"/>
  <c r="J51" i="3"/>
  <c r="I51" i="3"/>
  <c r="H51" i="3"/>
  <c r="K50" i="3"/>
  <c r="J50" i="3"/>
  <c r="I50" i="3"/>
  <c r="H50" i="3"/>
  <c r="K49" i="3"/>
  <c r="J49" i="3"/>
  <c r="I49" i="3"/>
  <c r="H49" i="3"/>
  <c r="K48" i="3"/>
  <c r="J48" i="3"/>
  <c r="I48" i="3"/>
  <c r="H48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3" i="3"/>
  <c r="J43" i="3"/>
  <c r="I43" i="3"/>
  <c r="H43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K2" i="3"/>
  <c r="J2" i="3"/>
  <c r="I2" i="3"/>
  <c r="H2" i="3"/>
  <c r="H249" i="2"/>
  <c r="J161" i="3" s="1"/>
  <c r="O36" i="1"/>
  <c r="D36" i="1"/>
  <c r="C36" i="1"/>
  <c r="D35" i="1"/>
  <c r="D34" i="1"/>
  <c r="S29" i="1"/>
  <c r="S28" i="1"/>
  <c r="S27" i="1"/>
  <c r="S26" i="1"/>
  <c r="S25" i="1"/>
  <c r="S30" i="1" s="1"/>
  <c r="E21" i="1"/>
  <c r="E20" i="1"/>
  <c r="E29" i="1" s="1"/>
  <c r="E19" i="1"/>
  <c r="A17" i="1"/>
  <c r="E16" i="1" s="1"/>
  <c r="E15" i="1"/>
  <c r="E14" i="1"/>
  <c r="E13" i="1"/>
  <c r="E12" i="1"/>
  <c r="E11" i="1"/>
  <c r="O40" i="1" s="1"/>
  <c r="E10" i="1"/>
  <c r="K117" i="11" l="1"/>
  <c r="K34" i="6"/>
  <c r="D12" i="7"/>
  <c r="G5" i="22"/>
  <c r="J31" i="6"/>
  <c r="L31" i="6" s="1"/>
  <c r="N31" i="6" s="1"/>
  <c r="D31" i="6"/>
  <c r="F31" i="6" s="1"/>
  <c r="J13" i="6"/>
  <c r="L13" i="6" s="1"/>
  <c r="N13" i="6" s="1"/>
  <c r="D13" i="6"/>
  <c r="F13" i="6" s="1"/>
  <c r="D16" i="4" s="1"/>
  <c r="J16" i="4" s="1"/>
  <c r="H85" i="8"/>
  <c r="H86" i="8" s="1"/>
  <c r="H87" i="8" s="1"/>
  <c r="C7" i="21"/>
  <c r="C16" i="22" s="1"/>
  <c r="L25" i="4"/>
  <c r="L17" i="16"/>
  <c r="D20" i="6"/>
  <c r="F20" i="6" s="1"/>
  <c r="D23" i="4" s="1"/>
  <c r="J23" i="4" s="1"/>
  <c r="D35" i="6"/>
  <c r="F35" i="6" s="1"/>
  <c r="K88" i="8"/>
  <c r="L88" i="8" s="1"/>
  <c r="K86" i="8"/>
  <c r="L86" i="8" s="1"/>
  <c r="H28" i="8"/>
  <c r="F59" i="4" s="1"/>
  <c r="H59" i="4" s="1"/>
  <c r="F29" i="8"/>
  <c r="F46" i="8"/>
  <c r="F35" i="5"/>
  <c r="H55" i="8"/>
  <c r="F12" i="8"/>
  <c r="F30" i="8"/>
  <c r="F31" i="8" s="1"/>
  <c r="F34" i="4"/>
  <c r="D30" i="6"/>
  <c r="F30" i="6" s="1"/>
  <c r="C36" i="20" s="1"/>
  <c r="D49" i="6"/>
  <c r="D21" i="6"/>
  <c r="F21" i="6" s="1"/>
  <c r="C25" i="20" s="1"/>
  <c r="D19" i="6"/>
  <c r="D33" i="6"/>
  <c r="F33" i="6" s="1"/>
  <c r="D32" i="6"/>
  <c r="F32" i="6" s="1"/>
  <c r="C37" i="20" s="1"/>
  <c r="D54" i="6"/>
  <c r="F54" i="6" s="1"/>
  <c r="D53" i="6"/>
  <c r="F53" i="6" s="1"/>
  <c r="C57" i="20" s="1"/>
  <c r="D52" i="6"/>
  <c r="D51" i="6"/>
  <c r="F51" i="6" s="1"/>
  <c r="D50" i="6"/>
  <c r="F50" i="6" s="1"/>
  <c r="D35" i="7"/>
  <c r="F35" i="7" s="1"/>
  <c r="D29" i="7"/>
  <c r="F29" i="7" s="1"/>
  <c r="F19" i="5"/>
  <c r="G19" i="5" s="1"/>
  <c r="F16" i="5"/>
  <c r="G16" i="5" s="1"/>
  <c r="F9" i="5"/>
  <c r="D37" i="12"/>
  <c r="G49" i="12"/>
  <c r="D69" i="12"/>
  <c r="I70" i="12"/>
  <c r="D5" i="12"/>
  <c r="E2" i="12" s="1"/>
  <c r="E5" i="12" s="1"/>
  <c r="G2" i="12" s="1"/>
  <c r="G5" i="12" s="1"/>
  <c r="G58" i="12"/>
  <c r="K16" i="12"/>
  <c r="G50" i="12"/>
  <c r="G38" i="12"/>
  <c r="I38" i="12" s="1"/>
  <c r="G51" i="12"/>
  <c r="J52" i="12" s="1"/>
  <c r="I68" i="12"/>
  <c r="H51" i="12"/>
  <c r="I48" i="12"/>
  <c r="D49" i="12"/>
  <c r="I47" i="12"/>
  <c r="E50" i="12"/>
  <c r="D34" i="6"/>
  <c r="J34" i="6"/>
  <c r="F93" i="8"/>
  <c r="F27" i="5"/>
  <c r="F56" i="8"/>
  <c r="F82" i="8" s="1"/>
  <c r="F48" i="4"/>
  <c r="J11" i="4"/>
  <c r="L11" i="4" s="1"/>
  <c r="F27" i="4"/>
  <c r="O41" i="1"/>
  <c r="J47" i="4"/>
  <c r="L47" i="4" s="1"/>
  <c r="D58" i="7"/>
  <c r="F58" i="7" s="1"/>
  <c r="J13" i="4"/>
  <c r="L13" i="4" s="1"/>
  <c r="J39" i="4"/>
  <c r="L39" i="4" s="1"/>
  <c r="J12" i="4"/>
  <c r="L12" i="4" s="1"/>
  <c r="D8" i="6"/>
  <c r="J10" i="6"/>
  <c r="J21" i="6"/>
  <c r="L21" i="6" s="1"/>
  <c r="N21" i="6" s="1"/>
  <c r="J36" i="6"/>
  <c r="L36" i="6" s="1"/>
  <c r="N36" i="6" s="1"/>
  <c r="D5" i="7"/>
  <c r="D14" i="7"/>
  <c r="F14" i="7" s="1"/>
  <c r="D18" i="7"/>
  <c r="J21" i="7"/>
  <c r="L21" i="7" s="1"/>
  <c r="J27" i="7"/>
  <c r="L27" i="7" s="1"/>
  <c r="J31" i="7"/>
  <c r="L31" i="7" s="1"/>
  <c r="J35" i="7"/>
  <c r="L35" i="7" s="1"/>
  <c r="J40" i="7"/>
  <c r="L40" i="7" s="1"/>
  <c r="J44" i="7"/>
  <c r="L44" i="7" s="1"/>
  <c r="J53" i="7"/>
  <c r="L53" i="7" s="1"/>
  <c r="J57" i="7"/>
  <c r="L57" i="7" s="1"/>
  <c r="D69" i="7"/>
  <c r="F69" i="7" s="1"/>
  <c r="D67" i="7"/>
  <c r="F67" i="7" s="1"/>
  <c r="D65" i="7"/>
  <c r="F65" i="7" s="1"/>
  <c r="D63" i="7"/>
  <c r="F63" i="7" s="1"/>
  <c r="D61" i="7"/>
  <c r="F61" i="7" s="1"/>
  <c r="D59" i="7"/>
  <c r="F59" i="7" s="1"/>
  <c r="D57" i="7"/>
  <c r="F57" i="7" s="1"/>
  <c r="D55" i="7"/>
  <c r="F55" i="7" s="1"/>
  <c r="D53" i="7"/>
  <c r="F53" i="7" s="1"/>
  <c r="D51" i="7"/>
  <c r="F51" i="7" s="1"/>
  <c r="D46" i="7"/>
  <c r="F46" i="7" s="1"/>
  <c r="D44" i="7"/>
  <c r="F44" i="7" s="1"/>
  <c r="D42" i="7"/>
  <c r="F42" i="7" s="1"/>
  <c r="D40" i="7"/>
  <c r="F40" i="7" s="1"/>
  <c r="D38" i="7"/>
  <c r="F38" i="7" s="1"/>
  <c r="D33" i="7"/>
  <c r="F33" i="7" s="1"/>
  <c r="D31" i="7"/>
  <c r="F31" i="7" s="1"/>
  <c r="D27" i="7"/>
  <c r="F27" i="7" s="1"/>
  <c r="D21" i="7"/>
  <c r="F21" i="7" s="1"/>
  <c r="J19" i="7"/>
  <c r="L19" i="7" s="1"/>
  <c r="J17" i="7"/>
  <c r="L17" i="7" s="1"/>
  <c r="J15" i="7"/>
  <c r="L15" i="7" s="1"/>
  <c r="J13" i="7"/>
  <c r="L13" i="7" s="1"/>
  <c r="J8" i="7"/>
  <c r="L8" i="7" s="1"/>
  <c r="J6" i="7"/>
  <c r="L6" i="7" s="1"/>
  <c r="J53" i="6"/>
  <c r="L53" i="6" s="1"/>
  <c r="N53" i="6" s="1"/>
  <c r="J51" i="6"/>
  <c r="L51" i="6" s="1"/>
  <c r="N51" i="6" s="1"/>
  <c r="J49" i="6"/>
  <c r="D42" i="6"/>
  <c r="D40" i="6"/>
  <c r="D36" i="6"/>
  <c r="F36" i="6" s="1"/>
  <c r="D14" i="6"/>
  <c r="F14" i="6" s="1"/>
  <c r="D11" i="6"/>
  <c r="F11" i="6" s="1"/>
  <c r="C17" i="20" s="1"/>
  <c r="J9" i="6"/>
  <c r="L9" i="6" s="1"/>
  <c r="N9" i="6" s="1"/>
  <c r="D81" i="7"/>
  <c r="D78" i="7"/>
  <c r="F78" i="7" s="1"/>
  <c r="D76" i="7"/>
  <c r="J70" i="7"/>
  <c r="J82" i="7"/>
  <c r="J68" i="7"/>
  <c r="L68" i="7" s="1"/>
  <c r="J66" i="7"/>
  <c r="L66" i="7" s="1"/>
  <c r="J64" i="7"/>
  <c r="L64" i="7" s="1"/>
  <c r="J62" i="7"/>
  <c r="L62" i="7" s="1"/>
  <c r="J80" i="7"/>
  <c r="L80" i="7" s="1"/>
  <c r="J77" i="7"/>
  <c r="L77" i="7" s="1"/>
  <c r="J20" i="7"/>
  <c r="J19" i="6"/>
  <c r="D70" i="7"/>
  <c r="D68" i="7"/>
  <c r="F68" i="7" s="1"/>
  <c r="D66" i="7"/>
  <c r="F66" i="7" s="1"/>
  <c r="D64" i="7"/>
  <c r="F64" i="7" s="1"/>
  <c r="D62" i="7"/>
  <c r="F62" i="7" s="1"/>
  <c r="D60" i="7"/>
  <c r="F60" i="7" s="1"/>
  <c r="D82" i="7"/>
  <c r="D80" i="7"/>
  <c r="F80" i="7" s="1"/>
  <c r="D77" i="7"/>
  <c r="J69" i="7"/>
  <c r="L69" i="7" s="1"/>
  <c r="J67" i="7"/>
  <c r="L67" i="7" s="1"/>
  <c r="J65" i="7"/>
  <c r="L65" i="7" s="1"/>
  <c r="J63" i="7"/>
  <c r="L63" i="7" s="1"/>
  <c r="J61" i="7"/>
  <c r="L61" i="7" s="1"/>
  <c r="J81" i="7"/>
  <c r="J78" i="7"/>
  <c r="L78" i="7" s="1"/>
  <c r="J76" i="7"/>
  <c r="J42" i="6"/>
  <c r="J8" i="6"/>
  <c r="J11" i="6"/>
  <c r="L11" i="6" s="1"/>
  <c r="N11" i="6" s="1"/>
  <c r="D22" i="6"/>
  <c r="F22" i="6" s="1"/>
  <c r="D24" i="4" s="1"/>
  <c r="J24" i="4" s="1"/>
  <c r="J50" i="6"/>
  <c r="L50" i="6" s="1"/>
  <c r="N50" i="6" s="1"/>
  <c r="J54" i="6"/>
  <c r="L54" i="6" s="1"/>
  <c r="N54" i="6" s="1"/>
  <c r="J5" i="7"/>
  <c r="J14" i="7"/>
  <c r="L14" i="7" s="1"/>
  <c r="J18" i="7"/>
  <c r="L18" i="7" s="1"/>
  <c r="D28" i="7"/>
  <c r="F28" i="7" s="1"/>
  <c r="D32" i="7"/>
  <c r="F32" i="7" s="1"/>
  <c r="D41" i="7"/>
  <c r="F41" i="7" s="1"/>
  <c r="D45" i="7"/>
  <c r="F45" i="7" s="1"/>
  <c r="D50" i="7"/>
  <c r="D54" i="7"/>
  <c r="F54" i="7" s="1"/>
  <c r="J58" i="7"/>
  <c r="L58" i="7" s="1"/>
  <c r="I50" i="12"/>
  <c r="J22" i="6"/>
  <c r="L22" i="6" s="1"/>
  <c r="J30" i="6"/>
  <c r="D6" i="7"/>
  <c r="F6" i="7" s="1"/>
  <c r="K8" i="22" s="1"/>
  <c r="D15" i="7"/>
  <c r="F15" i="7" s="1"/>
  <c r="D19" i="7"/>
  <c r="F19" i="7" s="1"/>
  <c r="J28" i="7"/>
  <c r="L28" i="7" s="1"/>
  <c r="J32" i="7"/>
  <c r="L32" i="7" s="1"/>
  <c r="J41" i="7"/>
  <c r="L41" i="7" s="1"/>
  <c r="J45" i="7"/>
  <c r="L45" i="7" s="1"/>
  <c r="J50" i="7"/>
  <c r="J54" i="7"/>
  <c r="L54" i="7" s="1"/>
  <c r="J59" i="7"/>
  <c r="L59" i="7" s="1"/>
  <c r="D9" i="6"/>
  <c r="F9" i="6" s="1"/>
  <c r="D12" i="6"/>
  <c r="F12" i="6" s="1"/>
  <c r="J32" i="6"/>
  <c r="L32" i="6" s="1"/>
  <c r="N32" i="6" s="1"/>
  <c r="J40" i="6"/>
  <c r="D7" i="7"/>
  <c r="F7" i="7" s="1"/>
  <c r="D16" i="7"/>
  <c r="F16" i="7" s="1"/>
  <c r="D20" i="7"/>
  <c r="J29" i="7"/>
  <c r="L29" i="7" s="1"/>
  <c r="J33" i="7"/>
  <c r="L33" i="7" s="1"/>
  <c r="J38" i="7"/>
  <c r="J42" i="7"/>
  <c r="L42" i="7" s="1"/>
  <c r="J46" i="7"/>
  <c r="L46" i="7" s="1"/>
  <c r="J51" i="7"/>
  <c r="L51" i="7" s="1"/>
  <c r="J55" i="7"/>
  <c r="L55" i="7" s="1"/>
  <c r="J60" i="7"/>
  <c r="L60" i="7" s="1"/>
  <c r="D10" i="6"/>
  <c r="J12" i="6"/>
  <c r="L12" i="6" s="1"/>
  <c r="N12" i="6" s="1"/>
  <c r="D41" i="6"/>
  <c r="F41" i="6" s="1"/>
  <c r="J52" i="6"/>
  <c r="L52" i="6" s="1"/>
  <c r="J7" i="7"/>
  <c r="L7" i="7" s="1"/>
  <c r="J12" i="7"/>
  <c r="J16" i="7"/>
  <c r="L16" i="7" s="1"/>
  <c r="D26" i="7"/>
  <c r="D30" i="7"/>
  <c r="F30" i="7" s="1"/>
  <c r="D34" i="7"/>
  <c r="F34" i="7" s="1"/>
  <c r="D39" i="7"/>
  <c r="F39" i="7" s="1"/>
  <c r="C6" i="21" s="1"/>
  <c r="C9" i="22" s="1"/>
  <c r="D43" i="7"/>
  <c r="F43" i="7" s="1"/>
  <c r="D47" i="7"/>
  <c r="D52" i="7"/>
  <c r="F52" i="7" s="1"/>
  <c r="D56" i="7"/>
  <c r="F56" i="7" s="1"/>
  <c r="C14" i="21" s="1"/>
  <c r="C22" i="22" s="1"/>
  <c r="J14" i="6"/>
  <c r="L14" i="6" s="1"/>
  <c r="N14" i="6" s="1"/>
  <c r="J33" i="6"/>
  <c r="L33" i="6" s="1"/>
  <c r="N33" i="6" s="1"/>
  <c r="J41" i="6"/>
  <c r="L41" i="6" s="1"/>
  <c r="N41" i="6" s="1"/>
  <c r="D8" i="7"/>
  <c r="F8" i="7" s="1"/>
  <c r="K6" i="22" s="1"/>
  <c r="C5" i="22" s="1"/>
  <c r="D13" i="7"/>
  <c r="F13" i="7" s="1"/>
  <c r="D17" i="7"/>
  <c r="F17" i="7" s="1"/>
  <c r="J26" i="7"/>
  <c r="J30" i="7"/>
  <c r="L30" i="7" s="1"/>
  <c r="J34" i="7"/>
  <c r="L34" i="7" s="1"/>
  <c r="J39" i="7"/>
  <c r="L39" i="7" s="1"/>
  <c r="J43" i="7"/>
  <c r="L43" i="7" s="1"/>
  <c r="J47" i="7"/>
  <c r="L47" i="7" s="1"/>
  <c r="J52" i="7"/>
  <c r="L52" i="7" s="1"/>
  <c r="J56" i="7"/>
  <c r="L56" i="7" s="1"/>
  <c r="H49" i="9"/>
  <c r="G57" i="9"/>
  <c r="E58" i="12"/>
  <c r="H8" i="8"/>
  <c r="I35" i="9"/>
  <c r="I49" i="9"/>
  <c r="H50" i="12"/>
  <c r="E48" i="9"/>
  <c r="G50" i="9"/>
  <c r="J51" i="9" s="1"/>
  <c r="K16" i="9"/>
  <c r="G48" i="9"/>
  <c r="H50" i="9"/>
  <c r="C66" i="9"/>
  <c r="C68" i="9" s="1"/>
  <c r="C67" i="12"/>
  <c r="C69" i="12" s="1"/>
  <c r="D87" i="7" l="1"/>
  <c r="G28" i="19"/>
  <c r="F77" i="7"/>
  <c r="C86" i="16"/>
  <c r="N22" i="6"/>
  <c r="G31" i="19"/>
  <c r="F18" i="7"/>
  <c r="F87" i="7" s="1"/>
  <c r="N52" i="6"/>
  <c r="G32" i="19"/>
  <c r="D15" i="6"/>
  <c r="D35" i="4"/>
  <c r="J35" i="4" s="1"/>
  <c r="L35" i="4" s="1"/>
  <c r="K7" i="22"/>
  <c r="L24" i="4"/>
  <c r="C28" i="20" s="1"/>
  <c r="L14" i="16"/>
  <c r="F14" i="16" s="1"/>
  <c r="L23" i="4"/>
  <c r="C26" i="20" s="1"/>
  <c r="L12" i="16"/>
  <c r="C210" i="16" s="1"/>
  <c r="L16" i="4"/>
  <c r="C20" i="20" s="1"/>
  <c r="C13" i="21"/>
  <c r="C10" i="22" s="1"/>
  <c r="C11" i="22" s="1"/>
  <c r="C40" i="20"/>
  <c r="D40" i="4"/>
  <c r="J40" i="4" s="1"/>
  <c r="D56" i="4"/>
  <c r="J56" i="4" s="1"/>
  <c r="L30" i="16" s="1"/>
  <c r="M30" i="16" s="1"/>
  <c r="C55" i="20"/>
  <c r="D55" i="4"/>
  <c r="J55" i="4" s="1"/>
  <c r="L55" i="4" s="1"/>
  <c r="C54" i="20"/>
  <c r="D41" i="4"/>
  <c r="J41" i="4" s="1"/>
  <c r="D14" i="4"/>
  <c r="J14" i="4" s="1"/>
  <c r="L16" i="16" s="1"/>
  <c r="F16" i="16" s="1"/>
  <c r="C53" i="16" s="1"/>
  <c r="C22" i="17" s="1"/>
  <c r="D15" i="4"/>
  <c r="J15" i="4" s="1"/>
  <c r="L15" i="4" s="1"/>
  <c r="C19" i="20"/>
  <c r="D46" i="4"/>
  <c r="J46" i="4" s="1"/>
  <c r="L27" i="16" s="1"/>
  <c r="C45" i="20"/>
  <c r="D36" i="4"/>
  <c r="J36" i="4" s="1"/>
  <c r="L25" i="16" s="1"/>
  <c r="M25" i="16" s="1"/>
  <c r="D26" i="4"/>
  <c r="J26" i="4" s="1"/>
  <c r="L13" i="16" s="1"/>
  <c r="M13" i="16" s="1"/>
  <c r="D37" i="4"/>
  <c r="J37" i="4" s="1"/>
  <c r="C38" i="20"/>
  <c r="D9" i="4"/>
  <c r="J9" i="4" s="1"/>
  <c r="L10" i="16" s="1"/>
  <c r="F10" i="16" s="1"/>
  <c r="C18" i="20"/>
  <c r="H89" i="8"/>
  <c r="V35" i="11" s="1"/>
  <c r="D23" i="6"/>
  <c r="G23" i="5"/>
  <c r="G9" i="5"/>
  <c r="D43" i="6"/>
  <c r="D38" i="6"/>
  <c r="D42" i="4"/>
  <c r="D17" i="4"/>
  <c r="J17" i="4" s="1"/>
  <c r="F17" i="16"/>
  <c r="C52" i="16" s="1"/>
  <c r="C21" i="17" s="1"/>
  <c r="F23" i="5"/>
  <c r="I49" i="12"/>
  <c r="D58" i="4"/>
  <c r="J58" i="4" s="1"/>
  <c r="D59" i="4"/>
  <c r="J59" i="4" s="1"/>
  <c r="F52" i="6"/>
  <c r="M86" i="8"/>
  <c r="N86" i="8" s="1"/>
  <c r="H54" i="11" s="1"/>
  <c r="J75" i="7"/>
  <c r="L76" i="7"/>
  <c r="L75" i="7" s="1"/>
  <c r="M88" i="8"/>
  <c r="N88" i="8" s="1"/>
  <c r="H55" i="11" s="1"/>
  <c r="J23" i="6"/>
  <c r="D9" i="7"/>
  <c r="F12" i="7"/>
  <c r="D11" i="7"/>
  <c r="J15" i="6"/>
  <c r="L8" i="6"/>
  <c r="N8" i="6" s="1"/>
  <c r="J11" i="7"/>
  <c r="L12" i="7"/>
  <c r="F76" i="7"/>
  <c r="F75" i="7" s="1"/>
  <c r="D27" i="5" s="1"/>
  <c r="I27" i="5" s="1"/>
  <c r="D75" i="7"/>
  <c r="J9" i="7"/>
  <c r="F40" i="6"/>
  <c r="F8" i="4"/>
  <c r="M87" i="8"/>
  <c r="N87" i="8" s="1"/>
  <c r="F47" i="7"/>
  <c r="F49" i="6"/>
  <c r="C53" i="20" s="1"/>
  <c r="L38" i="7"/>
  <c r="L37" i="7" s="1"/>
  <c r="J37" i="7"/>
  <c r="J43" i="6"/>
  <c r="L40" i="6"/>
  <c r="L50" i="7"/>
  <c r="J49" i="7"/>
  <c r="D49" i="7"/>
  <c r="F50" i="7"/>
  <c r="D37" i="7"/>
  <c r="L30" i="6"/>
  <c r="N30" i="6" s="1"/>
  <c r="J38" i="6"/>
  <c r="L49" i="6"/>
  <c r="N49" i="6" s="1"/>
  <c r="L26" i="7"/>
  <c r="L25" i="7" s="1"/>
  <c r="J25" i="7"/>
  <c r="D25" i="7"/>
  <c r="F26" i="7"/>
  <c r="F25" i="7" s="1"/>
  <c r="D13" i="5" s="1"/>
  <c r="I13" i="5" s="1"/>
  <c r="H20" i="20" s="1"/>
  <c r="F8" i="6"/>
  <c r="C16" i="20" s="1"/>
  <c r="F43" i="6" l="1"/>
  <c r="C44" i="20"/>
  <c r="C47" i="20" s="1"/>
  <c r="D86" i="16"/>
  <c r="D55" i="17"/>
  <c r="C9" i="21"/>
  <c r="C21" i="22" s="1"/>
  <c r="J28" i="19"/>
  <c r="G33" i="19"/>
  <c r="L43" i="6"/>
  <c r="N43" i="6" s="1"/>
  <c r="N40" i="6"/>
  <c r="C29" i="20"/>
  <c r="M14" i="16"/>
  <c r="C46" i="16"/>
  <c r="F27" i="16"/>
  <c r="L41" i="4"/>
  <c r="C10" i="21"/>
  <c r="C18" i="22" s="1"/>
  <c r="C8" i="21"/>
  <c r="C17" i="22" s="1"/>
  <c r="C11" i="21"/>
  <c r="C23" i="22" s="1"/>
  <c r="L40" i="4"/>
  <c r="L23" i="16"/>
  <c r="L17" i="4"/>
  <c r="L26" i="4"/>
  <c r="J27" i="5"/>
  <c r="H34" i="20"/>
  <c r="L46" i="4"/>
  <c r="L56" i="4"/>
  <c r="L14" i="4"/>
  <c r="L36" i="4"/>
  <c r="L29" i="16"/>
  <c r="M29" i="16" s="1"/>
  <c r="C21" i="20"/>
  <c r="D57" i="4"/>
  <c r="J57" i="4" s="1"/>
  <c r="L31" i="16" s="1"/>
  <c r="M31" i="16" s="1"/>
  <c r="C56" i="20"/>
  <c r="L9" i="4"/>
  <c r="G39" i="8"/>
  <c r="W36" i="11"/>
  <c r="D25" i="6"/>
  <c r="D45" i="6"/>
  <c r="D71" i="7"/>
  <c r="D101" i="16"/>
  <c r="L32" i="16"/>
  <c r="M32" i="16" s="1"/>
  <c r="L58" i="4"/>
  <c r="L24" i="16"/>
  <c r="F24" i="16" s="1"/>
  <c r="M24" i="16" s="1"/>
  <c r="L37" i="4"/>
  <c r="D112" i="16"/>
  <c r="L33" i="16"/>
  <c r="M33" i="16" s="1"/>
  <c r="L59" i="4"/>
  <c r="M17" i="16"/>
  <c r="M16" i="16"/>
  <c r="D53" i="16"/>
  <c r="D22" i="17" s="1"/>
  <c r="C49" i="16"/>
  <c r="C18" i="17" s="1"/>
  <c r="D52" i="16"/>
  <c r="D21" i="17" s="1"/>
  <c r="M10" i="16"/>
  <c r="D22" i="7"/>
  <c r="F37" i="7"/>
  <c r="D16" i="5" s="1"/>
  <c r="I16" i="5" s="1"/>
  <c r="H23" i="20" s="1"/>
  <c r="D34" i="4"/>
  <c r="C17" i="10"/>
  <c r="C21" i="10" s="1"/>
  <c r="I9" i="10" s="1"/>
  <c r="F14" i="12"/>
  <c r="E70" i="7"/>
  <c r="K55" i="11"/>
  <c r="K70" i="7" s="1"/>
  <c r="J71" i="7"/>
  <c r="D45" i="4"/>
  <c r="D8" i="4"/>
  <c r="J8" i="4" s="1"/>
  <c r="D54" i="4"/>
  <c r="F13" i="12"/>
  <c r="F17" i="12" s="1"/>
  <c r="J22" i="7"/>
  <c r="F14" i="9"/>
  <c r="J45" i="6"/>
  <c r="J25" i="6"/>
  <c r="N90" i="8"/>
  <c r="M23" i="16" l="1"/>
  <c r="C220" i="16"/>
  <c r="C31" i="20"/>
  <c r="C14" i="17"/>
  <c r="D46" i="16"/>
  <c r="D14" i="17" s="1"/>
  <c r="M27" i="16"/>
  <c r="D54" i="16"/>
  <c r="M12" i="16"/>
  <c r="C57" i="16"/>
  <c r="D57" i="16" s="1"/>
  <c r="L70" i="7"/>
  <c r="L49" i="7" s="1"/>
  <c r="L71" i="7" s="1"/>
  <c r="K49" i="7"/>
  <c r="K71" i="7" s="1"/>
  <c r="L57" i="4"/>
  <c r="G14" i="19" s="1"/>
  <c r="G15" i="19" s="1"/>
  <c r="E20" i="7"/>
  <c r="E11" i="7" s="1"/>
  <c r="G53" i="11"/>
  <c r="E49" i="7"/>
  <c r="E71" i="7" s="1"/>
  <c r="F70" i="7"/>
  <c r="F49" i="7" s="1"/>
  <c r="F71" i="7" s="1"/>
  <c r="C55" i="16"/>
  <c r="C23" i="17" s="1"/>
  <c r="C148" i="16"/>
  <c r="L9" i="16"/>
  <c r="L8" i="4"/>
  <c r="D49" i="16"/>
  <c r="D18" i="17" s="1"/>
  <c r="F18" i="12"/>
  <c r="F15" i="12"/>
  <c r="D73" i="7"/>
  <c r="D83" i="7" s="1"/>
  <c r="J54" i="4"/>
  <c r="H9" i="10"/>
  <c r="G9" i="10"/>
  <c r="F9" i="10"/>
  <c r="F16" i="12"/>
  <c r="K54" i="11"/>
  <c r="K20" i="7" s="1"/>
  <c r="D48" i="4"/>
  <c r="J45" i="4"/>
  <c r="F18" i="9"/>
  <c r="J34" i="4"/>
  <c r="J73" i="7"/>
  <c r="J83" i="7" s="1"/>
  <c r="J55" i="6" s="1"/>
  <c r="J9" i="16" l="1"/>
  <c r="J36" i="16" s="1"/>
  <c r="D55" i="16"/>
  <c r="D23" i="17" s="1"/>
  <c r="L20" i="7"/>
  <c r="L11" i="7" s="1"/>
  <c r="K11" i="7"/>
  <c r="F20" i="7"/>
  <c r="F11" i="7" s="1"/>
  <c r="D9" i="5" s="1"/>
  <c r="I9" i="5" s="1"/>
  <c r="D55" i="6"/>
  <c r="D56" i="6" s="1"/>
  <c r="L26" i="16"/>
  <c r="D123" i="16" s="1"/>
  <c r="L45" i="4"/>
  <c r="L28" i="16"/>
  <c r="C155" i="16" s="1"/>
  <c r="L54" i="4"/>
  <c r="L21" i="16"/>
  <c r="L34" i="4"/>
  <c r="F19" i="12"/>
  <c r="G20" i="12" s="1"/>
  <c r="E9" i="1"/>
  <c r="E23" i="1" s="1"/>
  <c r="J48" i="4"/>
  <c r="L48" i="4" s="1"/>
  <c r="J53" i="11"/>
  <c r="E6" i="1"/>
  <c r="D19" i="5"/>
  <c r="D23" i="5" s="1"/>
  <c r="M9" i="16" l="1"/>
  <c r="F21" i="16"/>
  <c r="D58" i="6"/>
  <c r="D60" i="6" s="1"/>
  <c r="P53" i="11"/>
  <c r="H16" i="20"/>
  <c r="M26" i="16"/>
  <c r="M28" i="16"/>
  <c r="E27" i="1"/>
  <c r="D33" i="1" s="1"/>
  <c r="C33" i="1" s="1"/>
  <c r="J56" i="6"/>
  <c r="I19" i="5"/>
  <c r="C50" i="16" l="1"/>
  <c r="C19" i="17" s="1"/>
  <c r="M21" i="16"/>
  <c r="D59" i="6"/>
  <c r="H26" i="20"/>
  <c r="J58" i="6"/>
  <c r="J59" i="6" s="1"/>
  <c r="F29" i="1"/>
  <c r="F27" i="1"/>
  <c r="J19" i="5"/>
  <c r="I23" i="5"/>
  <c r="H30" i="20" s="1"/>
  <c r="J9" i="5"/>
  <c r="D50" i="16" l="1"/>
  <c r="D19" i="17" s="1"/>
  <c r="J60" i="6"/>
  <c r="W24" i="11" l="1"/>
  <c r="G45" i="8" s="1"/>
  <c r="H45" i="8" s="1"/>
  <c r="H22" i="8"/>
  <c r="I43" i="5" l="1"/>
  <c r="C6" i="22"/>
  <c r="G6" i="22"/>
  <c r="H91" i="8"/>
  <c r="L93" i="8"/>
  <c r="H25" i="8"/>
  <c r="F42" i="4"/>
  <c r="F43" i="4" l="1"/>
  <c r="J42" i="4"/>
  <c r="F50" i="4" l="1"/>
  <c r="L42" i="4"/>
  <c r="N93" i="8" l="1"/>
  <c r="V31" i="11" l="1"/>
  <c r="G64" i="8"/>
  <c r="H64" i="8" s="1"/>
  <c r="H39" i="8"/>
  <c r="H46" i="8" s="1"/>
  <c r="G64" i="11" l="1"/>
  <c r="E10" i="6" s="1"/>
  <c r="E15" i="6" s="1"/>
  <c r="G9" i="8"/>
  <c r="H9" i="8" s="1"/>
  <c r="F10" i="4" s="1"/>
  <c r="H78" i="8"/>
  <c r="F29" i="5"/>
  <c r="G29" i="5" s="1"/>
  <c r="I29" i="5" s="1"/>
  <c r="H36" i="20" s="1"/>
  <c r="H92" i="8"/>
  <c r="H93" i="8" s="1"/>
  <c r="W32" i="11"/>
  <c r="F7" i="5"/>
  <c r="H56" i="8"/>
  <c r="P87" i="11" l="1"/>
  <c r="H82" i="8"/>
  <c r="I82" i="8" s="1"/>
  <c r="G59" i="11" s="1"/>
  <c r="H65" i="11"/>
  <c r="J64" i="11"/>
  <c r="K10" i="6" s="1"/>
  <c r="E5" i="7"/>
  <c r="H12" i="8"/>
  <c r="F18" i="4"/>
  <c r="G7" i="5"/>
  <c r="F10" i="5"/>
  <c r="F25" i="5" s="1"/>
  <c r="F33" i="5" s="1"/>
  <c r="F37" i="5" s="1"/>
  <c r="P11" i="11" l="1"/>
  <c r="P64" i="11"/>
  <c r="H27" i="8"/>
  <c r="H29" i="8" s="1"/>
  <c r="H30" i="8" s="1"/>
  <c r="H31" i="8" s="1"/>
  <c r="K65" i="11"/>
  <c r="K5" i="7"/>
  <c r="E9" i="7"/>
  <c r="E22" i="7" s="1"/>
  <c r="E73" i="7" s="1"/>
  <c r="F5" i="7"/>
  <c r="F10" i="6"/>
  <c r="F15" i="6" s="1"/>
  <c r="G10" i="5"/>
  <c r="G25" i="5" s="1"/>
  <c r="H60" i="11"/>
  <c r="J59" i="11"/>
  <c r="E19" i="6"/>
  <c r="E23" i="6" s="1"/>
  <c r="E25" i="6" s="1"/>
  <c r="F29" i="4"/>
  <c r="F60" i="4" l="1"/>
  <c r="F61" i="4" s="1"/>
  <c r="F63" i="4" s="1"/>
  <c r="F65" i="4" s="1"/>
  <c r="L5" i="7"/>
  <c r="L9" i="7" s="1"/>
  <c r="L22" i="7" s="1"/>
  <c r="L73" i="7" s="1"/>
  <c r="K9" i="7"/>
  <c r="K22" i="7" s="1"/>
  <c r="K73" i="7" s="1"/>
  <c r="K60" i="11"/>
  <c r="K82" i="7" s="1"/>
  <c r="L82" i="7" s="1"/>
  <c r="E82" i="7"/>
  <c r="F82" i="7" s="1"/>
  <c r="K15" i="6"/>
  <c r="M10" i="6"/>
  <c r="L10" i="6"/>
  <c r="F9" i="7"/>
  <c r="F22" i="7" s="1"/>
  <c r="F73" i="7" s="1"/>
  <c r="C7" i="22"/>
  <c r="C13" i="22" s="1"/>
  <c r="D10" i="4"/>
  <c r="F19" i="6"/>
  <c r="F23" i="6" s="1"/>
  <c r="F25" i="6" s="1"/>
  <c r="K19" i="6"/>
  <c r="F64" i="4"/>
  <c r="H60" i="4" l="1"/>
  <c r="H61" i="4" s="1"/>
  <c r="H63" i="4" s="1"/>
  <c r="D7" i="5"/>
  <c r="I7" i="5" s="1"/>
  <c r="H14" i="20" s="1"/>
  <c r="L15" i="6"/>
  <c r="N15" i="6" s="1"/>
  <c r="N10" i="6"/>
  <c r="D25" i="5"/>
  <c r="M15" i="6"/>
  <c r="K23" i="6"/>
  <c r="M23" i="6" s="1"/>
  <c r="M19" i="6"/>
  <c r="C20" i="22"/>
  <c r="C14" i="22"/>
  <c r="D18" i="4"/>
  <c r="J18" i="4" s="1"/>
  <c r="L18" i="4" s="1"/>
  <c r="J10" i="4"/>
  <c r="L11" i="16" s="1"/>
  <c r="F11" i="16" s="1"/>
  <c r="L19" i="6"/>
  <c r="D31" i="5"/>
  <c r="D22" i="4"/>
  <c r="M11" i="16" l="1"/>
  <c r="C48" i="16"/>
  <c r="D10" i="5"/>
  <c r="L23" i="6"/>
  <c r="N19" i="6"/>
  <c r="K25" i="6"/>
  <c r="M25" i="6" s="1"/>
  <c r="L10" i="4"/>
  <c r="I21" i="5"/>
  <c r="F13" i="9"/>
  <c r="I17" i="5"/>
  <c r="I14" i="5"/>
  <c r="I10" i="5"/>
  <c r="I11" i="5"/>
  <c r="G31" i="5"/>
  <c r="D33" i="5"/>
  <c r="D27" i="4"/>
  <c r="D29" i="4" s="1"/>
  <c r="H22" i="4"/>
  <c r="H27" i="4" s="1"/>
  <c r="H29" i="4" s="1"/>
  <c r="D48" i="16" l="1"/>
  <c r="D17" i="17" s="1"/>
  <c r="C17" i="17"/>
  <c r="L25" i="6"/>
  <c r="N25" i="6" s="1"/>
  <c r="N23" i="6"/>
  <c r="I25" i="5"/>
  <c r="H32" i="20" s="1"/>
  <c r="H17" i="20"/>
  <c r="F16" i="9"/>
  <c r="F15" i="9"/>
  <c r="F17" i="9"/>
  <c r="F19" i="9" s="1"/>
  <c r="G19" i="9" s="1"/>
  <c r="J22" i="4"/>
  <c r="L15" i="16" s="1"/>
  <c r="I31" i="5"/>
  <c r="G33" i="5"/>
  <c r="G37" i="5" s="1"/>
  <c r="H65" i="4"/>
  <c r="H64" i="4"/>
  <c r="I33" i="5" l="1"/>
  <c r="H40" i="20" s="1"/>
  <c r="H38" i="20"/>
  <c r="J27" i="4"/>
  <c r="L27" i="4" s="1"/>
  <c r="L22" i="4"/>
  <c r="F15" i="16"/>
  <c r="L20" i="16"/>
  <c r="J33" i="5" l="1"/>
  <c r="J29" i="4"/>
  <c r="L29" i="4" s="1"/>
  <c r="M15" i="16"/>
  <c r="L81" i="7" l="1"/>
  <c r="H89" i="11" l="1"/>
  <c r="E38" i="6" l="1"/>
  <c r="E45" i="6" s="1"/>
  <c r="I46" i="5"/>
  <c r="G90" i="11"/>
  <c r="L83" i="7"/>
  <c r="K83" i="7"/>
  <c r="K55" i="6" s="1"/>
  <c r="K38" i="6"/>
  <c r="K45" i="6" s="1"/>
  <c r="L34" i="6"/>
  <c r="N34" i="6" l="1"/>
  <c r="E83" i="7"/>
  <c r="E55" i="6" s="1"/>
  <c r="L38" i="6"/>
  <c r="K56" i="6"/>
  <c r="L55" i="6"/>
  <c r="F34" i="6"/>
  <c r="F38" i="6" s="1"/>
  <c r="F45" i="6" s="1"/>
  <c r="F81" i="7" l="1"/>
  <c r="D35" i="5" s="1"/>
  <c r="N55" i="6"/>
  <c r="I30" i="19"/>
  <c r="L45" i="6"/>
  <c r="N45" i="6" s="1"/>
  <c r="N38" i="6"/>
  <c r="D38" i="4"/>
  <c r="F55" i="6"/>
  <c r="E56" i="6"/>
  <c r="E58" i="6" s="1"/>
  <c r="E60" i="6" s="1"/>
  <c r="C12" i="21"/>
  <c r="K58" i="6"/>
  <c r="L56" i="6"/>
  <c r="F83" i="7" l="1"/>
  <c r="D60" i="4" s="1"/>
  <c r="D61" i="4" s="1"/>
  <c r="J30" i="19"/>
  <c r="I31" i="19"/>
  <c r="J31" i="19" s="1"/>
  <c r="L58" i="6"/>
  <c r="N58" i="6" s="1"/>
  <c r="N56" i="6"/>
  <c r="J38" i="4"/>
  <c r="L22" i="16" s="1"/>
  <c r="F22" i="16" s="1"/>
  <c r="D43" i="4"/>
  <c r="K60" i="6"/>
  <c r="K59" i="6"/>
  <c r="I35" i="5"/>
  <c r="H42" i="20" s="1"/>
  <c r="D37" i="5"/>
  <c r="E59" i="6"/>
  <c r="C25" i="22"/>
  <c r="C27" i="22" s="1"/>
  <c r="C15" i="21"/>
  <c r="C58" i="20"/>
  <c r="C59" i="20" s="1"/>
  <c r="F56" i="6"/>
  <c r="F58" i="6" s="1"/>
  <c r="C51" i="16" l="1"/>
  <c r="J60" i="4"/>
  <c r="L60" i="4" s="1"/>
  <c r="G55" i="6"/>
  <c r="J32" i="19"/>
  <c r="L59" i="6"/>
  <c r="N59" i="6" s="1"/>
  <c r="L60" i="6"/>
  <c r="N60" i="6" s="1"/>
  <c r="L38" i="4"/>
  <c r="D50" i="4"/>
  <c r="J50" i="4" s="1"/>
  <c r="L50" i="4" s="1"/>
  <c r="J43" i="4"/>
  <c r="L43" i="4" s="1"/>
  <c r="F59" i="6"/>
  <c r="F60" i="6"/>
  <c r="J35" i="5"/>
  <c r="D43" i="5"/>
  <c r="K38" i="5"/>
  <c r="C16" i="21"/>
  <c r="C17" i="21" s="1"/>
  <c r="I37" i="5"/>
  <c r="C41" i="20" l="1"/>
  <c r="C42" i="20" s="1"/>
  <c r="C49" i="20" s="1"/>
  <c r="C61" i="20" s="1"/>
  <c r="C64" i="20" s="1"/>
  <c r="C20" i="17"/>
  <c r="C60" i="16"/>
  <c r="D51" i="16"/>
  <c r="D20" i="17" s="1"/>
  <c r="L34" i="16"/>
  <c r="L36" i="16" s="1"/>
  <c r="L37" i="16" s="1"/>
  <c r="J61" i="4"/>
  <c r="J63" i="4" s="1"/>
  <c r="D63" i="4"/>
  <c r="H44" i="20"/>
  <c r="I41" i="5"/>
  <c r="I47" i="5" s="1"/>
  <c r="I12" i="19"/>
  <c r="J37" i="5"/>
  <c r="E34" i="16" l="1"/>
  <c r="C41" i="16" s="1"/>
  <c r="L61" i="4"/>
  <c r="D64" i="4"/>
  <c r="D65" i="4"/>
  <c r="J65" i="4" s="1"/>
  <c r="L65" i="4" s="1"/>
  <c r="F36" i="16"/>
  <c r="I13" i="19"/>
  <c r="J13" i="19" s="1"/>
  <c r="J12" i="19"/>
  <c r="L63" i="4"/>
  <c r="J64" i="4"/>
  <c r="L64" i="4" s="1"/>
  <c r="M34" i="16" l="1"/>
  <c r="E36" i="16"/>
  <c r="M36" i="16" s="1"/>
  <c r="C62" i="16"/>
  <c r="K13" i="19"/>
  <c r="C10" i="17"/>
  <c r="D41" i="16"/>
  <c r="D10" i="17" s="1"/>
  <c r="C28" i="17" l="1"/>
  <c r="D60" i="16"/>
  <c r="D28" i="17" s="1"/>
  <c r="F38" i="16"/>
  <c r="C30" i="17"/>
  <c r="C78" i="16"/>
  <c r="D62" i="16"/>
  <c r="D30" i="17" s="1"/>
  <c r="C47" i="17" l="1"/>
  <c r="C81" i="16"/>
  <c r="D78" i="16"/>
  <c r="D47" i="17" s="1"/>
  <c r="C83" i="16" l="1"/>
  <c r="D81" i="16"/>
  <c r="D50" i="17" s="1"/>
  <c r="C50" i="17"/>
  <c r="C52" i="17" l="1"/>
  <c r="D5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1" authorId="0" shapeId="0" xr:uid="{00000000-0006-0000-0800-000005000000}">
      <text>
        <r>
          <rPr>
            <sz val="10"/>
            <color rgb="FF000000"/>
            <rFont val="Arial"/>
            <family val="2"/>
            <scheme val="minor"/>
          </rPr>
          <t>======
ID#AAAAZPJ2Ldc
Roi Levy    (2022-05-10 10:49:33)
GTS</t>
        </r>
      </text>
    </comment>
    <comment ref="E21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======
ID#AAAAZPUbPGA
Roi Levy    (2022-05-10 10:49:33)
NFX SAFE+HW Ventures Seed round</t>
        </r>
      </text>
    </comment>
    <comment ref="H47" authorId="0" shapeId="0" xr:uid="{00000000-0006-0000-0800-000004000000}">
      <text>
        <r>
          <rPr>
            <sz val="10"/>
            <color rgb="FF000000"/>
            <rFont val="Arial"/>
            <family val="2"/>
            <scheme val="minor"/>
          </rPr>
          <t>======
ID#AAAAZPUbPF4
Mika Peled    (2022-05-10 10:49:33)
- bonus</t>
        </r>
      </text>
    </comment>
    <comment ref="C53" authorId="0" shapeId="0" xr:uid="{00000000-0006-0000-0800-000003000000}">
      <text>
        <r>
          <rPr>
            <sz val="10"/>
            <color rgb="FF000000"/>
            <rFont val="Arial"/>
            <family val="2"/>
            <scheme val="minor"/>
          </rPr>
          <t>======
ID#AAAAZPJ2Ldg
Roi Levy    (2022-05-10 10:49:33)
GTS</t>
        </r>
      </text>
    </comment>
    <comment ref="E53" authorId="0" shapeId="0" xr:uid="{00000000-0006-0000-0800-000002000000}">
      <text>
        <r>
          <rPr>
            <sz val="10"/>
            <color rgb="FF000000"/>
            <rFont val="Arial"/>
            <family val="2"/>
            <scheme val="minor"/>
          </rPr>
          <t>======
ID#AAAAZPUbPF8
Roi Levy    (2022-05-10 10:49:33)
NFX SAFE+HW Ventures Seed round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OT8gJEn68NBQpk91CdsMK2dA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2" authorId="0" shapeId="0" xr:uid="{00000000-0006-0000-0B00-000002000000}">
      <text>
        <r>
          <rPr>
            <sz val="10"/>
            <color rgb="FF000000"/>
            <rFont val="Arial"/>
            <family val="2"/>
            <scheme val="minor"/>
          </rPr>
          <t>======
ID#AAAAZoidHq0
Roi Levy    (2022-05-10 10:49:33)
GTS</t>
        </r>
      </text>
    </comment>
    <comment ref="E22" authorId="0" shapeId="0" xr:uid="{00000000-0006-0000-0B00-000004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ID#AAAAZoidHqw
</t>
        </r>
        <r>
          <rPr>
            <sz val="10"/>
            <color rgb="FF000000"/>
            <rFont val="Arial"/>
            <family val="2"/>
          </rPr>
          <t xml:space="preserve">Roi Levy    (2022-05-10 10:49:33)
</t>
        </r>
        <r>
          <rPr>
            <sz val="10"/>
            <color rgb="FF000000"/>
            <rFont val="Arial"/>
            <family val="2"/>
          </rPr>
          <t>NFX SAFE+HW Ventures Seed round</t>
        </r>
      </text>
    </comment>
    <comment ref="H48" authorId="0" shapeId="0" xr:uid="{00000000-0006-0000-0B00-000005000000}">
      <text>
        <r>
          <rPr>
            <sz val="10"/>
            <color rgb="FF000000"/>
            <rFont val="Arial"/>
            <family val="2"/>
            <scheme val="minor"/>
          </rPr>
          <t>======
ID#AAAAZoidHqs
Mika Peled    (2022-05-10 10:49:33)
- bonus</t>
        </r>
      </text>
    </comment>
    <comment ref="C54" authorId="0" shapeId="0" xr:uid="{00000000-0006-0000-0B00-000003000000}">
      <text>
        <r>
          <rPr>
            <sz val="10"/>
            <color rgb="FF000000"/>
            <rFont val="Arial"/>
            <family val="2"/>
            <scheme val="minor"/>
          </rPr>
          <t>======
ID#AAAAZoidHqk
Roi Levy    (2022-05-10 10:49:33)
GTS</t>
        </r>
      </text>
    </comment>
    <comment ref="E54" authorId="0" shapeId="0" xr:uid="{00000000-0006-0000-0B00-000001000000}">
      <text>
        <r>
          <rPr>
            <sz val="10"/>
            <color rgb="FF000000"/>
            <rFont val="Arial"/>
            <family val="2"/>
            <scheme val="minor"/>
          </rPr>
          <t>======
ID#AAAAZoidHqo
Roi Levy    (2022-05-10 10:49:33)
NFX SAFE+HW Ventures Seed round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Qo6TFUqJ7fCM7Dzl7qhRzNtCgSA=="/>
    </ext>
  </extLst>
</comments>
</file>

<file path=xl/sharedStrings.xml><?xml version="1.0" encoding="utf-8"?>
<sst xmlns="http://schemas.openxmlformats.org/spreadsheetml/2006/main" count="6996" uniqueCount="1287">
  <si>
    <t>Papaya Gaming LTD</t>
  </si>
  <si>
    <t xml:space="preserve">דוח התאמה 2021 </t>
  </si>
  <si>
    <t>רווח לפני מס 2021</t>
  </si>
  <si>
    <t>תיאום הוצאות עודפות:</t>
  </si>
  <si>
    <t xml:space="preserve">מחקר ופיתוח - דחיית הוצאות </t>
  </si>
  <si>
    <t xml:space="preserve">פריסה על פני 3 שנים </t>
  </si>
  <si>
    <t>מחקר ופיתוח - הכרה בהוצאות ש"ק</t>
  </si>
  <si>
    <t>בגין הוצאות שמקורן ב 2018-2019</t>
  </si>
  <si>
    <t>הוצאות בגין תשלום מבוסס מניות</t>
  </si>
  <si>
    <t>גידול בהפרשה לחופשה</t>
  </si>
  <si>
    <t>גידול בהפרשה להבראה</t>
  </si>
  <si>
    <t>ארוחות</t>
  </si>
  <si>
    <t xml:space="preserve"> 100% מתואם </t>
  </si>
  <si>
    <t xml:space="preserve">כיבודים </t>
  </si>
  <si>
    <t>עודפות</t>
  </si>
  <si>
    <t>רווחי אקוויטי</t>
  </si>
  <si>
    <t>תרומות</t>
  </si>
  <si>
    <t xml:space="preserve">קנסות </t>
  </si>
  <si>
    <t xml:space="preserve">קנסות תנועה + מוסדות </t>
  </si>
  <si>
    <t xml:space="preserve">כרטיס </t>
  </si>
  <si>
    <t xml:space="preserve">תאור </t>
  </si>
  <si>
    <t xml:space="preserve">סה"כ הוצאה </t>
  </si>
  <si>
    <t>שויים</t>
  </si>
  <si>
    <t xml:space="preserve">הוצאה עודפת </t>
  </si>
  <si>
    <t>הפסד מועבר משנת 2019</t>
  </si>
  <si>
    <t>מצרכים וכיבודים</t>
  </si>
  <si>
    <t>#REF!</t>
  </si>
  <si>
    <t>מתנות</t>
  </si>
  <si>
    <t>הפסד לצרכי מס - מועבר לשנת 2021</t>
  </si>
  <si>
    <t>אירוע חברה</t>
  </si>
  <si>
    <t>תרומה להעברה לשנים הבאות לשם קבלת הזיכוי</t>
  </si>
  <si>
    <t>מתנות לעובדים חד פעמי</t>
  </si>
  <si>
    <t>USD</t>
  </si>
  <si>
    <t>NIS</t>
  </si>
  <si>
    <t>שיעור המס לפי מפעל טכנולוגי מועדף (גישה שמרנית)</t>
  </si>
  <si>
    <t>נכס מס נדחה בגין הפסד להעברה</t>
  </si>
  <si>
    <t>נכס מס נדחה בגין הפרשה לחופשה</t>
  </si>
  <si>
    <t>התאמת מו"פ</t>
  </si>
  <si>
    <t>נכס מס נדחה בגין הפרשה להבראה</t>
  </si>
  <si>
    <t>הוצאות מו״פ שנדחו</t>
  </si>
  <si>
    <t>הוצאות מו"פ</t>
  </si>
  <si>
    <t>הוצאות הפרשה להבראה מופ</t>
  </si>
  <si>
    <t>הוצאות חופשה מופ</t>
  </si>
  <si>
    <t>SBC Expenses R&amp;D</t>
  </si>
  <si>
    <t>כותרת ראשית;</t>
  </si>
  <si>
    <t>כותרת משנה;</t>
  </si>
  <si>
    <t>סעיף;</t>
  </si>
  <si>
    <t>חשבון</t>
  </si>
  <si>
    <t>תאור חשבון</t>
  </si>
  <si>
    <t>**1.נכסים</t>
  </si>
  <si>
    <t>*10.רכוש שוטף</t>
  </si>
  <si>
    <t>100.מזומנים ושווי מזומנים</t>
  </si>
  <si>
    <t>בנק לאומי 568400</t>
  </si>
  <si>
    <t>BS</t>
  </si>
  <si>
    <t xml:space="preserve">Cash </t>
  </si>
  <si>
    <t>בנק לאומי 568400 דולרי $</t>
  </si>
  <si>
    <t>בנק PAYPAL דולרי $</t>
  </si>
  <si>
    <t>בנק לאומי 568400 אירו E</t>
  </si>
  <si>
    <t>בנק אמריקאי LTD  SVB</t>
  </si>
  <si>
    <t>בנק לאומי 568400 לירה שטרלניג</t>
  </si>
  <si>
    <t>106.לקוחות</t>
  </si>
  <si>
    <t>לקוחות מזדמנים חול</t>
  </si>
  <si>
    <t>Account receivable</t>
  </si>
  <si>
    <t>FACEBOOK לקוח</t>
  </si>
  <si>
    <t>Unity Technologies לקוח</t>
  </si>
  <si>
    <t>IronSource Mobile LTD</t>
  </si>
  <si>
    <t>ADCOLONY INC לקוח</t>
  </si>
  <si>
    <t>Applovin</t>
  </si>
  <si>
    <t>*11.חיבים אחרים</t>
  </si>
  <si>
    <t>110.חיבים אחרים</t>
  </si>
  <si>
    <t>הוצאות מראש</t>
  </si>
  <si>
    <t>Other accounts receivable</t>
  </si>
  <si>
    <t>נכס מס נדחה</t>
  </si>
  <si>
    <t>Deferred tax assets</t>
  </si>
  <si>
    <t>111.מוסדות</t>
  </si>
  <si>
    <t>מע'מ חו'ז</t>
  </si>
  <si>
    <t>מע'מ עסקאות</t>
  </si>
  <si>
    <t>מע'מ תשומות</t>
  </si>
  <si>
    <t>מע'מ תשומות לנכסים</t>
  </si>
  <si>
    <t>מקדמות בשל הוצאות עודפות 2017</t>
  </si>
  <si>
    <t>מקדמות בשל הוצאות עודפות 2018</t>
  </si>
  <si>
    <t>מקדמות בשל הוצאות עודפות 2019</t>
  </si>
  <si>
    <t>מקדמות בשל הוצאות עודפות 2020</t>
  </si>
  <si>
    <t>ניכוי מס במקור מספקים</t>
  </si>
  <si>
    <t>Other accounts payable</t>
  </si>
  <si>
    <t>מע"מ תשומות</t>
  </si>
  <si>
    <t>חוז עובדים - משכורות</t>
  </si>
  <si>
    <t>חוז קופות גמל- שכר</t>
  </si>
  <si>
    <t>ביטוח לאומי ניכויים</t>
  </si>
  <si>
    <t>מס הכנסה ניכויים</t>
  </si>
  <si>
    <t>ניכויי רשות</t>
  </si>
  <si>
    <t>הפרשה לחופשה</t>
  </si>
  <si>
    <t>הפרשה להבראה</t>
  </si>
  <si>
    <t>הכנסות נדחות - מאזני</t>
  </si>
  <si>
    <t>הכנסות לקבל - מאזני</t>
  </si>
  <si>
    <t>מע'מ תשומות לבירור!!!</t>
  </si>
  <si>
    <t>*15.רכוש קבוע</t>
  </si>
  <si>
    <t>152.כלי רכב</t>
  </si>
  <si>
    <t>כלי רכב ותחבורה</t>
  </si>
  <si>
    <t>Fixed assets, net</t>
  </si>
  <si>
    <t>153.פחת נצבר כלי רכב</t>
  </si>
  <si>
    <t>פחת נצבר כלי רכב</t>
  </si>
  <si>
    <t>154.מחשבים</t>
  </si>
  <si>
    <t>מחשבים וניידים</t>
  </si>
  <si>
    <t>155.פחת נבר מחשבים</t>
  </si>
  <si>
    <t>פחת נצבר מחשבים</t>
  </si>
  <si>
    <t>156.ריהוט</t>
  </si>
  <si>
    <t>רהוט</t>
  </si>
  <si>
    <t>שיפורים במושכר</t>
  </si>
  <si>
    <t>157.פחת נצבר רהוט</t>
  </si>
  <si>
    <t>פחת נצבר ריהוט</t>
  </si>
  <si>
    <t>פחת נצבר שיפורים במושכר</t>
  </si>
  <si>
    <t>פחת נצבר ציוד אלקטרוני</t>
  </si>
  <si>
    <t>158.רכוש קבוע נטו</t>
  </si>
  <si>
    <t>רכוש קבוע</t>
  </si>
  <si>
    <t>ציוד אלקטרוני</t>
  </si>
  <si>
    <t>**2.התחייבויות</t>
  </si>
  <si>
    <t>*20.התחייבויות שוטפות</t>
  </si>
  <si>
    <t>200.ספקים</t>
  </si>
  <si>
    <t>אמירים הפצה</t>
  </si>
  <si>
    <t>Trade payables</t>
  </si>
  <si>
    <t>אוריאל בכר - ספק יעוץ</t>
  </si>
  <si>
    <t>אנדריי בירמן - ספק יעוץ</t>
  </si>
  <si>
    <t>תן ביס - ביס קו אי</t>
  </si>
  <si>
    <t>שניידר פתרונות מחשוב בע״מ</t>
  </si>
  <si>
    <t>PEARL COHEN ZEDEK</t>
  </si>
  <si>
    <t>אלי שירותי נקיון</t>
  </si>
  <si>
    <t>עיריית תל אביב</t>
  </si>
  <si>
    <t>קסלמן קסלמן PWC</t>
  </si>
  <si>
    <t>ביי מי - תווי שי</t>
  </si>
  <si>
    <t>תמי 4</t>
  </si>
  <si>
    <t>בן אביגדור 8 בעמ</t>
  </si>
  <si>
    <t>ועד בית</t>
  </si>
  <si>
    <t>פריוריטי סופטוור</t>
  </si>
  <si>
    <t>אפספלייר בע"מ APPSFLYER</t>
  </si>
  <si>
    <t>IRONSOURCE MOBILE LTD</t>
  </si>
  <si>
    <t>אטיאס אופיס קולקשיין בע״מ</t>
  </si>
  <si>
    <t>זוז מובייל</t>
  </si>
  <si>
    <t>נספרסו</t>
  </si>
  <si>
    <t>גט טקסי סירוויס</t>
  </si>
  <si>
    <t>wolt</t>
  </si>
  <si>
    <t>נטוויזן 013 בע"מ</t>
  </si>
  <si>
    <t>חברת חשמל</t>
  </si>
  <si>
    <t>מונדו 2000</t>
  </si>
  <si>
    <t>WIX.COM</t>
  </si>
  <si>
    <t>טי אם מובייל 2014 בע"מ</t>
  </si>
  <si>
    <t>העמותה למען עתיד טבעוני</t>
  </si>
  <si>
    <t>גיים בוסט - איתמר כהן</t>
  </si>
  <si>
    <t>ירין יחזקאל</t>
  </si>
  <si>
    <t>ריסקיפייד בע"מ</t>
  </si>
  <si>
    <t>מיכאלי חקלאות</t>
  </si>
  <si>
    <t>אונזה בע"מ</t>
  </si>
  <si>
    <t>ארפילאי בע"מ</t>
  </si>
  <si>
    <t>TABLEAU INTERNATIONAL</t>
  </si>
  <si>
    <t>אמנון גור סוכנות לביטוח 2000 בע"מ</t>
  </si>
  <si>
    <t>מי אביבים 2010 בע"מ</t>
  </si>
  <si>
    <t>וויד אופס בע"מ</t>
  </si>
  <si>
    <t>סלולריה</t>
  </si>
  <si>
    <t>אלפא א. מחשבים בע"מ</t>
  </si>
  <si>
    <t>סיקס נוטס בע"מ</t>
  </si>
  <si>
    <t>מיתר עורכי דין</t>
  </si>
  <si>
    <t>שבלת ושות'</t>
  </si>
  <si>
    <t>דבוסקין ייעוץ בע"מ</t>
  </si>
  <si>
    <t>קופרמן ייזום והשקעות</t>
  </si>
  <si>
    <t>ד"ר גב</t>
  </si>
  <si>
    <t>יודה יעוץ לעסקים</t>
  </si>
  <si>
    <t>זיו שרון ושות' עורכי דין</t>
  </si>
  <si>
    <t>HOLENSTEIN BRUSA</t>
  </si>
  <si>
    <t>דוד עדן</t>
  </si>
  <si>
    <t>יאנג מדיה בע"מ</t>
  </si>
  <si>
    <t>נגיעה עיסקית ופיננסית</t>
  </si>
  <si>
    <t>סיידר מחשבים בע"מ</t>
  </si>
  <si>
    <t>א.פ ויז'ן</t>
  </si>
  <si>
    <t>UNBOTIFY LTD</t>
  </si>
  <si>
    <t>קלאנפליי בע"מ</t>
  </si>
  <si>
    <t>מרום דור רחלי</t>
  </si>
  <si>
    <t>בלו סקיי</t>
  </si>
  <si>
    <t>תומר לשם צלם</t>
  </si>
  <si>
    <t>אומגה פתרונות בע"מ</t>
  </si>
  <si>
    <t>בריאת עולם ועבודת עץ בע"מ</t>
  </si>
  <si>
    <t>האנצ' פתרונות בע"מ</t>
  </si>
  <si>
    <t>מחסני חשמל בע"מ</t>
  </si>
  <si>
    <t>קומפיוטר סי דאטה בע"מ</t>
  </si>
  <si>
    <t>חברת פרטנר תקשורת בע"מ</t>
  </si>
  <si>
    <t>אינטרפלנט בע"מ</t>
  </si>
  <si>
    <t>אחים וקסמן תעשיות בע"מ</t>
  </si>
  <si>
    <t>קבוצת אלקטרו קובי בע"מ</t>
  </si>
  <si>
    <t>יונייטד סיטס בע"מ</t>
  </si>
  <si>
    <t>אי.בי.איי קפיטל IBI</t>
  </si>
  <si>
    <t>Bykanov Dmytro</t>
  </si>
  <si>
    <t>ORACLE CORPORATION UK LIMITED</t>
  </si>
  <si>
    <t>גיא סידי צילומים</t>
  </si>
  <si>
    <t>שף דיפו בע״מ</t>
  </si>
  <si>
    <t>בוקה</t>
  </si>
  <si>
    <t>אינסטבלוק בע״מ</t>
  </si>
  <si>
    <t>INDISCREET TARGET,LDA</t>
  </si>
  <si>
    <t>BIGA BID MEDIA Ltd</t>
  </si>
  <si>
    <t>DOCUSIGN</t>
  </si>
  <si>
    <t>APPLE CANADA</t>
  </si>
  <si>
    <t>APPLE PTY LTD</t>
  </si>
  <si>
    <t>HERZOG FOX % NEEMAN</t>
  </si>
  <si>
    <t>SIMPLEBU CRM EXPERTS LTD</t>
  </si>
  <si>
    <t>סוויטק בע״מ</t>
  </si>
  <si>
    <t>צלטנר הלפרין פוצ׳ון משרד עו״ד</t>
  </si>
  <si>
    <t>S Cube Financial Services Ltd</t>
  </si>
  <si>
    <t>גוטפרנדס בעמ</t>
  </si>
  <si>
    <t>ארטי פיסקל-נחמן ויקטור</t>
  </si>
  <si>
    <t>עלולים רעננים אגש״ח בע״מ</t>
  </si>
  <si>
    <t>שוניארט</t>
  </si>
  <si>
    <t>י.פפר בע״מ</t>
  </si>
  <si>
    <t>עטי ישראל חושן פרסום בע״מ</t>
  </si>
  <si>
    <t>נקסט פלייס בע״מ</t>
  </si>
  <si>
    <t>KPMG</t>
  </si>
  <si>
    <t>CAESAR BAR</t>
  </si>
  <si>
    <t>SHARDUL AMARCHAND MANGALDAS AND CO</t>
  </si>
  <si>
    <t>SENSOR TOWER INC</t>
  </si>
  <si>
    <t>HOWDEN INSURANCE BROKERS (2002) LTD</t>
  </si>
  <si>
    <t>SIMILAR BID TECHNOLOGIES LTD</t>
  </si>
  <si>
    <t>LIFTOFF MOBILE INC</t>
  </si>
  <si>
    <t>מטריקס אי.טי. קלאודזון</t>
  </si>
  <si>
    <t>קומוידי תקשורת בע"מ</t>
  </si>
  <si>
    <t>נחת בכיכר בע״מ</t>
  </si>
  <si>
    <t>אלקטרה מוצרי צריכה בע״מ</t>
  </si>
  <si>
    <t>מאגרי בניה בע״מ</t>
  </si>
  <si>
    <t>סלי צ׳פרק עיצוב פנים סטיילינג הפקה</t>
  </si>
  <si>
    <t>החבריה היותר טובים בע״מ</t>
  </si>
  <si>
    <t>ג.נ הידרו סיסטמס בע"מ</t>
  </si>
  <si>
    <t>דני.אל תקשורת בע״מ</t>
  </si>
  <si>
    <t>מכון בית יוסף</t>
  </si>
  <si>
    <t>פיקסמן בניה בע״מ</t>
  </si>
  <si>
    <t>איי דיגיטל סטור בע״מ</t>
  </si>
  <si>
    <t>גונון בת קול בע״מ</t>
  </si>
  <si>
    <t>AdAction Interactive LLC</t>
  </si>
  <si>
    <t>Snap inc</t>
  </si>
  <si>
    <t>201.ספקי חו"ל</t>
  </si>
  <si>
    <t>MELLIUS LTD</t>
  </si>
  <si>
    <t>slack</t>
  </si>
  <si>
    <t>AMAZOM</t>
  </si>
  <si>
    <t>WOLT ENTERPRISES</t>
  </si>
  <si>
    <t>BOX UK</t>
  </si>
  <si>
    <t>FACEBOOK</t>
  </si>
  <si>
    <t>PAYPAL *UNITY TEC</t>
  </si>
  <si>
    <t>Zendesk Inc.</t>
  </si>
  <si>
    <t>Twilio</t>
  </si>
  <si>
    <t>APPLE INC</t>
  </si>
  <si>
    <t>JetBrains s.r.o.</t>
  </si>
  <si>
    <t>ARISTOTLE INTERNATIONAL INC</t>
  </si>
  <si>
    <t>ZOOM</t>
  </si>
  <si>
    <t>SignNow</t>
  </si>
  <si>
    <t>publishers clearing hous-PCH</t>
  </si>
  <si>
    <t>Opsgenie</t>
  </si>
  <si>
    <t>Alan Mensa-Wilmot</t>
  </si>
  <si>
    <t>ADCOLONY Inc</t>
  </si>
  <si>
    <t>FLUENT</t>
  </si>
  <si>
    <t>BYKANOV DMYTRO ANDRIIOVYCH</t>
  </si>
  <si>
    <t>Dog Tales Rescue and San</t>
  </si>
  <si>
    <t>GRAMMARLY.COM</t>
  </si>
  <si>
    <t>GAMING AUDIENCES</t>
  </si>
  <si>
    <t>INDEED</t>
  </si>
  <si>
    <t>TEAM VIEWER</t>
  </si>
  <si>
    <t>bluesnap inc</t>
  </si>
  <si>
    <t>REVIEWER UX</t>
  </si>
  <si>
    <t>אסתר הסקי ESTHER HASKY DE BROWN</t>
  </si>
  <si>
    <t>NOAM YANKELEVICH</t>
  </si>
  <si>
    <t>SADA SERVICES LTD</t>
  </si>
  <si>
    <t>memery crystal</t>
  </si>
  <si>
    <t>UX REVIEWER</t>
  </si>
  <si>
    <t>DLA PIPER LLP</t>
  </si>
  <si>
    <t>202.הוצאות לשלם</t>
  </si>
  <si>
    <t>204-0</t>
  </si>
  <si>
    <t>המחאות לפרעון</t>
  </si>
  <si>
    <t>הוצאות לשלם</t>
  </si>
  <si>
    <t>207.כרטיסי אשראי</t>
  </si>
  <si>
    <t>ויזה 8214 שקלי</t>
  </si>
  <si>
    <t>ויזה 3711 שקלי</t>
  </si>
  <si>
    <t>ויזה 3612 שקלי</t>
  </si>
  <si>
    <t>ויזה 3612 דולרי</t>
  </si>
  <si>
    <t>ויזה 8214 דולרי</t>
  </si>
  <si>
    <t>208.זכאים אחרים</t>
  </si>
  <si>
    <t>הלוואה SVB 800K</t>
  </si>
  <si>
    <t>Loan-Long term</t>
  </si>
  <si>
    <t>הלוואה שנייה  SVB 800K</t>
  </si>
  <si>
    <t>הלוואה שלישית $16M</t>
  </si>
  <si>
    <t>*25.התחייבויות לטווח ארוך</t>
  </si>
  <si>
    <t>250.הלוואות לזמן ארוך</t>
  </si>
  <si>
    <t>חלויות שוטפות - הלוואה 1 SVB 800K</t>
  </si>
  <si>
    <t>Loan-Short term</t>
  </si>
  <si>
    <t>251.צדדים קשורים</t>
  </si>
  <si>
    <t>אוריאל בכר</t>
  </si>
  <si>
    <t>אוריאל בכר חוז בעלים</t>
  </si>
  <si>
    <t>Shareholders' loan</t>
  </si>
  <si>
    <t>אנדרי בירמן חוז בעלים</t>
  </si>
  <si>
    <t>אלכסנדר ליאכובצקי חוז בעלים</t>
  </si>
  <si>
    <t>Payale to GTS</t>
  </si>
  <si>
    <t>Shareholders</t>
  </si>
  <si>
    <t>GLOBAL TRADING SOLUTIONS LLC השקעה</t>
  </si>
  <si>
    <t>PAPAYA GAMING LIMITED MALTA</t>
  </si>
  <si>
    <t>Related Party</t>
  </si>
  <si>
    <t>PAPAYA GAMING INC</t>
  </si>
  <si>
    <t>**3.הון עצמי</t>
  </si>
  <si>
    <t>*30.הון עצמי</t>
  </si>
  <si>
    <t>300.הון מניות</t>
  </si>
  <si>
    <t>הון מניות</t>
  </si>
  <si>
    <t>Share capital - Ordinary Shares</t>
  </si>
  <si>
    <t>Homeward Ventures Limited</t>
  </si>
  <si>
    <t>Share premium</t>
  </si>
  <si>
    <t>NFX Capital Fund I, LP</t>
  </si>
  <si>
    <t>A.A.D Argaman Ltd.</t>
  </si>
  <si>
    <t>Cloud Nine Ltd.</t>
  </si>
  <si>
    <t>Ohad Ravid</t>
  </si>
  <si>
    <t>Oren Weisenstern</t>
  </si>
  <si>
    <t>Shaul Eyal</t>
  </si>
  <si>
    <t>Dror Ben Ari</t>
  </si>
  <si>
    <t>Eran Price</t>
  </si>
  <si>
    <t>PGF Synergy Limited Partnership</t>
  </si>
  <si>
    <t>ISV Capital</t>
  </si>
  <si>
    <t>NOA.TW LLC</t>
  </si>
  <si>
    <t>DKFS, LLC</t>
  </si>
  <si>
    <t>Rainfall Ventures I, LP</t>
  </si>
  <si>
    <t>Bonale Foundation</t>
  </si>
  <si>
    <t>Michael Vainshtein</t>
  </si>
  <si>
    <t>Daniel Sirota</t>
  </si>
  <si>
    <t>Amos Peled</t>
  </si>
  <si>
    <t>BOAZ BEN HAROSH</t>
  </si>
  <si>
    <t>OREN BAR-NIR GAYER</t>
  </si>
  <si>
    <t>ORIEL BACHAR</t>
  </si>
  <si>
    <t>Alex Liakhovetsky</t>
  </si>
  <si>
    <t>Andrey Birman</t>
  </si>
  <si>
    <t>קניית מניות</t>
  </si>
  <si>
    <t>השקעה באינק</t>
  </si>
  <si>
    <t>Investment</t>
  </si>
  <si>
    <t>מימוש אופציות/מניות</t>
  </si>
  <si>
    <t>הון מניות בכורה 1</t>
  </si>
  <si>
    <t>Share capital - Preferred Seed-1</t>
  </si>
  <si>
    <t>קרן הון תשלום מבוסס מניות</t>
  </si>
  <si>
    <t>הון מניות בכורה</t>
  </si>
  <si>
    <t>Share capital - Preferred Seed</t>
  </si>
  <si>
    <t>עודפים</t>
  </si>
  <si>
    <t>Accumulated deficit</t>
  </si>
  <si>
    <t>304.פרמיה</t>
  </si>
  <si>
    <t>פרמיה</t>
  </si>
  <si>
    <t>חייבים על חשבון מניות</t>
  </si>
  <si>
    <t>Receivables for shares issued</t>
  </si>
  <si>
    <t>**4.הכנסות</t>
  </si>
  <si>
    <t>*40.הכנסות</t>
  </si>
  <si>
    <t>400.הכנסות ממכירות בארץ</t>
  </si>
  <si>
    <t>הכנסות מפרסום חייבות במעמ</t>
  </si>
  <si>
    <t>PL</t>
  </si>
  <si>
    <t>Revenues</t>
  </si>
  <si>
    <t xml:space="preserve">ads revenue </t>
  </si>
  <si>
    <t>הכנסות פטורות ממע'מ</t>
  </si>
  <si>
    <t>401.הכנסות מיצוא</t>
  </si>
  <si>
    <t>הכנסות פטורות מעמ - פרסום</t>
  </si>
  <si>
    <t>הכנסות לקבל -תוצאתי</t>
  </si>
  <si>
    <t>**5.הוצאות מו"פ</t>
  </si>
  <si>
    <t>*50.הוצאות מו"פ</t>
  </si>
  <si>
    <t>500.עלות מכירות</t>
  </si>
  <si>
    <t>COGS Salary : Support</t>
  </si>
  <si>
    <t>Cost of revenues</t>
  </si>
  <si>
    <t xml:space="preserve">Salary </t>
  </si>
  <si>
    <t>COGS Education fund : Support</t>
  </si>
  <si>
    <t>COGS Social security : Support</t>
  </si>
  <si>
    <t>COGS Gemel : Support</t>
  </si>
  <si>
    <t>COGS Salary : VIP</t>
  </si>
  <si>
    <t>Marketing expenses</t>
  </si>
  <si>
    <t>COGS Education fund : VIP</t>
  </si>
  <si>
    <t>COGS Social security : VIP</t>
  </si>
  <si>
    <t>COGS Gemel : VIP</t>
  </si>
  <si>
    <t>COGS Vacation Exp</t>
  </si>
  <si>
    <t>COGS recovery</t>
  </si>
  <si>
    <t>עלות המכירות - החזר הוצ פרס מעל גובה ההשקע</t>
  </si>
  <si>
    <t>withdrawals</t>
  </si>
  <si>
    <t>501.שכר עבודה</t>
  </si>
  <si>
    <t>R&amp;D Salary: Analytics</t>
  </si>
  <si>
    <t>Research and development expenses, net</t>
  </si>
  <si>
    <t>R&amp;D Education fund: Analytics</t>
  </si>
  <si>
    <t>R&amp;D Gemel: Analytics</t>
  </si>
  <si>
    <t>R&amp;D Social Security: Analytics</t>
  </si>
  <si>
    <t>החזרים בגין מילואים מחקר ופיתוח</t>
  </si>
  <si>
    <t>הוצאות שכר מימוש מניות</t>
  </si>
  <si>
    <t>R&amp;D Salary: ART</t>
  </si>
  <si>
    <t>R&amp;D Education fund: ART</t>
  </si>
  <si>
    <t>R&amp;D Gemel: ART</t>
  </si>
  <si>
    <t>R&amp;D Social Securily: ART</t>
  </si>
  <si>
    <t>R&amp;D Salary: Development</t>
  </si>
  <si>
    <t>R&amp;D Education fund: Development</t>
  </si>
  <si>
    <t>R&amp;D Gemel: Development</t>
  </si>
  <si>
    <t>R&amp;D Social security: Development</t>
  </si>
  <si>
    <t>R&amp;D Salary: Monetization</t>
  </si>
  <si>
    <t>R&amp;D Education fund: Monetization</t>
  </si>
  <si>
    <t>R&amp;D Gemel: Monetization</t>
  </si>
  <si>
    <t>R&amp;D Social security: Monetization</t>
  </si>
  <si>
    <t>R&amp;D Salary: Product</t>
  </si>
  <si>
    <t>R&amp;D Education fund: Product</t>
  </si>
  <si>
    <t>R&amp;D Gemel: Product</t>
  </si>
  <si>
    <t>R&amp;D Social security: Product</t>
  </si>
  <si>
    <t>הכנסות זקופות חובה - שכר</t>
  </si>
  <si>
    <t>הכנסות זקופות זכות - שכר</t>
  </si>
  <si>
    <t>שווי ארוחות חובה- שכר</t>
  </si>
  <si>
    <t>שווי ארוחות זכות - שכר</t>
  </si>
  <si>
    <t>שווי מתנות חובה - שכר</t>
  </si>
  <si>
    <t>שווי מתנות זכות- שכר</t>
  </si>
  <si>
    <t>שווי גמל/פיצויים זכות- שכר</t>
  </si>
  <si>
    <t>שווי גמל/פיצויים חובה- שכר</t>
  </si>
  <si>
    <t>503.שונות מו"פ</t>
  </si>
  <si>
    <t>עיצוב/ גרפיקה</t>
  </si>
  <si>
    <t>General and administrative expenses</t>
  </si>
  <si>
    <t>Design Exp</t>
  </si>
  <si>
    <t>פיתוח מוצר</t>
  </si>
  <si>
    <t xml:space="preserve">Softwere subscription </t>
  </si>
  <si>
    <t>Upwork</t>
  </si>
  <si>
    <t>שונות מו"פ</t>
  </si>
  <si>
    <t>Adobe</t>
  </si>
  <si>
    <t>Digital River</t>
  </si>
  <si>
    <t xml:space="preserve">לבדוק שאפספלייר מויין </t>
  </si>
  <si>
    <t>ייעוץ מופ</t>
  </si>
  <si>
    <t xml:space="preserve">לבדוק ספקםי </t>
  </si>
  <si>
    <t>תשתיות מופ</t>
  </si>
  <si>
    <t>**6.הוצאות שיווק ומכירה</t>
  </si>
  <si>
    <t>*60.הוצאות שיווק ומכירה</t>
  </si>
  <si>
    <t>600.שכר עבודה שיווק ומכירה</t>
  </si>
  <si>
    <t>S&amp;M Social security: Marketing</t>
  </si>
  <si>
    <t>S&amp;M Salary: Marketing</t>
  </si>
  <si>
    <t>S&amp;M Education fund: Marketing</t>
  </si>
  <si>
    <t>S&amp;M Gemel: Marketing</t>
  </si>
  <si>
    <t>הוצאות חופשה שיווק</t>
  </si>
  <si>
    <t>הוצאות הפרשה להבראה שיווק</t>
  </si>
  <si>
    <t>שירות לקוחות</t>
  </si>
  <si>
    <t xml:space="preserve">professional fees </t>
  </si>
  <si>
    <t>אסתר הסקיESTHER HASKY DE BROWN</t>
  </si>
  <si>
    <t>601.פרסום ושיווק</t>
  </si>
  <si>
    <t>הוצאות פרסום ושיווק</t>
  </si>
  <si>
    <t>User Acquisition</t>
  </si>
  <si>
    <t>**7.הוצאות הנהלה וכלליות</t>
  </si>
  <si>
    <t>*70.הוצאות הנהלה וכלליות</t>
  </si>
  <si>
    <t>700.שכר עבודה הנהלה וכלליות</t>
  </si>
  <si>
    <t>G&amp;A Salary: Finance</t>
  </si>
  <si>
    <t>G&amp;A Education fund: Finance</t>
  </si>
  <si>
    <t>G&amp;A Social security: Finance</t>
  </si>
  <si>
    <t>G&amp;A Gemel: Finance</t>
  </si>
  <si>
    <t>הוצאות הפרשה להבראה הנהלה</t>
  </si>
  <si>
    <t>הוצאות חופשה להנהלה</t>
  </si>
  <si>
    <t>G&amp;A Salary: HR</t>
  </si>
  <si>
    <t>G&amp;A Education fund: HR</t>
  </si>
  <si>
    <t>G&amp;A Social security: HR</t>
  </si>
  <si>
    <t>G&amp;A Gemel: HR</t>
  </si>
  <si>
    <t>701.צרכי משרד</t>
  </si>
  <si>
    <t>צרכי משרד</t>
  </si>
  <si>
    <t>Rent and related</t>
  </si>
  <si>
    <t>אגרות ודמי חבר</t>
  </si>
  <si>
    <t>Other expenses</t>
  </si>
  <si>
    <t>702.ביטוחים</t>
  </si>
  <si>
    <t>הוצאות ביטוח</t>
  </si>
  <si>
    <t>insurance</t>
  </si>
  <si>
    <t>703.אחזקת עסק</t>
  </si>
  <si>
    <t>ארנונה</t>
  </si>
  <si>
    <t>אחזקת עסק</t>
  </si>
  <si>
    <t>שכירות</t>
  </si>
  <si>
    <t>דמי ניהול מאגרי בניה</t>
  </si>
  <si>
    <t>704.הוצאות פחת</t>
  </si>
  <si>
    <t>הוצאות פחת מחשבים</t>
  </si>
  <si>
    <t>depreciation Exp</t>
  </si>
  <si>
    <t>הוצאות פחת רכבים</t>
  </si>
  <si>
    <t>הוצאות פחת שיפורים במושכר</t>
  </si>
  <si>
    <t>הוצאות פחת רהיטים</t>
  </si>
  <si>
    <t>הוצאות פחת ציוד אלקטרוני</t>
  </si>
  <si>
    <t>706.נסיעות ,חניה ואחזקת רכב</t>
  </si>
  <si>
    <t>דלק</t>
  </si>
  <si>
    <t>נסיעות</t>
  </si>
  <si>
    <t>Travel Parking and transportation</t>
  </si>
  <si>
    <t>חניה</t>
  </si>
  <si>
    <t>707.מתנות,כיבודים וקנסות</t>
  </si>
  <si>
    <t>Refreshment</t>
  </si>
  <si>
    <t xml:space="preserve">Gift </t>
  </si>
  <si>
    <t xml:space="preserve">Meals </t>
  </si>
  <si>
    <t>קנסות ממוסדות</t>
  </si>
  <si>
    <t>Welfare</t>
  </si>
  <si>
    <t>רווחת עובדים</t>
  </si>
  <si>
    <t>708.כנסים והשתלמויות</t>
  </si>
  <si>
    <t>קורסים והכשרות</t>
  </si>
  <si>
    <t>Conferences and seminars</t>
  </si>
  <si>
    <t>70A.שרותים מקצועיים</t>
  </si>
  <si>
    <t>הנהלת חשבונות</t>
  </si>
  <si>
    <t>משפטיות</t>
  </si>
  <si>
    <t xml:space="preserve">Legal </t>
  </si>
  <si>
    <t>ייעוץ מקצועי</t>
  </si>
  <si>
    <t>שירותי השמה/גיוס</t>
  </si>
  <si>
    <t>recruitment</t>
  </si>
  <si>
    <t>הוצאות שרותים פיננסים</t>
  </si>
  <si>
    <t>PWC</t>
  </si>
  <si>
    <t>70B.אחזקת מחשב ותוכנות</t>
  </si>
  <si>
    <t>הוצאות תקשורת</t>
  </si>
  <si>
    <t>communication</t>
  </si>
  <si>
    <t>רשיון לNet Suite</t>
  </si>
  <si>
    <t>אחזקת מחשבים</t>
  </si>
  <si>
    <t>הטמעת מערכת NetSuite</t>
  </si>
  <si>
    <t>**8.הוצאות מימון</t>
  </si>
  <si>
    <t>*80.הוצאות מימון</t>
  </si>
  <si>
    <t>800.עמלות בנק</t>
  </si>
  <si>
    <t>עמלות בנק</t>
  </si>
  <si>
    <t>Financial expenses, net</t>
  </si>
  <si>
    <t xml:space="preserve">Bank fee </t>
  </si>
  <si>
    <t>ריבית הלוואה ראשונה SVB 800K</t>
  </si>
  <si>
    <t>Loan interest</t>
  </si>
  <si>
    <t>ריבית הלוואה שניה SVB 800K</t>
  </si>
  <si>
    <t>ריבית הלוואה שלישית  SVB 3M</t>
  </si>
  <si>
    <t>802.הפרשי שער</t>
  </si>
  <si>
    <t>הפרשי שער</t>
  </si>
  <si>
    <t xml:space="preserve">Exchange rate </t>
  </si>
  <si>
    <t>803.ביטולי יתרות</t>
  </si>
  <si>
    <t>ביטולי יתרות</t>
  </si>
  <si>
    <t>Software subscription COGS</t>
  </si>
  <si>
    <t>Software subscription R&amp;D</t>
  </si>
  <si>
    <t>Software subscription S&amp;M</t>
  </si>
  <si>
    <t>Software subscription G&amp;A</t>
  </si>
  <si>
    <t>Fee</t>
  </si>
  <si>
    <t>Convertible Loan</t>
  </si>
  <si>
    <t>אילן גבאי/ דרור בן ארי - משקיע</t>
  </si>
  <si>
    <t>NFX משקיע</t>
  </si>
  <si>
    <t>ויזה 3711 דולרי</t>
  </si>
  <si>
    <t>Contract liability</t>
  </si>
  <si>
    <t xml:space="preserve">Hosting and Servers </t>
  </si>
  <si>
    <t xml:space="preserve">Net Cash </t>
  </si>
  <si>
    <t>הוצאות אופציות COGS</t>
  </si>
  <si>
    <t xml:space="preserve">option expenses </t>
  </si>
  <si>
    <t>הוצאות אופציות מחקר ופיתוח</t>
  </si>
  <si>
    <t>הוצאות אופציות שיווק</t>
  </si>
  <si>
    <t>ייעוץ מקצועי- הנהלה וכלליות</t>
  </si>
  <si>
    <t>הוצאות אופציות הנהלה וכלליות</t>
  </si>
  <si>
    <t>103-0</t>
  </si>
  <si>
    <t>פקדון כנגד שעבוד זמן ארוך</t>
  </si>
  <si>
    <t>deposit</t>
  </si>
  <si>
    <t>גרין רהוט גן</t>
  </si>
  <si>
    <t>א.צ. ניהול ואחזקה בע"מ</t>
  </si>
  <si>
    <t>דלל רם שרותי נקיון ושמ</t>
  </si>
  <si>
    <t>ניו לינאו סינמה (2006)</t>
  </si>
  <si>
    <t>חצקלביץ הנדסה בע"מ</t>
  </si>
  <si>
    <t>גל- אור פישביין אדריכלים בע"מ</t>
  </si>
  <si>
    <t>רנטליין אירועים באומנו</t>
  </si>
  <si>
    <t>טבולה.קום בע"מ</t>
  </si>
  <si>
    <t>Robert Pavrey &amp; Associates</t>
  </si>
  <si>
    <t>Adobe.com NIS</t>
  </si>
  <si>
    <t>TubeScience USA, Inc</t>
  </si>
  <si>
    <t>חלויות שוטפות - הלוואה 2 SVB 800K</t>
  </si>
  <si>
    <t>Loan-Short Term</t>
  </si>
  <si>
    <t>Marketing Tools and subscriptions</t>
  </si>
  <si>
    <t>Public relations (PR)</t>
  </si>
  <si>
    <t>PR</t>
  </si>
  <si>
    <t>הוצאות דואר ושליחות</t>
  </si>
  <si>
    <t>Tax expenses</t>
  </si>
  <si>
    <t>אלוקציה COGS</t>
  </si>
  <si>
    <t>Allocation exp</t>
  </si>
  <si>
    <t>אלוקציה מו״פ</t>
  </si>
  <si>
    <t>אלוקציה שיווק</t>
  </si>
  <si>
    <t>אלוקציה של הנהלה וכלליות</t>
  </si>
  <si>
    <t>גיוס והשמה מו״פ</t>
  </si>
  <si>
    <t>גיוס והשמה ss&amp;M</t>
  </si>
  <si>
    <t>ריבית בגין הלוואה לבעלי מניות</t>
  </si>
  <si>
    <t>Papaya Gaming Inc</t>
  </si>
  <si>
    <t>IC Revenues -SVB</t>
  </si>
  <si>
    <t>IC Revenues -Paypal</t>
  </si>
  <si>
    <t>IC Revenues -T1</t>
  </si>
  <si>
    <t>IC expenses COGS</t>
  </si>
  <si>
    <t xml:space="preserve">IC expenses </t>
  </si>
  <si>
    <t>IC Expenses-Marketing</t>
  </si>
  <si>
    <t>IC Expenses-G&amp;A</t>
  </si>
  <si>
    <t>Papaya Gaming INC</t>
  </si>
  <si>
    <t>IC Revenues-Worldpay</t>
  </si>
  <si>
    <t>גיוס והשמה COGS</t>
  </si>
  <si>
    <t>פאפאייה גיימינג בע"מ</t>
  </si>
  <si>
    <t>הכנסות מחשבונית עצמית</t>
  </si>
  <si>
    <t>קיזוז הכנסות מחשבונית עצמית</t>
  </si>
  <si>
    <t>הוצאות חשבונית עצמית</t>
  </si>
  <si>
    <t>הראל בטוח-י</t>
  </si>
  <si>
    <t>פון פלוס בע"מ</t>
  </si>
  <si>
    <t>דר ליאור</t>
  </si>
  <si>
    <t>הרצוג,פוקס,נאמן ושות'</t>
  </si>
  <si>
    <t>שחם יואב</t>
  </si>
  <si>
    <t>לירם ר.ל. תוכנות פיננסיות בע״מ</t>
  </si>
  <si>
    <t>Goodbay Technologies, Inc</t>
  </si>
  <si>
    <t>Digital Turbine Media, Inc.</t>
  </si>
  <si>
    <t>כ.א בנק דואר 0190</t>
  </si>
  <si>
    <t>Gil Fishbein</t>
  </si>
  <si>
    <t>הוצאות חופשה COGS</t>
  </si>
  <si>
    <t>הוצאות הבראה COGS</t>
  </si>
  <si>
    <t>COGS-Outsource support team</t>
  </si>
  <si>
    <t>ארוחות עסקיות</t>
  </si>
  <si>
    <t>ביקורת רוח</t>
  </si>
  <si>
    <t>איקון פרסום ושווק בע"מ</t>
  </si>
  <si>
    <t>אופיס אקספרס</t>
  </si>
  <si>
    <t>VidMob, Inc.</t>
  </si>
  <si>
    <t>הלוואה SVB 800 K</t>
  </si>
  <si>
    <t>חלויות שוטפות- הלוואה 1  SVB 800K</t>
  </si>
  <si>
    <t>Bonus exp R&amp;D</t>
  </si>
  <si>
    <t>Bonus exp G&amp;A</t>
  </si>
  <si>
    <t>Vungle Inc.</t>
  </si>
  <si>
    <t>ביגוד</t>
  </si>
  <si>
    <t>מתנות לספקים</t>
  </si>
  <si>
    <t>שירותי IT</t>
  </si>
  <si>
    <t>איירונסורס מובייל בע"מ</t>
  </si>
  <si>
    <t>וואלט אנטרפריזס ישראל</t>
  </si>
  <si>
    <t>ווייד אופס בע"מ</t>
  </si>
  <si>
    <t>סומך חייקין</t>
  </si>
  <si>
    <t>אלקטרו קובי בע"מ</t>
  </si>
  <si>
    <t>אל.פי.סי פתרונות מחשוב</t>
  </si>
  <si>
    <t>איי די די תוכן בע"מ</t>
  </si>
  <si>
    <t>צ'ומפי סיסינטוורקינגס</t>
  </si>
  <si>
    <t>שלמה פסגה בע"מ</t>
  </si>
  <si>
    <t>ודיע מאנה בע"מ</t>
  </si>
  <si>
    <t>Linkedin-NIS</t>
  </si>
  <si>
    <t>חיחינאשוילי מתן</t>
  </si>
  <si>
    <t>טייטלבאום פנינה</t>
  </si>
  <si>
    <t>בשניים (ע"ר)</t>
  </si>
  <si>
    <t>לייזר טאג TLV</t>
  </si>
  <si>
    <t>Asos.com London GB</t>
  </si>
  <si>
    <t>מסעדת קלארו</t>
  </si>
  <si>
    <t>לוינסקי מרקט</t>
  </si>
  <si>
    <t>לילי מטבח שף</t>
  </si>
  <si>
    <t>Google Cloud EMEA Limi Dublin IE</t>
  </si>
  <si>
    <t>Slack</t>
  </si>
  <si>
    <t>Facebook</t>
  </si>
  <si>
    <t>Unity Technologies SF</t>
  </si>
  <si>
    <t>Google $ LLC</t>
  </si>
  <si>
    <t>Monday.com LTD</t>
  </si>
  <si>
    <t>Applovin Corporation</t>
  </si>
  <si>
    <t>Linkedin-$</t>
  </si>
  <si>
    <t>Apple INC</t>
  </si>
  <si>
    <t>Wix.Com, Inc</t>
  </si>
  <si>
    <t>Skype.com</t>
  </si>
  <si>
    <t>Zoom</t>
  </si>
  <si>
    <t>PCH-publishers clearing hous</t>
  </si>
  <si>
    <t>Adcolony Inc</t>
  </si>
  <si>
    <t>Expensify</t>
  </si>
  <si>
    <t>The Penny Pincher Media LLC</t>
  </si>
  <si>
    <t>Grammarly.com</t>
  </si>
  <si>
    <t>Apple Canada</t>
  </si>
  <si>
    <t>Apple PTY LTD</t>
  </si>
  <si>
    <t>Liftoff Mobile, Inc</t>
  </si>
  <si>
    <t>Paddle.com Market Limite</t>
  </si>
  <si>
    <t>Memery Crystal Office Account GBP</t>
  </si>
  <si>
    <t>Prodege, LLC</t>
  </si>
  <si>
    <t>Chatfuel</t>
  </si>
  <si>
    <t>Apple Distribution International Ltd</t>
  </si>
  <si>
    <t>YouAppi INC</t>
  </si>
  <si>
    <t>Testgorilla Amsterdam NL</t>
  </si>
  <si>
    <t>Sentry HTTPSSENTRY.I US</t>
  </si>
  <si>
    <t>Geckoboard London GB</t>
  </si>
  <si>
    <t>Lusha US</t>
  </si>
  <si>
    <t>J2 Efax Services</t>
  </si>
  <si>
    <t>Linktree</t>
  </si>
  <si>
    <t>Bloomberg.com</t>
  </si>
  <si>
    <t>FiverrEU</t>
  </si>
  <si>
    <t>TokenEx</t>
  </si>
  <si>
    <t>Brand protection expenses</t>
  </si>
  <si>
    <t>נסיעה ללונדון גיל פישביין 24/10-27/10/21</t>
  </si>
  <si>
    <t>מתנות לשחקנים</t>
  </si>
  <si>
    <t xml:space="preserve">Gift to Users </t>
  </si>
  <si>
    <t>אבטחת סייבר</t>
  </si>
  <si>
    <t>Copywriting expenses</t>
  </si>
  <si>
    <t>טוטאל פינאנס בע"מ</t>
  </si>
  <si>
    <t>ויאו-תוכן קריאטיב וידאו בע"מ</t>
  </si>
  <si>
    <t>פיקסר מעבדות בע"מ</t>
  </si>
  <si>
    <t>GoDaddy com</t>
  </si>
  <si>
    <t>WME Entertainment,LLC</t>
  </si>
  <si>
    <t>American Residuals &amp; Talent-SAG</t>
  </si>
  <si>
    <t>Slon Media</t>
  </si>
  <si>
    <t>שטראוס מים בע"מ-תמי 4</t>
  </si>
  <si>
    <t>אפספלייר בע"מ</t>
  </si>
  <si>
    <t>אדד ווליו משאבי אנוש בע"מ</t>
  </si>
  <si>
    <t>רוני שי</t>
  </si>
  <si>
    <t>פרסום תבור בע"מ</t>
  </si>
  <si>
    <t>אנבוטיפיי בע"מ</t>
  </si>
  <si>
    <t>Shutterstock</t>
  </si>
  <si>
    <t>Amazon</t>
  </si>
  <si>
    <t>Box UK</t>
  </si>
  <si>
    <t>ZWILLGEN PLLC עו"ד חוות דעת משפטית</t>
  </si>
  <si>
    <t>Splitmetrics</t>
  </si>
  <si>
    <t>Aristotle International INC</t>
  </si>
  <si>
    <t>Keystone Law Limited</t>
  </si>
  <si>
    <t>Adobe.com USD</t>
  </si>
  <si>
    <t>Fluent</t>
  </si>
  <si>
    <t>Gurock</t>
  </si>
  <si>
    <t>BuySellAds</t>
  </si>
  <si>
    <t>Bango.net Ltd</t>
  </si>
  <si>
    <t>Holestein Brusa</t>
  </si>
  <si>
    <t>Gaming Audiences</t>
  </si>
  <si>
    <t>Bluesnap inc</t>
  </si>
  <si>
    <t>MSFT-microsoft</t>
  </si>
  <si>
    <t>GitHub, Inc.</t>
  </si>
  <si>
    <t>Atlassian Pty Ltd</t>
  </si>
  <si>
    <t>Team Viewer</t>
  </si>
  <si>
    <t>Reviewer UX</t>
  </si>
  <si>
    <t>Motive Interactive</t>
  </si>
  <si>
    <t>Joy Wallet</t>
  </si>
  <si>
    <t>Comeet</t>
  </si>
  <si>
    <t>Sada Services LTD</t>
  </si>
  <si>
    <t>Memery crystal EURO</t>
  </si>
  <si>
    <t>Percona, LLC</t>
  </si>
  <si>
    <t>ביגה ביד מדיה בע"מ</t>
  </si>
  <si>
    <t>BLS*Ongage</t>
  </si>
  <si>
    <t>Tableau International</t>
  </si>
  <si>
    <t>Indeed</t>
  </si>
  <si>
    <t>Esther Hasky de Brown</t>
  </si>
  <si>
    <t>Dla Piper LLP</t>
  </si>
  <si>
    <t>HERZOG FOX % NEEMAN !!!לא פעיל</t>
  </si>
  <si>
    <t>סימפל בי יו סי.אר.אם א</t>
  </si>
  <si>
    <t>אס - קיוב ייעוץ כלכלי</t>
  </si>
  <si>
    <t>האודן סוכנות לביטוח</t>
  </si>
  <si>
    <t>Mellius LTD</t>
  </si>
  <si>
    <t>UX REVIEWER לא פעיל!!</t>
  </si>
  <si>
    <t>Indiscreet Target,LDA</t>
  </si>
  <si>
    <t>Sensor Tower INC</t>
  </si>
  <si>
    <t>סימילר ביד טכנולוגיות</t>
  </si>
  <si>
    <t>ספוט - נט</t>
  </si>
  <si>
    <t>קפה רות בע"מ</t>
  </si>
  <si>
    <t>פריק - מסביב למחשב בע"</t>
  </si>
  <si>
    <t>לירום אנד ליעד בע"מ</t>
  </si>
  <si>
    <t>Wolt $</t>
  </si>
  <si>
    <t>Docusign</t>
  </si>
  <si>
    <t>Shardul Amarchand Mangaldas And CO</t>
  </si>
  <si>
    <t>פרץ טל</t>
  </si>
  <si>
    <t>HARRODS LTD ILS</t>
  </si>
  <si>
    <t>Bykanov Dmytro Andriiovych</t>
  </si>
  <si>
    <t>Oracle Corporation UK Limited</t>
  </si>
  <si>
    <t>Uber Payments BV</t>
  </si>
  <si>
    <t>Nidhi Arora</t>
  </si>
  <si>
    <t>Whatagraph Amsterdam</t>
  </si>
  <si>
    <t>Avoxi</t>
  </si>
  <si>
    <t>Launch Potato or  Media Solutions LLC(Buzzery)</t>
  </si>
  <si>
    <t>Gide Loyrette Nouel A.A.R.P.I.</t>
  </si>
  <si>
    <t>סטודיו לוקה</t>
  </si>
  <si>
    <t>מקדמות בשל הוצאות עודפות 2021</t>
  </si>
  <si>
    <t>חוז יעל מרכוס - משכורות</t>
  </si>
  <si>
    <t>רמי לוי</t>
  </si>
  <si>
    <t>מיטב ציוד משרדי</t>
  </si>
  <si>
    <t>סלקום ישראל בע"מ</t>
  </si>
  <si>
    <t>היי פלור בע"מ</t>
  </si>
  <si>
    <t>תלמה שלמה טראוול סולושיינס</t>
  </si>
  <si>
    <t>עדן טסה</t>
  </si>
  <si>
    <t>קרן רומי</t>
  </si>
  <si>
    <t>בסל קינן</t>
  </si>
  <si>
    <t>אשרי יושבי ביתך שיווק</t>
  </si>
  <si>
    <t>זווית מכשירי כתיבה</t>
  </si>
  <si>
    <t>סמט בדק בית בע"מ</t>
  </si>
  <si>
    <t>Amir Golan International insurance Agency</t>
  </si>
  <si>
    <t>SendGrid</t>
  </si>
  <si>
    <t>OfferToro Ltd</t>
  </si>
  <si>
    <t>Kevuru LLC</t>
  </si>
  <si>
    <t>Unity*Paypal</t>
  </si>
  <si>
    <t>Franco, Yoshiyasu e Maia Sociedade de Advogados</t>
  </si>
  <si>
    <t>Anderson Mori &amp; Tomotsune</t>
  </si>
  <si>
    <t>Strattic Inc</t>
  </si>
  <si>
    <t>SGNIDLOH DEWS</t>
  </si>
  <si>
    <t>Aescripts.com</t>
  </si>
  <si>
    <t>Taylor Wessing LLP</t>
  </si>
  <si>
    <t>כ.א בנק דואר 5740 (לילך)</t>
  </si>
  <si>
    <t>הוצאות חופשה VIP</t>
  </si>
  <si>
    <t>הוצאות הבראה VIP</t>
  </si>
  <si>
    <t>הוצאות הבראה Devops</t>
  </si>
  <si>
    <t>הוצאות חופשה Devops</t>
  </si>
  <si>
    <t>הוצאות חופשה Art</t>
  </si>
  <si>
    <t>הוצאות חופשה Product</t>
  </si>
  <si>
    <t>הוצאות חופשה Analytics</t>
  </si>
  <si>
    <t>הוצאות חופשה Monetization</t>
  </si>
  <si>
    <t>הוצאות הפרשה להבראה Product</t>
  </si>
  <si>
    <t>הוצאות הפרשה להבראה Art</t>
  </si>
  <si>
    <t>הוצאות הפרשה להבראה Analytics</t>
  </si>
  <si>
    <t>הוצאות הפרשה להבראה Monetization</t>
  </si>
  <si>
    <t>נסיעה לאבו-דבי יוני צביק 09/12-13/12/21</t>
  </si>
  <si>
    <t>נסיעה לברלין אנדרי בירמן 29/12-02/01/22</t>
  </si>
  <si>
    <t>הוצאות חופשה HR</t>
  </si>
  <si>
    <t>הוצאות הבראה HR</t>
  </si>
  <si>
    <t>נסיעה לאבו-דבי אוריאל בכר 09/12-14/12/21</t>
  </si>
  <si>
    <t>מתנות ללקוחות</t>
  </si>
  <si>
    <t>אפלאוז איכות אפליקציות</t>
  </si>
  <si>
    <t>מוניות אפי שלום</t>
  </si>
  <si>
    <t>ה.ס.פ. - הסעות ושליחויות</t>
  </si>
  <si>
    <t>בלון מור</t>
  </si>
  <si>
    <t>אימרקטמד בע"מ</t>
  </si>
  <si>
    <t>CSM Sport and Entertainment LLP</t>
  </si>
  <si>
    <t>AK INFORMATICA DI AK BOSS SRL E C. S.A.S.</t>
  </si>
  <si>
    <t>בניית אתר, עמוד נחיתה</t>
  </si>
  <si>
    <t>פרי-פיט בע"מ</t>
  </si>
  <si>
    <t>פיין פקטורי פנדה בע"מ</t>
  </si>
  <si>
    <t>Morgan Lewis Stamford LL</t>
  </si>
  <si>
    <t xml:space="preserve">ציוד היקפי למחשבים </t>
  </si>
  <si>
    <t>חו״ז אוריאל בכר</t>
  </si>
  <si>
    <t>ליניאד מדיה בע"מ</t>
  </si>
  <si>
    <t>Bonus exp Support</t>
  </si>
  <si>
    <t>Bonus exp Analytics</t>
  </si>
  <si>
    <t>Bonus exp Art</t>
  </si>
  <si>
    <t>Bonus exp Development</t>
  </si>
  <si>
    <t>Bonus exp Product</t>
  </si>
  <si>
    <t>Bonus exp Monetization</t>
  </si>
  <si>
    <t>Bonus exp VIP</t>
  </si>
  <si>
    <t>Bonus exp Marketing</t>
  </si>
  <si>
    <t>Bonus exp Finance</t>
  </si>
  <si>
    <t>Bonus exp HR</t>
  </si>
  <si>
    <t>דמי ניהול אופציות</t>
  </si>
  <si>
    <t>Subcontractors Support</t>
  </si>
  <si>
    <t>Subcontractors R/D</t>
  </si>
  <si>
    <t>Subcontractors G/A</t>
  </si>
  <si>
    <t>Hosting R&amp;D</t>
  </si>
  <si>
    <t>Bonus-subcontractors support</t>
  </si>
  <si>
    <t>WHT audit provision-COGS</t>
  </si>
  <si>
    <t>WHT audit provision-R&amp;D</t>
  </si>
  <si>
    <t>Cyber insurance</t>
  </si>
  <si>
    <t>WHT audit provision S&amp;M</t>
  </si>
  <si>
    <t>הפרשה לביקורת ניכויים</t>
  </si>
  <si>
    <t>bs</t>
  </si>
  <si>
    <t>WHT audit provision-G&amp;A</t>
  </si>
  <si>
    <t>IC revenue - Israel customer</t>
  </si>
  <si>
    <t>רווחי אקוויטי -תוצאתי</t>
  </si>
  <si>
    <t>Equity</t>
  </si>
  <si>
    <t>company events</t>
  </si>
  <si>
    <t>events</t>
  </si>
  <si>
    <t>*25000</t>
  </si>
  <si>
    <t>תאור החשבון</t>
  </si>
  <si>
    <t>יתרה בשקלים</t>
  </si>
  <si>
    <t>יתרה בדולרים</t>
  </si>
  <si>
    <t xml:space="preserve">סוג דוח </t>
  </si>
  <si>
    <t xml:space="preserve">מחלקה </t>
  </si>
  <si>
    <t xml:space="preserve">תת מחלקה </t>
  </si>
  <si>
    <t>103.פקדונות</t>
  </si>
  <si>
    <t>פקדון כנגד שעבוד זמן ארוך (לטובת מסגרת כ״א)</t>
  </si>
  <si>
    <t>Facebook (Meta Platforms)</t>
  </si>
  <si>
    <t>Net cash balance -LIABILITIES</t>
  </si>
  <si>
    <t>כ.א בנק דואר 0190 (מיקה)</t>
  </si>
  <si>
    <t>הלוואה שנייה  SVB 800K-$ (1100501685)</t>
  </si>
  <si>
    <t>הלוואה שלישית $16M-1100514309</t>
  </si>
  <si>
    <t>הלוואה SVB 800 K-$ (1100493372)</t>
  </si>
  <si>
    <t>הכנסות מפרסום פטורות ממע'מ ש״ח</t>
  </si>
  <si>
    <t>Income - net cash balance</t>
  </si>
  <si>
    <t>הכנסות פטורות מעמ - פרסום $</t>
  </si>
  <si>
    <t>IC Revenues -Paypal IL</t>
  </si>
  <si>
    <t>החזרים בגין מילואים COGS</t>
  </si>
  <si>
    <t>Contractors as employees Support</t>
  </si>
  <si>
    <t>שכירות שרתי מו״פ-COGS</t>
  </si>
  <si>
    <t>הוצאות חופשה Support</t>
  </si>
  <si>
    <t>הוצאות הבראה Support</t>
  </si>
  <si>
    <t>R&amp;D אלכס ואנדריי</t>
  </si>
  <si>
    <t>הוצאות חופשה Development</t>
  </si>
  <si>
    <t>הוצאות הפרשה להבראה Development</t>
  </si>
  <si>
    <t>502.נסיעות לחו"ל מו"פ</t>
  </si>
  <si>
    <t>ייעוץ מקצועי- מופ</t>
  </si>
  <si>
    <t>שירותי השמה/גיוס מו״פ</t>
  </si>
  <si>
    <t>ציוד היקפי למחשבים R&amp;D</t>
  </si>
  <si>
    <t>שונות מו"פ-לא פעיל</t>
  </si>
  <si>
    <t>גיוס והשמה מו״פ -לא פעיל</t>
  </si>
  <si>
    <t>Domain expences</t>
  </si>
  <si>
    <t>Contractors as employees R/D</t>
  </si>
  <si>
    <t>Hosting &amp; Servers R&amp;D</t>
  </si>
  <si>
    <t>הוצאות חופשה Marketing</t>
  </si>
  <si>
    <t>הוצאות הפרשה להבראה Marketing</t>
  </si>
  <si>
    <t>User acquisition expenses</t>
  </si>
  <si>
    <t>גיוס והשמה S&amp;M</t>
  </si>
  <si>
    <t>Professional fees Markeing</t>
  </si>
  <si>
    <t>603.שונות שיווק ומכירה</t>
  </si>
  <si>
    <t>פרסום ושיווק</t>
  </si>
  <si>
    <t>הוצאות הבראה Finance</t>
  </si>
  <si>
    <t>הוצאות חופשה Finance</t>
  </si>
  <si>
    <t>705.נסיעות לחו"ל הנהלה וכלליות</t>
  </si>
  <si>
    <t>נסיעה ללונדון אוריאל בכר 24/10-27/10/21</t>
  </si>
  <si>
    <t>אחזקת רכב</t>
  </si>
  <si>
    <t>709.שונות הנהלה וכלליות</t>
  </si>
  <si>
    <t>הוצאות משנים קודמות</t>
  </si>
  <si>
    <t>הוצאות ייעוץ פיננסי ומיסים</t>
  </si>
  <si>
    <t>הוצאות אחרות משנים קודמות</t>
  </si>
  <si>
    <t>Contractors as employees G/A</t>
  </si>
  <si>
    <t>אחזקת מחשבים G/A</t>
  </si>
  <si>
    <t>ריבית הלוואה ראשונה SVB 800K-$ (1100493372)</t>
  </si>
  <si>
    <t>ריבית הלוואה שניה SVB 800K-$ (1100501685)</t>
  </si>
  <si>
    <t>ריבית הלוואה שלישית  SVB 3M-NIS (1100514309)</t>
  </si>
  <si>
    <t>ביטולי יתרות.</t>
  </si>
  <si>
    <t>**9.הוצאות מס</t>
  </si>
  <si>
    <t>*90.הוצאות מס</t>
  </si>
  <si>
    <t>900.הוצאות מס</t>
  </si>
  <si>
    <t>הוצאות מס</t>
  </si>
  <si>
    <t>901.רווח אקוויטי</t>
  </si>
  <si>
    <t xml:space="preserve">איחוד </t>
  </si>
  <si>
    <t>LTD</t>
  </si>
  <si>
    <t>INC</t>
  </si>
  <si>
    <t>Consolidated</t>
  </si>
  <si>
    <t>$ round</t>
  </si>
  <si>
    <t>CURRENT ASSETS</t>
  </si>
  <si>
    <t>Reserve - Wordpay</t>
  </si>
  <si>
    <t>Related Party-AR</t>
  </si>
  <si>
    <t>Related Party-AP</t>
  </si>
  <si>
    <t>Temporary account</t>
  </si>
  <si>
    <t>Deposit</t>
  </si>
  <si>
    <t>NON-CURRENT ASSETS</t>
  </si>
  <si>
    <t xml:space="preserve">Total Assets </t>
  </si>
  <si>
    <t>CURRENT LIABILITIES</t>
  </si>
  <si>
    <t>Loan-Long Term</t>
  </si>
  <si>
    <t xml:space="preserve">Total liabilities  </t>
  </si>
  <si>
    <t>SHAREHOLDERS' EQUITY</t>
  </si>
  <si>
    <t xml:space="preserve">Cons </t>
  </si>
  <si>
    <t>Total  Revenues</t>
  </si>
  <si>
    <t xml:space="preserve">Gross loss (profit) </t>
  </si>
  <si>
    <t xml:space="preserve">Operating expenses </t>
  </si>
  <si>
    <t>Operating loss (pprofit)</t>
  </si>
  <si>
    <t>TP Expenses</t>
  </si>
  <si>
    <t>loss before taxes</t>
  </si>
  <si>
    <t>Net loss ( profit )</t>
  </si>
  <si>
    <t xml:space="preserve">USD -LTD </t>
  </si>
  <si>
    <t xml:space="preserve">ILS -LTD </t>
  </si>
  <si>
    <t>JE</t>
  </si>
  <si>
    <t xml:space="preserve">AJE </t>
  </si>
  <si>
    <t xml:space="preserve">Total libiliaties </t>
  </si>
  <si>
    <t>ILS -LTD</t>
  </si>
  <si>
    <t>Overheads</t>
  </si>
  <si>
    <t>Payroll</t>
  </si>
  <si>
    <t>Options</t>
  </si>
  <si>
    <t xml:space="preserve">Ua </t>
  </si>
  <si>
    <t>Financial expenses</t>
  </si>
  <si>
    <t>Taxes</t>
  </si>
  <si>
    <t>Balance Sheet</t>
  </si>
  <si>
    <t xml:space="preserve">JE </t>
  </si>
  <si>
    <t>Assets</t>
  </si>
  <si>
    <t>Current Assets</t>
  </si>
  <si>
    <t>Paypal US</t>
  </si>
  <si>
    <t>SVB - 80025</t>
  </si>
  <si>
    <t>Accounts Receivable (A/R)</t>
  </si>
  <si>
    <t>Other Accounts Receivable</t>
  </si>
  <si>
    <t xml:space="preserve"> Reserve - Wordpay</t>
  </si>
  <si>
    <t>Total Assets</t>
  </si>
  <si>
    <t>Liabilities and shareholder's equity</t>
  </si>
  <si>
    <t xml:space="preserve">   Current liabilities:</t>
  </si>
  <si>
    <t>Accounts payable</t>
  </si>
  <si>
    <t>Accounts Payable (A/P)</t>
  </si>
  <si>
    <t>Total Accounts payable</t>
  </si>
  <si>
    <t>SVB - MasterCard</t>
  </si>
  <si>
    <t>Accrued liabilities</t>
  </si>
  <si>
    <t>Due to/from Papaya LTD</t>
  </si>
  <si>
    <t>Income tax payable</t>
  </si>
  <si>
    <t xml:space="preserve">Other Accounts payable </t>
  </si>
  <si>
    <t>Total current liabilities</t>
  </si>
  <si>
    <t>Shareholders' equity:</t>
  </si>
  <si>
    <t>Net Income</t>
  </si>
  <si>
    <t>Retained Earnings</t>
  </si>
  <si>
    <t>Total shareholders' equity</t>
  </si>
  <si>
    <t>Total liabilities and equity</t>
  </si>
  <si>
    <t>Profit and Loss</t>
  </si>
  <si>
    <t>Total</t>
  </si>
  <si>
    <t>Income</t>
  </si>
  <si>
    <t>IC Revenues</t>
  </si>
  <si>
    <t>Revenue - Cyber Source</t>
  </si>
  <si>
    <t>Revenue - Paypal US</t>
  </si>
  <si>
    <t>Revenue - T1</t>
  </si>
  <si>
    <t>Revenue - Wordpay</t>
  </si>
  <si>
    <t>Total Income</t>
  </si>
  <si>
    <t>Cost of Sales</t>
  </si>
  <si>
    <t>Chargeback expenses- SVB</t>
  </si>
  <si>
    <t>Chargeback expenses- Worldpay</t>
  </si>
  <si>
    <t>Chargeback Payapal US</t>
  </si>
  <si>
    <t>Chargeback Paypal</t>
  </si>
  <si>
    <t>FEE</t>
  </si>
  <si>
    <t>Commission - Cyber Source</t>
  </si>
  <si>
    <t xml:space="preserve"> Fees - Wordpay</t>
  </si>
  <si>
    <t>Fees Payapal US</t>
  </si>
  <si>
    <t>Total Cost of Sales</t>
  </si>
  <si>
    <t>Gross Profit</t>
  </si>
  <si>
    <t>Expenses</t>
  </si>
  <si>
    <t>Advertising and Promotion</t>
  </si>
  <si>
    <t>Bank charges</t>
  </si>
  <si>
    <t xml:space="preserve"> Commissions and fees</t>
  </si>
  <si>
    <t>Dues and subscriptions</t>
  </si>
  <si>
    <t>Epricing Fee -Currency difference</t>
  </si>
  <si>
    <t>Exchange rate paypal</t>
  </si>
  <si>
    <t>IC Expenses</t>
  </si>
  <si>
    <t xml:space="preserve"> IC Expenses -Israel</t>
  </si>
  <si>
    <t>Income tax expense</t>
  </si>
  <si>
    <t>Insurance - General</t>
  </si>
  <si>
    <t xml:space="preserve"> irrecoverable vat</t>
  </si>
  <si>
    <t>James Kong consulting expenses</t>
  </si>
  <si>
    <t>Legal and professional fees</t>
  </si>
  <si>
    <t>Marketing Fee</t>
  </si>
  <si>
    <t>Office expenses</t>
  </si>
  <si>
    <t>Other general and administrative expenses</t>
  </si>
  <si>
    <t>Rent or lease payments</t>
  </si>
  <si>
    <t>Software Subscription</t>
  </si>
  <si>
    <t>State Taxes and Fees</t>
  </si>
  <si>
    <t>Utilities</t>
  </si>
  <si>
    <t>Total Expenses</t>
  </si>
  <si>
    <t>Other Expenses</t>
  </si>
  <si>
    <t>Unrealised Gain or Loss</t>
  </si>
  <si>
    <t>Total Other Expenses</t>
  </si>
  <si>
    <t>Net Earnings</t>
  </si>
  <si>
    <t xml:space="preserve">Inc Exp </t>
  </si>
  <si>
    <t>Should Be</t>
  </si>
  <si>
    <t xml:space="preserve">Books </t>
  </si>
  <si>
    <t>Inc Exp + 5.4%</t>
  </si>
  <si>
    <t xml:space="preserve">Cogs </t>
  </si>
  <si>
    <t>S&amp;M</t>
  </si>
  <si>
    <t>G&amp;n</t>
  </si>
  <si>
    <t xml:space="preserve">Total inc income </t>
  </si>
  <si>
    <t xml:space="preserve">Diff </t>
  </si>
  <si>
    <t xml:space="preserve">Total LTD income </t>
  </si>
  <si>
    <t>Opening Balance</t>
  </si>
  <si>
    <t>Expected Loss (Revenue)</t>
  </si>
  <si>
    <t>Carryforward losses</t>
  </si>
  <si>
    <t>Ending Balance</t>
  </si>
  <si>
    <t xml:space="preserve"> </t>
  </si>
  <si>
    <t>Requirements</t>
  </si>
  <si>
    <t>R&amp;D Expenses test (7%/75M NIS)</t>
  </si>
  <si>
    <t xml:space="preserve">missing </t>
  </si>
  <si>
    <t>R&amp;D Expenses</t>
  </si>
  <si>
    <t>R&amp;D Expenses\Revenues Ratio</t>
  </si>
  <si>
    <t>R&amp;D Expenses\Revenues Ratio - 3Y AVG</t>
  </si>
  <si>
    <t>Missing R&amp;D Expenses to reach the ratio</t>
  </si>
  <si>
    <t>R&amp;D Expenses Non GAAP</t>
  </si>
  <si>
    <t>Break even point</t>
  </si>
  <si>
    <t>Net Income in 2022</t>
  </si>
  <si>
    <t xml:space="preserve">missing exp </t>
  </si>
  <si>
    <t>Above this point Its better to Increase our R&amp;D Spend to reach the ratio</t>
  </si>
  <si>
    <t>Investment from VC in USD</t>
  </si>
  <si>
    <t>AVERAGE NIS/USD Exchange rate</t>
  </si>
  <si>
    <t>Investment - 8M NIS investment from VC</t>
  </si>
  <si>
    <t xml:space="preserve">ספטמבר R&amp;D </t>
  </si>
  <si>
    <t>25% Increase in AVG revenues Yearly</t>
  </si>
  <si>
    <t xml:space="preserve">founder Bonus </t>
  </si>
  <si>
    <t xml:space="preserve">Emp Bonus </t>
  </si>
  <si>
    <t>25% Increase in AVG number of employees + at least 50 employees</t>
  </si>
  <si>
    <t>Number of employees</t>
  </si>
  <si>
    <t>HC Increase ratio</t>
  </si>
  <si>
    <t>רועי</t>
  </si>
  <si>
    <t>20% of the Company's employees expenses listed as R&amp;D or At least 200 Employees</t>
  </si>
  <si>
    <t>יולי  V2</t>
  </si>
  <si>
    <t>R&amp;D Payroll</t>
  </si>
  <si>
    <t>R&amp;D HC</t>
  </si>
  <si>
    <t xml:space="preserve">הערכה </t>
  </si>
  <si>
    <t>Total Payroll</t>
  </si>
  <si>
    <t>Total HC</t>
  </si>
  <si>
    <t>R&amp;D Payroll expenses ratio</t>
  </si>
  <si>
    <t>R&amp;D HC ratio</t>
  </si>
  <si>
    <t>סה״כ RD</t>
  </si>
  <si>
    <t>מפעל מועדף - תנאים</t>
  </si>
  <si>
    <t>מפעל תעשייתי - בית תכנה נחשב מפעל תעשייתי</t>
  </si>
  <si>
    <t>מפעל בר תחרות - רוב ההכנסות נובעות מייצוא</t>
  </si>
  <si>
    <t>2021 - ytd 9.21</t>
  </si>
  <si>
    <t>Oct-Dec 2021 estimeted</t>
  </si>
  <si>
    <t>Total 2021</t>
  </si>
  <si>
    <t>פריסת הוצאות מו"פ</t>
  </si>
  <si>
    <t xml:space="preserve">סך הוצאה </t>
  </si>
  <si>
    <t>RND Expenses Adjustments</t>
  </si>
  <si>
    <t>End of 2021</t>
  </si>
  <si>
    <t xml:space="preserve">Average 2021 </t>
  </si>
  <si>
    <t xml:space="preserve">INC </t>
  </si>
  <si>
    <t>Debit USD</t>
  </si>
  <si>
    <t>Credit USD</t>
  </si>
  <si>
    <t>Debit ILS</t>
  </si>
  <si>
    <t>Credit ILS</t>
  </si>
  <si>
    <t xml:space="preserve">Debit </t>
  </si>
  <si>
    <t xml:space="preserve">נכס מס </t>
  </si>
  <si>
    <t xml:space="preserve">מיון בין סעיפי המס </t>
  </si>
  <si>
    <t xml:space="preserve">   IC Revenues</t>
  </si>
  <si>
    <t>תיקון פקודת איחוד</t>
  </si>
  <si>
    <t xml:space="preserve">Credit </t>
  </si>
  <si>
    <t>חו״ז</t>
  </si>
  <si>
    <t xml:space="preserve">חו״ז </t>
  </si>
  <si>
    <t xml:space="preserve">תיקון פקודת איחוד </t>
  </si>
  <si>
    <t>IC expenses Cogs</t>
  </si>
  <si>
    <t>IC expenses G&amp;N</t>
  </si>
  <si>
    <t xml:space="preserve">תיקון משיכת אקוויטי  </t>
  </si>
  <si>
    <t xml:space="preserve">השקעה באינק </t>
  </si>
  <si>
    <t>Cash Flow</t>
  </si>
  <si>
    <t>Papaya Gaming Ltd</t>
  </si>
  <si>
    <t>Consolidated staements of cash flows</t>
  </si>
  <si>
    <t>$</t>
  </si>
  <si>
    <t>Profit</t>
  </si>
  <si>
    <t>Operating activities</t>
  </si>
  <si>
    <t>Investing activities</t>
  </si>
  <si>
    <t>Financing activities</t>
  </si>
  <si>
    <t>Transfers</t>
  </si>
  <si>
    <t>Cash Change</t>
  </si>
  <si>
    <t>Check</t>
  </si>
  <si>
    <t>Cash</t>
  </si>
  <si>
    <t>O.B</t>
  </si>
  <si>
    <t>Purchases</t>
  </si>
  <si>
    <t>Disposals</t>
  </si>
  <si>
    <t>Depreciation</t>
  </si>
  <si>
    <t>C.B</t>
  </si>
  <si>
    <t>Shareholders loan</t>
  </si>
  <si>
    <t>Liabilities and Shareholders equity</t>
  </si>
  <si>
    <t>Consolidated staements of cash flows 31/12/2021</t>
  </si>
  <si>
    <t>Net Profit</t>
  </si>
  <si>
    <t>התאמה בגין הוצאות שלא במזומן</t>
  </si>
  <si>
    <t>Share based compensation</t>
  </si>
  <si>
    <t>Deffered tax liabilities</t>
  </si>
  <si>
    <t>Trade payables change</t>
  </si>
  <si>
    <t>Contract liability change</t>
  </si>
  <si>
    <t>Net cash provieded by (used in) operating activities</t>
  </si>
  <si>
    <t>Purchase of property and equipment</t>
  </si>
  <si>
    <t>Proceeds from issuance of Ordinary Shares</t>
  </si>
  <si>
    <t>Proceeds from issuance of Preffered Seed Shares, net of issiance expenses</t>
  </si>
  <si>
    <t>Repayment of long term loan</t>
  </si>
  <si>
    <t>Cash O.B</t>
  </si>
  <si>
    <t>Cash C.B</t>
  </si>
  <si>
    <t>Deferred tax liability</t>
  </si>
  <si>
    <t>Additional loan</t>
  </si>
  <si>
    <t>Payments</t>
  </si>
  <si>
    <t>SBC Employees 2021</t>
  </si>
  <si>
    <t>SBC Non Employees 2021</t>
  </si>
  <si>
    <t>Options exercised</t>
  </si>
  <si>
    <t>פקודת תיקון מימוש שונטל</t>
  </si>
  <si>
    <t>USD in thousands</t>
  </si>
  <si>
    <t>3 years revenues</t>
  </si>
  <si>
    <t>3 years rnd expenses</t>
  </si>
  <si>
    <t>rate</t>
  </si>
  <si>
    <t>Interest paid</t>
  </si>
  <si>
    <t>Financial expenses (Fx)</t>
  </si>
  <si>
    <t>Ref</t>
  </si>
  <si>
    <t>FX change</t>
  </si>
  <si>
    <t>Interest received</t>
  </si>
  <si>
    <t>Cash FX Change</t>
  </si>
  <si>
    <t>Notes:</t>
  </si>
  <si>
    <t>FA. Roll Froward</t>
  </si>
  <si>
    <t>Short-Term Loan Roll Froward</t>
  </si>
  <si>
    <t>Long-Term Loan Roll Froward</t>
  </si>
  <si>
    <t>FX</t>
  </si>
  <si>
    <t>Shareholders Loan Roll Forward</t>
  </si>
  <si>
    <t>Additional paid in capital Roll Forward</t>
  </si>
  <si>
    <t>Ordinary Shares Roll Forward</t>
  </si>
  <si>
    <t>העברת הכנסות לקבל מinc לltd</t>
  </si>
  <si>
    <t xml:space="preserve">SVB + Worldpay </t>
  </si>
  <si>
    <t xml:space="preserve">$ In thousands </t>
  </si>
  <si>
    <t xml:space="preserve">$ In thousands  </t>
  </si>
  <si>
    <t>Preferred shares</t>
  </si>
  <si>
    <t>Ordinary Shares</t>
  </si>
  <si>
    <t>Number of shares</t>
  </si>
  <si>
    <t xml:space="preserve">Amount </t>
  </si>
  <si>
    <t>Additional paid- in capital</t>
  </si>
  <si>
    <t xml:space="preserve">Total </t>
  </si>
  <si>
    <t>Balance as of December 31, 2020</t>
  </si>
  <si>
    <t>*</t>
  </si>
  <si>
    <t xml:space="preserve">Issuance of Ordinary shares upon exerise of options </t>
  </si>
  <si>
    <t xml:space="preserve">Net Profit </t>
  </si>
  <si>
    <t>Balance as of December 31, 2021</t>
  </si>
  <si>
    <t>Changes ion equity</t>
  </si>
  <si>
    <t>FS Notes</t>
  </si>
  <si>
    <t>Note 3 - Property and Equipment, Net</t>
  </si>
  <si>
    <t xml:space="preserve">Group </t>
  </si>
  <si>
    <t xml:space="preserve">Computers and electronic equipment </t>
  </si>
  <si>
    <t>Vehicles</t>
  </si>
  <si>
    <t>Office furniture and equipment</t>
  </si>
  <si>
    <t>Leasehold improvements</t>
  </si>
  <si>
    <t>Less – accumulated depreciation</t>
  </si>
  <si>
    <t>Total property and equipment, net</t>
  </si>
  <si>
    <t>Note 5 - Other current Liabilities</t>
  </si>
  <si>
    <t>Stock base compensation</t>
  </si>
  <si>
    <t>Payroll and related expenses</t>
  </si>
  <si>
    <t>Accrued expenses</t>
  </si>
  <si>
    <t>Other</t>
  </si>
  <si>
    <t>SVB Commission</t>
  </si>
  <si>
    <t>WorldPay Commission</t>
  </si>
  <si>
    <t>James Kong</t>
  </si>
  <si>
    <t>Entity</t>
  </si>
  <si>
    <t>Account</t>
  </si>
  <si>
    <t>WHT</t>
  </si>
  <si>
    <t>Other current liabilities INC</t>
  </si>
  <si>
    <t>Note 11 - Supplementary statements of operation information</t>
  </si>
  <si>
    <t>Computer Maintenance</t>
  </si>
  <si>
    <t>Professional consulting</t>
  </si>
  <si>
    <t>Share-based compensation</t>
  </si>
  <si>
    <t>Hosting and Servers</t>
  </si>
  <si>
    <t>Software subscription</t>
  </si>
  <si>
    <t>b. Marketing expenses:</t>
  </si>
  <si>
    <t>Marketing and Advertising</t>
  </si>
  <si>
    <t>c. General and administrative expenses:</t>
  </si>
  <si>
    <t>a. Research and development expenses:</t>
  </si>
  <si>
    <t>Legal expenses</t>
  </si>
  <si>
    <t>Professional services</t>
  </si>
  <si>
    <t>Rent and maintenance</t>
  </si>
  <si>
    <t>Including Allocation</t>
  </si>
  <si>
    <t>Signed FS</t>
  </si>
  <si>
    <t xml:space="preserve">קיטון הכנסה מול הקצב </t>
  </si>
  <si>
    <t xml:space="preserve">הוצ ריבית לשלם </t>
  </si>
  <si>
    <t xml:space="preserve">סגירת ספק </t>
  </si>
  <si>
    <t>New 1</t>
  </si>
  <si>
    <t>New 2</t>
  </si>
  <si>
    <t xml:space="preserve">ROU Assets </t>
  </si>
  <si>
    <t>ROU Liability</t>
  </si>
  <si>
    <t>New 3</t>
  </si>
  <si>
    <t xml:space="preserve">הוצ פחת שכירות </t>
  </si>
  <si>
    <t>New 4</t>
  </si>
  <si>
    <t xml:space="preserve">הוצ מימון -חכירה </t>
  </si>
  <si>
    <t xml:space="preserve">Financial expenses for ROU liability </t>
  </si>
  <si>
    <t>עדכון נט קאש</t>
  </si>
  <si>
    <t>Revenue - PayPal</t>
  </si>
  <si>
    <t xml:space="preserve">Revenue - Sales Tax </t>
  </si>
  <si>
    <t xml:space="preserve">עדכון sales Tax </t>
  </si>
  <si>
    <t xml:space="preserve">Sales tax Provision </t>
  </si>
  <si>
    <t>IC revenue</t>
  </si>
  <si>
    <t>ביטול הכנסות מול chb</t>
  </si>
  <si>
    <t>Total IC exp - Sholud Be</t>
  </si>
  <si>
    <t xml:space="preserve">Total IC exp -  books </t>
  </si>
  <si>
    <t>מעודכן</t>
  </si>
  <si>
    <t xml:space="preserve">מעודכן </t>
  </si>
  <si>
    <t xml:space="preserve">IC Revenue </t>
  </si>
  <si>
    <t xml:space="preserve">Option </t>
  </si>
  <si>
    <t xml:space="preserve">Sales Tax </t>
  </si>
  <si>
    <t xml:space="preserve">Net cash </t>
  </si>
  <si>
    <t xml:space="preserve">תיקון רישום הוצאות אופציות </t>
  </si>
  <si>
    <t>Old Arkava</t>
  </si>
  <si>
    <t>GAP</t>
  </si>
  <si>
    <t xml:space="preserve">Check </t>
  </si>
  <si>
    <t xml:space="preserve">ROA Assets </t>
  </si>
  <si>
    <t>ROA Liability</t>
  </si>
  <si>
    <t xml:space="preserve">Leases </t>
  </si>
  <si>
    <t>financial exp</t>
  </si>
  <si>
    <t>Debit</t>
  </si>
  <si>
    <t>העברת התחייבות לltd</t>
  </si>
  <si>
    <t xml:space="preserve">FS </t>
  </si>
  <si>
    <t>8.4.2021</t>
  </si>
  <si>
    <t>Total Equity</t>
  </si>
  <si>
    <t>Total revenue</t>
  </si>
  <si>
    <t xml:space="preserve">Ua Indirect </t>
  </si>
  <si>
    <t>Sales Tax</t>
  </si>
  <si>
    <t>Revenues from commissions</t>
  </si>
  <si>
    <t>Total revenues</t>
  </si>
  <si>
    <t>UA- Direct</t>
  </si>
  <si>
    <t>UA -Indirect</t>
  </si>
  <si>
    <t>Total Marketing</t>
  </si>
  <si>
    <t>GP</t>
  </si>
  <si>
    <t>%</t>
  </si>
  <si>
    <t>Clearing fees</t>
  </si>
  <si>
    <t>OverHeads</t>
  </si>
  <si>
    <t>EBITDA (Loss)</t>
  </si>
  <si>
    <t xml:space="preserve">Financial Exp, net </t>
  </si>
  <si>
    <t xml:space="preserve">Tax </t>
  </si>
  <si>
    <t>Net profit (Loss)</t>
  </si>
  <si>
    <t>depreciation</t>
  </si>
  <si>
    <t>תיקון פקודה של מקדמות שנה קודמת</t>
  </si>
  <si>
    <t>עדכון הפרשה למס 2021</t>
  </si>
  <si>
    <t xml:space="preserve">Israeli Tax </t>
  </si>
  <si>
    <t xml:space="preserve">Prepaid </t>
  </si>
  <si>
    <t xml:space="preserve">Interest received </t>
  </si>
  <si>
    <t>Financial Expenses</t>
  </si>
  <si>
    <t>Interest</t>
  </si>
  <si>
    <t>Accrued Expenses</t>
  </si>
  <si>
    <t>ניכויים</t>
  </si>
  <si>
    <t xml:space="preserve">NEW 1 </t>
  </si>
  <si>
    <t xml:space="preserve">עדכון נכס מס נדחה </t>
  </si>
  <si>
    <t xml:space="preserve">Tax provision </t>
  </si>
  <si>
    <t>Operating lease ROU assets and liabilities, net</t>
  </si>
  <si>
    <t>ADJ</t>
  </si>
  <si>
    <t>commissions</t>
  </si>
  <si>
    <t>commissions+ withdrawals</t>
  </si>
  <si>
    <t xml:space="preserve">SALES TAX </t>
  </si>
  <si>
    <t xml:space="preserve">NET CASH </t>
  </si>
  <si>
    <t xml:space="preserve">ADD </t>
  </si>
  <si>
    <t xml:space="preserve">lasr year </t>
  </si>
  <si>
    <t>Prepiad expenses</t>
  </si>
  <si>
    <t>Property and equipment, net</t>
  </si>
  <si>
    <t>ROU Assets</t>
  </si>
  <si>
    <t>Deffered Tax</t>
  </si>
  <si>
    <t>ILS</t>
  </si>
  <si>
    <t>Changes in operating assets and liabilities:</t>
  </si>
  <si>
    <t>Ltd:</t>
  </si>
  <si>
    <t>Inc:</t>
  </si>
  <si>
    <t>Total Revenues</t>
  </si>
  <si>
    <t>ASC842</t>
  </si>
  <si>
    <t>ROU Asset</t>
  </si>
  <si>
    <t>Adoption</t>
  </si>
  <si>
    <t>ROU Liabilities</t>
  </si>
  <si>
    <t>Tax Paid</t>
  </si>
  <si>
    <t>Shreholders loan</t>
  </si>
  <si>
    <t>ASC842 Adoption</t>
  </si>
  <si>
    <t>Interest (Accrual)</t>
  </si>
  <si>
    <t>Interest Paid</t>
  </si>
  <si>
    <t xml:space="preserve">Shareholders </t>
  </si>
  <si>
    <t>העברת התחייבות slaes tax לישראל</t>
  </si>
  <si>
    <t>Receivables on account of shares</t>
  </si>
  <si>
    <t xml:space="preserve">Adjustment </t>
  </si>
  <si>
    <t>GAL-OR</t>
  </si>
  <si>
    <t>Operating loss (profit)</t>
  </si>
  <si>
    <t>Prepaid exepnses and other current assets</t>
  </si>
  <si>
    <t>Restricted cash</t>
  </si>
  <si>
    <t>Long term restricted cash</t>
  </si>
  <si>
    <t>Account payables</t>
  </si>
  <si>
    <t>Other accounts payable and accrued expenses</t>
  </si>
  <si>
    <t>Current maurities of short term loan</t>
  </si>
  <si>
    <t>Current maurities of long term loan</t>
  </si>
  <si>
    <t>Prepaid expenses and other current assets</t>
  </si>
  <si>
    <t>פקודת warrant liability</t>
  </si>
  <si>
    <t>Warrant liability</t>
  </si>
  <si>
    <t>Finance expenses - Warrant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</si>
</sst>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?????"/>
    <numFmt numFmtId="167" formatCode="??,??0.00"/>
    <numFmt numFmtId="168" formatCode="_(* #,##0_);_(* \(#,##0\);_(* &quot;-&quot;??_);_(@_)"/>
    <numFmt numFmtId="169" formatCode="?0.00"/>
    <numFmt numFmtId="170" formatCode="??0.00"/>
    <numFmt numFmtId="171" formatCode="?,??0.00"/>
    <numFmt numFmtId="172" formatCode="_(* #,##0.000_);_(* \(#,##0.000\);_(* &quot;-&quot;??_);_(@_)"/>
    <numFmt numFmtId="173" formatCode="_-* #,##0\ _₪_-;\-* #,##0\ _₪_-;_-* &quot;-&quot;??\ _₪_-;_-@"/>
    <numFmt numFmtId="174" formatCode="_ * #,##0_ ;_ * \-#,##0_ ;_ * &quot;-&quot;??_ ;_ @_ "/>
    <numFmt numFmtId="175" formatCode="_-* #,##0\ &quot;₪&quot;_-;\-* #,##0\ &quot;₪&quot;_-;_-* &quot;-&quot;??\ &quot;₪&quot;_-;_-@"/>
    <numFmt numFmtId="176" formatCode="_ * #,##0.000_ ;_ * \-#,##0.000_ ;_ * &quot;-&quot;??_ ;_ @_ "/>
    <numFmt numFmtId="177" formatCode="_-* #,##0_-;\-* #,##0_-;_-* &quot;-&quot;??_-;_-@"/>
    <numFmt numFmtId="178" formatCode="yyyy\-mm\-dd"/>
    <numFmt numFmtId="179" formatCode="#,##0.00\ _€"/>
    <numFmt numFmtId="180" formatCode="_-* #,##0.00\ _₪_-;\-* #,##0.00\ _₪_-;_-* &quot;-&quot;??\ _₪_-;_-@"/>
    <numFmt numFmtId="181" formatCode="_([$$-409]* #,##0_);_([$$-409]* \(#,##0\);_([$$-409]* &quot;-&quot;??_);_(@_)"/>
    <numFmt numFmtId="182" formatCode="_([$$-409]* #,##0.00_);_([$$-409]* \(#,##0.00\);_([$$-409]* &quot;-&quot;??_);_(@_)"/>
    <numFmt numFmtId="183" formatCode="_(&quot;₪&quot;* #,##0_);_(&quot;₪&quot;* \(#,##0\);_(&quot;₪&quot;* &quot;-&quot;??_);_(@_)"/>
    <numFmt numFmtId="184" formatCode="_-[$$-409]* #,##0.00_ ;_-[$$-409]* \-#,##0.00\ ;_-[$$-409]* &quot;-&quot;??_ ;_-@_ "/>
    <numFmt numFmtId="185" formatCode="_-* #,##0.00\ &quot;₪&quot;_-;\-* #,##0.00\ &quot;₪&quot;_-;_-* &quot;-&quot;??\ &quot;₪&quot;_-;_-@"/>
    <numFmt numFmtId="186" formatCode="0.000000%"/>
    <numFmt numFmtId="187" formatCode="_-* #,##0_-;\-* #,##0_-;_-* &quot;-&quot;??_-;_-@_-"/>
    <numFmt numFmtId="188" formatCode="_-[$$-409]* #,##0_ ;_-[$$-409]* \-#,##0\ ;_-[$$-409]* &quot;-&quot;??_ ;_-@_ "/>
    <numFmt numFmtId="189" formatCode="_-* #,##0.00\ _₪_-;\-* #,##0.00\ _₪_-;_-* &quot;-&quot;??\ _₪_-;_-@_-"/>
  </numFmts>
  <fonts count="66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sz val="9"/>
      <color rgb="FF000000"/>
      <name val="Calibri"/>
      <family val="2"/>
    </font>
    <font>
      <sz val="12"/>
      <color theme="1"/>
      <name val="Arial"/>
      <family val="2"/>
    </font>
    <font>
      <sz val="12"/>
      <color rgb="FF2E4049"/>
      <name val="Calibri"/>
      <family val="2"/>
    </font>
    <font>
      <b/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2E4049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4"/>
      <color rgb="FF000000"/>
      <name val="Arial"/>
      <family val="2"/>
    </font>
    <font>
      <sz val="11"/>
      <color rgb="FF2E75B5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0"/>
      <color rgb="FF44546A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FF0000"/>
      <name val="Calibri"/>
      <family val="2"/>
    </font>
    <font>
      <b/>
      <u/>
      <sz val="11"/>
      <color theme="1"/>
      <name val="Calibri"/>
      <family val="2"/>
    </font>
    <font>
      <sz val="10"/>
      <color rgb="FF2E4049"/>
      <name val="Arial"/>
      <family val="2"/>
    </font>
    <font>
      <b/>
      <sz val="15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David"/>
      <family val="2"/>
    </font>
    <font>
      <sz val="11"/>
      <color theme="1"/>
      <name val="David"/>
      <family val="2"/>
    </font>
    <font>
      <b/>
      <u/>
      <sz val="11"/>
      <color theme="1"/>
      <name val="David"/>
      <family val="2"/>
    </font>
    <font>
      <sz val="10"/>
      <color rgb="FF000000"/>
      <name val="Arial"/>
      <family val="2"/>
      <scheme val="minor"/>
    </font>
    <font>
      <sz val="11"/>
      <color rgb="FF000000"/>
      <name val="David"/>
      <family val="2"/>
    </font>
    <font>
      <b/>
      <sz val="11"/>
      <color rgb="FF000000"/>
      <name val="David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FF0000"/>
      <name val="David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Calibri (Body)"/>
    </font>
    <font>
      <b/>
      <sz val="10"/>
      <color rgb="FFFF0000"/>
      <name val="Arial"/>
      <family val="2"/>
      <scheme val="minor"/>
    </font>
    <font>
      <sz val="12"/>
      <color rgb="FF2E4049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</font>
    <font>
      <sz val="9"/>
      <color rgb="FF4472C4"/>
      <name val="Calibri"/>
      <family val="2"/>
    </font>
    <font>
      <sz val="8"/>
      <color rgb="FF305496"/>
      <name val="Calibri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David"/>
      <family val="2"/>
    </font>
  </fonts>
  <fills count="3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/>
    <xf numFmtId="0" fontId="2" fillId="0" borderId="24"/>
    <xf numFmtId="164" fontId="40" fillId="0" borderId="24" applyFont="0" applyFill="0" applyBorder="0" applyAlignment="0" applyProtection="0"/>
    <xf numFmtId="0" fontId="40" fillId="0" borderId="24"/>
    <xf numFmtId="164" fontId="44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51" fillId="0" borderId="24"/>
    <xf numFmtId="165" fontId="51" fillId="0" borderId="24" applyFont="0" applyFill="0" applyBorder="0" applyAlignment="0" applyProtection="0"/>
    <xf numFmtId="0" fontId="2" fillId="0" borderId="24"/>
    <xf numFmtId="164" fontId="2" fillId="0" borderId="24" applyFont="0" applyFill="0" applyBorder="0" applyAlignment="0" applyProtection="0"/>
  </cellStyleXfs>
  <cellXfs count="6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6" fillId="0" borderId="0" xfId="0" applyFont="1"/>
    <xf numFmtId="166" fontId="7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/>
    <xf numFmtId="166" fontId="10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right" readingOrder="2"/>
    </xf>
    <xf numFmtId="167" fontId="7" fillId="0" borderId="0" xfId="0" applyNumberFormat="1" applyFont="1" applyAlignment="1">
      <alignment horizontal="right" vertical="top"/>
    </xf>
    <xf numFmtId="3" fontId="1" fillId="0" borderId="1" xfId="0" applyNumberFormat="1" applyFont="1" applyBorder="1"/>
    <xf numFmtId="167" fontId="7" fillId="0" borderId="1" xfId="0" applyNumberFormat="1" applyFont="1" applyBorder="1" applyAlignment="1">
      <alignment horizontal="right" vertical="top"/>
    </xf>
    <xf numFmtId="0" fontId="1" fillId="0" borderId="1" xfId="0" applyFont="1" applyBorder="1"/>
    <xf numFmtId="168" fontId="4" fillId="0" borderId="0" xfId="0" applyNumberFormat="1" applyFont="1"/>
    <xf numFmtId="168" fontId="1" fillId="0" borderId="0" xfId="0" applyNumberFormat="1" applyFont="1"/>
    <xf numFmtId="3" fontId="1" fillId="2" borderId="2" xfId="0" applyNumberFormat="1" applyFont="1" applyFill="1" applyBorder="1"/>
    <xf numFmtId="164" fontId="1" fillId="0" borderId="0" xfId="0" applyNumberFormat="1" applyFont="1"/>
    <xf numFmtId="169" fontId="7" fillId="0" borderId="0" xfId="0" applyNumberFormat="1" applyFont="1" applyAlignment="1">
      <alignment horizontal="right" vertical="top"/>
    </xf>
    <xf numFmtId="0" fontId="1" fillId="2" borderId="3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8" fontId="1" fillId="2" borderId="7" xfId="0" applyNumberFormat="1" applyFont="1" applyFill="1" applyBorder="1"/>
    <xf numFmtId="9" fontId="1" fillId="2" borderId="7" xfId="0" applyNumberFormat="1" applyFont="1" applyFill="1" applyBorder="1"/>
    <xf numFmtId="0" fontId="1" fillId="2" borderId="8" xfId="0" applyFont="1" applyFill="1" applyBorder="1"/>
    <xf numFmtId="170" fontId="7" fillId="0" borderId="0" xfId="0" applyNumberFormat="1" applyFont="1" applyAlignment="1">
      <alignment horizontal="right" vertical="top"/>
    </xf>
    <xf numFmtId="0" fontId="1" fillId="2" borderId="9" xfId="0" applyFont="1" applyFill="1" applyBorder="1"/>
    <xf numFmtId="168" fontId="1" fillId="2" borderId="10" xfId="0" applyNumberFormat="1" applyFont="1" applyFill="1" applyBorder="1"/>
    <xf numFmtId="9" fontId="1" fillId="2" borderId="10" xfId="0" applyNumberFormat="1" applyFont="1" applyFill="1" applyBorder="1"/>
    <xf numFmtId="0" fontId="1" fillId="2" borderId="11" xfId="0" applyFont="1" applyFill="1" applyBorder="1"/>
    <xf numFmtId="171" fontId="7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3" fontId="1" fillId="0" borderId="12" xfId="0" applyNumberFormat="1" applyFont="1" applyBorder="1"/>
    <xf numFmtId="0" fontId="2" fillId="0" borderId="0" xfId="0" applyFont="1" applyAlignment="1">
      <alignment horizontal="right" readingOrder="2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3" borderId="7" xfId="0" applyFont="1" applyFill="1" applyBorder="1" applyAlignment="1">
      <alignment horizontal="right"/>
    </xf>
    <xf numFmtId="0" fontId="11" fillId="3" borderId="7" xfId="0" applyFont="1" applyFill="1" applyBorder="1"/>
    <xf numFmtId="0" fontId="11" fillId="4" borderId="7" xfId="0" applyFont="1" applyFill="1" applyBorder="1" applyAlignment="1">
      <alignment horizontal="right"/>
    </xf>
    <xf numFmtId="0" fontId="11" fillId="4" borderId="7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 applyAlignment="1">
      <alignment horizontal="right" readingOrder="1"/>
    </xf>
    <xf numFmtId="0" fontId="11" fillId="5" borderId="7" xfId="0" applyFont="1" applyFill="1" applyBorder="1" applyAlignment="1">
      <alignment horizontal="right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left" readingOrder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3" borderId="7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4" borderId="7" xfId="0" applyFont="1" applyFill="1" applyBorder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3" borderId="7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left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1" fontId="1" fillId="0" borderId="0" xfId="0" applyNumberFormat="1" applyFont="1"/>
    <xf numFmtId="14" fontId="3" fillId="6" borderId="7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20" fillId="7" borderId="7" xfId="0" applyFont="1" applyFill="1" applyBorder="1" applyAlignment="1">
      <alignment horizontal="center"/>
    </xf>
    <xf numFmtId="0" fontId="21" fillId="7" borderId="7" xfId="0" applyFont="1" applyFill="1" applyBorder="1"/>
    <xf numFmtId="0" fontId="20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3" fontId="2" fillId="0" borderId="0" xfId="0" applyNumberFormat="1" applyFont="1"/>
    <xf numFmtId="168" fontId="1" fillId="0" borderId="12" xfId="0" applyNumberFormat="1" applyFont="1" applyBorder="1"/>
    <xf numFmtId="168" fontId="1" fillId="0" borderId="12" xfId="0" applyNumberFormat="1" applyFont="1" applyBorder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168" fontId="1" fillId="0" borderId="1" xfId="0" applyNumberFormat="1" applyFont="1" applyBorder="1"/>
    <xf numFmtId="0" fontId="1" fillId="8" borderId="7" xfId="0" applyFont="1" applyFill="1" applyBorder="1" applyAlignment="1">
      <alignment horizontal="left" vertical="center"/>
    </xf>
    <xf numFmtId="168" fontId="1" fillId="8" borderId="7" xfId="0" applyNumberFormat="1" applyFont="1" applyFill="1" applyBorder="1"/>
    <xf numFmtId="168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readingOrder="2"/>
    </xf>
    <xf numFmtId="168" fontId="2" fillId="0" borderId="0" xfId="0" applyNumberFormat="1" applyFont="1"/>
    <xf numFmtId="168" fontId="1" fillId="8" borderId="7" xfId="0" applyNumberFormat="1" applyFont="1" applyFill="1" applyBorder="1" applyAlignment="1">
      <alignment horizontal="center" vertical="center" wrapText="1"/>
    </xf>
    <xf numFmtId="174" fontId="1" fillId="0" borderId="0" xfId="0" applyNumberFormat="1" applyFont="1"/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74" fontId="1" fillId="0" borderId="1" xfId="0" applyNumberFormat="1" applyFont="1" applyBorder="1"/>
    <xf numFmtId="164" fontId="1" fillId="0" borderId="13" xfId="0" applyNumberFormat="1" applyFont="1" applyBorder="1" applyAlignment="1">
      <alignment horizontal="center" vertical="center" wrapText="1"/>
    </xf>
    <xf numFmtId="174" fontId="4" fillId="0" borderId="0" xfId="0" applyNumberFormat="1" applyFont="1"/>
    <xf numFmtId="168" fontId="1" fillId="0" borderId="14" xfId="0" applyNumberFormat="1" applyFont="1" applyBorder="1"/>
    <xf numFmtId="168" fontId="1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4" fontId="3" fillId="6" borderId="15" xfId="0" applyNumberFormat="1" applyFont="1" applyFill="1" applyBorder="1" applyAlignment="1">
      <alignment horizontal="center"/>
    </xf>
    <xf numFmtId="174" fontId="6" fillId="0" borderId="0" xfId="0" applyNumberFormat="1" applyFont="1"/>
    <xf numFmtId="168" fontId="23" fillId="0" borderId="0" xfId="0" applyNumberFormat="1" applyFont="1" applyAlignment="1">
      <alignment horizontal="center"/>
    </xf>
    <xf numFmtId="168" fontId="6" fillId="0" borderId="0" xfId="0" applyNumberFormat="1" applyFont="1"/>
    <xf numFmtId="168" fontId="23" fillId="0" borderId="14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9" fontId="24" fillId="0" borderId="0" xfId="0" applyNumberFormat="1" applyFont="1"/>
    <xf numFmtId="168" fontId="1" fillId="0" borderId="14" xfId="0" applyNumberFormat="1" applyFont="1" applyBorder="1" applyAlignment="1">
      <alignment horizontal="center" vertical="center" wrapText="1"/>
    </xf>
    <xf numFmtId="9" fontId="1" fillId="0" borderId="0" xfId="0" applyNumberFormat="1" applyFont="1"/>
    <xf numFmtId="0" fontId="1" fillId="8" borderId="16" xfId="0" applyFont="1" applyFill="1" applyBorder="1" applyAlignment="1">
      <alignment horizontal="left" vertical="center" wrapText="1"/>
    </xf>
    <xf numFmtId="168" fontId="1" fillId="8" borderId="16" xfId="0" applyNumberFormat="1" applyFont="1" applyFill="1" applyBorder="1" applyAlignment="1">
      <alignment horizontal="center" vertical="center" wrapText="1"/>
    </xf>
    <xf numFmtId="168" fontId="1" fillId="8" borderId="1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8" fontId="24" fillId="0" borderId="0" xfId="0" applyNumberFormat="1" applyFont="1"/>
    <xf numFmtId="9" fontId="1" fillId="0" borderId="14" xfId="0" applyNumberFormat="1" applyFont="1" applyBorder="1"/>
    <xf numFmtId="0" fontId="1" fillId="8" borderId="18" xfId="0" applyFont="1" applyFill="1" applyBorder="1" applyAlignment="1">
      <alignment horizontal="left" vertical="center" wrapText="1"/>
    </xf>
    <xf numFmtId="168" fontId="1" fillId="0" borderId="0" xfId="0" applyNumberFormat="1" applyFont="1" applyAlignment="1">
      <alignment horizontal="left" vertical="center" wrapText="1"/>
    </xf>
    <xf numFmtId="168" fontId="1" fillId="8" borderId="18" xfId="0" applyNumberFormat="1" applyFont="1" applyFill="1" applyBorder="1" applyAlignment="1">
      <alignment horizontal="left" vertical="center" wrapText="1"/>
    </xf>
    <xf numFmtId="168" fontId="1" fillId="8" borderId="19" xfId="0" applyNumberFormat="1" applyFont="1" applyFill="1" applyBorder="1" applyAlignment="1">
      <alignment horizontal="left" vertical="center" wrapText="1"/>
    </xf>
    <xf numFmtId="168" fontId="6" fillId="9" borderId="7" xfId="0" applyNumberFormat="1" applyFont="1" applyFill="1" applyBorder="1" applyAlignment="1">
      <alignment horizontal="left" vertical="center" wrapText="1"/>
    </xf>
    <xf numFmtId="168" fontId="6" fillId="0" borderId="0" xfId="0" applyNumberFormat="1" applyFont="1" applyAlignment="1">
      <alignment horizontal="left" vertical="center" wrapText="1"/>
    </xf>
    <xf numFmtId="168" fontId="6" fillId="0" borderId="14" xfId="0" applyNumberFormat="1" applyFont="1" applyBorder="1" applyAlignment="1">
      <alignment horizontal="left" vertical="center" wrapText="1"/>
    </xf>
    <xf numFmtId="0" fontId="1" fillId="7" borderId="20" xfId="0" applyFont="1" applyFill="1" applyBorder="1" applyAlignment="1">
      <alignment horizontal="left" vertical="center" wrapText="1"/>
    </xf>
    <xf numFmtId="168" fontId="1" fillId="7" borderId="20" xfId="0" applyNumberFormat="1" applyFont="1" applyFill="1" applyBorder="1" applyAlignment="1">
      <alignment horizontal="center" vertical="center" wrapText="1"/>
    </xf>
    <xf numFmtId="168" fontId="1" fillId="7" borderId="2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6" fillId="7" borderId="16" xfId="0" applyFont="1" applyFill="1" applyBorder="1" applyAlignment="1">
      <alignment horizontal="left" vertical="center" wrapText="1"/>
    </xf>
    <xf numFmtId="168" fontId="6" fillId="7" borderId="16" xfId="0" applyNumberFormat="1" applyFont="1" applyFill="1" applyBorder="1" applyAlignment="1">
      <alignment horizontal="center" vertical="center" wrapText="1"/>
    </xf>
    <xf numFmtId="168" fontId="6" fillId="7" borderId="17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" fillId="11" borderId="7" xfId="0" applyFont="1" applyFill="1" applyBorder="1"/>
    <xf numFmtId="1" fontId="1" fillId="11" borderId="7" xfId="0" applyNumberFormat="1" applyFont="1" applyFill="1" applyBorder="1"/>
    <xf numFmtId="14" fontId="6" fillId="0" borderId="0" xfId="0" applyNumberFormat="1" applyFont="1"/>
    <xf numFmtId="14" fontId="6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11" borderId="7" xfId="0" applyNumberFormat="1" applyFont="1" applyFill="1" applyBorder="1"/>
    <xf numFmtId="0" fontId="6" fillId="0" borderId="0" xfId="0" applyFont="1" applyAlignment="1">
      <alignment horizontal="center"/>
    </xf>
    <xf numFmtId="0" fontId="1" fillId="11" borderId="7" xfId="0" applyFont="1" applyFill="1" applyBorder="1"/>
    <xf numFmtId="1" fontId="1" fillId="11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74" fontId="1" fillId="11" borderId="7" xfId="0" applyNumberFormat="1" applyFont="1" applyFill="1" applyBorder="1"/>
    <xf numFmtId="175" fontId="2" fillId="0" borderId="0" xfId="0" applyNumberFormat="1" applyFont="1"/>
    <xf numFmtId="174" fontId="6" fillId="11" borderId="7" xfId="0" applyNumberFormat="1" applyFont="1" applyFill="1" applyBorder="1"/>
    <xf numFmtId="0" fontId="6" fillId="8" borderId="7" xfId="0" applyFont="1" applyFill="1" applyBorder="1" applyAlignment="1">
      <alignment horizontal="left" vertical="center"/>
    </xf>
    <xf numFmtId="174" fontId="1" fillId="8" borderId="7" xfId="0" applyNumberFormat="1" applyFont="1" applyFill="1" applyBorder="1"/>
    <xf numFmtId="43" fontId="6" fillId="0" borderId="0" xfId="0" applyNumberFormat="1" applyFont="1"/>
    <xf numFmtId="43" fontId="6" fillId="11" borderId="7" xfId="0" applyNumberFormat="1" applyFont="1" applyFill="1" applyBorder="1"/>
    <xf numFmtId="174" fontId="3" fillId="0" borderId="0" xfId="0" applyNumberFormat="1" applyFont="1"/>
    <xf numFmtId="174" fontId="3" fillId="11" borderId="7" xfId="0" applyNumberFormat="1" applyFont="1" applyFill="1" applyBorder="1"/>
    <xf numFmtId="0" fontId="2" fillId="0" borderId="0" xfId="0" applyFont="1" applyAlignment="1">
      <alignment horizontal="left" readingOrder="2"/>
    </xf>
    <xf numFmtId="0" fontId="17" fillId="0" borderId="0" xfId="0" applyFont="1" applyAlignment="1">
      <alignment horizontal="left" readingOrder="2"/>
    </xf>
    <xf numFmtId="174" fontId="1" fillId="0" borderId="13" xfId="0" applyNumberFormat="1" applyFont="1" applyBorder="1"/>
    <xf numFmtId="4" fontId="13" fillId="0" borderId="0" xfId="0" applyNumberFormat="1" applyFont="1"/>
    <xf numFmtId="4" fontId="13" fillId="11" borderId="7" xfId="0" applyNumberFormat="1" applyFont="1" applyFill="1" applyBorder="1"/>
    <xf numFmtId="164" fontId="1" fillId="11" borderId="7" xfId="0" applyNumberFormat="1" applyFont="1" applyFill="1" applyBorder="1"/>
    <xf numFmtId="1" fontId="1" fillId="12" borderId="7" xfId="0" applyNumberFormat="1" applyFont="1" applyFill="1" applyBorder="1"/>
    <xf numFmtId="14" fontId="6" fillId="12" borderId="7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74" fontId="1" fillId="12" borderId="7" xfId="0" applyNumberFormat="1" applyFont="1" applyFill="1" applyBorder="1"/>
    <xf numFmtId="174" fontId="6" fillId="12" borderId="7" xfId="0" applyNumberFormat="1" applyFont="1" applyFill="1" applyBorder="1"/>
    <xf numFmtId="0" fontId="8" fillId="0" borderId="0" xfId="0" applyFont="1"/>
    <xf numFmtId="174" fontId="1" fillId="0" borderId="25" xfId="0" applyNumberFormat="1" applyFont="1" applyBorder="1"/>
    <xf numFmtId="176" fontId="1" fillId="0" borderId="0" xfId="0" applyNumberFormat="1" applyFont="1"/>
    <xf numFmtId="174" fontId="2" fillId="0" borderId="0" xfId="0" applyNumberFormat="1" applyFont="1"/>
    <xf numFmtId="174" fontId="6" fillId="0" borderId="26" xfId="0" applyNumberFormat="1" applyFont="1" applyBorder="1"/>
    <xf numFmtId="177" fontId="2" fillId="0" borderId="0" xfId="0" applyNumberFormat="1" applyFont="1"/>
    <xf numFmtId="177" fontId="2" fillId="12" borderId="7" xfId="0" applyNumberFormat="1" applyFont="1" applyFill="1" applyBorder="1"/>
    <xf numFmtId="177" fontId="27" fillId="0" borderId="0" xfId="0" applyNumberFormat="1" applyFont="1"/>
    <xf numFmtId="177" fontId="27" fillId="12" borderId="7" xfId="0" applyNumberFormat="1" applyFont="1" applyFill="1" applyBorder="1"/>
    <xf numFmtId="4" fontId="13" fillId="12" borderId="7" xfId="0" applyNumberFormat="1" applyFont="1" applyFill="1" applyBorder="1"/>
    <xf numFmtId="4" fontId="25" fillId="0" borderId="0" xfId="0" applyNumberFormat="1" applyFont="1"/>
    <xf numFmtId="4" fontId="25" fillId="12" borderId="7" xfId="0" applyNumberFormat="1" applyFont="1" applyFill="1" applyBorder="1"/>
    <xf numFmtId="168" fontId="1" fillId="12" borderId="7" xfId="0" applyNumberFormat="1" applyFont="1" applyFill="1" applyBorder="1"/>
    <xf numFmtId="0" fontId="2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179" fontId="30" fillId="0" borderId="0" xfId="0" applyNumberFormat="1" applyFont="1" applyAlignment="1">
      <alignment horizontal="right" wrapText="1"/>
    </xf>
    <xf numFmtId="0" fontId="28" fillId="0" borderId="0" xfId="0" applyFont="1"/>
    <xf numFmtId="180" fontId="2" fillId="0" borderId="0" xfId="0" applyNumberFormat="1" applyFont="1"/>
    <xf numFmtId="168" fontId="31" fillId="0" borderId="0" xfId="0" applyNumberFormat="1" applyFont="1"/>
    <xf numFmtId="0" fontId="31" fillId="0" borderId="0" xfId="0" applyFont="1"/>
    <xf numFmtId="0" fontId="2" fillId="0" borderId="0" xfId="0" applyFont="1" applyAlignment="1">
      <alignment horizontal="left" wrapText="1"/>
    </xf>
    <xf numFmtId="168" fontId="33" fillId="0" borderId="12" xfId="0" applyNumberFormat="1" applyFont="1" applyBorder="1" applyAlignment="1">
      <alignment horizontal="right" wrapText="1"/>
    </xf>
    <xf numFmtId="3" fontId="2" fillId="0" borderId="0" xfId="0" applyNumberFormat="1" applyFont="1"/>
    <xf numFmtId="168" fontId="33" fillId="0" borderId="12" xfId="0" applyNumberFormat="1" applyFont="1" applyBorder="1" applyAlignment="1">
      <alignment horizontal="right"/>
    </xf>
    <xf numFmtId="179" fontId="30" fillId="0" borderId="0" xfId="0" applyNumberFormat="1" applyFont="1" applyAlignment="1">
      <alignment wrapText="1"/>
    </xf>
    <xf numFmtId="180" fontId="2" fillId="0" borderId="29" xfId="0" applyNumberFormat="1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179" fontId="30" fillId="0" borderId="33" xfId="0" applyNumberFormat="1" applyFont="1" applyBorder="1" applyAlignment="1">
      <alignment horizontal="right" wrapText="1"/>
    </xf>
    <xf numFmtId="0" fontId="2" fillId="0" borderId="34" xfId="0" applyFont="1" applyBorder="1"/>
    <xf numFmtId="179" fontId="30" fillId="0" borderId="35" xfId="0" applyNumberFormat="1" applyFont="1" applyBorder="1" applyAlignment="1">
      <alignment horizontal="right" wrapText="1"/>
    </xf>
    <xf numFmtId="179" fontId="30" fillId="0" borderId="26" xfId="0" applyNumberFormat="1" applyFont="1" applyBorder="1" applyAlignment="1">
      <alignment horizontal="right" wrapText="1"/>
    </xf>
    <xf numFmtId="168" fontId="2" fillId="5" borderId="10" xfId="0" applyNumberFormat="1" applyFont="1" applyFill="1" applyBorder="1"/>
    <xf numFmtId="0" fontId="2" fillId="5" borderId="11" xfId="0" applyFont="1" applyFill="1" applyBorder="1"/>
    <xf numFmtId="0" fontId="21" fillId="0" borderId="0" xfId="0" applyFont="1"/>
    <xf numFmtId="0" fontId="34" fillId="2" borderId="7" xfId="0" applyFont="1" applyFill="1" applyBorder="1" applyAlignment="1">
      <alignment horizontal="center"/>
    </xf>
    <xf numFmtId="181" fontId="21" fillId="0" borderId="0" xfId="0" applyNumberFormat="1" applyFont="1"/>
    <xf numFmtId="0" fontId="21" fillId="0" borderId="25" xfId="0" applyFont="1" applyBorder="1"/>
    <xf numFmtId="181" fontId="21" fillId="0" borderId="25" xfId="0" applyNumberFormat="1" applyFont="1" applyBorder="1"/>
    <xf numFmtId="0" fontId="35" fillId="0" borderId="0" xfId="0" applyFont="1"/>
    <xf numFmtId="0" fontId="34" fillId="0" borderId="0" xfId="0" applyFont="1" applyAlignment="1">
      <alignment horizontal="center"/>
    </xf>
    <xf numFmtId="16" fontId="34" fillId="0" borderId="0" xfId="0" applyNumberFormat="1" applyFont="1" applyAlignment="1">
      <alignment horizontal="center"/>
    </xf>
    <xf numFmtId="0" fontId="36" fillId="0" borderId="0" xfId="0" applyFont="1"/>
    <xf numFmtId="182" fontId="36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9" fontId="17" fillId="0" borderId="0" xfId="0" applyNumberFormat="1" applyFont="1"/>
    <xf numFmtId="182" fontId="21" fillId="0" borderId="0" xfId="0" applyNumberFormat="1" applyFont="1"/>
    <xf numFmtId="181" fontId="2" fillId="0" borderId="0" xfId="0" applyNumberFormat="1" applyFont="1"/>
    <xf numFmtId="9" fontId="36" fillId="0" borderId="0" xfId="0" applyNumberFormat="1" applyFont="1"/>
    <xf numFmtId="183" fontId="2" fillId="0" borderId="0" xfId="0" applyNumberFormat="1" applyFont="1"/>
    <xf numFmtId="184" fontId="2" fillId="0" borderId="0" xfId="0" applyNumberFormat="1" applyFont="1"/>
    <xf numFmtId="168" fontId="21" fillId="0" borderId="36" xfId="0" applyNumberFormat="1" applyFont="1" applyBorder="1"/>
    <xf numFmtId="0" fontId="21" fillId="0" borderId="37" xfId="0" applyFont="1" applyBorder="1"/>
    <xf numFmtId="168" fontId="21" fillId="0" borderId="0" xfId="0" applyNumberFormat="1" applyFont="1"/>
    <xf numFmtId="0" fontId="34" fillId="0" borderId="0" xfId="0" applyFont="1"/>
    <xf numFmtId="183" fontId="21" fillId="0" borderId="0" xfId="0" applyNumberFormat="1" applyFont="1"/>
    <xf numFmtId="0" fontId="21" fillId="0" borderId="29" xfId="0" applyFont="1" applyBorder="1"/>
    <xf numFmtId="0" fontId="21" fillId="0" borderId="32" xfId="0" applyFont="1" applyBorder="1"/>
    <xf numFmtId="0" fontId="21" fillId="0" borderId="33" xfId="0" applyFont="1" applyBorder="1"/>
    <xf numFmtId="0" fontId="21" fillId="0" borderId="34" xfId="0" applyFont="1" applyBorder="1"/>
    <xf numFmtId="1" fontId="21" fillId="0" borderId="33" xfId="0" applyNumberFormat="1" applyFont="1" applyBorder="1"/>
    <xf numFmtId="1" fontId="21" fillId="0" borderId="35" xfId="0" applyNumberFormat="1" applyFont="1" applyBorder="1"/>
    <xf numFmtId="0" fontId="21" fillId="0" borderId="38" xfId="0" applyFont="1" applyBorder="1"/>
    <xf numFmtId="164" fontId="8" fillId="0" borderId="33" xfId="0" applyNumberFormat="1" applyFont="1" applyBorder="1" applyAlignment="1">
      <alignment horizontal="center" vertical="center" wrapText="1"/>
    </xf>
    <xf numFmtId="1" fontId="21" fillId="0" borderId="0" xfId="0" applyNumberFormat="1" applyFont="1"/>
    <xf numFmtId="180" fontId="21" fillId="0" borderId="35" xfId="0" applyNumberFormat="1" applyFont="1" applyBorder="1"/>
    <xf numFmtId="9" fontId="21" fillId="0" borderId="0" xfId="0" applyNumberFormat="1" applyFont="1"/>
    <xf numFmtId="0" fontId="21" fillId="11" borderId="7" xfId="0" applyFont="1" applyFill="1" applyBorder="1"/>
    <xf numFmtId="16" fontId="34" fillId="2" borderId="7" xfId="0" applyNumberFormat="1" applyFont="1" applyFill="1" applyBorder="1" applyAlignment="1">
      <alignment horizontal="center"/>
    </xf>
    <xf numFmtId="175" fontId="2" fillId="10" borderId="7" xfId="0" applyNumberFormat="1" applyFont="1" applyFill="1" applyBorder="1"/>
    <xf numFmtId="181" fontId="21" fillId="10" borderId="7" xfId="0" applyNumberFormat="1" applyFont="1" applyFill="1" applyBorder="1"/>
    <xf numFmtId="0" fontId="37" fillId="0" borderId="0" xfId="0" applyFont="1"/>
    <xf numFmtId="0" fontId="6" fillId="0" borderId="1" xfId="0" applyFont="1" applyBorder="1"/>
    <xf numFmtId="166" fontId="7" fillId="0" borderId="1" xfId="0" applyNumberFormat="1" applyFont="1" applyBorder="1" applyAlignment="1">
      <alignment horizontal="right" vertical="top"/>
    </xf>
    <xf numFmtId="3" fontId="1" fillId="0" borderId="39" xfId="0" applyNumberFormat="1" applyFont="1" applyBorder="1"/>
    <xf numFmtId="3" fontId="1" fillId="14" borderId="7" xfId="0" applyNumberFormat="1" applyFont="1" applyFill="1" applyBorder="1"/>
    <xf numFmtId="17" fontId="6" fillId="0" borderId="0" xfId="0" applyNumberFormat="1" applyFont="1"/>
    <xf numFmtId="17" fontId="6" fillId="0" borderId="1" xfId="0" applyNumberFormat="1" applyFont="1" applyBorder="1"/>
    <xf numFmtId="168" fontId="2" fillId="10" borderId="7" xfId="0" applyNumberFormat="1" applyFont="1" applyFill="1" applyBorder="1"/>
    <xf numFmtId="2" fontId="2" fillId="0" borderId="0" xfId="0" applyNumberFormat="1" applyFont="1"/>
    <xf numFmtId="0" fontId="38" fillId="0" borderId="0" xfId="0" applyFont="1"/>
    <xf numFmtId="168" fontId="25" fillId="0" borderId="0" xfId="0" applyNumberFormat="1" applyFont="1"/>
    <xf numFmtId="0" fontId="2" fillId="15" borderId="7" xfId="0" applyFont="1" applyFill="1" applyBorder="1"/>
    <xf numFmtId="0" fontId="39" fillId="0" borderId="0" xfId="0" applyFont="1" applyAlignment="1">
      <alignment horizontal="center"/>
    </xf>
    <xf numFmtId="0" fontId="2" fillId="0" borderId="29" xfId="0" applyFont="1" applyBorder="1"/>
    <xf numFmtId="0" fontId="1" fillId="0" borderId="30" xfId="0" applyFont="1" applyBorder="1" applyAlignment="1">
      <alignment horizontal="left"/>
    </xf>
    <xf numFmtId="175" fontId="2" fillId="0" borderId="30" xfId="0" applyNumberFormat="1" applyFont="1" applyBorder="1"/>
    <xf numFmtId="184" fontId="2" fillId="0" borderId="30" xfId="0" applyNumberFormat="1" applyFont="1" applyBorder="1"/>
    <xf numFmtId="0" fontId="2" fillId="0" borderId="33" xfId="0" applyFont="1" applyBorder="1"/>
    <xf numFmtId="184" fontId="1" fillId="0" borderId="0" xfId="0" applyNumberFormat="1" applyFont="1"/>
    <xf numFmtId="0" fontId="2" fillId="0" borderId="35" xfId="0" applyFont="1" applyBorder="1"/>
    <xf numFmtId="0" fontId="2" fillId="0" borderId="26" xfId="0" applyFont="1" applyBorder="1"/>
    <xf numFmtId="4" fontId="1" fillId="0" borderId="26" xfId="0" applyNumberFormat="1" applyFont="1" applyBorder="1" applyAlignment="1">
      <alignment horizontal="left"/>
    </xf>
    <xf numFmtId="175" fontId="2" fillId="0" borderId="26" xfId="0" applyNumberFormat="1" applyFont="1" applyBorder="1"/>
    <xf numFmtId="0" fontId="2" fillId="0" borderId="38" xfId="0" applyFont="1" applyBorder="1"/>
    <xf numFmtId="0" fontId="1" fillId="0" borderId="30" xfId="0" applyFont="1" applyBorder="1" applyAlignment="1">
      <alignment horizontal="left" vertical="center" wrapText="1"/>
    </xf>
    <xf numFmtId="175" fontId="21" fillId="0" borderId="0" xfId="0" applyNumberFormat="1" applyFont="1"/>
    <xf numFmtId="185" fontId="2" fillId="0" borderId="0" xfId="0" applyNumberFormat="1" applyFont="1"/>
    <xf numFmtId="0" fontId="2" fillId="15" borderId="24" xfId="0" applyFont="1" applyFill="1" applyBorder="1"/>
    <xf numFmtId="0" fontId="19" fillId="0" borderId="0" xfId="0" applyFont="1" applyAlignment="1">
      <alignment horizontal="right"/>
    </xf>
    <xf numFmtId="17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0" fontId="18" fillId="0" borderId="7" xfId="0" applyFont="1" applyBorder="1" applyAlignment="1">
      <alignment horizontal="right"/>
    </xf>
    <xf numFmtId="172" fontId="18" fillId="0" borderId="7" xfId="0" applyNumberFormat="1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2" fontId="18" fillId="0" borderId="0" xfId="0" applyNumberFormat="1" applyFont="1" applyAlignment="1">
      <alignment horizontal="right"/>
    </xf>
    <xf numFmtId="14" fontId="41" fillId="0" borderId="24" xfId="1" applyNumberFormat="1" applyFont="1" applyAlignment="1">
      <alignment horizontal="left"/>
    </xf>
    <xf numFmtId="0" fontId="42" fillId="0" borderId="24" xfId="1" applyFont="1"/>
    <xf numFmtId="0" fontId="41" fillId="0" borderId="24" xfId="1" applyFont="1"/>
    <xf numFmtId="0" fontId="43" fillId="0" borderId="24" xfId="1" applyFont="1"/>
    <xf numFmtId="0" fontId="42" fillId="0" borderId="24" xfId="1" applyFont="1" applyAlignment="1">
      <alignment horizontal="center"/>
    </xf>
    <xf numFmtId="0" fontId="41" fillId="17" borderId="12" xfId="1" applyFont="1" applyFill="1" applyBorder="1" applyAlignment="1">
      <alignment horizontal="center"/>
    </xf>
    <xf numFmtId="14" fontId="41" fillId="17" borderId="12" xfId="1" applyNumberFormat="1" applyFont="1" applyFill="1" applyBorder="1" applyAlignment="1">
      <alignment horizontal="center"/>
    </xf>
    <xf numFmtId="0" fontId="41" fillId="0" borderId="24" xfId="1" applyFont="1" applyAlignment="1">
      <alignment horizontal="center"/>
    </xf>
    <xf numFmtId="0" fontId="41" fillId="0" borderId="29" xfId="1" applyFont="1" applyBorder="1"/>
    <xf numFmtId="0" fontId="41" fillId="0" borderId="30" xfId="1" applyFont="1" applyBorder="1"/>
    <xf numFmtId="0" fontId="42" fillId="0" borderId="32" xfId="1" applyFont="1" applyBorder="1"/>
    <xf numFmtId="0" fontId="41" fillId="0" borderId="40" xfId="1" applyFont="1" applyBorder="1"/>
    <xf numFmtId="0" fontId="42" fillId="0" borderId="41" xfId="1" applyFont="1" applyBorder="1"/>
    <xf numFmtId="0" fontId="41" fillId="18" borderId="28" xfId="1" applyFont="1" applyFill="1" applyBorder="1"/>
    <xf numFmtId="0" fontId="42" fillId="18" borderId="28" xfId="1" applyFont="1" applyFill="1" applyBorder="1"/>
    <xf numFmtId="0" fontId="42" fillId="0" borderId="33" xfId="1" applyFont="1" applyBorder="1"/>
    <xf numFmtId="0" fontId="42" fillId="0" borderId="34" xfId="1" applyFont="1" applyBorder="1"/>
    <xf numFmtId="0" fontId="42" fillId="0" borderId="42" xfId="1" applyFont="1" applyBorder="1"/>
    <xf numFmtId="0" fontId="42" fillId="0" borderId="43" xfId="1" applyFont="1" applyBorder="1"/>
    <xf numFmtId="168" fontId="42" fillId="0" borderId="24" xfId="2" applyNumberFormat="1" applyFont="1" applyBorder="1"/>
    <xf numFmtId="3" fontId="42" fillId="0" borderId="24" xfId="1" applyNumberFormat="1" applyFont="1"/>
    <xf numFmtId="0" fontId="41" fillId="0" borderId="33" xfId="1" applyFont="1" applyBorder="1"/>
    <xf numFmtId="3" fontId="42" fillId="18" borderId="28" xfId="1" applyNumberFormat="1" applyFont="1" applyFill="1" applyBorder="1"/>
    <xf numFmtId="0" fontId="41" fillId="0" borderId="35" xfId="1" applyFont="1" applyBorder="1"/>
    <xf numFmtId="0" fontId="41" fillId="0" borderId="26" xfId="1" applyFont="1" applyBorder="1"/>
    <xf numFmtId="3" fontId="42" fillId="0" borderId="38" xfId="1" applyNumberFormat="1" applyFont="1" applyBorder="1"/>
    <xf numFmtId="3" fontId="42" fillId="0" borderId="27" xfId="1" applyNumberFormat="1" applyFont="1" applyBorder="1"/>
    <xf numFmtId="0" fontId="42" fillId="0" borderId="24" xfId="1" applyFont="1" applyAlignment="1">
      <alignment vertical="top" wrapText="1"/>
    </xf>
    <xf numFmtId="3" fontId="42" fillId="0" borderId="18" xfId="1" applyNumberFormat="1" applyFont="1" applyBorder="1"/>
    <xf numFmtId="0" fontId="42" fillId="0" borderId="24" xfId="1" applyFont="1" applyAlignment="1">
      <alignment wrapText="1"/>
    </xf>
    <xf numFmtId="174" fontId="1" fillId="11" borderId="24" xfId="0" applyNumberFormat="1" applyFont="1" applyFill="1" applyBorder="1"/>
    <xf numFmtId="168" fontId="42" fillId="0" borderId="24" xfId="2" applyNumberFormat="1" applyFont="1" applyFill="1" applyBorder="1"/>
    <xf numFmtId="0" fontId="8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readingOrder="2"/>
    </xf>
    <xf numFmtId="0" fontId="0" fillId="0" borderId="0" xfId="0" applyAlignment="1">
      <alignment horizontal="left"/>
    </xf>
    <xf numFmtId="168" fontId="6" fillId="19" borderId="27" xfId="0" applyNumberFormat="1" applyFont="1" applyFill="1" applyBorder="1" applyAlignment="1">
      <alignment horizontal="left" vertical="center"/>
    </xf>
    <xf numFmtId="168" fontId="28" fillId="0" borderId="24" xfId="0" applyNumberFormat="1" applyFont="1" applyBorder="1"/>
    <xf numFmtId="178" fontId="29" fillId="0" borderId="18" xfId="0" applyNumberFormat="1" applyFont="1" applyBorder="1" applyAlignment="1">
      <alignment horizontal="center" wrapText="1"/>
    </xf>
    <xf numFmtId="168" fontId="28" fillId="0" borderId="18" xfId="0" applyNumberFormat="1" applyFont="1" applyBorder="1" applyAlignment="1">
      <alignment horizontal="center" wrapText="1"/>
    </xf>
    <xf numFmtId="168" fontId="1" fillId="0" borderId="24" xfId="0" applyNumberFormat="1" applyFont="1" applyBorder="1"/>
    <xf numFmtId="174" fontId="1" fillId="0" borderId="24" xfId="0" applyNumberFormat="1" applyFont="1" applyBorder="1"/>
    <xf numFmtId="168" fontId="1" fillId="0" borderId="24" xfId="0" applyNumberFormat="1" applyFont="1" applyBorder="1" applyAlignment="1">
      <alignment horizontal="left" vertical="center"/>
    </xf>
    <xf numFmtId="168" fontId="31" fillId="0" borderId="24" xfId="0" applyNumberFormat="1" applyFont="1" applyBorder="1"/>
    <xf numFmtId="168" fontId="29" fillId="0" borderId="18" xfId="0" applyNumberFormat="1" applyFont="1" applyBorder="1" applyAlignment="1">
      <alignment horizontal="center" wrapText="1"/>
    </xf>
    <xf numFmtId="168" fontId="30" fillId="0" borderId="24" xfId="0" applyNumberFormat="1" applyFont="1" applyBorder="1" applyAlignment="1">
      <alignment wrapText="1"/>
    </xf>
    <xf numFmtId="168" fontId="30" fillId="0" borderId="24" xfId="0" applyNumberFormat="1" applyFont="1" applyBorder="1" applyAlignment="1">
      <alignment horizontal="right"/>
    </xf>
    <xf numFmtId="168" fontId="30" fillId="0" borderId="24" xfId="0" applyNumberFormat="1" applyFont="1" applyBorder="1" applyAlignment="1">
      <alignment horizontal="right" wrapText="1"/>
    </xf>
    <xf numFmtId="168" fontId="31" fillId="0" borderId="24" xfId="0" applyNumberFormat="1" applyFont="1" applyBorder="1" applyAlignment="1">
      <alignment wrapText="1"/>
    </xf>
    <xf numFmtId="168" fontId="1" fillId="0" borderId="29" xfId="0" applyNumberFormat="1" applyFont="1" applyBorder="1" applyAlignment="1">
      <alignment horizontal="left" vertical="center"/>
    </xf>
    <xf numFmtId="168" fontId="31" fillId="0" borderId="33" xfId="0" applyNumberFormat="1" applyFont="1" applyBorder="1"/>
    <xf numFmtId="168" fontId="31" fillId="13" borderId="33" xfId="0" applyNumberFormat="1" applyFont="1" applyFill="1" applyBorder="1"/>
    <xf numFmtId="168" fontId="31" fillId="0" borderId="35" xfId="0" applyNumberFormat="1" applyFont="1" applyBorder="1"/>
    <xf numFmtId="168" fontId="2" fillId="0" borderId="24" xfId="0" applyNumberFormat="1" applyFont="1" applyBorder="1"/>
    <xf numFmtId="0" fontId="0" fillId="0" borderId="24" xfId="0" applyBorder="1"/>
    <xf numFmtId="168" fontId="28" fillId="0" borderId="24" xfId="0" applyNumberFormat="1" applyFont="1" applyBorder="1" applyAlignment="1">
      <alignment horizontal="center" wrapText="1"/>
    </xf>
    <xf numFmtId="168" fontId="1" fillId="0" borderId="32" xfId="0" applyNumberFormat="1" applyFont="1" applyBorder="1" applyAlignment="1">
      <alignment horizontal="left" vertical="center"/>
    </xf>
    <xf numFmtId="168" fontId="31" fillId="0" borderId="34" xfId="0" applyNumberFormat="1" applyFont="1" applyBorder="1"/>
    <xf numFmtId="168" fontId="31" fillId="0" borderId="38" xfId="0" applyNumberFormat="1" applyFont="1" applyBorder="1"/>
    <xf numFmtId="178" fontId="29" fillId="0" borderId="24" xfId="0" applyNumberFormat="1" applyFont="1" applyBorder="1" applyAlignment="1">
      <alignment horizontal="center" wrapText="1"/>
    </xf>
    <xf numFmtId="168" fontId="6" fillId="0" borderId="24" xfId="0" applyNumberFormat="1" applyFont="1" applyBorder="1" applyAlignment="1">
      <alignment horizontal="left" vertical="center"/>
    </xf>
    <xf numFmtId="168" fontId="29" fillId="0" borderId="24" xfId="0" applyNumberFormat="1" applyFont="1" applyBorder="1" applyAlignment="1">
      <alignment horizontal="center" wrapText="1"/>
    </xf>
    <xf numFmtId="168" fontId="33" fillId="0" borderId="24" xfId="0" applyNumberFormat="1" applyFont="1" applyBorder="1" applyAlignment="1">
      <alignment horizontal="right" wrapText="1"/>
    </xf>
    <xf numFmtId="168" fontId="33" fillId="0" borderId="24" xfId="0" applyNumberFormat="1" applyFont="1" applyBorder="1" applyAlignment="1">
      <alignment horizontal="right"/>
    </xf>
    <xf numFmtId="168" fontId="42" fillId="0" borderId="43" xfId="2" applyNumberFormat="1" applyFont="1" applyFill="1" applyBorder="1"/>
    <xf numFmtId="0" fontId="45" fillId="0" borderId="24" xfId="1" applyFont="1" applyAlignment="1">
      <alignment horizontal="left"/>
    </xf>
    <xf numFmtId="0" fontId="42" fillId="0" borderId="24" xfId="1" applyFont="1" applyAlignment="1">
      <alignment horizontal="left" vertical="center"/>
    </xf>
    <xf numFmtId="0" fontId="42" fillId="0" borderId="24" xfId="1" applyFont="1" applyAlignment="1">
      <alignment vertical="center"/>
    </xf>
    <xf numFmtId="0" fontId="45" fillId="0" borderId="24" xfId="1" applyFont="1"/>
    <xf numFmtId="0" fontId="45" fillId="0" borderId="24" xfId="1" applyFont="1" applyAlignment="1">
      <alignment readingOrder="2"/>
    </xf>
    <xf numFmtId="0" fontId="42" fillId="0" borderId="24" xfId="1" applyFont="1" applyAlignment="1">
      <alignment readingOrder="2"/>
    </xf>
    <xf numFmtId="3" fontId="42" fillId="0" borderId="34" xfId="1" applyNumberFormat="1" applyFont="1" applyBorder="1"/>
    <xf numFmtId="3" fontId="42" fillId="0" borderId="44" xfId="1" applyNumberFormat="1" applyFont="1" applyBorder="1"/>
    <xf numFmtId="14" fontId="2" fillId="0" borderId="0" xfId="0" applyNumberFormat="1" applyFont="1" applyAlignment="1">
      <alignment horizontal="left"/>
    </xf>
    <xf numFmtId="0" fontId="2" fillId="0" borderId="30" xfId="0" applyFont="1" applyBorder="1" applyAlignment="1">
      <alignment horizontal="center"/>
    </xf>
    <xf numFmtId="0" fontId="41" fillId="0" borderId="42" xfId="1" applyFont="1" applyBorder="1"/>
    <xf numFmtId="0" fontId="41" fillId="0" borderId="45" xfId="1" applyFont="1" applyBorder="1"/>
    <xf numFmtId="0" fontId="46" fillId="0" borderId="40" xfId="1" applyFont="1" applyBorder="1"/>
    <xf numFmtId="0" fontId="45" fillId="0" borderId="47" xfId="1" applyFont="1" applyBorder="1"/>
    <xf numFmtId="0" fontId="45" fillId="0" borderId="41" xfId="1" applyFont="1" applyBorder="1"/>
    <xf numFmtId="0" fontId="45" fillId="0" borderId="42" xfId="1" applyFont="1" applyBorder="1"/>
    <xf numFmtId="0" fontId="45" fillId="0" borderId="43" xfId="1" applyFont="1" applyBorder="1"/>
    <xf numFmtId="168" fontId="45" fillId="0" borderId="43" xfId="1" applyNumberFormat="1" applyFont="1" applyBorder="1"/>
    <xf numFmtId="0" fontId="45" fillId="0" borderId="45" xfId="1" applyFont="1" applyBorder="1"/>
    <xf numFmtId="0" fontId="46" fillId="0" borderId="48" xfId="1" applyFont="1" applyBorder="1"/>
    <xf numFmtId="168" fontId="45" fillId="0" borderId="46" xfId="1" applyNumberFormat="1" applyFont="1" applyBorder="1"/>
    <xf numFmtId="0" fontId="2" fillId="0" borderId="32" xfId="0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10" fontId="21" fillId="0" borderId="0" xfId="5" applyNumberFormat="1" applyFont="1"/>
    <xf numFmtId="186" fontId="21" fillId="0" borderId="0" xfId="5" applyNumberFormat="1" applyFont="1"/>
    <xf numFmtId="164" fontId="21" fillId="0" borderId="0" xfId="4" applyFont="1"/>
    <xf numFmtId="174" fontId="0" fillId="0" borderId="0" xfId="0" applyNumberFormat="1"/>
    <xf numFmtId="0" fontId="2" fillId="20" borderId="0" xfId="0" applyFont="1" applyFill="1" applyAlignment="1">
      <alignment horizontal="left"/>
    </xf>
    <xf numFmtId="0" fontId="49" fillId="0" borderId="24" xfId="1" applyFont="1"/>
    <xf numFmtId="168" fontId="45" fillId="0" borderId="24" xfId="2" applyNumberFormat="1" applyFont="1" applyBorder="1"/>
    <xf numFmtId="0" fontId="49" fillId="0" borderId="24" xfId="1" applyFont="1" applyAlignment="1">
      <alignment horizontal="center"/>
    </xf>
    <xf numFmtId="168" fontId="42" fillId="0" borderId="24" xfId="1" applyNumberFormat="1" applyFont="1"/>
    <xf numFmtId="168" fontId="42" fillId="18" borderId="28" xfId="2" applyNumberFormat="1" applyFont="1" applyFill="1" applyBorder="1"/>
    <xf numFmtId="168" fontId="45" fillId="0" borderId="24" xfId="2" applyNumberFormat="1" applyFont="1" applyFill="1" applyBorder="1"/>
    <xf numFmtId="168" fontId="42" fillId="0" borderId="27" xfId="2" applyNumberFormat="1" applyFont="1" applyBorder="1"/>
    <xf numFmtId="168" fontId="45" fillId="0" borderId="24" xfId="1" applyNumberFormat="1" applyFont="1"/>
    <xf numFmtId="3" fontId="45" fillId="0" borderId="24" xfId="1" applyNumberFormat="1" applyFont="1"/>
    <xf numFmtId="0" fontId="40" fillId="0" borderId="24" xfId="3"/>
    <xf numFmtId="0" fontId="45" fillId="0" borderId="24" xfId="3" applyFont="1"/>
    <xf numFmtId="0" fontId="41" fillId="0" borderId="47" xfId="1" applyFont="1" applyBorder="1"/>
    <xf numFmtId="3" fontId="42" fillId="0" borderId="43" xfId="1" applyNumberFormat="1" applyFont="1" applyBorder="1"/>
    <xf numFmtId="3" fontId="42" fillId="0" borderId="50" xfId="1" applyNumberFormat="1" applyFont="1" applyBorder="1"/>
    <xf numFmtId="0" fontId="41" fillId="0" borderId="48" xfId="1" applyFont="1" applyBorder="1"/>
    <xf numFmtId="3" fontId="42" fillId="0" borderId="46" xfId="1" applyNumberFormat="1" applyFont="1" applyBorder="1"/>
    <xf numFmtId="0" fontId="47" fillId="0" borderId="24" xfId="3" applyFont="1"/>
    <xf numFmtId="168" fontId="45" fillId="0" borderId="43" xfId="2" applyNumberFormat="1" applyFont="1" applyBorder="1"/>
    <xf numFmtId="0" fontId="46" fillId="0" borderId="24" xfId="1" applyFont="1"/>
    <xf numFmtId="0" fontId="45" fillId="0" borderId="42" xfId="3" applyFont="1" applyBorder="1"/>
    <xf numFmtId="0" fontId="46" fillId="0" borderId="24" xfId="3" applyFont="1"/>
    <xf numFmtId="0" fontId="45" fillId="0" borderId="43" xfId="3" applyFont="1" applyBorder="1"/>
    <xf numFmtId="168" fontId="45" fillId="0" borderId="43" xfId="3" applyNumberFormat="1" applyFont="1" applyBorder="1"/>
    <xf numFmtId="168" fontId="42" fillId="0" borderId="46" xfId="2" applyNumberFormat="1" applyFont="1" applyFill="1" applyBorder="1"/>
    <xf numFmtId="0" fontId="47" fillId="0" borderId="49" xfId="3" applyFont="1" applyBorder="1" applyAlignment="1">
      <alignment horizontal="center"/>
    </xf>
    <xf numFmtId="168" fontId="0" fillId="0" borderId="24" xfId="2" applyNumberFormat="1" applyFont="1" applyAlignment="1"/>
    <xf numFmtId="168" fontId="0" fillId="0" borderId="49" xfId="2" applyNumberFormat="1" applyFont="1" applyBorder="1" applyAlignment="1"/>
    <xf numFmtId="0" fontId="42" fillId="0" borderId="28" xfId="1" applyFont="1" applyBorder="1"/>
    <xf numFmtId="168" fontId="1" fillId="21" borderId="0" xfId="0" applyNumberFormat="1" applyFont="1" applyFill="1" applyAlignment="1">
      <alignment horizontal="center" vertical="center" wrapText="1"/>
    </xf>
    <xf numFmtId="168" fontId="1" fillId="21" borderId="14" xfId="0" applyNumberFormat="1" applyFont="1" applyFill="1" applyBorder="1" applyAlignment="1">
      <alignment horizontal="center" vertical="center" wrapText="1"/>
    </xf>
    <xf numFmtId="168" fontId="6" fillId="22" borderId="7" xfId="0" applyNumberFormat="1" applyFont="1" applyFill="1" applyBorder="1" applyAlignment="1">
      <alignment horizontal="left" vertical="center" wrapText="1"/>
    </xf>
    <xf numFmtId="168" fontId="1" fillId="0" borderId="14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7" xfId="0" applyFont="1" applyBorder="1"/>
    <xf numFmtId="0" fontId="18" fillId="0" borderId="47" xfId="0" applyFont="1" applyBorder="1" applyAlignment="1">
      <alignment horizontal="right"/>
    </xf>
    <xf numFmtId="0" fontId="1" fillId="0" borderId="47" xfId="0" applyFont="1" applyBorder="1" applyAlignment="1">
      <alignment horizontal="left"/>
    </xf>
    <xf numFmtId="175" fontId="2" fillId="0" borderId="47" xfId="0" applyNumberFormat="1" applyFont="1" applyBorder="1"/>
    <xf numFmtId="0" fontId="2" fillId="0" borderId="41" xfId="0" applyFont="1" applyBorder="1" applyAlignment="1">
      <alignment horizontal="right"/>
    </xf>
    <xf numFmtId="0" fontId="2" fillId="0" borderId="42" xfId="0" applyFont="1" applyBorder="1"/>
    <xf numFmtId="0" fontId="2" fillId="0" borderId="24" xfId="0" applyFont="1" applyBorder="1"/>
    <xf numFmtId="0" fontId="18" fillId="0" borderId="24" xfId="0" applyFont="1" applyBorder="1" applyAlignment="1">
      <alignment horizontal="right"/>
    </xf>
    <xf numFmtId="175" fontId="2" fillId="0" borderId="24" xfId="0" applyNumberFormat="1" applyFont="1" applyBorder="1"/>
    <xf numFmtId="0" fontId="2" fillId="0" borderId="43" xfId="0" applyFont="1" applyBorder="1"/>
    <xf numFmtId="0" fontId="2" fillId="0" borderId="45" xfId="0" applyFont="1" applyBorder="1"/>
    <xf numFmtId="0" fontId="2" fillId="0" borderId="48" xfId="0" applyFont="1" applyBorder="1"/>
    <xf numFmtId="4" fontId="1" fillId="0" borderId="48" xfId="0" applyNumberFormat="1" applyFont="1" applyBorder="1" applyAlignment="1">
      <alignment horizontal="left"/>
    </xf>
    <xf numFmtId="175" fontId="2" fillId="0" borderId="48" xfId="0" applyNumberFormat="1" applyFont="1" applyBorder="1"/>
    <xf numFmtId="0" fontId="2" fillId="0" borderId="46" xfId="0" applyFont="1" applyBorder="1"/>
    <xf numFmtId="0" fontId="2" fillId="0" borderId="43" xfId="0" applyFont="1" applyBorder="1" applyAlignment="1">
      <alignment horizontal="right"/>
    </xf>
    <xf numFmtId="14" fontId="3" fillId="6" borderId="24" xfId="0" applyNumberFormat="1" applyFont="1" applyFill="1" applyBorder="1" applyAlignment="1">
      <alignment horizontal="center"/>
    </xf>
    <xf numFmtId="0" fontId="20" fillId="7" borderId="24" xfId="0" applyFont="1" applyFill="1" applyBorder="1" applyAlignment="1">
      <alignment horizontal="center"/>
    </xf>
    <xf numFmtId="168" fontId="1" fillId="0" borderId="18" xfId="0" applyNumberFormat="1" applyFont="1" applyBorder="1"/>
    <xf numFmtId="168" fontId="1" fillId="8" borderId="24" xfId="0" applyNumberFormat="1" applyFont="1" applyFill="1" applyBorder="1"/>
    <xf numFmtId="168" fontId="1" fillId="8" borderId="24" xfId="0" applyNumberFormat="1" applyFont="1" applyFill="1" applyBorder="1" applyAlignment="1">
      <alignment horizontal="center" vertical="center" wrapText="1"/>
    </xf>
    <xf numFmtId="168" fontId="1" fillId="0" borderId="18" xfId="0" applyNumberFormat="1" applyFont="1" applyBorder="1" applyAlignment="1">
      <alignment horizontal="center" vertical="center" wrapText="1"/>
    </xf>
    <xf numFmtId="174" fontId="1" fillId="0" borderId="18" xfId="0" applyNumberFormat="1" applyFont="1" applyBorder="1"/>
    <xf numFmtId="164" fontId="1" fillId="0" borderId="16" xfId="0" applyNumberFormat="1" applyFont="1" applyBorder="1" applyAlignment="1">
      <alignment horizontal="center" vertical="center" wrapText="1"/>
    </xf>
    <xf numFmtId="187" fontId="40" fillId="0" borderId="54" xfId="7" applyNumberFormat="1" applyFont="1" applyBorder="1"/>
    <xf numFmtId="187" fontId="40" fillId="0" borderId="55" xfId="7" applyNumberFormat="1" applyFont="1" applyBorder="1" applyAlignment="1">
      <alignment horizontal="center"/>
    </xf>
    <xf numFmtId="187" fontId="40" fillId="0" borderId="24" xfId="7" applyNumberFormat="1" applyFont="1" applyBorder="1"/>
    <xf numFmtId="188" fontId="53" fillId="0" borderId="24" xfId="6" applyNumberFormat="1" applyFont="1"/>
    <xf numFmtId="0" fontId="40" fillId="0" borderId="24" xfId="6" applyFont="1"/>
    <xf numFmtId="14" fontId="55" fillId="0" borderId="24" xfId="1" applyNumberFormat="1" applyFont="1" applyAlignment="1">
      <alignment horizontal="left"/>
    </xf>
    <xf numFmtId="0" fontId="53" fillId="0" borderId="24" xfId="6" applyFont="1"/>
    <xf numFmtId="0" fontId="55" fillId="0" borderId="24" xfId="1" applyFont="1"/>
    <xf numFmtId="0" fontId="55" fillId="17" borderId="12" xfId="1" applyFont="1" applyFill="1" applyBorder="1" applyAlignment="1">
      <alignment horizontal="center"/>
    </xf>
    <xf numFmtId="14" fontId="55" fillId="17" borderId="12" xfId="1" applyNumberFormat="1" applyFont="1" applyFill="1" applyBorder="1" applyAlignment="1">
      <alignment horizontal="center"/>
    </xf>
    <xf numFmtId="0" fontId="53" fillId="0" borderId="24" xfId="6" applyFont="1" applyAlignment="1">
      <alignment horizontal="center"/>
    </xf>
    <xf numFmtId="0" fontId="55" fillId="0" borderId="51" xfId="6" applyFont="1" applyBorder="1"/>
    <xf numFmtId="187" fontId="55" fillId="0" borderId="52" xfId="7" applyNumberFormat="1" applyFont="1" applyBorder="1"/>
    <xf numFmtId="187" fontId="55" fillId="0" borderId="53" xfId="7" applyNumberFormat="1" applyFont="1" applyBorder="1" applyAlignment="1">
      <alignment horizontal="center"/>
    </xf>
    <xf numFmtId="187" fontId="55" fillId="0" borderId="51" xfId="7" applyNumberFormat="1" applyFont="1" applyBorder="1"/>
    <xf numFmtId="0" fontId="55" fillId="0" borderId="51" xfId="6" applyFont="1" applyBorder="1" applyAlignment="1">
      <alignment horizontal="center"/>
    </xf>
    <xf numFmtId="188" fontId="55" fillId="0" borderId="51" xfId="6" applyNumberFormat="1" applyFont="1" applyBorder="1"/>
    <xf numFmtId="0" fontId="55" fillId="0" borderId="49" xfId="6" applyFont="1" applyBorder="1"/>
    <xf numFmtId="187" fontId="55" fillId="0" borderId="56" xfId="7" applyNumberFormat="1" applyFont="1" applyBorder="1"/>
    <xf numFmtId="187" fontId="55" fillId="0" borderId="57" xfId="7" applyNumberFormat="1" applyFont="1" applyBorder="1" applyAlignment="1">
      <alignment horizontal="center"/>
    </xf>
    <xf numFmtId="187" fontId="55" fillId="0" borderId="49" xfId="7" applyNumberFormat="1" applyFont="1" applyBorder="1"/>
    <xf numFmtId="187" fontId="55" fillId="0" borderId="49" xfId="7" applyNumberFormat="1" applyFont="1" applyBorder="1" applyAlignment="1">
      <alignment horizontal="center"/>
    </xf>
    <xf numFmtId="188" fontId="55" fillId="0" borderId="49" xfId="6" applyNumberFormat="1" applyFont="1" applyBorder="1"/>
    <xf numFmtId="0" fontId="53" fillId="0" borderId="55" xfId="6" applyFont="1" applyBorder="1"/>
    <xf numFmtId="0" fontId="53" fillId="0" borderId="24" xfId="6" applyFont="1" applyAlignment="1">
      <alignment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7" fillId="0" borderId="49" xfId="0" applyFont="1" applyBorder="1" applyAlignment="1">
      <alignment horizontal="center"/>
    </xf>
    <xf numFmtId="14" fontId="47" fillId="0" borderId="49" xfId="0" applyNumberFormat="1" applyFont="1" applyBorder="1" applyAlignment="1">
      <alignment horizontal="center"/>
    </xf>
    <xf numFmtId="168" fontId="0" fillId="0" borderId="49" xfId="4" applyNumberFormat="1" applyFont="1" applyBorder="1" applyAlignment="1"/>
    <xf numFmtId="168" fontId="0" fillId="0" borderId="0" xfId="4" applyNumberFormat="1" applyFont="1" applyAlignment="1"/>
    <xf numFmtId="168" fontId="0" fillId="0" borderId="58" xfId="4" applyNumberFormat="1" applyFont="1" applyBorder="1" applyAlignment="1"/>
    <xf numFmtId="0" fontId="54" fillId="0" borderId="0" xfId="0" applyFont="1" applyAlignment="1">
      <alignment horizontal="center"/>
    </xf>
    <xf numFmtId="0" fontId="54" fillId="0" borderId="0" xfId="0" applyFont="1"/>
    <xf numFmtId="168" fontId="56" fillId="0" borderId="0" xfId="4" applyNumberFormat="1" applyFont="1"/>
    <xf numFmtId="168" fontId="1" fillId="0" borderId="0" xfId="4" applyNumberFormat="1" applyFont="1"/>
    <xf numFmtId="164" fontId="56" fillId="0" borderId="0" xfId="4" applyFont="1"/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54" fillId="0" borderId="49" xfId="0" applyFont="1" applyBorder="1" applyAlignment="1">
      <alignment horizontal="center"/>
    </xf>
    <xf numFmtId="0" fontId="54" fillId="0" borderId="49" xfId="0" applyFont="1" applyBorder="1"/>
    <xf numFmtId="168" fontId="56" fillId="0" borderId="49" xfId="4" applyNumberFormat="1" applyFont="1" applyBorder="1"/>
    <xf numFmtId="0" fontId="0" fillId="0" borderId="49" xfId="0" applyBorder="1"/>
    <xf numFmtId="168" fontId="1" fillId="0" borderId="49" xfId="4" applyNumberFormat="1" applyFont="1" applyBorder="1"/>
    <xf numFmtId="0" fontId="50" fillId="24" borderId="59" xfId="0" applyFont="1" applyFill="1" applyBorder="1" applyAlignment="1">
      <alignment horizontal="center"/>
    </xf>
    <xf numFmtId="0" fontId="6" fillId="24" borderId="60" xfId="0" applyFont="1" applyFill="1" applyBorder="1" applyAlignment="1">
      <alignment horizontal="center"/>
    </xf>
    <xf numFmtId="0" fontId="54" fillId="24" borderId="60" xfId="0" applyFont="1" applyFill="1" applyBorder="1"/>
    <xf numFmtId="14" fontId="52" fillId="24" borderId="60" xfId="0" applyNumberFormat="1" applyFont="1" applyFill="1" applyBorder="1" applyAlignment="1">
      <alignment horizontal="center"/>
    </xf>
    <xf numFmtId="0" fontId="54" fillId="24" borderId="60" xfId="0" applyFont="1" applyFill="1" applyBorder="1" applyAlignment="1">
      <alignment horizontal="center"/>
    </xf>
    <xf numFmtId="0" fontId="47" fillId="0" borderId="0" xfId="0" applyFont="1"/>
    <xf numFmtId="168" fontId="1" fillId="0" borderId="0" xfId="4" applyNumberFormat="1" applyFont="1" applyAlignment="1">
      <alignment horizontal="center" vertical="center" wrapText="1"/>
    </xf>
    <xf numFmtId="168" fontId="0" fillId="0" borderId="61" xfId="4" applyNumberFormat="1" applyFont="1" applyBorder="1" applyAlignment="1"/>
    <xf numFmtId="168" fontId="0" fillId="0" borderId="24" xfId="4" applyNumberFormat="1" applyFont="1" applyFill="1" applyBorder="1" applyAlignment="1"/>
    <xf numFmtId="168" fontId="0" fillId="0" borderId="0" xfId="0" applyNumberFormat="1"/>
    <xf numFmtId="168" fontId="0" fillId="0" borderId="49" xfId="4" applyNumberFormat="1" applyFont="1" applyFill="1" applyBorder="1" applyAlignment="1"/>
    <xf numFmtId="0" fontId="57" fillId="0" borderId="0" xfId="0" applyFont="1" applyAlignment="1">
      <alignment horizontal="center"/>
    </xf>
    <xf numFmtId="168" fontId="0" fillId="0" borderId="24" xfId="4" applyNumberFormat="1" applyFont="1" applyBorder="1" applyAlignment="1"/>
    <xf numFmtId="0" fontId="2" fillId="0" borderId="0" xfId="0" applyFont="1" applyAlignment="1">
      <alignment horizontal="left" vertical="center"/>
    </xf>
    <xf numFmtId="168" fontId="1" fillId="0" borderId="30" xfId="0" applyNumberFormat="1" applyFont="1" applyBorder="1"/>
    <xf numFmtId="168" fontId="2" fillId="0" borderId="30" xfId="0" applyNumberFormat="1" applyFont="1" applyBorder="1"/>
    <xf numFmtId="168" fontId="2" fillId="0" borderId="26" xfId="0" applyNumberFormat="1" applyFont="1" applyBorder="1"/>
    <xf numFmtId="172" fontId="1" fillId="0" borderId="0" xfId="0" applyNumberFormat="1" applyFont="1"/>
    <xf numFmtId="168" fontId="1" fillId="0" borderId="47" xfId="0" applyNumberFormat="1" applyFont="1" applyBorder="1"/>
    <xf numFmtId="168" fontId="2" fillId="0" borderId="47" xfId="0" applyNumberFormat="1" applyFont="1" applyBorder="1"/>
    <xf numFmtId="168" fontId="2" fillId="0" borderId="48" xfId="0" applyNumberFormat="1" applyFont="1" applyBorder="1"/>
    <xf numFmtId="4" fontId="58" fillId="0" borderId="47" xfId="0" applyNumberFormat="1" applyFont="1" applyBorder="1"/>
    <xf numFmtId="0" fontId="0" fillId="0" borderId="48" xfId="0" applyBorder="1"/>
    <xf numFmtId="0" fontId="0" fillId="0" borderId="47" xfId="0" applyBorder="1"/>
    <xf numFmtId="0" fontId="0" fillId="0" borderId="42" xfId="0" applyBorder="1"/>
    <xf numFmtId="0" fontId="0" fillId="0" borderId="43" xfId="0" applyBorder="1"/>
    <xf numFmtId="0" fontId="0" fillId="0" borderId="45" xfId="0" applyBorder="1"/>
    <xf numFmtId="0" fontId="0" fillId="0" borderId="46" xfId="0" applyBorder="1"/>
    <xf numFmtId="0" fontId="18" fillId="25" borderId="0" xfId="0" applyFont="1" applyFill="1" applyAlignment="1">
      <alignment horizontal="right"/>
    </xf>
    <xf numFmtId="164" fontId="18" fillId="25" borderId="0" xfId="0" applyNumberFormat="1" applyFont="1" applyFill="1" applyAlignment="1">
      <alignment horizontal="right"/>
    </xf>
    <xf numFmtId="0" fontId="40" fillId="25" borderId="0" xfId="0" applyFont="1" applyFill="1"/>
    <xf numFmtId="168" fontId="42" fillId="0" borderId="24" xfId="4" applyNumberFormat="1" applyFont="1" applyBorder="1"/>
    <xf numFmtId="179" fontId="30" fillId="0" borderId="24" xfId="0" applyNumberFormat="1" applyFont="1" applyBorder="1" applyAlignment="1">
      <alignment horizontal="right" wrapText="1"/>
    </xf>
    <xf numFmtId="168" fontId="2" fillId="5" borderId="24" xfId="0" applyNumberFormat="1" applyFont="1" applyFill="1" applyBorder="1"/>
    <xf numFmtId="180" fontId="2" fillId="0" borderId="40" xfId="0" applyNumberFormat="1" applyFont="1" applyBorder="1"/>
    <xf numFmtId="0" fontId="2" fillId="0" borderId="41" xfId="0" applyFont="1" applyBorder="1"/>
    <xf numFmtId="179" fontId="30" fillId="0" borderId="42" xfId="0" applyNumberFormat="1" applyFont="1" applyBorder="1" applyAlignment="1">
      <alignment horizontal="right" wrapText="1"/>
    </xf>
    <xf numFmtId="0" fontId="2" fillId="5" borderId="43" xfId="0" applyFont="1" applyFill="1" applyBorder="1"/>
    <xf numFmtId="179" fontId="30" fillId="0" borderId="45" xfId="0" applyNumberFormat="1" applyFont="1" applyBorder="1" applyAlignment="1">
      <alignment horizontal="right" wrapText="1"/>
    </xf>
    <xf numFmtId="179" fontId="30" fillId="0" borderId="48" xfId="0" applyNumberFormat="1" applyFont="1" applyBorder="1" applyAlignment="1">
      <alignment horizontal="right" wrapText="1"/>
    </xf>
    <xf numFmtId="0" fontId="23" fillId="27" borderId="0" xfId="0" applyFont="1" applyFill="1" applyAlignment="1">
      <alignment horizontal="left"/>
    </xf>
    <xf numFmtId="0" fontId="2" fillId="27" borderId="0" xfId="0" applyFont="1" applyFill="1"/>
    <xf numFmtId="184" fontId="1" fillId="0" borderId="24" xfId="0" applyNumberFormat="1" applyFont="1" applyBorder="1"/>
    <xf numFmtId="184" fontId="2" fillId="0" borderId="24" xfId="0" applyNumberFormat="1" applyFont="1" applyBorder="1"/>
    <xf numFmtId="0" fontId="2" fillId="0" borderId="47" xfId="0" applyFont="1" applyBorder="1" applyAlignment="1">
      <alignment horizontal="left"/>
    </xf>
    <xf numFmtId="184" fontId="1" fillId="0" borderId="47" xfId="0" applyNumberFormat="1" applyFont="1" applyBorder="1"/>
    <xf numFmtId="184" fontId="2" fillId="0" borderId="47" xfId="0" applyNumberFormat="1" applyFont="1" applyBorder="1"/>
    <xf numFmtId="0" fontId="2" fillId="0" borderId="24" xfId="0" applyFont="1" applyBorder="1" applyAlignment="1">
      <alignment horizontal="left"/>
    </xf>
    <xf numFmtId="174" fontId="0" fillId="0" borderId="24" xfId="0" applyNumberFormat="1" applyBorder="1"/>
    <xf numFmtId="0" fontId="40" fillId="0" borderId="29" xfId="0" applyFont="1" applyBorder="1"/>
    <xf numFmtId="0" fontId="40" fillId="0" borderId="30" xfId="0" applyFont="1" applyBorder="1"/>
    <xf numFmtId="0" fontId="8" fillId="0" borderId="30" xfId="0" applyFont="1" applyBorder="1" applyAlignment="1">
      <alignment horizontal="left"/>
    </xf>
    <xf numFmtId="184" fontId="40" fillId="0" borderId="30" xfId="0" applyNumberFormat="1" applyFont="1" applyBorder="1"/>
    <xf numFmtId="0" fontId="40" fillId="0" borderId="32" xfId="0" applyFont="1" applyBorder="1" applyAlignment="1">
      <alignment readingOrder="2"/>
    </xf>
    <xf numFmtId="0" fontId="40" fillId="0" borderId="33" xfId="0" applyFont="1" applyBorder="1"/>
    <xf numFmtId="0" fontId="40" fillId="0" borderId="24" xfId="0" applyFont="1" applyBorder="1"/>
    <xf numFmtId="0" fontId="8" fillId="0" borderId="24" xfId="0" applyFont="1" applyBorder="1" applyAlignment="1">
      <alignment horizontal="left" readingOrder="2"/>
    </xf>
    <xf numFmtId="184" fontId="8" fillId="0" borderId="24" xfId="0" applyNumberFormat="1" applyFont="1" applyBorder="1"/>
    <xf numFmtId="0" fontId="40" fillId="0" borderId="34" xfId="0" applyFont="1" applyBorder="1"/>
    <xf numFmtId="0" fontId="40" fillId="0" borderId="35" xfId="0" applyFont="1" applyBorder="1"/>
    <xf numFmtId="0" fontId="40" fillId="0" borderId="26" xfId="0" applyFont="1" applyBorder="1"/>
    <xf numFmtId="4" fontId="8" fillId="0" borderId="26" xfId="0" applyNumberFormat="1" applyFont="1" applyBorder="1" applyAlignment="1">
      <alignment horizontal="left"/>
    </xf>
    <xf numFmtId="0" fontId="40" fillId="0" borderId="38" xfId="0" applyFont="1" applyBorder="1"/>
    <xf numFmtId="168" fontId="60" fillId="0" borderId="38" xfId="0" applyNumberFormat="1" applyFont="1" applyBorder="1"/>
    <xf numFmtId="168" fontId="31" fillId="26" borderId="34" xfId="0" applyNumberFormat="1" applyFont="1" applyFill="1" applyBorder="1"/>
    <xf numFmtId="189" fontId="0" fillId="0" borderId="0" xfId="0" applyNumberFormat="1"/>
    <xf numFmtId="189" fontId="2" fillId="0" borderId="0" xfId="0" applyNumberFormat="1" applyFont="1"/>
    <xf numFmtId="184" fontId="1" fillId="0" borderId="30" xfId="0" applyNumberFormat="1" applyFont="1" applyBorder="1"/>
    <xf numFmtId="184" fontId="8" fillId="0" borderId="30" xfId="0" applyNumberFormat="1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47" xfId="0" applyFont="1" applyBorder="1" applyAlignment="1">
      <alignment horizontal="center"/>
    </xf>
    <xf numFmtId="168" fontId="1" fillId="0" borderId="62" xfId="0" applyNumberFormat="1" applyFont="1" applyBorder="1"/>
    <xf numFmtId="168" fontId="1" fillId="0" borderId="63" xfId="0" applyNumberFormat="1" applyFont="1" applyBorder="1"/>
    <xf numFmtId="168" fontId="1" fillId="0" borderId="64" xfId="0" applyNumberFormat="1" applyFont="1" applyBorder="1" applyAlignment="1">
      <alignment horizontal="center" vertical="center" wrapText="1"/>
    </xf>
    <xf numFmtId="0" fontId="0" fillId="0" borderId="40" xfId="0" applyBorder="1"/>
    <xf numFmtId="0" fontId="40" fillId="0" borderId="41" xfId="0" applyFont="1" applyBorder="1"/>
    <xf numFmtId="168" fontId="0" fillId="0" borderId="48" xfId="0" applyNumberFormat="1" applyBorder="1"/>
    <xf numFmtId="188" fontId="0" fillId="0" borderId="24" xfId="0" applyNumberFormat="1" applyBorder="1"/>
    <xf numFmtId="188" fontId="1" fillId="0" borderId="0" xfId="0" applyNumberFormat="1" applyFont="1"/>
    <xf numFmtId="188" fontId="0" fillId="0" borderId="24" xfId="4" applyNumberFormat="1" applyFont="1" applyFill="1" applyBorder="1" applyAlignment="1"/>
    <xf numFmtId="16" fontId="2" fillId="0" borderId="24" xfId="0" applyNumberFormat="1" applyFont="1" applyBorder="1"/>
    <xf numFmtId="0" fontId="2" fillId="0" borderId="65" xfId="0" applyFont="1" applyBorder="1"/>
    <xf numFmtId="0" fontId="2" fillId="0" borderId="66" xfId="0" applyFont="1" applyBorder="1"/>
    <xf numFmtId="0" fontId="1" fillId="0" borderId="66" xfId="0" applyFont="1" applyBorder="1" applyAlignment="1">
      <alignment horizontal="left" vertical="center"/>
    </xf>
    <xf numFmtId="184" fontId="1" fillId="0" borderId="66" xfId="0" applyNumberFormat="1" applyFont="1" applyBorder="1"/>
    <xf numFmtId="184" fontId="2" fillId="0" borderId="66" xfId="0" applyNumberFormat="1" applyFont="1" applyBorder="1"/>
    <xf numFmtId="0" fontId="2" fillId="0" borderId="67" xfId="0" applyFont="1" applyBorder="1" applyAlignment="1">
      <alignment horizontal="right"/>
    </xf>
    <xf numFmtId="0" fontId="2" fillId="0" borderId="68" xfId="0" applyFont="1" applyBorder="1"/>
    <xf numFmtId="0" fontId="1" fillId="0" borderId="24" xfId="0" applyFont="1" applyBorder="1" applyAlignment="1">
      <alignment horizontal="left" vertical="center"/>
    </xf>
    <xf numFmtId="0" fontId="2" fillId="0" borderId="69" xfId="0" applyFont="1" applyBorder="1" applyAlignment="1">
      <alignment horizontal="right"/>
    </xf>
    <xf numFmtId="0" fontId="2" fillId="0" borderId="70" xfId="0" applyFont="1" applyBorder="1"/>
    <xf numFmtId="0" fontId="2" fillId="0" borderId="71" xfId="0" applyFont="1" applyBorder="1"/>
    <xf numFmtId="4" fontId="1" fillId="0" borderId="71" xfId="0" applyNumberFormat="1" applyFont="1" applyBorder="1" applyAlignment="1">
      <alignment horizontal="left"/>
    </xf>
    <xf numFmtId="0" fontId="2" fillId="0" borderId="72" xfId="0" applyFont="1" applyBorder="1"/>
    <xf numFmtId="164" fontId="2" fillId="0" borderId="0" xfId="0" applyNumberFormat="1" applyFont="1"/>
    <xf numFmtId="168" fontId="47" fillId="0" borderId="0" xfId="0" applyNumberFormat="1" applyFont="1"/>
    <xf numFmtId="168" fontId="47" fillId="0" borderId="58" xfId="0" applyNumberFormat="1" applyFont="1" applyBorder="1"/>
    <xf numFmtId="168" fontId="47" fillId="0" borderId="51" xfId="0" applyNumberFormat="1" applyFont="1" applyBorder="1"/>
    <xf numFmtId="168" fontId="47" fillId="0" borderId="51" xfId="4" applyNumberFormat="1" applyFont="1" applyBorder="1" applyAlignment="1"/>
    <xf numFmtId="168" fontId="0" fillId="0" borderId="73" xfId="0" applyNumberFormat="1" applyBorder="1"/>
    <xf numFmtId="0" fontId="0" fillId="28" borderId="0" xfId="0" applyFill="1"/>
    <xf numFmtId="0" fontId="1" fillId="8" borderId="16" xfId="0" applyFont="1" applyFill="1" applyBorder="1" applyAlignment="1">
      <alignment horizontal="left" vertical="center"/>
    </xf>
    <xf numFmtId="0" fontId="1" fillId="8" borderId="18" xfId="0" applyFont="1" applyFill="1" applyBorder="1" applyAlignment="1">
      <alignment horizontal="left" vertical="center"/>
    </xf>
    <xf numFmtId="168" fontId="6" fillId="22" borderId="7" xfId="0" applyNumberFormat="1" applyFont="1" applyFill="1" applyBorder="1" applyAlignment="1">
      <alignment horizontal="left" vertical="center"/>
    </xf>
    <xf numFmtId="0" fontId="1" fillId="7" borderId="20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168" fontId="1" fillId="0" borderId="24" xfId="0" applyNumberFormat="1" applyFont="1" applyBorder="1" applyAlignment="1">
      <alignment horizontal="center" vertical="center" wrapText="1"/>
    </xf>
    <xf numFmtId="9" fontId="1" fillId="0" borderId="24" xfId="0" applyNumberFormat="1" applyFont="1" applyBorder="1"/>
    <xf numFmtId="168" fontId="1" fillId="21" borderId="24" xfId="0" applyNumberFormat="1" applyFont="1" applyFill="1" applyBorder="1" applyAlignment="1">
      <alignment horizontal="center" vertical="center" wrapText="1"/>
    </xf>
    <xf numFmtId="168" fontId="6" fillId="0" borderId="24" xfId="0" applyNumberFormat="1" applyFont="1" applyBorder="1" applyAlignment="1">
      <alignment horizontal="left" vertical="center" wrapText="1"/>
    </xf>
    <xf numFmtId="0" fontId="2" fillId="0" borderId="24" xfId="8"/>
    <xf numFmtId="0" fontId="8" fillId="0" borderId="24" xfId="8" applyFont="1"/>
    <xf numFmtId="3" fontId="8" fillId="0" borderId="24" xfId="8" applyNumberFormat="1" applyFont="1"/>
    <xf numFmtId="0" fontId="7" fillId="0" borderId="24" xfId="8" applyFont="1"/>
    <xf numFmtId="3" fontId="7" fillId="0" borderId="24" xfId="8" applyNumberFormat="1" applyFont="1"/>
    <xf numFmtId="0" fontId="61" fillId="0" borderId="24" xfId="8" applyFont="1"/>
    <xf numFmtId="9" fontId="62" fillId="0" borderId="24" xfId="8" applyNumberFormat="1" applyFont="1"/>
    <xf numFmtId="0" fontId="2" fillId="0" borderId="24" xfId="1"/>
    <xf numFmtId="168" fontId="2" fillId="0" borderId="24" xfId="9" applyNumberFormat="1" applyBorder="1"/>
    <xf numFmtId="168" fontId="2" fillId="26" borderId="24" xfId="9" applyNumberFormat="1" applyFill="1" applyBorder="1"/>
    <xf numFmtId="174" fontId="1" fillId="30" borderId="24" xfId="0" applyNumberFormat="1" applyFont="1" applyFill="1" applyBorder="1"/>
    <xf numFmtId="168" fontId="30" fillId="30" borderId="24" xfId="0" applyNumberFormat="1" applyFont="1" applyFill="1" applyBorder="1" applyAlignment="1">
      <alignment horizontal="right"/>
    </xf>
    <xf numFmtId="0" fontId="63" fillId="31" borderId="24" xfId="8" applyFont="1" applyFill="1"/>
    <xf numFmtId="0" fontId="64" fillId="0" borderId="24" xfId="8" applyFont="1"/>
    <xf numFmtId="0" fontId="17" fillId="0" borderId="24" xfId="8" applyFont="1"/>
    <xf numFmtId="168" fontId="17" fillId="0" borderId="24" xfId="9" applyNumberFormat="1" applyFont="1" applyBorder="1"/>
    <xf numFmtId="168" fontId="17" fillId="0" borderId="24" xfId="9" applyNumberFormat="1" applyFont="1" applyFill="1" applyBorder="1"/>
    <xf numFmtId="168" fontId="64" fillId="0" borderId="74" xfId="9" applyNumberFormat="1" applyFont="1" applyBorder="1"/>
    <xf numFmtId="9" fontId="17" fillId="0" borderId="24" xfId="5" applyFont="1" applyBorder="1"/>
    <xf numFmtId="168" fontId="2" fillId="0" borderId="24" xfId="9" applyNumberFormat="1" applyFill="1" applyBorder="1"/>
    <xf numFmtId="168" fontId="2" fillId="0" borderId="24" xfId="8" applyNumberFormat="1"/>
    <xf numFmtId="0" fontId="2" fillId="27" borderId="24" xfId="8" applyFill="1"/>
    <xf numFmtId="168" fontId="42" fillId="0" borderId="12" xfId="4" applyNumberFormat="1" applyFont="1" applyBorder="1"/>
    <xf numFmtId="168" fontId="42" fillId="0" borderId="24" xfId="4" applyNumberFormat="1" applyFont="1" applyFill="1" applyBorder="1"/>
    <xf numFmtId="168" fontId="42" fillId="18" borderId="28" xfId="4" applyNumberFormat="1" applyFont="1" applyFill="1" applyBorder="1"/>
    <xf numFmtId="168" fontId="2" fillId="0" borderId="0" xfId="4" applyNumberFormat="1" applyFont="1"/>
    <xf numFmtId="168" fontId="6" fillId="0" borderId="0" xfId="4" applyNumberFormat="1" applyFont="1"/>
    <xf numFmtId="168" fontId="3" fillId="0" borderId="0" xfId="4" applyNumberFormat="1" applyFont="1"/>
    <xf numFmtId="175" fontId="0" fillId="0" borderId="0" xfId="0" applyNumberFormat="1"/>
    <xf numFmtId="168" fontId="2" fillId="0" borderId="0" xfId="4" applyNumberFormat="1" applyFont="1" applyFill="1"/>
    <xf numFmtId="168" fontId="6" fillId="0" borderId="0" xfId="4" applyNumberFormat="1" applyFont="1" applyFill="1"/>
    <xf numFmtId="0" fontId="1" fillId="30" borderId="0" xfId="0" applyFont="1" applyFill="1" applyAlignment="1">
      <alignment horizontal="left" vertical="center"/>
    </xf>
    <xf numFmtId="168" fontId="30" fillId="30" borderId="24" xfId="0" applyNumberFormat="1" applyFont="1" applyFill="1" applyBorder="1" applyAlignment="1">
      <alignment horizontal="right" wrapText="1"/>
    </xf>
    <xf numFmtId="168" fontId="42" fillId="0" borderId="43" xfId="4" applyNumberFormat="1" applyFont="1" applyFill="1" applyBorder="1"/>
    <xf numFmtId="188" fontId="2" fillId="0" borderId="24" xfId="0" applyNumberFormat="1" applyFont="1" applyBorder="1"/>
    <xf numFmtId="168" fontId="42" fillId="20" borderId="43" xfId="2" applyNumberFormat="1" applyFont="1" applyFill="1" applyBorder="1"/>
    <xf numFmtId="168" fontId="45" fillId="0" borderId="43" xfId="4" applyNumberFormat="1" applyFont="1" applyBorder="1"/>
    <xf numFmtId="168" fontId="0" fillId="0" borderId="47" xfId="4" applyNumberFormat="1" applyFont="1" applyBorder="1" applyAlignment="1"/>
    <xf numFmtId="4" fontId="0" fillId="0" borderId="0" xfId="0" applyNumberFormat="1"/>
    <xf numFmtId="168" fontId="40" fillId="0" borderId="0" xfId="4" applyNumberFormat="1" applyFont="1" applyAlignment="1"/>
    <xf numFmtId="0" fontId="1" fillId="0" borderId="47" xfId="0" applyFont="1" applyBorder="1" applyAlignment="1">
      <alignment horizontal="left" vertical="center"/>
    </xf>
    <xf numFmtId="168" fontId="0" fillId="0" borderId="24" xfId="2" applyNumberFormat="1" applyFont="1" applyFill="1" applyAlignment="1"/>
    <xf numFmtId="168" fontId="64" fillId="0" borderId="24" xfId="9" applyNumberFormat="1" applyFont="1" applyBorder="1"/>
    <xf numFmtId="0" fontId="0" fillId="30" borderId="24" xfId="0" applyFill="1" applyBorder="1"/>
    <xf numFmtId="168" fontId="2" fillId="0" borderId="47" xfId="4" applyNumberFormat="1" applyFont="1" applyFill="1" applyBorder="1"/>
    <xf numFmtId="168" fontId="2" fillId="0" borderId="24" xfId="4" applyNumberFormat="1" applyFont="1" applyFill="1" applyBorder="1"/>
    <xf numFmtId="168" fontId="2" fillId="0" borderId="48" xfId="4" applyNumberFormat="1" applyFont="1" applyFill="1" applyBorder="1"/>
    <xf numFmtId="168" fontId="0" fillId="0" borderId="0" xfId="4" applyNumberFormat="1" applyFont="1" applyFill="1" applyAlignment="1"/>
    <xf numFmtId="168" fontId="0" fillId="0" borderId="47" xfId="4" applyNumberFormat="1" applyFont="1" applyFill="1" applyBorder="1" applyAlignment="1"/>
    <xf numFmtId="168" fontId="1" fillId="32" borderId="47" xfId="0" applyNumberFormat="1" applyFont="1" applyFill="1" applyBorder="1"/>
    <xf numFmtId="168" fontId="1" fillId="32" borderId="24" xfId="0" applyNumberFormat="1" applyFont="1" applyFill="1" applyBorder="1"/>
    <xf numFmtId="168" fontId="1" fillId="32" borderId="30" xfId="0" applyNumberFormat="1" applyFont="1" applyFill="1" applyBorder="1"/>
    <xf numFmtId="168" fontId="1" fillId="32" borderId="0" xfId="0" applyNumberFormat="1" applyFont="1" applyFill="1"/>
    <xf numFmtId="188" fontId="1" fillId="32" borderId="0" xfId="0" applyNumberFormat="1" applyFont="1" applyFill="1"/>
    <xf numFmtId="188" fontId="0" fillId="32" borderId="24" xfId="0" applyNumberFormat="1" applyFill="1" applyBorder="1"/>
    <xf numFmtId="168" fontId="1" fillId="30" borderId="0" xfId="0" applyNumberFormat="1" applyFont="1" applyFill="1"/>
    <xf numFmtId="168" fontId="1" fillId="30" borderId="24" xfId="0" applyNumberFormat="1" applyFont="1" applyFill="1" applyBorder="1"/>
    <xf numFmtId="4" fontId="58" fillId="30" borderId="47" xfId="0" applyNumberFormat="1" applyFont="1" applyFill="1" applyBorder="1"/>
    <xf numFmtId="188" fontId="1" fillId="30" borderId="0" xfId="0" applyNumberFormat="1" applyFont="1" applyFill="1"/>
    <xf numFmtId="168" fontId="1" fillId="30" borderId="47" xfId="0" applyNumberFormat="1" applyFont="1" applyFill="1" applyBorder="1"/>
    <xf numFmtId="168" fontId="2" fillId="30" borderId="24" xfId="0" applyNumberFormat="1" applyFont="1" applyFill="1" applyBorder="1"/>
    <xf numFmtId="188" fontId="0" fillId="30" borderId="24" xfId="0" applyNumberFormat="1" applyFill="1" applyBorder="1"/>
    <xf numFmtId="164" fontId="18" fillId="30" borderId="0" xfId="0" applyNumberFormat="1" applyFont="1" applyFill="1" applyAlignment="1">
      <alignment horizontal="right"/>
    </xf>
    <xf numFmtId="168" fontId="1" fillId="0" borderId="0" xfId="4" applyNumberFormat="1" applyFont="1" applyAlignment="1">
      <alignment horizontal="left" vertical="center" wrapText="1"/>
    </xf>
    <xf numFmtId="168" fontId="6" fillId="0" borderId="0" xfId="4" applyNumberFormat="1" applyFont="1" applyAlignment="1">
      <alignment horizontal="left" vertical="center" wrapText="1"/>
    </xf>
    <xf numFmtId="168" fontId="25" fillId="0" borderId="0" xfId="4" applyNumberFormat="1" applyFont="1"/>
    <xf numFmtId="3" fontId="64" fillId="0" borderId="0" xfId="0" applyNumberFormat="1" applyFont="1"/>
    <xf numFmtId="164" fontId="53" fillId="0" borderId="24" xfId="6" applyNumberFormat="1" applyFont="1"/>
    <xf numFmtId="187" fontId="53" fillId="0" borderId="24" xfId="6" applyNumberFormat="1" applyFont="1"/>
    <xf numFmtId="168" fontId="53" fillId="0" borderId="24" xfId="4" applyNumberFormat="1" applyFont="1" applyBorder="1"/>
    <xf numFmtId="168" fontId="55" fillId="0" borderId="51" xfId="4" applyNumberFormat="1" applyFont="1" applyBorder="1" applyAlignment="1">
      <alignment horizontal="center"/>
    </xf>
    <xf numFmtId="168" fontId="0" fillId="0" borderId="24" xfId="4" applyNumberFormat="1" applyFont="1" applyBorder="1"/>
    <xf numFmtId="0" fontId="41" fillId="33" borderId="42" xfId="1" applyFont="1" applyFill="1" applyBorder="1"/>
    <xf numFmtId="168" fontId="42" fillId="0" borderId="43" xfId="4" applyNumberFormat="1" applyFont="1" applyBorder="1"/>
    <xf numFmtId="168" fontId="42" fillId="0" borderId="43" xfId="1" applyNumberFormat="1" applyFont="1" applyBorder="1"/>
    <xf numFmtId="168" fontId="42" fillId="0" borderId="46" xfId="1" applyNumberFormat="1" applyFont="1" applyBorder="1"/>
    <xf numFmtId="0" fontId="42" fillId="34" borderId="40" xfId="1" applyFont="1" applyFill="1" applyBorder="1"/>
    <xf numFmtId="3" fontId="42" fillId="34" borderId="47" xfId="1" applyNumberFormat="1" applyFont="1" applyFill="1" applyBorder="1"/>
    <xf numFmtId="168" fontId="42" fillId="34" borderId="41" xfId="2" applyNumberFormat="1" applyFont="1" applyFill="1" applyBorder="1"/>
    <xf numFmtId="0" fontId="42" fillId="34" borderId="45" xfId="1" applyFont="1" applyFill="1" applyBorder="1"/>
    <xf numFmtId="3" fontId="42" fillId="34" borderId="48" xfId="1" applyNumberFormat="1" applyFont="1" applyFill="1" applyBorder="1"/>
    <xf numFmtId="168" fontId="42" fillId="34" borderId="46" xfId="2" applyNumberFormat="1" applyFont="1" applyFill="1" applyBorder="1"/>
    <xf numFmtId="0" fontId="42" fillId="34" borderId="42" xfId="1" applyFont="1" applyFill="1" applyBorder="1"/>
    <xf numFmtId="3" fontId="42" fillId="34" borderId="24" xfId="1" applyNumberFormat="1" applyFont="1" applyFill="1"/>
    <xf numFmtId="168" fontId="42" fillId="34" borderId="43" xfId="2" applyNumberFormat="1" applyFont="1" applyFill="1" applyBorder="1"/>
    <xf numFmtId="168" fontId="42" fillId="20" borderId="24" xfId="2" applyNumberFormat="1" applyFont="1" applyFill="1" applyBorder="1"/>
    <xf numFmtId="0" fontId="45" fillId="20" borderId="24" xfId="1" applyFont="1" applyFill="1"/>
    <xf numFmtId="168" fontId="53" fillId="0" borderId="24" xfId="6" applyNumberFormat="1" applyFont="1"/>
    <xf numFmtId="164" fontId="40" fillId="0" borderId="24" xfId="6" applyNumberFormat="1" applyFont="1"/>
    <xf numFmtId="164" fontId="40" fillId="0" borderId="24" xfId="6" applyNumberFormat="1" applyFont="1" applyAlignment="1">
      <alignment horizontal="right" readingOrder="2"/>
    </xf>
    <xf numFmtId="168" fontId="53" fillId="0" borderId="24" xfId="4" applyNumberFormat="1" applyFont="1" applyFill="1" applyBorder="1"/>
    <xf numFmtId="187" fontId="40" fillId="0" borderId="24" xfId="7" applyNumberFormat="1" applyFont="1" applyFill="1" applyBorder="1"/>
    <xf numFmtId="0" fontId="47" fillId="34" borderId="40" xfId="3" applyFont="1" applyFill="1" applyBorder="1" applyAlignment="1">
      <alignment horizontal="left"/>
    </xf>
    <xf numFmtId="0" fontId="40" fillId="34" borderId="47" xfId="3" applyFill="1" applyBorder="1"/>
    <xf numFmtId="168" fontId="47" fillId="34" borderId="41" xfId="4" applyNumberFormat="1" applyFont="1" applyFill="1" applyBorder="1"/>
    <xf numFmtId="0" fontId="47" fillId="34" borderId="42" xfId="3" applyFont="1" applyFill="1" applyBorder="1" applyAlignment="1">
      <alignment horizontal="left"/>
    </xf>
    <xf numFmtId="0" fontId="40" fillId="34" borderId="24" xfId="3" applyFill="1"/>
    <xf numFmtId="168" fontId="47" fillId="34" borderId="43" xfId="4" applyNumberFormat="1" applyFont="1" applyFill="1" applyBorder="1"/>
    <xf numFmtId="0" fontId="47" fillId="34" borderId="45" xfId="3" applyFont="1" applyFill="1" applyBorder="1" applyAlignment="1">
      <alignment horizontal="left"/>
    </xf>
    <xf numFmtId="0" fontId="40" fillId="34" borderId="48" xfId="3" applyFill="1" applyBorder="1"/>
    <xf numFmtId="168" fontId="47" fillId="34" borderId="46" xfId="4" applyNumberFormat="1" applyFont="1" applyFill="1" applyBorder="1"/>
    <xf numFmtId="168" fontId="65" fillId="0" borderId="61" xfId="2" applyNumberFormat="1" applyFont="1" applyBorder="1" applyAlignment="1"/>
    <xf numFmtId="168" fontId="65" fillId="0" borderId="24" xfId="2" applyNumberFormat="1" applyFont="1" applyAlignment="1"/>
    <xf numFmtId="168" fontId="65" fillId="0" borderId="24" xfId="2" applyNumberFormat="1" applyFont="1" applyBorder="1" applyAlignment="1"/>
    <xf numFmtId="168" fontId="65" fillId="0" borderId="49" xfId="2" applyNumberFormat="1" applyFont="1" applyBorder="1" applyAlignment="1"/>
    <xf numFmtId="174" fontId="1" fillId="12" borderId="24" xfId="0" applyNumberFormat="1" applyFont="1" applyFill="1" applyBorder="1"/>
    <xf numFmtId="0" fontId="55" fillId="29" borderId="62" xfId="1" applyFont="1" applyFill="1" applyBorder="1" applyAlignment="1">
      <alignment horizontal="center"/>
    </xf>
    <xf numFmtId="0" fontId="55" fillId="29" borderId="63" xfId="1" applyFont="1" applyFill="1" applyBorder="1" applyAlignment="1">
      <alignment horizontal="center"/>
    </xf>
    <xf numFmtId="0" fontId="55" fillId="29" borderId="64" xfId="1" applyFont="1" applyFill="1" applyBorder="1" applyAlignment="1">
      <alignment horizontal="center"/>
    </xf>
    <xf numFmtId="1" fontId="1" fillId="10" borderId="22" xfId="0" applyNumberFormat="1" applyFont="1" applyFill="1" applyBorder="1" applyAlignment="1">
      <alignment horizontal="center"/>
    </xf>
    <xf numFmtId="0" fontId="26" fillId="0" borderId="23" xfId="0" applyFont="1" applyBorder="1"/>
    <xf numFmtId="0" fontId="26" fillId="0" borderId="24" xfId="0" applyFont="1" applyBorder="1"/>
    <xf numFmtId="0" fontId="41" fillId="0" borderId="18" xfId="1" applyFont="1" applyBorder="1" applyAlignment="1">
      <alignment horizontal="center"/>
    </xf>
    <xf numFmtId="0" fontId="53" fillId="23" borderId="24" xfId="6" applyFont="1" applyFill="1" applyAlignment="1">
      <alignment horizontal="center"/>
    </xf>
    <xf numFmtId="0" fontId="55" fillId="33" borderId="62" xfId="6" applyFont="1" applyFill="1" applyBorder="1" applyAlignment="1">
      <alignment horizontal="center"/>
    </xf>
    <xf numFmtId="0" fontId="55" fillId="33" borderId="63" xfId="6" applyFont="1" applyFill="1" applyBorder="1" applyAlignment="1">
      <alignment horizontal="center"/>
    </xf>
    <xf numFmtId="0" fontId="55" fillId="33" borderId="64" xfId="6" applyFont="1" applyFill="1" applyBorder="1" applyAlignment="1">
      <alignment horizontal="center"/>
    </xf>
    <xf numFmtId="0" fontId="39" fillId="16" borderId="29" xfId="0" applyFont="1" applyFill="1" applyBorder="1" applyAlignment="1">
      <alignment horizontal="center"/>
    </xf>
    <xf numFmtId="0" fontId="26" fillId="0" borderId="30" xfId="0" applyFont="1" applyBorder="1"/>
    <xf numFmtId="0" fontId="26" fillId="0" borderId="32" xfId="0" applyFont="1" applyBorder="1"/>
    <xf numFmtId="0" fontId="26" fillId="0" borderId="35" xfId="0" applyFont="1" applyBorder="1"/>
    <xf numFmtId="0" fontId="26" fillId="0" borderId="26" xfId="0" applyFont="1" applyBorder="1"/>
    <xf numFmtId="0" fontId="26" fillId="0" borderId="38" xfId="0" applyFont="1" applyBorder="1"/>
  </cellXfs>
  <cellStyles count="10">
    <cellStyle name="Comma" xfId="4" builtinId="3"/>
    <cellStyle name="Comma 2" xfId="2" xr:uid="{FA5959D3-8DE4-9F4A-B16A-BACB2D17424C}"/>
    <cellStyle name="Comma 3" xfId="7" xr:uid="{0B097BB9-3E03-FC40-BD28-AD39D84031A2}"/>
    <cellStyle name="Comma 3 2" xfId="9" xr:uid="{14089EFD-C917-7C47-9D12-C7812472D02F}"/>
    <cellStyle name="Normal" xfId="0" builtinId="0"/>
    <cellStyle name="Normal 2" xfId="1" xr:uid="{566EB870-3543-F84B-B058-7D3E1435C673}"/>
    <cellStyle name="Normal 3" xfId="3" xr:uid="{FE9DF345-62C3-A246-849E-DC22D2854FE6}"/>
    <cellStyle name="Normal 4" xfId="6" xr:uid="{F7C41140-170D-7D42-8645-18E027EC02A5}"/>
    <cellStyle name="Normal 5" xfId="8" xr:uid="{B5699364-D6D7-D64B-8885-56DE93369EED}"/>
    <cellStyle name="Percent" xfId="5" builtinId="5"/>
  </cellStyles>
  <dxfs count="6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76</xdr:row>
      <xdr:rowOff>38100</xdr:rowOff>
    </xdr:from>
    <xdr:ext cx="14097000" cy="858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77</xdr:row>
      <xdr:rowOff>38100</xdr:rowOff>
    </xdr:from>
    <xdr:ext cx="14097000" cy="858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Total%20Finance\&#1508;&#1488;&#1508;&#1497;&#1497;&#1492;%20&#1490;&#1497;&#1497;&#1502;&#1497;&#1504;&#1490;\&#1491;&#1493;&#1495;&#1493;&#1514;%20&#1499;&#1505;&#1508;&#1497;&#1497;&#1501;\2018\&#1492;&#1512;&#1499;&#1489;&#1493;&#1514;\&#1508;&#1508;&#1488;&#1497;&#1492;%20&#1492;&#1512;&#1499;&#1489;&#1492;%2031.12.2018%20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Volumes/GoogleDrive/.shortcut-targets-by-id/1EbbfGA1pGTkSTE-raB7nUstcRXVjQp_x/Papaya%20Gaming%20LTD/2020/Documents%20for%20Audit/Consolidation/PAPAYA%20GAMING%20FS%2031.12.2020%20V16%2027.7.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tes.ey.com/Volumes/GoogleDrive-100801113444992787687/.shortcut-targets-by-id/16yxcDP8G5JsnV4VYIX1rOadeagzZyKNj/Papaya%20Gaming/Annual%20Reports/CHB%20check/Psp%20Income%20by%20Month%202022-07-21T105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12.2018"/>
      <sheetName val="הרכבה מאזן 31.12.18"/>
      <sheetName val=" הרכבה רווח והפסד  2018"/>
      <sheetName val="פ.נ "/>
      <sheetName val="קידוד"/>
      <sheetName val="CF "/>
      <sheetName val="ביקורת 2018"/>
      <sheetName val="הצמדה הלוואת בעלים "/>
      <sheetName val="השלמות שנענו "/>
      <sheetName val="דוח התאמה למס"/>
    </sheetNames>
    <sheetDataSet>
      <sheetData sheetId="0">
        <row r="7">
          <cell r="C7">
            <v>20001</v>
          </cell>
        </row>
      </sheetData>
      <sheetData sheetId="1" refreshError="1"/>
      <sheetData sheetId="2">
        <row r="12">
          <cell r="H12">
            <v>723182.29999999993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"/>
      <sheetName val="TB LTD 12.20"/>
      <sheetName val="Notes for FS"/>
      <sheetName val="TB INC 12.20"/>
      <sheetName val="Debit AP"/>
      <sheetName val="INC GL"/>
      <sheetName val="AJE-LTD"/>
      <sheetName val="AJE-INC"/>
      <sheetName val="TP Adjustment"/>
      <sheetName val="CF "/>
      <sheetName val="FS USD 12.20"/>
      <sheetName val="FS ILS 12.20"/>
      <sheetName val="WP"/>
      <sheetName val="Payroll Cost"/>
      <sheetName val="דוח התאמה למס"/>
      <sheetName val="AJE-LTD-Post Close"/>
      <sheetName val="INC OPEX GL 2020- For Reclass"/>
      <sheetName val="TP Adjustment2020"/>
      <sheetName val="דוח התאמה למס OL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er VS books "/>
      <sheetName val="Top 10 income "/>
      <sheetName val="Tax Rate "/>
      <sheetName val="Net cash "/>
      <sheetName val="Looker BY month by PSP"/>
      <sheetName val="Income By PSP"/>
      <sheetName val="Worldpay Update"/>
      <sheetName val="SVB Update"/>
      <sheetName val="Paypal LTD"/>
      <sheetName val="Paypal US "/>
    </sheetNames>
    <sheetDataSet>
      <sheetData sheetId="0"/>
      <sheetData sheetId="1">
        <row r="21">
          <cell r="R21">
            <v>4903754.3897870891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Z1000"/>
  <sheetViews>
    <sheetView rightToLeft="1" workbookViewId="0"/>
  </sheetViews>
  <sheetFormatPr defaultColWidth="12.7109375" defaultRowHeight="15" customHeight="1"/>
  <cols>
    <col min="1" max="1" width="9.140625" customWidth="1"/>
    <col min="2" max="2" width="30" customWidth="1"/>
    <col min="3" max="3" width="11.140625" customWidth="1"/>
    <col min="4" max="4" width="13.28515625" customWidth="1"/>
    <col min="5" max="5" width="18.28515625" customWidth="1"/>
    <col min="6" max="6" width="24.7109375" customWidth="1"/>
    <col min="7" max="13" width="9.140625" customWidth="1"/>
    <col min="14" max="14" width="23.28515625" customWidth="1"/>
    <col min="15" max="15" width="17" customWidth="1"/>
    <col min="16" max="17" width="11.7109375" customWidth="1"/>
    <col min="18" max="18" width="11.140625" customWidth="1"/>
    <col min="19" max="19" width="10.140625" customWidth="1"/>
    <col min="20" max="26" width="9.1406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/>
      <c r="B2" s="3" t="s">
        <v>0</v>
      </c>
      <c r="C2" s="4" t="s">
        <v>1</v>
      </c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 t="s">
        <v>2</v>
      </c>
      <c r="C6" s="1"/>
      <c r="D6" s="1"/>
      <c r="E6" s="6">
        <f>'P&amp;L LTD  USD'!J83-'P&amp;L LTD  USD'!J81</f>
        <v>-53596018.17999994</v>
      </c>
      <c r="F6" s="1"/>
      <c r="G6" s="1"/>
      <c r="H6" s="1"/>
      <c r="I6" s="1"/>
      <c r="J6" s="1"/>
      <c r="K6" s="1"/>
      <c r="L6" s="1"/>
      <c r="M6" s="7"/>
      <c r="N6" s="7"/>
      <c r="O6" s="7"/>
      <c r="P6" s="7"/>
      <c r="Q6" s="8"/>
      <c r="R6" s="7"/>
      <c r="S6" s="7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9"/>
      <c r="M7" s="10"/>
      <c r="N7" s="6"/>
      <c r="O7" s="6"/>
      <c r="P7" s="6"/>
      <c r="Q7" s="6"/>
      <c r="R7" s="6"/>
      <c r="S7" s="6"/>
      <c r="T7" s="7"/>
      <c r="U7" s="1"/>
      <c r="V7" s="1"/>
      <c r="W7" s="1"/>
      <c r="X7" s="1"/>
      <c r="Y7" s="1"/>
      <c r="Z7" s="1"/>
    </row>
    <row r="8" spans="1:26">
      <c r="A8" s="1"/>
      <c r="B8" s="11" t="s">
        <v>3</v>
      </c>
      <c r="C8" s="1"/>
      <c r="D8" s="1"/>
      <c r="E8" s="1"/>
      <c r="F8" s="1"/>
      <c r="G8" s="1"/>
      <c r="H8" s="1"/>
      <c r="I8" s="1"/>
      <c r="J8" s="1"/>
      <c r="K8" s="1"/>
      <c r="L8" s="9"/>
      <c r="M8" s="10"/>
      <c r="N8" s="6"/>
      <c r="O8" s="6"/>
      <c r="P8" s="6"/>
      <c r="Q8" s="6"/>
      <c r="R8" s="6"/>
      <c r="S8" s="6"/>
      <c r="T8" s="7"/>
      <c r="U8" s="1"/>
      <c r="V8" s="1"/>
      <c r="W8" s="1"/>
      <c r="X8" s="1"/>
      <c r="Y8" s="1"/>
      <c r="Z8" s="1"/>
    </row>
    <row r="9" spans="1:26">
      <c r="A9" s="1"/>
      <c r="B9" s="1" t="s">
        <v>4</v>
      </c>
      <c r="C9" s="1"/>
      <c r="D9" s="1"/>
      <c r="E9" s="6">
        <f>'R&amp;D 20A'!G8+'R&amp;D 20A'!G9+'R&amp;D 20A'!H9</f>
        <v>23487602.046666659</v>
      </c>
      <c r="F9" s="1" t="s">
        <v>5</v>
      </c>
      <c r="G9" s="1"/>
      <c r="H9" s="1"/>
      <c r="I9" s="1"/>
      <c r="J9" s="1"/>
      <c r="K9" s="1"/>
      <c r="L9" s="9"/>
      <c r="M9" s="10"/>
      <c r="N9" s="6"/>
      <c r="O9" s="6"/>
      <c r="P9" s="6"/>
      <c r="Q9" s="6"/>
      <c r="R9" s="6"/>
      <c r="S9" s="6"/>
      <c r="T9" s="7"/>
      <c r="U9" s="1"/>
      <c r="V9" s="1"/>
      <c r="W9" s="1"/>
      <c r="X9" s="1"/>
      <c r="Y9" s="1"/>
      <c r="Z9" s="1"/>
    </row>
    <row r="10" spans="1:26">
      <c r="A10" s="1"/>
      <c r="B10" s="1" t="s">
        <v>6</v>
      </c>
      <c r="C10" s="1"/>
      <c r="D10" s="1"/>
      <c r="E10" s="6">
        <f>'R&amp;D 20A'!F7+'R&amp;D 20A'!F8</f>
        <v>2898754.6433333335</v>
      </c>
      <c r="F10" s="1" t="s">
        <v>7</v>
      </c>
      <c r="G10" s="1"/>
      <c r="H10" s="1"/>
      <c r="I10" s="1"/>
      <c r="J10" s="1"/>
      <c r="K10" s="6"/>
      <c r="L10" s="9"/>
      <c r="M10" s="6"/>
      <c r="N10" s="6"/>
      <c r="O10" s="6"/>
      <c r="P10" s="1"/>
      <c r="Q10" s="1"/>
      <c r="R10" s="1"/>
      <c r="S10" s="6"/>
      <c r="T10" s="7"/>
      <c r="U10" s="1"/>
      <c r="V10" s="1"/>
      <c r="W10" s="1"/>
      <c r="X10" s="1"/>
      <c r="Y10" s="1"/>
      <c r="Z10" s="1"/>
    </row>
    <row r="11" spans="1:26">
      <c r="A11" s="2">
        <v>23031</v>
      </c>
      <c r="B11" s="1" t="s">
        <v>8</v>
      </c>
      <c r="C11" s="1"/>
      <c r="D11" s="1"/>
      <c r="E11" s="6">
        <f>VLOOKUP(A12,'TB LTD 12.21'!D:F,3,0)</f>
        <v>88061.77</v>
      </c>
      <c r="F11" s="1"/>
      <c r="G11" s="1"/>
      <c r="H11" s="1"/>
      <c r="I11" s="1"/>
      <c r="J11" s="1"/>
      <c r="K11" s="1"/>
      <c r="L11" s="9"/>
      <c r="M11" s="6"/>
      <c r="N11" s="6"/>
      <c r="O11" s="6"/>
      <c r="P11" s="1"/>
      <c r="Q11" s="1"/>
      <c r="R11" s="1"/>
      <c r="S11" s="6"/>
      <c r="T11" s="7"/>
      <c r="U11" s="1"/>
      <c r="V11" s="1"/>
      <c r="W11" s="1"/>
      <c r="X11" s="1"/>
      <c r="Y11" s="1"/>
      <c r="Z11" s="1"/>
    </row>
    <row r="12" spans="1:26">
      <c r="A12" s="2">
        <v>20060</v>
      </c>
      <c r="B12" s="1" t="s">
        <v>8</v>
      </c>
      <c r="C12" s="1"/>
      <c r="D12" s="1"/>
      <c r="E12" s="6">
        <f>VLOOKUP(A13,'TB LTD 12.21'!D:F,3,0)</f>
        <v>592674.04</v>
      </c>
      <c r="F12" s="1"/>
      <c r="G12" s="1"/>
      <c r="H12" s="1"/>
      <c r="I12" s="1"/>
      <c r="J12" s="1"/>
      <c r="K12" s="1"/>
      <c r="L12" s="9"/>
      <c r="M12" s="6"/>
      <c r="N12" s="6"/>
      <c r="O12" s="6"/>
      <c r="P12" s="1"/>
      <c r="Q12" s="1"/>
      <c r="R12" s="1"/>
      <c r="S12" s="6"/>
      <c r="T12" s="7"/>
      <c r="U12" s="1"/>
      <c r="V12" s="1"/>
      <c r="W12" s="1"/>
      <c r="X12" s="1"/>
      <c r="Y12" s="1"/>
      <c r="Z12" s="1"/>
    </row>
    <row r="13" spans="1:26">
      <c r="A13" s="2">
        <v>20048</v>
      </c>
      <c r="B13" s="1" t="s">
        <v>8</v>
      </c>
      <c r="C13" s="1"/>
      <c r="D13" s="1"/>
      <c r="E13" s="6">
        <f>VLOOKUP(A14,'TB LTD 12.21'!D:F,3,0)</f>
        <v>-939915.53</v>
      </c>
      <c r="F13" s="1"/>
      <c r="G13" s="1"/>
      <c r="H13" s="1"/>
      <c r="I13" s="1"/>
      <c r="J13" s="1"/>
      <c r="K13" s="1"/>
      <c r="L13" s="9"/>
      <c r="M13" s="6"/>
      <c r="N13" s="6"/>
      <c r="O13" s="6"/>
      <c r="P13" s="1"/>
      <c r="Q13" s="1"/>
      <c r="R13" s="1"/>
      <c r="S13" s="6"/>
      <c r="T13" s="7"/>
      <c r="U13" s="1"/>
      <c r="V13" s="1"/>
      <c r="W13" s="1"/>
      <c r="X13" s="1"/>
      <c r="Y13" s="1"/>
      <c r="Z13" s="1"/>
    </row>
    <row r="14" spans="1:26">
      <c r="A14" s="1">
        <v>90017</v>
      </c>
      <c r="B14" s="1" t="s">
        <v>9</v>
      </c>
      <c r="C14" s="1"/>
      <c r="D14" s="1"/>
      <c r="E14" s="6">
        <f>VLOOKUP(A15,'TB LTD 12.21'!D:F,3,0)</f>
        <v>-87155.72</v>
      </c>
      <c r="F14" s="1"/>
      <c r="G14" s="1"/>
      <c r="H14" s="1"/>
      <c r="I14" s="1"/>
      <c r="J14" s="1"/>
      <c r="K14" s="1"/>
      <c r="L14" s="9"/>
      <c r="M14" s="6"/>
      <c r="N14" s="6"/>
      <c r="O14" s="6"/>
      <c r="P14" s="1"/>
      <c r="Q14" s="1"/>
      <c r="R14" s="1"/>
      <c r="S14" s="6"/>
      <c r="T14" s="7"/>
      <c r="U14" s="1"/>
      <c r="V14" s="1"/>
      <c r="W14" s="1"/>
      <c r="X14" s="1"/>
      <c r="Y14" s="1"/>
      <c r="Z14" s="1"/>
    </row>
    <row r="15" spans="1:26">
      <c r="A15" s="1">
        <v>90018</v>
      </c>
      <c r="B15" s="1" t="s">
        <v>10</v>
      </c>
      <c r="C15" s="1"/>
      <c r="D15" s="1"/>
      <c r="E15" s="6">
        <f>VLOOKUP(A16,'TB LTD 12.21'!D:F,3,0)</f>
        <v>778158.31</v>
      </c>
      <c r="F15" s="1"/>
      <c r="G15" s="1"/>
      <c r="H15" s="1"/>
      <c r="I15" s="1"/>
      <c r="J15" s="1"/>
      <c r="K15" s="1"/>
      <c r="L15" s="9"/>
      <c r="M15" s="6"/>
      <c r="N15" s="6"/>
      <c r="O15" s="6"/>
      <c r="P15" s="1"/>
      <c r="Q15" s="1"/>
      <c r="R15" s="1"/>
      <c r="S15" s="6"/>
      <c r="T15" s="7"/>
      <c r="U15" s="1"/>
      <c r="V15" s="1"/>
      <c r="W15" s="1"/>
      <c r="X15" s="1"/>
      <c r="Y15" s="1"/>
      <c r="Z15" s="1"/>
    </row>
    <row r="16" spans="1:26">
      <c r="A16" s="12">
        <v>20024</v>
      </c>
      <c r="B16" s="1" t="s">
        <v>11</v>
      </c>
      <c r="C16" s="1"/>
      <c r="D16" s="1"/>
      <c r="E16" s="6">
        <f>VLOOKUP(A17,'TB LTD 12.21'!D:F,3,0)</f>
        <v>129166.79</v>
      </c>
      <c r="F16" s="13" t="s">
        <v>12</v>
      </c>
      <c r="G16" s="1"/>
      <c r="H16" s="1"/>
      <c r="I16" s="1"/>
      <c r="J16" s="1"/>
      <c r="K16" s="1"/>
      <c r="L16" s="9"/>
      <c r="M16" s="10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f>'[1]TB 12.2018'!C7</f>
        <v>20001</v>
      </c>
      <c r="B17" s="1" t="s">
        <v>13</v>
      </c>
      <c r="C17" s="1"/>
      <c r="D17" s="1"/>
      <c r="E17" s="6"/>
      <c r="F17" s="13"/>
      <c r="G17" s="1"/>
      <c r="H17" s="1"/>
      <c r="I17" s="1"/>
      <c r="J17" s="1"/>
      <c r="K17" s="1"/>
      <c r="L17" s="9"/>
      <c r="M17" s="10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 t="s">
        <v>14</v>
      </c>
      <c r="C18" s="1"/>
      <c r="D18" s="1"/>
      <c r="E18" s="6"/>
      <c r="F18" s="13"/>
      <c r="G18" s="1"/>
      <c r="H18" s="1"/>
      <c r="I18" s="1"/>
      <c r="J18" s="1"/>
      <c r="K18" s="1"/>
      <c r="L18" s="9"/>
      <c r="M18" s="10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 t="s">
        <v>15</v>
      </c>
      <c r="C19" s="1"/>
      <c r="D19" s="1"/>
      <c r="E19" s="6">
        <f>-'[2]FS ILS 12.20'!E72</f>
        <v>0</v>
      </c>
      <c r="F19" s="13"/>
      <c r="G19" s="1"/>
      <c r="H19" s="1"/>
      <c r="I19" s="1"/>
      <c r="J19" s="1"/>
      <c r="K19" s="1"/>
      <c r="L19" s="9"/>
      <c r="M19" s="10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">
        <v>20039</v>
      </c>
      <c r="B20" s="1" t="s">
        <v>16</v>
      </c>
      <c r="C20" s="1"/>
      <c r="D20" s="1"/>
      <c r="E20" s="6" t="e">
        <f>VLOOKUP(A20,'[2]TB LTD 12.20'!$D:$F,3,FALSE)-17586.4</f>
        <v>#N/A</v>
      </c>
      <c r="F20" s="13"/>
      <c r="G20" s="1"/>
      <c r="H20" s="1"/>
      <c r="I20" s="1"/>
      <c r="J20" s="1"/>
      <c r="K20" s="1"/>
      <c r="L20" s="9"/>
      <c r="M20" s="10"/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">
        <v>20035</v>
      </c>
      <c r="B21" s="1" t="s">
        <v>17</v>
      </c>
      <c r="C21" s="1"/>
      <c r="D21" s="1"/>
      <c r="E21" s="15" t="e">
        <f>+VLOOKUP(A21,'[2]TB LTD 12.20'!$D:$F,3,FALSE)</f>
        <v>#N/A</v>
      </c>
      <c r="F21" s="1" t="s">
        <v>18</v>
      </c>
      <c r="G21" s="1"/>
      <c r="H21" s="1"/>
      <c r="I21" s="1"/>
      <c r="J21" s="1"/>
      <c r="K21" s="1"/>
      <c r="L21" s="9"/>
      <c r="M21" s="10"/>
      <c r="N21" s="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"/>
      <c r="B22" s="1"/>
      <c r="C22" s="1"/>
      <c r="D22" s="1"/>
      <c r="E22" s="6"/>
      <c r="F22" s="1"/>
      <c r="G22" s="1"/>
      <c r="H22" s="1"/>
      <c r="I22" s="1"/>
      <c r="J22" s="1"/>
      <c r="K22" s="1"/>
      <c r="L22" s="9"/>
      <c r="M22" s="10"/>
      <c r="N22" s="1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6" t="e">
        <f>SUM(E9:E21)</f>
        <v>#N/A</v>
      </c>
      <c r="F23" s="1"/>
      <c r="G23" s="1"/>
      <c r="H23" s="1"/>
      <c r="I23" s="1"/>
      <c r="J23" s="1"/>
      <c r="K23" s="1"/>
      <c r="L23" s="9"/>
      <c r="M23" s="10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6"/>
      <c r="F24" s="1"/>
      <c r="G24" s="1"/>
      <c r="H24" s="1"/>
      <c r="I24" s="1"/>
      <c r="J24" s="1"/>
      <c r="K24" s="1"/>
      <c r="L24" s="9"/>
      <c r="M24" s="10"/>
      <c r="N24" s="16" t="s">
        <v>19</v>
      </c>
      <c r="O24" s="17" t="s">
        <v>20</v>
      </c>
      <c r="P24" s="17"/>
      <c r="Q24" s="17" t="s">
        <v>21</v>
      </c>
      <c r="R24" s="17" t="s">
        <v>22</v>
      </c>
      <c r="S24" s="17" t="s">
        <v>23</v>
      </c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 t="s">
        <v>24</v>
      </c>
      <c r="C25" s="1"/>
      <c r="D25" s="1"/>
      <c r="E25" s="6">
        <v>-4245210</v>
      </c>
      <c r="F25" s="1"/>
      <c r="G25" s="1"/>
      <c r="H25" s="1"/>
      <c r="I25" s="1"/>
      <c r="J25" s="1"/>
      <c r="K25" s="1"/>
      <c r="L25" s="9"/>
      <c r="M25" s="10"/>
      <c r="N25" s="2">
        <v>20014</v>
      </c>
      <c r="O25" s="2" t="s">
        <v>25</v>
      </c>
      <c r="P25" s="1"/>
      <c r="Q25" s="18" t="s">
        <v>26</v>
      </c>
      <c r="R25" s="19"/>
      <c r="S25" s="18" t="e">
        <f>+Q25*0.2</f>
        <v>#VALUE!</v>
      </c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5"/>
      <c r="F26" s="1"/>
      <c r="G26" s="1"/>
      <c r="H26" s="1"/>
      <c r="I26" s="1"/>
      <c r="J26" s="1"/>
      <c r="K26" s="1"/>
      <c r="L26" s="9"/>
      <c r="M26" s="10"/>
      <c r="N26" s="2">
        <v>20021</v>
      </c>
      <c r="O26" s="2" t="s">
        <v>27</v>
      </c>
      <c r="P26" s="2">
        <v>90015</v>
      </c>
      <c r="Q26" s="18" t="s">
        <v>26</v>
      </c>
      <c r="R26" s="19" t="s">
        <v>26</v>
      </c>
      <c r="S26" s="18" t="e">
        <f t="shared" ref="S26:S27" si="0">+Q26-R26</f>
        <v>#VALUE!</v>
      </c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 t="s">
        <v>28</v>
      </c>
      <c r="C27" s="1"/>
      <c r="D27" s="1"/>
      <c r="E27" s="20" t="e">
        <f>E6+E23+E25</f>
        <v>#N/A</v>
      </c>
      <c r="F27" s="6" t="e">
        <f>-E27+E25</f>
        <v>#N/A</v>
      </c>
      <c r="G27" s="1"/>
      <c r="H27" s="1"/>
      <c r="I27" s="1"/>
      <c r="J27" s="1"/>
      <c r="K27" s="1"/>
      <c r="L27" s="9"/>
      <c r="M27" s="10"/>
      <c r="N27" s="2">
        <v>20024</v>
      </c>
      <c r="O27" s="2" t="s">
        <v>11</v>
      </c>
      <c r="P27" s="2">
        <v>90012</v>
      </c>
      <c r="Q27" s="18" t="s">
        <v>26</v>
      </c>
      <c r="R27" s="19" t="s">
        <v>26</v>
      </c>
      <c r="S27" s="18" t="e">
        <f t="shared" si="0"/>
        <v>#VALUE!</v>
      </c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9"/>
      <c r="M28" s="10"/>
      <c r="N28" s="2">
        <v>20036</v>
      </c>
      <c r="O28" s="2" t="s">
        <v>29</v>
      </c>
      <c r="P28" s="1"/>
      <c r="Q28" s="18" t="s">
        <v>26</v>
      </c>
      <c r="R28" s="19"/>
      <c r="S28" s="18" t="str">
        <f t="shared" ref="S28:S29" si="1">+Q28</f>
        <v>#REF!</v>
      </c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 t="s">
        <v>30</v>
      </c>
      <c r="C29" s="1"/>
      <c r="D29" s="1"/>
      <c r="E29" s="6" t="e">
        <f>+E20</f>
        <v>#N/A</v>
      </c>
      <c r="F29" s="6" t="e">
        <f>+E27-E29</f>
        <v>#N/A</v>
      </c>
      <c r="G29" s="1"/>
      <c r="H29" s="1"/>
      <c r="I29" s="1"/>
      <c r="J29" s="1"/>
      <c r="K29" s="1"/>
      <c r="L29" s="9"/>
      <c r="M29" s="10"/>
      <c r="N29" s="2">
        <v>20041</v>
      </c>
      <c r="O29" s="2" t="s">
        <v>31</v>
      </c>
      <c r="P29" s="1"/>
      <c r="Q29" s="18" t="s">
        <v>26</v>
      </c>
      <c r="R29" s="19"/>
      <c r="S29" s="18" t="str">
        <f t="shared" si="1"/>
        <v>#REF!</v>
      </c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9"/>
      <c r="M30" s="10"/>
      <c r="N30" s="1"/>
      <c r="O30" s="1"/>
      <c r="P30" s="1"/>
      <c r="Q30" s="1"/>
      <c r="R30" s="1"/>
      <c r="S30" s="21" t="e">
        <f>0.45*SUM(S25:S29)</f>
        <v>#VALUE!</v>
      </c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9"/>
      <c r="M31" s="10"/>
      <c r="N31" s="22"/>
      <c r="O31" s="1"/>
      <c r="P31" s="1"/>
      <c r="Q31" s="6"/>
      <c r="R31" s="6"/>
      <c r="S31" s="6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3"/>
      <c r="C32" s="24" t="s">
        <v>32</v>
      </c>
      <c r="D32" s="24" t="s">
        <v>33</v>
      </c>
      <c r="E32" s="25" t="s">
        <v>34</v>
      </c>
      <c r="F32" s="26"/>
      <c r="G32" s="1"/>
      <c r="H32" s="1"/>
      <c r="I32" s="1"/>
      <c r="J32" s="1"/>
      <c r="K32" s="1"/>
      <c r="L32" s="9"/>
      <c r="M32" s="10"/>
      <c r="N32" s="22"/>
      <c r="O32" s="1"/>
      <c r="P32" s="1"/>
      <c r="Q32" s="6"/>
      <c r="R32" s="6"/>
      <c r="S32" s="6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7" t="s">
        <v>35</v>
      </c>
      <c r="C33" s="28" t="e">
        <f>+D33/'[2]FS USD 12.20'!$I$1</f>
        <v>#N/A</v>
      </c>
      <c r="D33" s="28" t="e">
        <f>-E27*E33</f>
        <v>#N/A</v>
      </c>
      <c r="E33" s="29">
        <v>0.12</v>
      </c>
      <c r="F33" s="30"/>
      <c r="G33" s="1"/>
      <c r="H33" s="1"/>
      <c r="I33" s="1"/>
      <c r="J33" s="1"/>
      <c r="K33" s="1"/>
      <c r="L33" s="9"/>
      <c r="M33" s="10"/>
      <c r="N33" s="22"/>
      <c r="O33" s="1"/>
      <c r="P33" s="1"/>
      <c r="Q33" s="6"/>
      <c r="R33" s="6"/>
      <c r="S33" s="6"/>
      <c r="T33" s="1"/>
      <c r="U33" s="1"/>
      <c r="V33" s="1"/>
      <c r="W33" s="1"/>
      <c r="X33" s="1"/>
      <c r="Y33" s="1"/>
      <c r="Z33" s="1"/>
    </row>
    <row r="34" spans="1:26" ht="15.75" customHeight="1">
      <c r="A34" s="2">
        <v>90017</v>
      </c>
      <c r="B34" s="27" t="s">
        <v>36</v>
      </c>
      <c r="C34" s="28" t="s">
        <v>26</v>
      </c>
      <c r="D34" s="28" t="e">
        <f>-VLOOKUP(A34,'[2]TB LTD 12.20'!$D:$F,3,FALSE)*$E$34</f>
        <v>#N/A</v>
      </c>
      <c r="E34" s="29">
        <v>0.12</v>
      </c>
      <c r="F34" s="30"/>
      <c r="G34" s="1"/>
      <c r="H34" s="1"/>
      <c r="I34" s="1"/>
      <c r="J34" s="1"/>
      <c r="K34" s="1"/>
      <c r="L34" s="9"/>
      <c r="M34" s="10"/>
      <c r="N34" s="14"/>
      <c r="O34" s="1" t="s">
        <v>37</v>
      </c>
      <c r="P34" s="1"/>
      <c r="Q34" s="6"/>
      <c r="R34" s="6"/>
      <c r="S34" s="6"/>
      <c r="T34" s="1"/>
      <c r="U34" s="1"/>
      <c r="V34" s="1"/>
      <c r="W34" s="1"/>
      <c r="X34" s="1"/>
      <c r="Y34" s="1"/>
      <c r="Z34" s="1"/>
    </row>
    <row r="35" spans="1:26" ht="15.75" customHeight="1">
      <c r="A35" s="2">
        <v>90018</v>
      </c>
      <c r="B35" s="27" t="s">
        <v>38</v>
      </c>
      <c r="C35" s="28" t="s">
        <v>26</v>
      </c>
      <c r="D35" s="28" t="e">
        <f>-VLOOKUP(A35,'[2]TB LTD 12.20'!$D:$F,3,FALSE)*$E$35</f>
        <v>#N/A</v>
      </c>
      <c r="E35" s="29">
        <v>0.12</v>
      </c>
      <c r="F35" s="30"/>
      <c r="G35" s="1"/>
      <c r="H35" s="1"/>
      <c r="I35" s="1"/>
      <c r="J35" s="1"/>
      <c r="K35" s="1"/>
      <c r="L35" s="9"/>
      <c r="M35" s="10"/>
      <c r="N35" s="3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2" t="s">
        <v>39</v>
      </c>
      <c r="C36" s="33" t="e">
        <f>+D36/'[2]FS USD 12.20'!$I$1</f>
        <v>#DIV/0!</v>
      </c>
      <c r="D36" s="33">
        <f>+SUM(M9:N10)*E36</f>
        <v>0</v>
      </c>
      <c r="E36" s="34">
        <v>0.12</v>
      </c>
      <c r="F36" s="35"/>
      <c r="G36" s="1"/>
      <c r="H36" s="1"/>
      <c r="I36" s="1"/>
      <c r="J36" s="1"/>
      <c r="K36" s="1"/>
      <c r="L36" s="9"/>
      <c r="M36" s="10"/>
      <c r="N36" s="36" t="s">
        <v>40</v>
      </c>
      <c r="O36" s="6">
        <f>-'[2]FS ILS 12.20'!E60</f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7"/>
      <c r="J37" s="1"/>
      <c r="K37" s="1"/>
      <c r="L37" s="1"/>
      <c r="M37" s="1"/>
      <c r="N37" s="1"/>
      <c r="O37" s="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>
        <v>23012</v>
      </c>
      <c r="N38" s="2" t="s">
        <v>41</v>
      </c>
      <c r="O38" s="6" t="s">
        <v>26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>
        <v>23011</v>
      </c>
      <c r="N39" s="2" t="s">
        <v>42</v>
      </c>
      <c r="O39" s="6" t="s">
        <v>26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43</v>
      </c>
      <c r="N40" s="37" t="s">
        <v>8</v>
      </c>
      <c r="O40" s="6">
        <f>-E11</f>
        <v>-88061.77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8">
        <f>SUM(O36:O40)</f>
        <v>-88061.77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9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39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39"/>
      <c r="P46" s="1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39"/>
      <c r="P47" s="19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1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19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1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1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1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13E2-FCF8-0A4A-B38F-238A6BA21290}">
  <dimension ref="B2:C19"/>
  <sheetViews>
    <sheetView zoomScale="140" zoomScaleNormal="140" workbookViewId="0">
      <selection activeCell="C6" sqref="C6"/>
    </sheetView>
  </sheetViews>
  <sheetFormatPr defaultColWidth="10.85546875" defaultRowHeight="12.75"/>
  <cols>
    <col min="1" max="1" width="10.85546875" style="575"/>
    <col min="2" max="2" width="19.7109375" style="575" customWidth="1"/>
    <col min="3" max="3" width="14.42578125" style="575" bestFit="1" customWidth="1"/>
    <col min="4" max="16384" width="10.85546875" style="575"/>
  </cols>
  <sheetData>
    <row r="2" spans="2:3" ht="15">
      <c r="B2" s="578"/>
      <c r="C2" s="579">
        <v>1</v>
      </c>
    </row>
    <row r="3" spans="2:3">
      <c r="B3" s="580"/>
      <c r="C3" s="581"/>
    </row>
    <row r="4" spans="2:3" ht="15">
      <c r="B4" s="578" t="s">
        <v>1215</v>
      </c>
      <c r="C4" s="577"/>
    </row>
    <row r="5" spans="2:3">
      <c r="B5" s="580"/>
      <c r="C5" s="581"/>
    </row>
    <row r="6" spans="2:3" ht="15">
      <c r="B6" s="2" t="s">
        <v>913</v>
      </c>
      <c r="C6" s="577">
        <f>SUMIFS('P&amp;L LTD  USD'!F:F,'P&amp;L LTD  USD'!A:A,'Exp By type'!B6)+SUMIFS('BS &amp; P&amp;L INC '!H:H,'BS &amp; P&amp;L INC '!B:B,'Exp By type'!B6)</f>
        <v>122025172.43000001</v>
      </c>
    </row>
    <row r="7" spans="2:3" ht="15">
      <c r="B7" s="59" t="s">
        <v>515</v>
      </c>
      <c r="C7" s="577">
        <f>SUMIFS('P&amp;L LTD  USD'!F:F,'P&amp;L LTD  USD'!A:A,'Exp By type'!B7)+SUMIFS('BS &amp; P&amp;L INC '!H:H,'BS &amp; P&amp;L INC '!B:B,'Exp By type'!B7)</f>
        <v>9974297.1500000004</v>
      </c>
    </row>
    <row r="8" spans="2:3" ht="15">
      <c r="B8" s="576" t="s">
        <v>911</v>
      </c>
      <c r="C8" s="577">
        <f>SUMIFS('P&amp;L LTD  USD'!F:F,'P&amp;L LTD  USD'!A:A,'Exp By type'!B8)+SUMIFS('BS &amp; P&amp;L INC '!H:H,'BS &amp; P&amp;L INC '!B:B,'Exp By type'!B8)</f>
        <v>10705310.76</v>
      </c>
    </row>
    <row r="9" spans="2:3" ht="15">
      <c r="B9" s="576" t="s">
        <v>912</v>
      </c>
      <c r="C9" s="577">
        <f>SUMIFS('P&amp;L LTD  USD'!F:F,'P&amp;L LTD  USD'!A:A,'Exp By type'!B9)+SUMIFS('BS &amp; P&amp;L INC '!H:H,'BS &amp; P&amp;L INC '!B:B,'Exp By type'!B9)</f>
        <v>1799715.2884866977</v>
      </c>
    </row>
    <row r="10" spans="2:3" ht="15">
      <c r="B10" s="576" t="s">
        <v>910</v>
      </c>
      <c r="C10" s="577">
        <f>SUMIFS('P&amp;L LTD  USD'!F:F,'P&amp;L LTD  USD'!A:A,'Exp By type'!B10)+SUMIFS('BS &amp; P&amp;L INC '!H:H,'BS &amp; P&amp;L INC '!B:B,'Exp By type'!B10)</f>
        <v>5791686.4259953033</v>
      </c>
    </row>
    <row r="11" spans="2:3" ht="15">
      <c r="B11" s="576" t="s">
        <v>914</v>
      </c>
      <c r="C11" s="577">
        <f>SUMIFS('P&amp;L LTD  USD'!F:F,'P&amp;L LTD  USD'!A:A,'Exp By type'!B11)+SUMIFS('BS &amp; P&amp;L INC '!H:H,'BS &amp; P&amp;L INC '!B:B,'Exp By type'!B11)</f>
        <v>2096047.3214572999</v>
      </c>
    </row>
    <row r="12" spans="2:3" ht="15">
      <c r="B12" s="576" t="s">
        <v>915</v>
      </c>
      <c r="C12" s="577">
        <f>SUMIFS('P&amp;L LTD  USD'!F:F,'P&amp;L LTD  USD'!A:A,'Exp By type'!B12)+SUMIFS('BS &amp; P&amp;L INC '!H:H,'BS &amp; P&amp;L INC '!B:B,'Exp By type'!B12)</f>
        <v>1430649.0997385979</v>
      </c>
    </row>
    <row r="13" spans="2:3" ht="15">
      <c r="B13" s="582" t="s">
        <v>1216</v>
      </c>
      <c r="C13" s="577">
        <f>SUMIFS('P&amp;L LTD  USD'!F:F,'P&amp;L LTD  USD'!A:A,'Exp By type'!B13)+SUMIFS('BS &amp; P&amp;L INC '!H:H,'BS &amp; P&amp;L INC '!B:B,'Exp By type'!B13)</f>
        <v>1095955.97</v>
      </c>
    </row>
    <row r="14" spans="2:3" ht="15">
      <c r="B14" s="575" t="s">
        <v>1080</v>
      </c>
      <c r="C14" s="577">
        <f>SUMIFS('P&amp;L LTD  USD'!F:F,'P&amp;L LTD  USD'!A:A,'Exp By type'!B14)+SUMIFS('BS &amp; P&amp;L INC '!H:H,'BS &amp; P&amp;L INC '!B:B,'Exp By type'!B14)</f>
        <v>83930.849999999977</v>
      </c>
    </row>
    <row r="15" spans="2:3">
      <c r="C15" s="583">
        <f>SUM(C6:C14)</f>
        <v>155002765.29567787</v>
      </c>
    </row>
    <row r="16" spans="2:3">
      <c r="C16" s="583">
        <f>('P&amp;L USD CONS'!I9+'P&amp;L USD CONS'!I13+'P&amp;L USD CONS'!I16+'P&amp;L USD CONS'!I19+'P&amp;L USD CONS'!I27+'P&amp;L USD CONS'!I35)*1000</f>
        <v>155002765.67567793</v>
      </c>
    </row>
    <row r="17" spans="3:3">
      <c r="C17" s="584">
        <f>C15-C16</f>
        <v>-0.38000005483627319</v>
      </c>
    </row>
    <row r="18" spans="3:3">
      <c r="C18" s="583"/>
    </row>
    <row r="19" spans="3:3">
      <c r="C19" s="58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209F-F8DD-074B-A82A-FE431B6A0723}">
  <dimension ref="B4:L31"/>
  <sheetViews>
    <sheetView workbookViewId="0">
      <selection activeCell="K10" sqref="K10"/>
    </sheetView>
  </sheetViews>
  <sheetFormatPr defaultColWidth="11.42578125" defaultRowHeight="12.75"/>
  <cols>
    <col min="2" max="2" width="26.7109375" customWidth="1"/>
    <col min="3" max="4" width="16.28515625" customWidth="1"/>
    <col min="11" max="11" width="13.85546875" style="450" bestFit="1" customWidth="1"/>
  </cols>
  <sheetData>
    <row r="4" spans="2:12">
      <c r="B4" s="587" t="s">
        <v>348</v>
      </c>
      <c r="C4" s="596">
        <v>2021</v>
      </c>
      <c r="D4" s="596"/>
      <c r="K4" s="450">
        <f>-4903754</f>
        <v>-4903754</v>
      </c>
      <c r="L4" s="444" t="s">
        <v>1248</v>
      </c>
    </row>
    <row r="5" spans="2:12">
      <c r="B5" s="444" t="s">
        <v>1218</v>
      </c>
      <c r="C5" s="590">
        <f>(K5+K6+K9)*-1</f>
        <v>-169907147.31999999</v>
      </c>
      <c r="D5" s="590"/>
      <c r="E5" s="444" t="s">
        <v>1247</v>
      </c>
      <c r="G5">
        <f>SUM('BS &amp; P&amp;L INC '!H40:H44)</f>
        <v>172810086.69</v>
      </c>
      <c r="K5" s="450">
        <f>SUM('BS &amp; P&amp;L INC '!H40:H44)</f>
        <v>172810086.69</v>
      </c>
      <c r="L5" t="s">
        <v>1246</v>
      </c>
    </row>
    <row r="6" spans="2:12">
      <c r="B6" s="444" t="s">
        <v>1245</v>
      </c>
      <c r="C6" s="590">
        <f>-K4-K7-K8</f>
        <v>6836904.5199999996</v>
      </c>
      <c r="D6" s="590"/>
      <c r="G6" s="590">
        <f>'P&amp;L LTD  USD'!F6+'P&amp;L LTD  USD'!F7+'BS &amp; P&amp;L INC '!H45</f>
        <v>-2970603.8697870891</v>
      </c>
      <c r="K6" s="450">
        <f>-'P&amp;L LTD  USD'!F8</f>
        <v>-3028063.37</v>
      </c>
      <c r="L6" t="s">
        <v>371</v>
      </c>
    </row>
    <row r="7" spans="2:12" ht="13.5" thickBot="1">
      <c r="B7" s="588" t="s">
        <v>1219</v>
      </c>
      <c r="C7" s="592">
        <f>SUM(C5:C6)</f>
        <v>-163070242.79999998</v>
      </c>
      <c r="D7" s="617"/>
      <c r="K7" s="450">
        <f>-'P&amp;L LTD  USD'!F7</f>
        <v>-3485732</v>
      </c>
      <c r="L7" s="444" t="s">
        <v>1249</v>
      </c>
    </row>
    <row r="8" spans="2:12" ht="13.5" thickTop="1">
      <c r="B8" s="575"/>
      <c r="C8" s="583"/>
      <c r="D8" s="583"/>
      <c r="K8" s="450">
        <f>-'P&amp;L LTD  USD'!F6</f>
        <v>1552581.48</v>
      </c>
      <c r="L8" s="444" t="s">
        <v>1250</v>
      </c>
    </row>
    <row r="9" spans="2:12">
      <c r="B9" t="s">
        <v>1220</v>
      </c>
      <c r="C9" s="590">
        <f>'Exp By type'!C6</f>
        <v>122025172.43000001</v>
      </c>
      <c r="D9" s="590"/>
      <c r="K9" s="450">
        <v>125124</v>
      </c>
      <c r="L9" s="444" t="s">
        <v>1251</v>
      </c>
    </row>
    <row r="10" spans="2:12">
      <c r="B10" t="s">
        <v>1221</v>
      </c>
      <c r="C10" s="590">
        <f>'Exp By type'!C13</f>
        <v>1095955.97</v>
      </c>
      <c r="D10" s="590"/>
    </row>
    <row r="11" spans="2:12" ht="13.5" thickBot="1">
      <c r="B11" s="588" t="s">
        <v>1222</v>
      </c>
      <c r="C11" s="592">
        <f t="shared" ref="C11" si="0">SUM(C9:C10)</f>
        <v>123121128.40000001</v>
      </c>
      <c r="D11" s="617"/>
    </row>
    <row r="12" spans="2:12" ht="13.5" thickTop="1">
      <c r="B12" s="575"/>
      <c r="C12" s="583"/>
      <c r="D12" s="583"/>
    </row>
    <row r="13" spans="2:12">
      <c r="B13" s="589" t="s">
        <v>1223</v>
      </c>
      <c r="C13" s="590">
        <f>C7+C11</f>
        <v>-39949114.399999976</v>
      </c>
      <c r="D13" s="590"/>
    </row>
    <row r="14" spans="2:12">
      <c r="B14" s="589" t="s">
        <v>1224</v>
      </c>
      <c r="C14" s="593">
        <f t="shared" ref="C14" si="1">C13/C7</f>
        <v>0.24498101992155727</v>
      </c>
      <c r="D14" s="593"/>
    </row>
    <row r="15" spans="2:12">
      <c r="B15" s="575"/>
      <c r="C15" s="583"/>
      <c r="D15" s="583"/>
    </row>
    <row r="16" spans="2:12">
      <c r="B16" s="589" t="s">
        <v>1225</v>
      </c>
      <c r="C16" s="583">
        <f>'Exp By type'!C7</f>
        <v>9974297.1500000004</v>
      </c>
      <c r="D16" s="583"/>
    </row>
    <row r="17" spans="2:5">
      <c r="B17" s="589" t="s">
        <v>911</v>
      </c>
      <c r="C17" s="594">
        <f>'Exp By type'!C8</f>
        <v>10705310.76</v>
      </c>
      <c r="D17" s="594"/>
    </row>
    <row r="18" spans="2:5">
      <c r="B18" s="589" t="s">
        <v>1226</v>
      </c>
      <c r="C18" s="594">
        <f>'Exp By type'!C10</f>
        <v>5791686.4259953033</v>
      </c>
      <c r="D18" s="594"/>
      <c r="E18" s="473"/>
    </row>
    <row r="19" spans="2:5">
      <c r="B19" s="575"/>
      <c r="C19" s="583"/>
      <c r="D19" s="583"/>
    </row>
    <row r="20" spans="2:5">
      <c r="B20" s="588" t="s">
        <v>1227</v>
      </c>
      <c r="C20" s="591">
        <f>C13+C16+C17+C18</f>
        <v>-13477820.064004676</v>
      </c>
      <c r="D20" s="591"/>
    </row>
    <row r="21" spans="2:5">
      <c r="B21" s="589" t="s">
        <v>912</v>
      </c>
      <c r="C21" s="583">
        <f>'Exp By type'!C9</f>
        <v>1799715.2884866977</v>
      </c>
      <c r="D21" s="583"/>
    </row>
    <row r="22" spans="2:5">
      <c r="B22" s="575" t="s">
        <v>1080</v>
      </c>
      <c r="C22" s="583">
        <f>'Exp By type'!C14</f>
        <v>83930.849999999977</v>
      </c>
      <c r="D22" s="583"/>
    </row>
    <row r="23" spans="2:5">
      <c r="B23" s="575" t="s">
        <v>1228</v>
      </c>
      <c r="C23" s="583">
        <f>'Exp By type'!C11</f>
        <v>2096047.3214572999</v>
      </c>
      <c r="D23" s="583"/>
    </row>
    <row r="24" spans="2:5">
      <c r="B24" s="575"/>
      <c r="C24" s="583"/>
      <c r="D24" s="583"/>
    </row>
    <row r="25" spans="2:5">
      <c r="B25" s="575" t="s">
        <v>1229</v>
      </c>
      <c r="C25" s="583">
        <f>'Exp By type'!C12</f>
        <v>1430649.0997385979</v>
      </c>
      <c r="D25" s="583"/>
    </row>
    <row r="26" spans="2:5">
      <c r="B26" s="575"/>
      <c r="C26" s="595"/>
      <c r="D26" s="595"/>
    </row>
    <row r="27" spans="2:5">
      <c r="B27" s="575" t="s">
        <v>1230</v>
      </c>
      <c r="C27" s="595">
        <f>C20+C22+C21+C23+C25</f>
        <v>-8067477.5043220818</v>
      </c>
      <c r="D27" s="595"/>
    </row>
    <row r="28" spans="2:5">
      <c r="B28" s="575"/>
      <c r="C28" s="583"/>
      <c r="D28" s="583"/>
    </row>
    <row r="29" spans="2:5">
      <c r="B29" s="575"/>
      <c r="C29" s="595"/>
      <c r="D29" s="595"/>
    </row>
    <row r="30" spans="2:5">
      <c r="C30" s="595"/>
      <c r="D30" s="595"/>
    </row>
    <row r="31" spans="2:5">
      <c r="C31" s="575"/>
      <c r="D31" s="57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119"/>
  <sheetViews>
    <sheetView topLeftCell="A218" workbookViewId="0">
      <selection activeCell="G245" sqref="G245"/>
    </sheetView>
  </sheetViews>
  <sheetFormatPr defaultColWidth="12.7109375" defaultRowHeight="15" customHeight="1"/>
  <cols>
    <col min="1" max="4" width="24.28515625" customWidth="1"/>
    <col min="5" max="5" width="30.85546875" customWidth="1"/>
    <col min="6" max="6" width="24.28515625" customWidth="1"/>
    <col min="7" max="7" width="49" customWidth="1"/>
    <col min="8" max="26" width="24.28515625" customWidth="1"/>
  </cols>
  <sheetData>
    <row r="1" spans="1:26" ht="15.75" customHeight="1">
      <c r="A1" s="40" t="s">
        <v>44</v>
      </c>
      <c r="B1" s="40" t="s">
        <v>45</v>
      </c>
      <c r="C1" s="40" t="s">
        <v>46</v>
      </c>
      <c r="D1" s="40" t="s">
        <v>47</v>
      </c>
      <c r="E1" s="41" t="s">
        <v>48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0" t="s">
        <v>49</v>
      </c>
      <c r="B2" s="40" t="s">
        <v>50</v>
      </c>
      <c r="C2" s="40" t="s">
        <v>51</v>
      </c>
      <c r="D2" s="40">
        <v>80020</v>
      </c>
      <c r="E2" s="41" t="s">
        <v>52</v>
      </c>
      <c r="F2" s="40" t="s">
        <v>53</v>
      </c>
      <c r="G2" s="40" t="s">
        <v>54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0" t="s">
        <v>49</v>
      </c>
      <c r="B3" s="40" t="s">
        <v>50</v>
      </c>
      <c r="C3" s="40" t="s">
        <v>51</v>
      </c>
      <c r="D3" s="40">
        <v>80021</v>
      </c>
      <c r="E3" s="41" t="s">
        <v>55</v>
      </c>
      <c r="F3" s="40" t="s">
        <v>53</v>
      </c>
      <c r="G3" s="40" t="s">
        <v>54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0" t="s">
        <v>49</v>
      </c>
      <c r="B4" s="40" t="s">
        <v>50</v>
      </c>
      <c r="C4" s="40" t="s">
        <v>51</v>
      </c>
      <c r="D4" s="40">
        <v>80022</v>
      </c>
      <c r="E4" s="41" t="s">
        <v>56</v>
      </c>
      <c r="F4" s="40" t="s">
        <v>53</v>
      </c>
      <c r="G4" s="40" t="s">
        <v>54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0" t="s">
        <v>49</v>
      </c>
      <c r="B5" s="40" t="s">
        <v>50</v>
      </c>
      <c r="C5" s="40" t="s">
        <v>51</v>
      </c>
      <c r="D5" s="40">
        <v>80024</v>
      </c>
      <c r="E5" s="41" t="s">
        <v>57</v>
      </c>
      <c r="F5" s="40" t="s">
        <v>53</v>
      </c>
      <c r="G5" s="40" t="s">
        <v>54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0" t="s">
        <v>49</v>
      </c>
      <c r="B6" s="40" t="s">
        <v>50</v>
      </c>
      <c r="C6" s="40" t="s">
        <v>51</v>
      </c>
      <c r="D6" s="40">
        <v>80026</v>
      </c>
      <c r="E6" s="41" t="s">
        <v>58</v>
      </c>
      <c r="F6" s="40" t="s">
        <v>53</v>
      </c>
      <c r="G6" s="40" t="s">
        <v>54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0" t="s">
        <v>49</v>
      </c>
      <c r="B7" s="40" t="s">
        <v>50</v>
      </c>
      <c r="C7" s="40" t="s">
        <v>51</v>
      </c>
      <c r="D7" s="40">
        <v>80027</v>
      </c>
      <c r="E7" s="41" t="s">
        <v>59</v>
      </c>
      <c r="F7" s="40" t="s">
        <v>53</v>
      </c>
      <c r="G7" s="40" t="s">
        <v>54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0" t="s">
        <v>49</v>
      </c>
      <c r="B8" s="40" t="s">
        <v>50</v>
      </c>
      <c r="C8" s="40" t="s">
        <v>60</v>
      </c>
      <c r="D8" s="40">
        <v>100000</v>
      </c>
      <c r="E8" s="41" t="s">
        <v>61</v>
      </c>
      <c r="F8" s="40" t="s">
        <v>53</v>
      </c>
      <c r="G8" s="40" t="s">
        <v>62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0" t="s">
        <v>49</v>
      </c>
      <c r="B9" s="40" t="s">
        <v>50</v>
      </c>
      <c r="C9" s="40" t="s">
        <v>60</v>
      </c>
      <c r="D9" s="40">
        <v>100001</v>
      </c>
      <c r="E9" s="41" t="s">
        <v>63</v>
      </c>
      <c r="F9" s="40" t="s">
        <v>53</v>
      </c>
      <c r="G9" s="40" t="s">
        <v>62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0" t="s">
        <v>49</v>
      </c>
      <c r="B10" s="40" t="s">
        <v>50</v>
      </c>
      <c r="C10" s="40" t="s">
        <v>60</v>
      </c>
      <c r="D10" s="40">
        <v>100002</v>
      </c>
      <c r="E10" s="41" t="s">
        <v>64</v>
      </c>
      <c r="F10" s="40" t="s">
        <v>53</v>
      </c>
      <c r="G10" s="40" t="s">
        <v>62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0" t="s">
        <v>49</v>
      </c>
      <c r="B11" s="40" t="s">
        <v>50</v>
      </c>
      <c r="C11" s="40" t="s">
        <v>60</v>
      </c>
      <c r="D11" s="40">
        <v>100003</v>
      </c>
      <c r="E11" s="41" t="s">
        <v>65</v>
      </c>
      <c r="F11" s="40" t="s">
        <v>53</v>
      </c>
      <c r="G11" s="40" t="s">
        <v>62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0" t="s">
        <v>49</v>
      </c>
      <c r="B12" s="40" t="s">
        <v>50</v>
      </c>
      <c r="C12" s="40" t="s">
        <v>60</v>
      </c>
      <c r="D12" s="40">
        <v>100004</v>
      </c>
      <c r="E12" s="41" t="s">
        <v>66</v>
      </c>
      <c r="F12" s="40" t="s">
        <v>53</v>
      </c>
      <c r="G12" s="40" t="s">
        <v>62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0" t="s">
        <v>49</v>
      </c>
      <c r="B13" s="40" t="s">
        <v>50</v>
      </c>
      <c r="C13" s="40" t="s">
        <v>60</v>
      </c>
      <c r="D13" s="40">
        <v>100005</v>
      </c>
      <c r="E13" s="41" t="s">
        <v>67</v>
      </c>
      <c r="F13" s="40" t="s">
        <v>53</v>
      </c>
      <c r="G13" s="40" t="s">
        <v>62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0" t="s">
        <v>49</v>
      </c>
      <c r="B14" s="40" t="s">
        <v>68</v>
      </c>
      <c r="C14" s="40" t="s">
        <v>69</v>
      </c>
      <c r="D14" s="40">
        <v>90031</v>
      </c>
      <c r="E14" s="41" t="s">
        <v>70</v>
      </c>
      <c r="F14" s="40" t="s">
        <v>53</v>
      </c>
      <c r="G14" s="40" t="s">
        <v>71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0" t="s">
        <v>49</v>
      </c>
      <c r="B15" s="40" t="s">
        <v>68</v>
      </c>
      <c r="C15" s="40" t="s">
        <v>69</v>
      </c>
      <c r="D15" s="40">
        <v>90032</v>
      </c>
      <c r="E15" s="41" t="s">
        <v>72</v>
      </c>
      <c r="F15" s="40" t="s">
        <v>53</v>
      </c>
      <c r="G15" s="81" t="s">
        <v>73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0" t="s">
        <v>49</v>
      </c>
      <c r="B16" s="40" t="s">
        <v>68</v>
      </c>
      <c r="C16" s="40" t="s">
        <v>74</v>
      </c>
      <c r="D16" s="40">
        <v>2050</v>
      </c>
      <c r="E16" s="41" t="s">
        <v>75</v>
      </c>
      <c r="F16" s="40" t="s">
        <v>53</v>
      </c>
      <c r="G16" s="40" t="s">
        <v>71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 t="s">
        <v>49</v>
      </c>
      <c r="B17" s="40" t="s">
        <v>68</v>
      </c>
      <c r="C17" s="40" t="s">
        <v>74</v>
      </c>
      <c r="D17" s="40">
        <v>2051</v>
      </c>
      <c r="E17" s="41" t="s">
        <v>76</v>
      </c>
      <c r="F17" s="40" t="s">
        <v>53</v>
      </c>
      <c r="G17" s="40" t="s">
        <v>71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0" t="s">
        <v>49</v>
      </c>
      <c r="B18" s="40" t="s">
        <v>68</v>
      </c>
      <c r="C18" s="40" t="s">
        <v>74</v>
      </c>
      <c r="D18" s="40">
        <v>2052</v>
      </c>
      <c r="E18" s="41" t="s">
        <v>77</v>
      </c>
      <c r="F18" s="40" t="s">
        <v>53</v>
      </c>
      <c r="G18" s="40" t="s">
        <v>71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0" t="s">
        <v>49</v>
      </c>
      <c r="B19" s="40" t="s">
        <v>68</v>
      </c>
      <c r="C19" s="40" t="s">
        <v>74</v>
      </c>
      <c r="D19" s="40">
        <v>2053</v>
      </c>
      <c r="E19" s="41" t="s">
        <v>78</v>
      </c>
      <c r="F19" s="40" t="s">
        <v>53</v>
      </c>
      <c r="G19" s="40" t="s">
        <v>71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0" t="s">
        <v>49</v>
      </c>
      <c r="B20" s="40" t="s">
        <v>68</v>
      </c>
      <c r="C20" s="40" t="s">
        <v>74</v>
      </c>
      <c r="D20" s="40">
        <v>50003</v>
      </c>
      <c r="E20" s="41" t="s">
        <v>79</v>
      </c>
      <c r="F20" s="40" t="s">
        <v>53</v>
      </c>
      <c r="G20" s="40" t="s">
        <v>71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 t="s">
        <v>49</v>
      </c>
      <c r="B21" s="40" t="s">
        <v>68</v>
      </c>
      <c r="C21" s="40" t="s">
        <v>74</v>
      </c>
      <c r="D21" s="40">
        <v>50004</v>
      </c>
      <c r="E21" s="41" t="s">
        <v>80</v>
      </c>
      <c r="F21" s="40" t="s">
        <v>53</v>
      </c>
      <c r="G21" s="40" t="s">
        <v>71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 t="s">
        <v>49</v>
      </c>
      <c r="B22" s="40" t="s">
        <v>68</v>
      </c>
      <c r="C22" s="40" t="s">
        <v>74</v>
      </c>
      <c r="D22" s="40">
        <v>50005</v>
      </c>
      <c r="E22" s="41" t="s">
        <v>81</v>
      </c>
      <c r="F22" s="40" t="s">
        <v>53</v>
      </c>
      <c r="G22" s="40" t="s">
        <v>71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 t="s">
        <v>49</v>
      </c>
      <c r="B23" s="40" t="s">
        <v>68</v>
      </c>
      <c r="C23" s="40" t="s">
        <v>74</v>
      </c>
      <c r="D23" s="40">
        <v>50006</v>
      </c>
      <c r="E23" s="41" t="s">
        <v>82</v>
      </c>
      <c r="F23" s="40" t="s">
        <v>53</v>
      </c>
      <c r="G23" s="40" t="s">
        <v>71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 t="s">
        <v>49</v>
      </c>
      <c r="B24" s="40" t="s">
        <v>68</v>
      </c>
      <c r="C24" s="40" t="s">
        <v>74</v>
      </c>
      <c r="D24" s="40">
        <v>50015</v>
      </c>
      <c r="E24" s="41" t="s">
        <v>83</v>
      </c>
      <c r="F24" s="40" t="s">
        <v>53</v>
      </c>
      <c r="G24" s="40" t="s">
        <v>84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 t="s">
        <v>49</v>
      </c>
      <c r="B25" s="40" t="s">
        <v>68</v>
      </c>
      <c r="C25" s="40" t="s">
        <v>74</v>
      </c>
      <c r="D25" s="40">
        <v>90001</v>
      </c>
      <c r="E25" s="41" t="s">
        <v>85</v>
      </c>
      <c r="F25" s="40" t="s">
        <v>53</v>
      </c>
      <c r="G25" s="40" t="s">
        <v>71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 t="s">
        <v>49</v>
      </c>
      <c r="B26" s="40" t="s">
        <v>68</v>
      </c>
      <c r="C26" s="40" t="s">
        <v>74</v>
      </c>
      <c r="D26" s="40">
        <v>90006</v>
      </c>
      <c r="E26" s="41" t="s">
        <v>86</v>
      </c>
      <c r="F26" s="40" t="s">
        <v>53</v>
      </c>
      <c r="G26" s="40" t="s">
        <v>84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 t="s">
        <v>49</v>
      </c>
      <c r="B27" s="40" t="s">
        <v>68</v>
      </c>
      <c r="C27" s="40" t="s">
        <v>74</v>
      </c>
      <c r="D27" s="40">
        <v>90007</v>
      </c>
      <c r="E27" s="41" t="s">
        <v>87</v>
      </c>
      <c r="F27" s="40" t="s">
        <v>53</v>
      </c>
      <c r="G27" s="40" t="s">
        <v>84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 t="s">
        <v>49</v>
      </c>
      <c r="B28" s="40" t="s">
        <v>68</v>
      </c>
      <c r="C28" s="40" t="s">
        <v>74</v>
      </c>
      <c r="D28" s="40">
        <v>90008</v>
      </c>
      <c r="E28" s="41" t="s">
        <v>88</v>
      </c>
      <c r="F28" s="40" t="s">
        <v>53</v>
      </c>
      <c r="G28" s="40" t="s">
        <v>84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 t="s">
        <v>49</v>
      </c>
      <c r="B29" s="40" t="s">
        <v>68</v>
      </c>
      <c r="C29" s="40" t="s">
        <v>74</v>
      </c>
      <c r="D29" s="40">
        <v>90009</v>
      </c>
      <c r="E29" s="41" t="s">
        <v>89</v>
      </c>
      <c r="F29" s="40" t="s">
        <v>53</v>
      </c>
      <c r="G29" s="40" t="s">
        <v>84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 t="s">
        <v>49</v>
      </c>
      <c r="B30" s="40" t="s">
        <v>68</v>
      </c>
      <c r="C30" s="40" t="s">
        <v>74</v>
      </c>
      <c r="D30" s="40">
        <v>90014</v>
      </c>
      <c r="E30" s="41" t="s">
        <v>90</v>
      </c>
      <c r="F30" s="40" t="s">
        <v>53</v>
      </c>
      <c r="G30" s="40" t="s">
        <v>84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 t="s">
        <v>49</v>
      </c>
      <c r="B31" s="40" t="s">
        <v>68</v>
      </c>
      <c r="C31" s="40" t="s">
        <v>74</v>
      </c>
      <c r="D31" s="40">
        <v>90017</v>
      </c>
      <c r="E31" s="41" t="s">
        <v>91</v>
      </c>
      <c r="F31" s="40" t="s">
        <v>53</v>
      </c>
      <c r="G31" s="40" t="s">
        <v>84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 t="s">
        <v>49</v>
      </c>
      <c r="B32" s="40" t="s">
        <v>68</v>
      </c>
      <c r="C32" s="40" t="s">
        <v>74</v>
      </c>
      <c r="D32" s="40">
        <v>90018</v>
      </c>
      <c r="E32" s="41" t="s">
        <v>92</v>
      </c>
      <c r="F32" s="40" t="s">
        <v>53</v>
      </c>
      <c r="G32" s="40" t="s">
        <v>84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 t="s">
        <v>49</v>
      </c>
      <c r="B33" s="40" t="s">
        <v>68</v>
      </c>
      <c r="C33" s="40" t="s">
        <v>74</v>
      </c>
      <c r="D33" s="40">
        <v>90019</v>
      </c>
      <c r="E33" s="41" t="s">
        <v>93</v>
      </c>
      <c r="F33" s="40" t="s">
        <v>53</v>
      </c>
      <c r="G33" s="40" t="s">
        <v>84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 t="s">
        <v>49</v>
      </c>
      <c r="B34" s="40" t="s">
        <v>68</v>
      </c>
      <c r="C34" s="40" t="s">
        <v>74</v>
      </c>
      <c r="D34" s="40">
        <v>90030</v>
      </c>
      <c r="E34" s="41" t="s">
        <v>94</v>
      </c>
      <c r="F34" s="40" t="s">
        <v>53</v>
      </c>
      <c r="G34" s="40" t="s">
        <v>62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 t="s">
        <v>49</v>
      </c>
      <c r="B35" s="40" t="s">
        <v>68</v>
      </c>
      <c r="C35" s="40" t="s">
        <v>74</v>
      </c>
      <c r="D35" s="40">
        <v>9997</v>
      </c>
      <c r="E35" s="41" t="s">
        <v>95</v>
      </c>
      <c r="F35" s="40" t="s">
        <v>53</v>
      </c>
      <c r="G35" s="40" t="s">
        <v>71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 t="s">
        <v>49</v>
      </c>
      <c r="B36" s="40" t="s">
        <v>96</v>
      </c>
      <c r="C36" s="40" t="s">
        <v>97</v>
      </c>
      <c r="D36" s="40">
        <v>30002</v>
      </c>
      <c r="E36" s="41" t="s">
        <v>98</v>
      </c>
      <c r="F36" s="40" t="s">
        <v>53</v>
      </c>
      <c r="G36" s="40" t="s">
        <v>99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 t="s">
        <v>49</v>
      </c>
      <c r="B37" s="40" t="s">
        <v>96</v>
      </c>
      <c r="C37" s="40" t="s">
        <v>100</v>
      </c>
      <c r="D37" s="40">
        <v>30003</v>
      </c>
      <c r="E37" s="41" t="s">
        <v>101</v>
      </c>
      <c r="F37" s="40" t="s">
        <v>53</v>
      </c>
      <c r="G37" s="40" t="s">
        <v>99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 t="s">
        <v>49</v>
      </c>
      <c r="B38" s="40" t="s">
        <v>96</v>
      </c>
      <c r="C38" s="40" t="s">
        <v>102</v>
      </c>
      <c r="D38" s="40">
        <v>30004</v>
      </c>
      <c r="E38" s="41" t="s">
        <v>103</v>
      </c>
      <c r="F38" s="40" t="s">
        <v>53</v>
      </c>
      <c r="G38" s="40" t="s">
        <v>99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 t="s">
        <v>49</v>
      </c>
      <c r="B39" s="40" t="s">
        <v>96</v>
      </c>
      <c r="C39" s="40" t="s">
        <v>104</v>
      </c>
      <c r="D39" s="40">
        <v>30005</v>
      </c>
      <c r="E39" s="41" t="s">
        <v>105</v>
      </c>
      <c r="F39" s="40" t="s">
        <v>53</v>
      </c>
      <c r="G39" s="40" t="s">
        <v>99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 t="s">
        <v>49</v>
      </c>
      <c r="B40" s="40" t="s">
        <v>96</v>
      </c>
      <c r="C40" s="40" t="s">
        <v>106</v>
      </c>
      <c r="D40" s="40">
        <v>30006</v>
      </c>
      <c r="E40" s="41" t="s">
        <v>107</v>
      </c>
      <c r="F40" s="40" t="s">
        <v>53</v>
      </c>
      <c r="G40" s="40" t="s">
        <v>99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 t="s">
        <v>49</v>
      </c>
      <c r="B41" s="40" t="s">
        <v>96</v>
      </c>
      <c r="C41" s="40" t="s">
        <v>106</v>
      </c>
      <c r="D41" s="40">
        <v>30008</v>
      </c>
      <c r="E41" s="41" t="s">
        <v>108</v>
      </c>
      <c r="F41" s="40" t="s">
        <v>53</v>
      </c>
      <c r="G41" s="40" t="s">
        <v>99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 t="s">
        <v>49</v>
      </c>
      <c r="B42" s="40" t="s">
        <v>96</v>
      </c>
      <c r="C42" s="40" t="s">
        <v>109</v>
      </c>
      <c r="D42" s="40">
        <v>30007</v>
      </c>
      <c r="E42" s="41" t="s">
        <v>110</v>
      </c>
      <c r="F42" s="40" t="s">
        <v>53</v>
      </c>
      <c r="G42" s="40" t="s">
        <v>99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 t="s">
        <v>49</v>
      </c>
      <c r="B43" s="40" t="s">
        <v>96</v>
      </c>
      <c r="C43" s="40" t="s">
        <v>109</v>
      </c>
      <c r="D43" s="40">
        <v>30009</v>
      </c>
      <c r="E43" s="41" t="s">
        <v>111</v>
      </c>
      <c r="F43" s="40" t="s">
        <v>53</v>
      </c>
      <c r="G43" s="40" t="s">
        <v>99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 t="s">
        <v>49</v>
      </c>
      <c r="B44" s="40" t="s">
        <v>96</v>
      </c>
      <c r="C44" s="40" t="s">
        <v>109</v>
      </c>
      <c r="D44" s="40">
        <v>30011</v>
      </c>
      <c r="E44" s="41" t="s">
        <v>112</v>
      </c>
      <c r="F44" s="40" t="s">
        <v>53</v>
      </c>
      <c r="G44" s="40" t="s">
        <v>99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 t="s">
        <v>49</v>
      </c>
      <c r="B45" s="40" t="s">
        <v>96</v>
      </c>
      <c r="C45" s="40" t="s">
        <v>113</v>
      </c>
      <c r="D45" s="40">
        <v>30001</v>
      </c>
      <c r="E45" s="41" t="s">
        <v>114</v>
      </c>
      <c r="F45" s="40" t="s">
        <v>53</v>
      </c>
      <c r="G45" s="40" t="s">
        <v>99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0" t="s">
        <v>49</v>
      </c>
      <c r="B46" s="40" t="s">
        <v>96</v>
      </c>
      <c r="C46" s="40" t="s">
        <v>113</v>
      </c>
      <c r="D46" s="40">
        <v>30010</v>
      </c>
      <c r="E46" s="41" t="s">
        <v>115</v>
      </c>
      <c r="F46" s="40" t="s">
        <v>53</v>
      </c>
      <c r="G46" s="40" t="s">
        <v>99</v>
      </c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0" t="s">
        <v>116</v>
      </c>
      <c r="B47" s="40" t="s">
        <v>117</v>
      </c>
      <c r="C47" s="40" t="s">
        <v>118</v>
      </c>
      <c r="D47" s="40">
        <v>200003</v>
      </c>
      <c r="E47" s="41" t="s">
        <v>119</v>
      </c>
      <c r="F47" s="40" t="s">
        <v>53</v>
      </c>
      <c r="G47" s="40" t="s">
        <v>120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0" t="s">
        <v>116</v>
      </c>
      <c r="B48" s="40" t="s">
        <v>117</v>
      </c>
      <c r="C48" s="40" t="s">
        <v>118</v>
      </c>
      <c r="D48" s="40">
        <v>200006</v>
      </c>
      <c r="E48" s="41" t="s">
        <v>121</v>
      </c>
      <c r="F48" s="40" t="s">
        <v>53</v>
      </c>
      <c r="G48" s="40" t="s">
        <v>120</v>
      </c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0" t="s">
        <v>116</v>
      </c>
      <c r="B49" s="40" t="s">
        <v>117</v>
      </c>
      <c r="C49" s="40" t="s">
        <v>118</v>
      </c>
      <c r="D49" s="40">
        <v>200007</v>
      </c>
      <c r="E49" s="41" t="s">
        <v>122</v>
      </c>
      <c r="F49" s="40" t="s">
        <v>53</v>
      </c>
      <c r="G49" s="40" t="s">
        <v>120</v>
      </c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0" t="s">
        <v>116</v>
      </c>
      <c r="B50" s="40" t="s">
        <v>117</v>
      </c>
      <c r="C50" s="40" t="s">
        <v>118</v>
      </c>
      <c r="D50" s="40">
        <v>200009</v>
      </c>
      <c r="E50" s="41" t="s">
        <v>123</v>
      </c>
      <c r="F50" s="40" t="s">
        <v>53</v>
      </c>
      <c r="G50" s="40" t="s">
        <v>120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0" t="s">
        <v>116</v>
      </c>
      <c r="B51" s="40" t="s">
        <v>117</v>
      </c>
      <c r="C51" s="40" t="s">
        <v>118</v>
      </c>
      <c r="D51" s="40">
        <v>200012</v>
      </c>
      <c r="E51" s="41" t="s">
        <v>124</v>
      </c>
      <c r="F51" s="40" t="s">
        <v>53</v>
      </c>
      <c r="G51" s="40" t="s">
        <v>120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0" t="s">
        <v>116</v>
      </c>
      <c r="B52" s="40" t="s">
        <v>117</v>
      </c>
      <c r="C52" s="40" t="s">
        <v>118</v>
      </c>
      <c r="D52" s="40">
        <v>200014</v>
      </c>
      <c r="E52" s="41" t="s">
        <v>125</v>
      </c>
      <c r="F52" s="40" t="s">
        <v>53</v>
      </c>
      <c r="G52" s="40" t="s">
        <v>120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0" t="s">
        <v>116</v>
      </c>
      <c r="B53" s="40" t="s">
        <v>117</v>
      </c>
      <c r="C53" s="40" t="s">
        <v>118</v>
      </c>
      <c r="D53" s="40">
        <v>200020</v>
      </c>
      <c r="E53" s="41" t="s">
        <v>126</v>
      </c>
      <c r="F53" s="40" t="s">
        <v>53</v>
      </c>
      <c r="G53" s="40" t="s">
        <v>120</v>
      </c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0" t="s">
        <v>116</v>
      </c>
      <c r="B54" s="40" t="s">
        <v>117</v>
      </c>
      <c r="C54" s="40" t="s">
        <v>118</v>
      </c>
      <c r="D54" s="40">
        <v>200023</v>
      </c>
      <c r="E54" s="41" t="s">
        <v>127</v>
      </c>
      <c r="F54" s="40" t="s">
        <v>53</v>
      </c>
      <c r="G54" s="40" t="s">
        <v>71</v>
      </c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40" t="s">
        <v>116</v>
      </c>
      <c r="B55" s="40" t="s">
        <v>117</v>
      </c>
      <c r="C55" s="40" t="s">
        <v>118</v>
      </c>
      <c r="D55" s="40">
        <v>200025</v>
      </c>
      <c r="E55" s="41" t="s">
        <v>128</v>
      </c>
      <c r="F55" s="40" t="s">
        <v>53</v>
      </c>
      <c r="G55" s="40" t="s">
        <v>120</v>
      </c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40" t="s">
        <v>116</v>
      </c>
      <c r="B56" s="40" t="s">
        <v>117</v>
      </c>
      <c r="C56" s="40" t="s">
        <v>118</v>
      </c>
      <c r="D56" s="40">
        <v>200032</v>
      </c>
      <c r="E56" s="41" t="s">
        <v>129</v>
      </c>
      <c r="F56" s="40" t="s">
        <v>53</v>
      </c>
      <c r="G56" s="40" t="s">
        <v>120</v>
      </c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0" t="s">
        <v>116</v>
      </c>
      <c r="B57" s="40" t="s">
        <v>117</v>
      </c>
      <c r="C57" s="40" t="s">
        <v>118</v>
      </c>
      <c r="D57" s="40">
        <v>200036</v>
      </c>
      <c r="E57" s="41" t="s">
        <v>130</v>
      </c>
      <c r="F57" s="40" t="s">
        <v>53</v>
      </c>
      <c r="G57" s="40" t="s">
        <v>120</v>
      </c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40" t="s">
        <v>116</v>
      </c>
      <c r="B58" s="40" t="s">
        <v>117</v>
      </c>
      <c r="C58" s="40" t="s">
        <v>118</v>
      </c>
      <c r="D58" s="40">
        <v>200039</v>
      </c>
      <c r="E58" s="41" t="s">
        <v>131</v>
      </c>
      <c r="F58" s="40" t="s">
        <v>53</v>
      </c>
      <c r="G58" s="40" t="s">
        <v>120</v>
      </c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0" t="s">
        <v>116</v>
      </c>
      <c r="B59" s="40" t="s">
        <v>117</v>
      </c>
      <c r="C59" s="40" t="s">
        <v>118</v>
      </c>
      <c r="D59" s="40">
        <v>200041</v>
      </c>
      <c r="E59" s="41" t="s">
        <v>132</v>
      </c>
      <c r="F59" s="40" t="s">
        <v>53</v>
      </c>
      <c r="G59" s="40" t="s">
        <v>120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40" t="s">
        <v>116</v>
      </c>
      <c r="B60" s="40" t="s">
        <v>117</v>
      </c>
      <c r="C60" s="40" t="s">
        <v>118</v>
      </c>
      <c r="D60" s="40">
        <v>200048</v>
      </c>
      <c r="E60" s="41" t="s">
        <v>133</v>
      </c>
      <c r="F60" s="40" t="s">
        <v>53</v>
      </c>
      <c r="G60" s="40" t="s">
        <v>120</v>
      </c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40" t="s">
        <v>116</v>
      </c>
      <c r="B61" s="40" t="s">
        <v>117</v>
      </c>
      <c r="C61" s="40" t="s">
        <v>118</v>
      </c>
      <c r="D61" s="40">
        <v>200049</v>
      </c>
      <c r="E61" s="41" t="s">
        <v>134</v>
      </c>
      <c r="F61" s="40" t="s">
        <v>53</v>
      </c>
      <c r="G61" s="40" t="s">
        <v>120</v>
      </c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0" t="s">
        <v>116</v>
      </c>
      <c r="B62" s="40" t="s">
        <v>117</v>
      </c>
      <c r="C62" s="40" t="s">
        <v>118</v>
      </c>
      <c r="D62" s="40">
        <v>200050</v>
      </c>
      <c r="E62" s="41" t="s">
        <v>135</v>
      </c>
      <c r="F62" s="40" t="s">
        <v>53</v>
      </c>
      <c r="G62" s="40" t="s">
        <v>120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40" t="s">
        <v>116</v>
      </c>
      <c r="B63" s="40" t="s">
        <v>117</v>
      </c>
      <c r="C63" s="40" t="s">
        <v>118</v>
      </c>
      <c r="D63" s="40">
        <v>200086</v>
      </c>
      <c r="E63" s="41" t="s">
        <v>136</v>
      </c>
      <c r="F63" s="40" t="s">
        <v>53</v>
      </c>
      <c r="G63" s="40" t="s">
        <v>120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40" t="s">
        <v>116</v>
      </c>
      <c r="B64" s="40" t="s">
        <v>117</v>
      </c>
      <c r="C64" s="40" t="s">
        <v>118</v>
      </c>
      <c r="D64" s="40">
        <v>200089</v>
      </c>
      <c r="E64" s="41" t="s">
        <v>137</v>
      </c>
      <c r="F64" s="40" t="s">
        <v>53</v>
      </c>
      <c r="G64" s="40" t="s">
        <v>120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40" t="s">
        <v>116</v>
      </c>
      <c r="B65" s="40" t="s">
        <v>117</v>
      </c>
      <c r="C65" s="40" t="s">
        <v>118</v>
      </c>
      <c r="D65" s="40">
        <v>200103</v>
      </c>
      <c r="E65" s="41" t="s">
        <v>138</v>
      </c>
      <c r="F65" s="40" t="s">
        <v>53</v>
      </c>
      <c r="G65" s="40" t="s">
        <v>120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40" t="s">
        <v>116</v>
      </c>
      <c r="B66" s="40" t="s">
        <v>117</v>
      </c>
      <c r="C66" s="40" t="s">
        <v>118</v>
      </c>
      <c r="D66" s="40">
        <v>200104</v>
      </c>
      <c r="E66" s="41" t="s">
        <v>139</v>
      </c>
      <c r="F66" s="40" t="s">
        <v>53</v>
      </c>
      <c r="G66" s="40" t="s">
        <v>120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40" t="s">
        <v>116</v>
      </c>
      <c r="B67" s="40" t="s">
        <v>117</v>
      </c>
      <c r="C67" s="40" t="s">
        <v>118</v>
      </c>
      <c r="D67" s="40">
        <v>200106</v>
      </c>
      <c r="E67" s="41" t="s">
        <v>140</v>
      </c>
      <c r="F67" s="40" t="s">
        <v>53</v>
      </c>
      <c r="G67" s="40" t="s">
        <v>120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0" t="s">
        <v>116</v>
      </c>
      <c r="B68" s="40" t="s">
        <v>117</v>
      </c>
      <c r="C68" s="40" t="s">
        <v>118</v>
      </c>
      <c r="D68" s="40">
        <v>200107</v>
      </c>
      <c r="E68" s="41" t="s">
        <v>141</v>
      </c>
      <c r="F68" s="40" t="s">
        <v>53</v>
      </c>
      <c r="G68" s="40" t="s">
        <v>120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40" t="s">
        <v>116</v>
      </c>
      <c r="B69" s="40" t="s">
        <v>117</v>
      </c>
      <c r="C69" s="40" t="s">
        <v>118</v>
      </c>
      <c r="D69" s="40">
        <v>200108</v>
      </c>
      <c r="E69" s="41" t="s">
        <v>142</v>
      </c>
      <c r="F69" s="40" t="s">
        <v>53</v>
      </c>
      <c r="G69" s="40" t="s">
        <v>120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40" t="s">
        <v>116</v>
      </c>
      <c r="B70" s="40" t="s">
        <v>117</v>
      </c>
      <c r="C70" s="40" t="s">
        <v>118</v>
      </c>
      <c r="D70" s="40">
        <v>200112</v>
      </c>
      <c r="E70" s="41" t="s">
        <v>143</v>
      </c>
      <c r="F70" s="40" t="s">
        <v>53</v>
      </c>
      <c r="G70" s="40" t="s">
        <v>120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40" t="s">
        <v>116</v>
      </c>
      <c r="B71" s="40" t="s">
        <v>117</v>
      </c>
      <c r="C71" s="40" t="s">
        <v>118</v>
      </c>
      <c r="D71" s="40">
        <v>200115</v>
      </c>
      <c r="E71" s="41" t="s">
        <v>144</v>
      </c>
      <c r="F71" s="40" t="s">
        <v>53</v>
      </c>
      <c r="G71" s="40" t="s">
        <v>120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40" t="s">
        <v>116</v>
      </c>
      <c r="B72" s="40" t="s">
        <v>117</v>
      </c>
      <c r="C72" s="40" t="s">
        <v>118</v>
      </c>
      <c r="D72" s="40">
        <v>200125</v>
      </c>
      <c r="E72" s="41" t="s">
        <v>145</v>
      </c>
      <c r="F72" s="40" t="s">
        <v>53</v>
      </c>
      <c r="G72" s="40" t="s">
        <v>120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40" t="s">
        <v>116</v>
      </c>
      <c r="B73" s="40" t="s">
        <v>117</v>
      </c>
      <c r="C73" s="40" t="s">
        <v>118</v>
      </c>
      <c r="D73" s="40">
        <v>200130</v>
      </c>
      <c r="E73" s="41" t="s">
        <v>146</v>
      </c>
      <c r="F73" s="40" t="s">
        <v>53</v>
      </c>
      <c r="G73" s="40" t="s">
        <v>120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40" t="s">
        <v>116</v>
      </c>
      <c r="B74" s="40" t="s">
        <v>117</v>
      </c>
      <c r="C74" s="40" t="s">
        <v>118</v>
      </c>
      <c r="D74" s="40">
        <v>200131</v>
      </c>
      <c r="E74" s="41" t="s">
        <v>147</v>
      </c>
      <c r="F74" s="40" t="s">
        <v>53</v>
      </c>
      <c r="G74" s="40" t="s">
        <v>120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40" t="s">
        <v>116</v>
      </c>
      <c r="B75" s="40" t="s">
        <v>117</v>
      </c>
      <c r="C75" s="40" t="s">
        <v>118</v>
      </c>
      <c r="D75" s="40">
        <v>200149</v>
      </c>
      <c r="E75" s="41" t="s">
        <v>148</v>
      </c>
      <c r="F75" s="40" t="s">
        <v>53</v>
      </c>
      <c r="G75" s="40" t="s">
        <v>120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40" t="s">
        <v>116</v>
      </c>
      <c r="B76" s="40" t="s">
        <v>117</v>
      </c>
      <c r="C76" s="40" t="s">
        <v>118</v>
      </c>
      <c r="D76" s="40">
        <v>200155</v>
      </c>
      <c r="E76" s="41" t="s">
        <v>149</v>
      </c>
      <c r="F76" s="40" t="s">
        <v>53</v>
      </c>
      <c r="G76" s="40" t="s">
        <v>120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40" t="s">
        <v>116</v>
      </c>
      <c r="B77" s="40" t="s">
        <v>117</v>
      </c>
      <c r="C77" s="40" t="s">
        <v>118</v>
      </c>
      <c r="D77" s="40">
        <v>200156</v>
      </c>
      <c r="E77" s="41" t="s">
        <v>150</v>
      </c>
      <c r="F77" s="40" t="s">
        <v>53</v>
      </c>
      <c r="G77" s="40" t="s">
        <v>120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40" t="s">
        <v>116</v>
      </c>
      <c r="B78" s="40" t="s">
        <v>117</v>
      </c>
      <c r="C78" s="40" t="s">
        <v>118</v>
      </c>
      <c r="D78" s="40">
        <v>200157</v>
      </c>
      <c r="E78" s="41" t="s">
        <v>151</v>
      </c>
      <c r="F78" s="40" t="s">
        <v>53</v>
      </c>
      <c r="G78" s="40" t="s">
        <v>120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40" t="s">
        <v>116</v>
      </c>
      <c r="B79" s="40" t="s">
        <v>117</v>
      </c>
      <c r="C79" s="40" t="s">
        <v>118</v>
      </c>
      <c r="D79" s="40">
        <v>200175</v>
      </c>
      <c r="E79" s="41" t="s">
        <v>152</v>
      </c>
      <c r="F79" s="40" t="s">
        <v>53</v>
      </c>
      <c r="G79" s="40" t="s">
        <v>120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40" t="s">
        <v>116</v>
      </c>
      <c r="B80" s="40" t="s">
        <v>117</v>
      </c>
      <c r="C80" s="40" t="s">
        <v>118</v>
      </c>
      <c r="D80" s="40">
        <v>200177</v>
      </c>
      <c r="E80" s="41" t="s">
        <v>153</v>
      </c>
      <c r="F80" s="40" t="s">
        <v>53</v>
      </c>
      <c r="G80" s="40" t="s">
        <v>120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40" t="s">
        <v>116</v>
      </c>
      <c r="B81" s="40" t="s">
        <v>117</v>
      </c>
      <c r="C81" s="40" t="s">
        <v>118</v>
      </c>
      <c r="D81" s="40">
        <v>200178</v>
      </c>
      <c r="E81" s="41" t="s">
        <v>154</v>
      </c>
      <c r="F81" s="40" t="s">
        <v>53</v>
      </c>
      <c r="G81" s="40" t="s">
        <v>120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40" t="s">
        <v>116</v>
      </c>
      <c r="B82" s="40" t="s">
        <v>117</v>
      </c>
      <c r="C82" s="40" t="s">
        <v>118</v>
      </c>
      <c r="D82" s="40">
        <v>200184</v>
      </c>
      <c r="E82" s="41" t="s">
        <v>155</v>
      </c>
      <c r="F82" s="40" t="s">
        <v>53</v>
      </c>
      <c r="G82" s="40" t="s">
        <v>120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40" t="s">
        <v>116</v>
      </c>
      <c r="B83" s="40" t="s">
        <v>117</v>
      </c>
      <c r="C83" s="40" t="s">
        <v>118</v>
      </c>
      <c r="D83" s="40">
        <v>200187</v>
      </c>
      <c r="E83" s="41" t="s">
        <v>156</v>
      </c>
      <c r="F83" s="40" t="s">
        <v>53</v>
      </c>
      <c r="G83" s="40" t="s">
        <v>120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40" t="s">
        <v>116</v>
      </c>
      <c r="B84" s="40" t="s">
        <v>117</v>
      </c>
      <c r="C84" s="40" t="s">
        <v>118</v>
      </c>
      <c r="D84" s="40">
        <v>200193</v>
      </c>
      <c r="E84" s="41" t="s">
        <v>157</v>
      </c>
      <c r="F84" s="40" t="s">
        <v>53</v>
      </c>
      <c r="G84" s="40" t="s">
        <v>120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40" t="s">
        <v>116</v>
      </c>
      <c r="B85" s="40" t="s">
        <v>117</v>
      </c>
      <c r="C85" s="40" t="s">
        <v>118</v>
      </c>
      <c r="D85" s="40">
        <v>200195</v>
      </c>
      <c r="E85" s="41" t="s">
        <v>158</v>
      </c>
      <c r="F85" s="40" t="s">
        <v>53</v>
      </c>
      <c r="G85" s="40" t="s">
        <v>120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40" t="s">
        <v>116</v>
      </c>
      <c r="B86" s="40" t="s">
        <v>117</v>
      </c>
      <c r="C86" s="40" t="s">
        <v>118</v>
      </c>
      <c r="D86" s="40">
        <v>200196</v>
      </c>
      <c r="E86" s="41" t="s">
        <v>159</v>
      </c>
      <c r="F86" s="40" t="s">
        <v>53</v>
      </c>
      <c r="G86" s="40" t="s">
        <v>120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40" t="s">
        <v>116</v>
      </c>
      <c r="B87" s="40" t="s">
        <v>117</v>
      </c>
      <c r="C87" s="40" t="s">
        <v>118</v>
      </c>
      <c r="D87" s="40">
        <v>200197</v>
      </c>
      <c r="E87" s="41" t="s">
        <v>160</v>
      </c>
      <c r="F87" s="40" t="s">
        <v>53</v>
      </c>
      <c r="G87" s="40" t="s">
        <v>120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40" t="s">
        <v>116</v>
      </c>
      <c r="B88" s="40" t="s">
        <v>117</v>
      </c>
      <c r="C88" s="40" t="s">
        <v>118</v>
      </c>
      <c r="D88" s="40">
        <v>200204</v>
      </c>
      <c r="E88" s="41" t="s">
        <v>161</v>
      </c>
      <c r="F88" s="40" t="s">
        <v>53</v>
      </c>
      <c r="G88" s="40" t="s">
        <v>120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40" t="s">
        <v>116</v>
      </c>
      <c r="B89" s="40" t="s">
        <v>117</v>
      </c>
      <c r="C89" s="40" t="s">
        <v>118</v>
      </c>
      <c r="D89" s="40">
        <v>200206</v>
      </c>
      <c r="E89" s="41" t="s">
        <v>162</v>
      </c>
      <c r="F89" s="40" t="s">
        <v>53</v>
      </c>
      <c r="G89" s="40" t="s">
        <v>120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40" t="s">
        <v>116</v>
      </c>
      <c r="B90" s="40" t="s">
        <v>117</v>
      </c>
      <c r="C90" s="40" t="s">
        <v>118</v>
      </c>
      <c r="D90" s="40">
        <v>200208</v>
      </c>
      <c r="E90" s="41" t="s">
        <v>163</v>
      </c>
      <c r="F90" s="40" t="s">
        <v>53</v>
      </c>
      <c r="G90" s="40" t="s">
        <v>120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40" t="s">
        <v>116</v>
      </c>
      <c r="B91" s="40" t="s">
        <v>117</v>
      </c>
      <c r="C91" s="40" t="s">
        <v>118</v>
      </c>
      <c r="D91" s="40">
        <v>200219</v>
      </c>
      <c r="E91" s="41" t="s">
        <v>164</v>
      </c>
      <c r="F91" s="40" t="s">
        <v>53</v>
      </c>
      <c r="G91" s="40" t="s">
        <v>120</v>
      </c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40" t="s">
        <v>116</v>
      </c>
      <c r="B92" s="40" t="s">
        <v>117</v>
      </c>
      <c r="C92" s="40" t="s">
        <v>118</v>
      </c>
      <c r="D92" s="40">
        <v>200220</v>
      </c>
      <c r="E92" s="41" t="s">
        <v>165</v>
      </c>
      <c r="F92" s="40" t="s">
        <v>53</v>
      </c>
      <c r="G92" s="40" t="s">
        <v>120</v>
      </c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0" t="s">
        <v>116</v>
      </c>
      <c r="B93" s="40" t="s">
        <v>117</v>
      </c>
      <c r="C93" s="40" t="s">
        <v>118</v>
      </c>
      <c r="D93" s="40">
        <v>200223</v>
      </c>
      <c r="E93" s="41" t="s">
        <v>166</v>
      </c>
      <c r="F93" s="40" t="s">
        <v>53</v>
      </c>
      <c r="G93" s="40" t="s">
        <v>120</v>
      </c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0" t="s">
        <v>116</v>
      </c>
      <c r="B94" s="40" t="s">
        <v>117</v>
      </c>
      <c r="C94" s="40" t="s">
        <v>118</v>
      </c>
      <c r="D94" s="40">
        <v>200226</v>
      </c>
      <c r="E94" s="41" t="s">
        <v>167</v>
      </c>
      <c r="F94" s="40" t="s">
        <v>53</v>
      </c>
      <c r="G94" s="40" t="s">
        <v>120</v>
      </c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0" t="s">
        <v>116</v>
      </c>
      <c r="B95" s="40" t="s">
        <v>117</v>
      </c>
      <c r="C95" s="40" t="s">
        <v>118</v>
      </c>
      <c r="D95" s="40">
        <v>200229</v>
      </c>
      <c r="E95" s="41" t="s">
        <v>168</v>
      </c>
      <c r="F95" s="40" t="s">
        <v>53</v>
      </c>
      <c r="G95" s="40" t="s">
        <v>120</v>
      </c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0" t="s">
        <v>116</v>
      </c>
      <c r="B96" s="40" t="s">
        <v>117</v>
      </c>
      <c r="C96" s="40" t="s">
        <v>118</v>
      </c>
      <c r="D96" s="40">
        <v>200236</v>
      </c>
      <c r="E96" s="41" t="s">
        <v>169</v>
      </c>
      <c r="F96" s="40" t="s">
        <v>53</v>
      </c>
      <c r="G96" s="40" t="s">
        <v>120</v>
      </c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0" t="s">
        <v>116</v>
      </c>
      <c r="B97" s="40" t="s">
        <v>117</v>
      </c>
      <c r="C97" s="40" t="s">
        <v>118</v>
      </c>
      <c r="D97" s="40">
        <v>200237</v>
      </c>
      <c r="E97" s="41" t="s">
        <v>170</v>
      </c>
      <c r="F97" s="40" t="s">
        <v>53</v>
      </c>
      <c r="G97" s="40" t="s">
        <v>120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0" t="s">
        <v>116</v>
      </c>
      <c r="B98" s="40" t="s">
        <v>117</v>
      </c>
      <c r="C98" s="40" t="s">
        <v>118</v>
      </c>
      <c r="D98" s="40">
        <v>200239</v>
      </c>
      <c r="E98" s="41" t="s">
        <v>171</v>
      </c>
      <c r="F98" s="40" t="s">
        <v>53</v>
      </c>
      <c r="G98" s="40" t="s">
        <v>120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 t="s">
        <v>116</v>
      </c>
      <c r="B99" s="40" t="s">
        <v>117</v>
      </c>
      <c r="C99" s="40" t="s">
        <v>118</v>
      </c>
      <c r="D99" s="40">
        <v>200240</v>
      </c>
      <c r="E99" s="41" t="s">
        <v>172</v>
      </c>
      <c r="F99" s="40" t="s">
        <v>53</v>
      </c>
      <c r="G99" s="40" t="s">
        <v>120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 t="s">
        <v>116</v>
      </c>
      <c r="B100" s="40" t="s">
        <v>117</v>
      </c>
      <c r="C100" s="40" t="s">
        <v>118</v>
      </c>
      <c r="D100" s="40">
        <v>200241</v>
      </c>
      <c r="E100" s="41" t="s">
        <v>173</v>
      </c>
      <c r="F100" s="40" t="s">
        <v>53</v>
      </c>
      <c r="G100" s="40" t="s">
        <v>120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 t="s">
        <v>116</v>
      </c>
      <c r="B101" s="40" t="s">
        <v>117</v>
      </c>
      <c r="C101" s="40" t="s">
        <v>118</v>
      </c>
      <c r="D101" s="40">
        <v>200242</v>
      </c>
      <c r="E101" s="41" t="s">
        <v>174</v>
      </c>
      <c r="F101" s="40" t="s">
        <v>53</v>
      </c>
      <c r="G101" s="40" t="s">
        <v>120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 t="s">
        <v>116</v>
      </c>
      <c r="B102" s="40" t="s">
        <v>117</v>
      </c>
      <c r="C102" s="40" t="s">
        <v>118</v>
      </c>
      <c r="D102" s="40">
        <v>200244</v>
      </c>
      <c r="E102" s="41" t="s">
        <v>175</v>
      </c>
      <c r="F102" s="40" t="s">
        <v>53</v>
      </c>
      <c r="G102" s="40" t="s">
        <v>120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 t="s">
        <v>116</v>
      </c>
      <c r="B103" s="40" t="s">
        <v>117</v>
      </c>
      <c r="C103" s="40" t="s">
        <v>118</v>
      </c>
      <c r="D103" s="40">
        <v>200252</v>
      </c>
      <c r="E103" s="41" t="s">
        <v>176</v>
      </c>
      <c r="F103" s="40" t="s">
        <v>53</v>
      </c>
      <c r="G103" s="40" t="s">
        <v>120</v>
      </c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 t="s">
        <v>116</v>
      </c>
      <c r="B104" s="40" t="s">
        <v>117</v>
      </c>
      <c r="C104" s="40" t="s">
        <v>118</v>
      </c>
      <c r="D104" s="40">
        <v>200253</v>
      </c>
      <c r="E104" s="41" t="s">
        <v>177</v>
      </c>
      <c r="F104" s="40" t="s">
        <v>53</v>
      </c>
      <c r="G104" s="40" t="s">
        <v>120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 t="s">
        <v>116</v>
      </c>
      <c r="B105" s="40" t="s">
        <v>117</v>
      </c>
      <c r="C105" s="40" t="s">
        <v>118</v>
      </c>
      <c r="D105" s="40">
        <v>200254</v>
      </c>
      <c r="E105" s="41" t="s">
        <v>178</v>
      </c>
      <c r="F105" s="40" t="s">
        <v>53</v>
      </c>
      <c r="G105" s="40" t="s">
        <v>120</v>
      </c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 t="s">
        <v>116</v>
      </c>
      <c r="B106" s="40" t="s">
        <v>117</v>
      </c>
      <c r="C106" s="40" t="s">
        <v>118</v>
      </c>
      <c r="D106" s="40">
        <v>200255</v>
      </c>
      <c r="E106" s="41" t="s">
        <v>179</v>
      </c>
      <c r="F106" s="40" t="s">
        <v>53</v>
      </c>
      <c r="G106" s="40" t="s">
        <v>120</v>
      </c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 t="s">
        <v>116</v>
      </c>
      <c r="B107" s="40" t="s">
        <v>117</v>
      </c>
      <c r="C107" s="40" t="s">
        <v>118</v>
      </c>
      <c r="D107" s="40">
        <v>200257</v>
      </c>
      <c r="E107" s="41" t="s">
        <v>180</v>
      </c>
      <c r="F107" s="40" t="s">
        <v>53</v>
      </c>
      <c r="G107" s="40" t="s">
        <v>120</v>
      </c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 t="s">
        <v>116</v>
      </c>
      <c r="B108" s="40" t="s">
        <v>117</v>
      </c>
      <c r="C108" s="40" t="s">
        <v>118</v>
      </c>
      <c r="D108" s="40">
        <v>200258</v>
      </c>
      <c r="E108" s="41" t="s">
        <v>181</v>
      </c>
      <c r="F108" s="40" t="s">
        <v>53</v>
      </c>
      <c r="G108" s="40" t="s">
        <v>120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 t="s">
        <v>116</v>
      </c>
      <c r="B109" s="40" t="s">
        <v>117</v>
      </c>
      <c r="C109" s="40" t="s">
        <v>118</v>
      </c>
      <c r="D109" s="40">
        <v>200259</v>
      </c>
      <c r="E109" s="41" t="s">
        <v>182</v>
      </c>
      <c r="F109" s="40" t="s">
        <v>53</v>
      </c>
      <c r="G109" s="40" t="s">
        <v>120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 t="s">
        <v>116</v>
      </c>
      <c r="B110" s="40" t="s">
        <v>117</v>
      </c>
      <c r="C110" s="40" t="s">
        <v>118</v>
      </c>
      <c r="D110" s="40">
        <v>200261</v>
      </c>
      <c r="E110" s="41" t="s">
        <v>183</v>
      </c>
      <c r="F110" s="40" t="s">
        <v>53</v>
      </c>
      <c r="G110" s="40" t="s">
        <v>120</v>
      </c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 t="s">
        <v>116</v>
      </c>
      <c r="B111" s="40" t="s">
        <v>117</v>
      </c>
      <c r="C111" s="40" t="s">
        <v>118</v>
      </c>
      <c r="D111" s="40">
        <v>200262</v>
      </c>
      <c r="E111" s="41" t="s">
        <v>184</v>
      </c>
      <c r="F111" s="40" t="s">
        <v>53</v>
      </c>
      <c r="G111" s="40" t="s">
        <v>120</v>
      </c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 t="s">
        <v>116</v>
      </c>
      <c r="B112" s="40" t="s">
        <v>117</v>
      </c>
      <c r="C112" s="40" t="s">
        <v>118</v>
      </c>
      <c r="D112" s="40">
        <v>200270</v>
      </c>
      <c r="E112" s="41" t="s">
        <v>185</v>
      </c>
      <c r="F112" s="40" t="s">
        <v>53</v>
      </c>
      <c r="G112" s="40" t="s">
        <v>120</v>
      </c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 t="s">
        <v>116</v>
      </c>
      <c r="B113" s="40" t="s">
        <v>117</v>
      </c>
      <c r="C113" s="40" t="s">
        <v>118</v>
      </c>
      <c r="D113" s="40">
        <v>200271</v>
      </c>
      <c r="E113" s="41" t="s">
        <v>186</v>
      </c>
      <c r="F113" s="40" t="s">
        <v>53</v>
      </c>
      <c r="G113" s="40" t="s">
        <v>120</v>
      </c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 t="s">
        <v>116</v>
      </c>
      <c r="B114" s="40" t="s">
        <v>117</v>
      </c>
      <c r="C114" s="40" t="s">
        <v>118</v>
      </c>
      <c r="D114" s="40">
        <v>200272</v>
      </c>
      <c r="E114" s="41" t="s">
        <v>187</v>
      </c>
      <c r="F114" s="40" t="s">
        <v>53</v>
      </c>
      <c r="G114" s="40" t="s">
        <v>120</v>
      </c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 t="s">
        <v>116</v>
      </c>
      <c r="B115" s="40" t="s">
        <v>117</v>
      </c>
      <c r="C115" s="40" t="s">
        <v>118</v>
      </c>
      <c r="D115" s="40">
        <v>200274</v>
      </c>
      <c r="E115" s="41" t="s">
        <v>188</v>
      </c>
      <c r="F115" s="40" t="s">
        <v>53</v>
      </c>
      <c r="G115" s="40" t="s">
        <v>120</v>
      </c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 t="s">
        <v>116</v>
      </c>
      <c r="B116" s="40" t="s">
        <v>117</v>
      </c>
      <c r="C116" s="40" t="s">
        <v>118</v>
      </c>
      <c r="D116" s="40">
        <v>200275</v>
      </c>
      <c r="E116" s="41" t="s">
        <v>189</v>
      </c>
      <c r="F116" s="40" t="s">
        <v>53</v>
      </c>
      <c r="G116" s="40" t="s">
        <v>120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 t="s">
        <v>116</v>
      </c>
      <c r="B117" s="40" t="s">
        <v>117</v>
      </c>
      <c r="C117" s="40" t="s">
        <v>118</v>
      </c>
      <c r="D117" s="40">
        <v>200276</v>
      </c>
      <c r="E117" s="41" t="s">
        <v>190</v>
      </c>
      <c r="F117" s="40" t="s">
        <v>53</v>
      </c>
      <c r="G117" s="40" t="s">
        <v>120</v>
      </c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 t="s">
        <v>116</v>
      </c>
      <c r="B118" s="40" t="s">
        <v>117</v>
      </c>
      <c r="C118" s="40" t="s">
        <v>118</v>
      </c>
      <c r="D118" s="40">
        <v>200278</v>
      </c>
      <c r="E118" s="41" t="s">
        <v>191</v>
      </c>
      <c r="F118" s="40" t="s">
        <v>53</v>
      </c>
      <c r="G118" s="40" t="s">
        <v>120</v>
      </c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 t="s">
        <v>116</v>
      </c>
      <c r="B119" s="40" t="s">
        <v>117</v>
      </c>
      <c r="C119" s="40" t="s">
        <v>118</v>
      </c>
      <c r="D119" s="40">
        <v>200279</v>
      </c>
      <c r="E119" s="41" t="s">
        <v>192</v>
      </c>
      <c r="F119" s="40" t="s">
        <v>53</v>
      </c>
      <c r="G119" s="40" t="s">
        <v>120</v>
      </c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 t="s">
        <v>116</v>
      </c>
      <c r="B120" s="40" t="s">
        <v>117</v>
      </c>
      <c r="C120" s="40" t="s">
        <v>118</v>
      </c>
      <c r="D120" s="40">
        <v>200280</v>
      </c>
      <c r="E120" s="41" t="s">
        <v>193</v>
      </c>
      <c r="F120" s="40" t="s">
        <v>53</v>
      </c>
      <c r="G120" s="40" t="s">
        <v>120</v>
      </c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 t="s">
        <v>116</v>
      </c>
      <c r="B121" s="40" t="s">
        <v>117</v>
      </c>
      <c r="C121" s="40" t="s">
        <v>118</v>
      </c>
      <c r="D121" s="40">
        <v>200281</v>
      </c>
      <c r="E121" s="41" t="s">
        <v>194</v>
      </c>
      <c r="F121" s="40" t="s">
        <v>53</v>
      </c>
      <c r="G121" s="40" t="s">
        <v>120</v>
      </c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 t="s">
        <v>116</v>
      </c>
      <c r="B122" s="40" t="s">
        <v>117</v>
      </c>
      <c r="C122" s="40" t="s">
        <v>118</v>
      </c>
      <c r="D122" s="40">
        <v>200284</v>
      </c>
      <c r="E122" s="41" t="s">
        <v>195</v>
      </c>
      <c r="F122" s="40" t="s">
        <v>53</v>
      </c>
      <c r="G122" s="40" t="s">
        <v>120</v>
      </c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 t="s">
        <v>116</v>
      </c>
      <c r="B123" s="40" t="s">
        <v>117</v>
      </c>
      <c r="C123" s="40" t="s">
        <v>118</v>
      </c>
      <c r="D123" s="40">
        <v>200285</v>
      </c>
      <c r="E123" s="41" t="s">
        <v>196</v>
      </c>
      <c r="F123" s="40" t="s">
        <v>53</v>
      </c>
      <c r="G123" s="40" t="s">
        <v>120</v>
      </c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 t="s">
        <v>116</v>
      </c>
      <c r="B124" s="40" t="s">
        <v>117</v>
      </c>
      <c r="C124" s="40" t="s">
        <v>118</v>
      </c>
      <c r="D124" s="40">
        <v>200286</v>
      </c>
      <c r="E124" s="41" t="s">
        <v>197</v>
      </c>
      <c r="F124" s="40" t="s">
        <v>53</v>
      </c>
      <c r="G124" s="40" t="s">
        <v>120</v>
      </c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 t="s">
        <v>116</v>
      </c>
      <c r="B125" s="40" t="s">
        <v>117</v>
      </c>
      <c r="C125" s="40" t="s">
        <v>118</v>
      </c>
      <c r="D125" s="40">
        <v>200287</v>
      </c>
      <c r="E125" s="41" t="s">
        <v>198</v>
      </c>
      <c r="F125" s="40" t="s">
        <v>53</v>
      </c>
      <c r="G125" s="40" t="s">
        <v>120</v>
      </c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 t="s">
        <v>116</v>
      </c>
      <c r="B126" s="40" t="s">
        <v>117</v>
      </c>
      <c r="C126" s="40" t="s">
        <v>118</v>
      </c>
      <c r="D126" s="40">
        <v>200288</v>
      </c>
      <c r="E126" s="41" t="s">
        <v>199</v>
      </c>
      <c r="F126" s="40" t="s">
        <v>53</v>
      </c>
      <c r="G126" s="40" t="s">
        <v>120</v>
      </c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 t="s">
        <v>116</v>
      </c>
      <c r="B127" s="40" t="s">
        <v>117</v>
      </c>
      <c r="C127" s="40" t="s">
        <v>118</v>
      </c>
      <c r="D127" s="40">
        <v>200289</v>
      </c>
      <c r="E127" s="41" t="s">
        <v>200</v>
      </c>
      <c r="F127" s="40" t="s">
        <v>53</v>
      </c>
      <c r="G127" s="40" t="s">
        <v>120</v>
      </c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 t="s">
        <v>116</v>
      </c>
      <c r="B128" s="40" t="s">
        <v>117</v>
      </c>
      <c r="C128" s="40" t="s">
        <v>118</v>
      </c>
      <c r="D128" s="40">
        <v>200290</v>
      </c>
      <c r="E128" s="41" t="s">
        <v>201</v>
      </c>
      <c r="F128" s="40" t="s">
        <v>53</v>
      </c>
      <c r="G128" s="40" t="s">
        <v>120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 t="s">
        <v>116</v>
      </c>
      <c r="B129" s="40" t="s">
        <v>117</v>
      </c>
      <c r="C129" s="40" t="s">
        <v>118</v>
      </c>
      <c r="D129" s="40">
        <v>200291</v>
      </c>
      <c r="E129" s="41" t="s">
        <v>202</v>
      </c>
      <c r="F129" s="40" t="s">
        <v>53</v>
      </c>
      <c r="G129" s="40" t="s">
        <v>120</v>
      </c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 t="s">
        <v>116</v>
      </c>
      <c r="B130" s="40" t="s">
        <v>117</v>
      </c>
      <c r="C130" s="40" t="s">
        <v>118</v>
      </c>
      <c r="D130" s="40">
        <v>200292</v>
      </c>
      <c r="E130" s="41" t="s">
        <v>203</v>
      </c>
      <c r="F130" s="40" t="s">
        <v>53</v>
      </c>
      <c r="G130" s="40" t="s">
        <v>120</v>
      </c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 t="s">
        <v>116</v>
      </c>
      <c r="B131" s="40" t="s">
        <v>117</v>
      </c>
      <c r="C131" s="40" t="s">
        <v>118</v>
      </c>
      <c r="D131" s="40">
        <v>200293</v>
      </c>
      <c r="E131" s="41" t="s">
        <v>204</v>
      </c>
      <c r="F131" s="40" t="s">
        <v>53</v>
      </c>
      <c r="G131" s="40" t="s">
        <v>120</v>
      </c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 t="s">
        <v>116</v>
      </c>
      <c r="B132" s="40" t="s">
        <v>117</v>
      </c>
      <c r="C132" s="40" t="s">
        <v>118</v>
      </c>
      <c r="D132" s="40">
        <v>200294</v>
      </c>
      <c r="E132" s="41" t="s">
        <v>205</v>
      </c>
      <c r="F132" s="40" t="s">
        <v>53</v>
      </c>
      <c r="G132" s="40" t="s">
        <v>120</v>
      </c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 t="s">
        <v>116</v>
      </c>
      <c r="B133" s="40" t="s">
        <v>117</v>
      </c>
      <c r="C133" s="40" t="s">
        <v>118</v>
      </c>
      <c r="D133" s="40">
        <v>200295</v>
      </c>
      <c r="E133" s="41" t="s">
        <v>206</v>
      </c>
      <c r="F133" s="40" t="s">
        <v>53</v>
      </c>
      <c r="G133" s="40" t="s">
        <v>120</v>
      </c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 t="s">
        <v>116</v>
      </c>
      <c r="B134" s="40" t="s">
        <v>117</v>
      </c>
      <c r="C134" s="40" t="s">
        <v>118</v>
      </c>
      <c r="D134" s="40">
        <v>200296</v>
      </c>
      <c r="E134" s="41" t="s">
        <v>207</v>
      </c>
      <c r="F134" s="40" t="s">
        <v>53</v>
      </c>
      <c r="G134" s="40" t="s">
        <v>120</v>
      </c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 t="s">
        <v>116</v>
      </c>
      <c r="B135" s="40" t="s">
        <v>117</v>
      </c>
      <c r="C135" s="40" t="s">
        <v>118</v>
      </c>
      <c r="D135" s="40">
        <v>200298</v>
      </c>
      <c r="E135" s="41" t="s">
        <v>208</v>
      </c>
      <c r="F135" s="40" t="s">
        <v>53</v>
      </c>
      <c r="G135" s="40" t="s">
        <v>120</v>
      </c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 t="s">
        <v>116</v>
      </c>
      <c r="B136" s="40" t="s">
        <v>117</v>
      </c>
      <c r="C136" s="40" t="s">
        <v>118</v>
      </c>
      <c r="D136" s="40">
        <v>200299</v>
      </c>
      <c r="E136" s="41" t="s">
        <v>209</v>
      </c>
      <c r="F136" s="40" t="s">
        <v>53</v>
      </c>
      <c r="G136" s="40" t="s">
        <v>120</v>
      </c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 t="s">
        <v>116</v>
      </c>
      <c r="B137" s="40" t="s">
        <v>117</v>
      </c>
      <c r="C137" s="40" t="s">
        <v>118</v>
      </c>
      <c r="D137" s="40">
        <v>200300</v>
      </c>
      <c r="E137" s="41" t="s">
        <v>210</v>
      </c>
      <c r="F137" s="40" t="s">
        <v>53</v>
      </c>
      <c r="G137" s="40" t="s">
        <v>120</v>
      </c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 t="s">
        <v>116</v>
      </c>
      <c r="B138" s="40" t="s">
        <v>117</v>
      </c>
      <c r="C138" s="40" t="s">
        <v>118</v>
      </c>
      <c r="D138" s="40">
        <v>200301</v>
      </c>
      <c r="E138" s="41" t="s">
        <v>211</v>
      </c>
      <c r="F138" s="40" t="s">
        <v>53</v>
      </c>
      <c r="G138" s="40" t="s">
        <v>120</v>
      </c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 t="s">
        <v>116</v>
      </c>
      <c r="B139" s="40" t="s">
        <v>117</v>
      </c>
      <c r="C139" s="40" t="s">
        <v>118</v>
      </c>
      <c r="D139" s="40">
        <v>200302</v>
      </c>
      <c r="E139" s="41" t="s">
        <v>212</v>
      </c>
      <c r="F139" s="40" t="s">
        <v>53</v>
      </c>
      <c r="G139" s="40" t="s">
        <v>120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 t="s">
        <v>116</v>
      </c>
      <c r="B140" s="40" t="s">
        <v>117</v>
      </c>
      <c r="C140" s="40" t="s">
        <v>118</v>
      </c>
      <c r="D140" s="40">
        <v>200303</v>
      </c>
      <c r="E140" s="41" t="s">
        <v>213</v>
      </c>
      <c r="F140" s="40" t="s">
        <v>53</v>
      </c>
      <c r="G140" s="40" t="s">
        <v>120</v>
      </c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 t="s">
        <v>116</v>
      </c>
      <c r="B141" s="40" t="s">
        <v>117</v>
      </c>
      <c r="C141" s="40" t="s">
        <v>118</v>
      </c>
      <c r="D141" s="40">
        <v>200304</v>
      </c>
      <c r="E141" s="41" t="s">
        <v>214</v>
      </c>
      <c r="F141" s="40" t="s">
        <v>53</v>
      </c>
      <c r="G141" s="40" t="s">
        <v>120</v>
      </c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 t="s">
        <v>116</v>
      </c>
      <c r="B142" s="40" t="s">
        <v>117</v>
      </c>
      <c r="C142" s="40" t="s">
        <v>118</v>
      </c>
      <c r="D142" s="40">
        <v>200305</v>
      </c>
      <c r="E142" s="41" t="s">
        <v>215</v>
      </c>
      <c r="F142" s="40" t="s">
        <v>53</v>
      </c>
      <c r="G142" s="40" t="s">
        <v>120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 t="s">
        <v>116</v>
      </c>
      <c r="B143" s="40" t="s">
        <v>117</v>
      </c>
      <c r="C143" s="40" t="s">
        <v>118</v>
      </c>
      <c r="D143" s="40">
        <v>200306</v>
      </c>
      <c r="E143" s="41" t="s">
        <v>216</v>
      </c>
      <c r="F143" s="40" t="s">
        <v>53</v>
      </c>
      <c r="G143" s="40" t="s">
        <v>120</v>
      </c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 t="s">
        <v>116</v>
      </c>
      <c r="B144" s="40" t="s">
        <v>117</v>
      </c>
      <c r="C144" s="40" t="s">
        <v>118</v>
      </c>
      <c r="D144" s="40">
        <v>200307</v>
      </c>
      <c r="E144" s="41" t="s">
        <v>217</v>
      </c>
      <c r="F144" s="40" t="s">
        <v>53</v>
      </c>
      <c r="G144" s="40" t="s">
        <v>120</v>
      </c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 t="s">
        <v>116</v>
      </c>
      <c r="B145" s="40" t="s">
        <v>117</v>
      </c>
      <c r="C145" s="40" t="s">
        <v>118</v>
      </c>
      <c r="D145" s="40">
        <v>200308</v>
      </c>
      <c r="E145" s="41" t="s">
        <v>218</v>
      </c>
      <c r="F145" s="40" t="s">
        <v>53</v>
      </c>
      <c r="G145" s="40" t="s">
        <v>120</v>
      </c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 t="s">
        <v>116</v>
      </c>
      <c r="B146" s="40" t="s">
        <v>117</v>
      </c>
      <c r="C146" s="40" t="s">
        <v>118</v>
      </c>
      <c r="D146" s="40">
        <v>200309</v>
      </c>
      <c r="E146" s="41" t="s">
        <v>219</v>
      </c>
      <c r="F146" s="40" t="s">
        <v>53</v>
      </c>
      <c r="G146" s="40" t="s">
        <v>120</v>
      </c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 t="s">
        <v>116</v>
      </c>
      <c r="B147" s="40" t="s">
        <v>117</v>
      </c>
      <c r="C147" s="40" t="s">
        <v>118</v>
      </c>
      <c r="D147" s="40">
        <v>200310</v>
      </c>
      <c r="E147" s="41" t="s">
        <v>220</v>
      </c>
      <c r="F147" s="40" t="s">
        <v>53</v>
      </c>
      <c r="G147" s="40" t="s">
        <v>120</v>
      </c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 t="s">
        <v>116</v>
      </c>
      <c r="B148" s="40" t="s">
        <v>117</v>
      </c>
      <c r="C148" s="40" t="s">
        <v>118</v>
      </c>
      <c r="D148" s="40">
        <v>200311</v>
      </c>
      <c r="E148" s="41" t="s">
        <v>221</v>
      </c>
      <c r="F148" s="40" t="s">
        <v>53</v>
      </c>
      <c r="G148" s="40" t="s">
        <v>120</v>
      </c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 t="s">
        <v>116</v>
      </c>
      <c r="B149" s="40" t="s">
        <v>117</v>
      </c>
      <c r="C149" s="40" t="s">
        <v>118</v>
      </c>
      <c r="D149" s="40">
        <v>200312</v>
      </c>
      <c r="E149" s="41" t="s">
        <v>222</v>
      </c>
      <c r="F149" s="40" t="s">
        <v>53</v>
      </c>
      <c r="G149" s="40" t="s">
        <v>120</v>
      </c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 t="s">
        <v>116</v>
      </c>
      <c r="B150" s="40" t="s">
        <v>117</v>
      </c>
      <c r="C150" s="40" t="s">
        <v>118</v>
      </c>
      <c r="D150" s="40">
        <v>200313</v>
      </c>
      <c r="E150" s="41" t="s">
        <v>223</v>
      </c>
      <c r="F150" s="40" t="s">
        <v>53</v>
      </c>
      <c r="G150" s="40" t="s">
        <v>120</v>
      </c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 t="s">
        <v>116</v>
      </c>
      <c r="B151" s="40" t="s">
        <v>117</v>
      </c>
      <c r="C151" s="40" t="s">
        <v>118</v>
      </c>
      <c r="D151" s="40">
        <v>200315</v>
      </c>
      <c r="E151" s="41" t="s">
        <v>224</v>
      </c>
      <c r="F151" s="40" t="s">
        <v>53</v>
      </c>
      <c r="G151" s="40" t="s">
        <v>120</v>
      </c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 t="s">
        <v>116</v>
      </c>
      <c r="B152" s="40" t="s">
        <v>117</v>
      </c>
      <c r="C152" s="40" t="s">
        <v>118</v>
      </c>
      <c r="D152" s="40">
        <v>200316</v>
      </c>
      <c r="E152" s="41" t="s">
        <v>225</v>
      </c>
      <c r="F152" s="40" t="s">
        <v>53</v>
      </c>
      <c r="G152" s="40" t="s">
        <v>120</v>
      </c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 t="s">
        <v>116</v>
      </c>
      <c r="B153" s="40" t="s">
        <v>117</v>
      </c>
      <c r="C153" s="40" t="s">
        <v>118</v>
      </c>
      <c r="D153" s="40">
        <v>200317</v>
      </c>
      <c r="E153" s="41" t="s">
        <v>226</v>
      </c>
      <c r="F153" s="40" t="s">
        <v>53</v>
      </c>
      <c r="G153" s="40" t="s">
        <v>120</v>
      </c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 t="s">
        <v>116</v>
      </c>
      <c r="B154" s="40" t="s">
        <v>117</v>
      </c>
      <c r="C154" s="40" t="s">
        <v>118</v>
      </c>
      <c r="D154" s="40">
        <v>200318</v>
      </c>
      <c r="E154" s="41" t="s">
        <v>227</v>
      </c>
      <c r="F154" s="40" t="s">
        <v>53</v>
      </c>
      <c r="G154" s="40" t="s">
        <v>120</v>
      </c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 t="s">
        <v>116</v>
      </c>
      <c r="B155" s="40" t="s">
        <v>117</v>
      </c>
      <c r="C155" s="40" t="s">
        <v>118</v>
      </c>
      <c r="D155" s="40">
        <v>200319</v>
      </c>
      <c r="E155" s="41" t="s">
        <v>228</v>
      </c>
      <c r="F155" s="40" t="s">
        <v>53</v>
      </c>
      <c r="G155" s="40" t="s">
        <v>120</v>
      </c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 t="s">
        <v>116</v>
      </c>
      <c r="B156" s="40" t="s">
        <v>117</v>
      </c>
      <c r="C156" s="40" t="s">
        <v>118</v>
      </c>
      <c r="D156" s="40">
        <v>200321</v>
      </c>
      <c r="E156" s="41" t="s">
        <v>229</v>
      </c>
      <c r="F156" s="40" t="s">
        <v>53</v>
      </c>
      <c r="G156" s="40" t="s">
        <v>120</v>
      </c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 t="s">
        <v>116</v>
      </c>
      <c r="B157" s="40" t="s">
        <v>117</v>
      </c>
      <c r="C157" s="40" t="s">
        <v>118</v>
      </c>
      <c r="D157" s="40">
        <v>200322</v>
      </c>
      <c r="E157" s="41" t="s">
        <v>230</v>
      </c>
      <c r="F157" s="40" t="s">
        <v>53</v>
      </c>
      <c r="G157" s="40" t="s">
        <v>120</v>
      </c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 t="s">
        <v>116</v>
      </c>
      <c r="B158" s="40" t="s">
        <v>117</v>
      </c>
      <c r="C158" s="40" t="s">
        <v>118</v>
      </c>
      <c r="D158" s="40">
        <v>200323</v>
      </c>
      <c r="E158" s="41" t="s">
        <v>231</v>
      </c>
      <c r="F158" s="40" t="s">
        <v>53</v>
      </c>
      <c r="G158" s="40" t="s">
        <v>120</v>
      </c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 t="s">
        <v>116</v>
      </c>
      <c r="B159" s="40" t="s">
        <v>117</v>
      </c>
      <c r="C159" s="40" t="s">
        <v>118</v>
      </c>
      <c r="D159" s="40">
        <v>200326</v>
      </c>
      <c r="E159" s="41" t="s">
        <v>232</v>
      </c>
      <c r="F159" s="40" t="s">
        <v>53</v>
      </c>
      <c r="G159" s="40" t="s">
        <v>120</v>
      </c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 t="s">
        <v>116</v>
      </c>
      <c r="B160" s="40" t="s">
        <v>117</v>
      </c>
      <c r="C160" s="40" t="s">
        <v>118</v>
      </c>
      <c r="D160" s="40">
        <v>200328</v>
      </c>
      <c r="E160" s="41" t="s">
        <v>233</v>
      </c>
      <c r="F160" s="40" t="s">
        <v>53</v>
      </c>
      <c r="G160" s="40" t="s">
        <v>120</v>
      </c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 t="s">
        <v>116</v>
      </c>
      <c r="B161" s="40" t="s">
        <v>117</v>
      </c>
      <c r="C161" s="40" t="s">
        <v>234</v>
      </c>
      <c r="D161" s="40">
        <v>200051</v>
      </c>
      <c r="E161" s="41" t="s">
        <v>235</v>
      </c>
      <c r="F161" s="40" t="s">
        <v>53</v>
      </c>
      <c r="G161" s="40" t="s">
        <v>120</v>
      </c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 t="s">
        <v>116</v>
      </c>
      <c r="B162" s="40" t="s">
        <v>117</v>
      </c>
      <c r="C162" s="40" t="s">
        <v>234</v>
      </c>
      <c r="D162" s="40">
        <v>200052</v>
      </c>
      <c r="E162" s="41" t="s">
        <v>236</v>
      </c>
      <c r="F162" s="40" t="s">
        <v>53</v>
      </c>
      <c r="G162" s="40" t="s">
        <v>120</v>
      </c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 t="s">
        <v>116</v>
      </c>
      <c r="B163" s="40" t="s">
        <v>117</v>
      </c>
      <c r="C163" s="40" t="s">
        <v>234</v>
      </c>
      <c r="D163" s="40">
        <v>200060</v>
      </c>
      <c r="E163" s="41" t="s">
        <v>237</v>
      </c>
      <c r="F163" s="40" t="s">
        <v>53</v>
      </c>
      <c r="G163" s="40" t="s">
        <v>120</v>
      </c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 t="s">
        <v>116</v>
      </c>
      <c r="B164" s="40" t="s">
        <v>117</v>
      </c>
      <c r="C164" s="40" t="s">
        <v>234</v>
      </c>
      <c r="D164" s="40">
        <v>200061</v>
      </c>
      <c r="E164" s="41" t="s">
        <v>238</v>
      </c>
      <c r="F164" s="40" t="s">
        <v>53</v>
      </c>
      <c r="G164" s="40" t="s">
        <v>120</v>
      </c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 t="s">
        <v>116</v>
      </c>
      <c r="B165" s="40" t="s">
        <v>117</v>
      </c>
      <c r="C165" s="40" t="s">
        <v>234</v>
      </c>
      <c r="D165" s="40">
        <v>200065</v>
      </c>
      <c r="E165" s="41" t="s">
        <v>239</v>
      </c>
      <c r="F165" s="40" t="s">
        <v>53</v>
      </c>
      <c r="G165" s="40" t="s">
        <v>120</v>
      </c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 t="s">
        <v>116</v>
      </c>
      <c r="B166" s="40" t="s">
        <v>117</v>
      </c>
      <c r="C166" s="40" t="s">
        <v>234</v>
      </c>
      <c r="D166" s="40">
        <v>200067</v>
      </c>
      <c r="E166" s="41" t="s">
        <v>240</v>
      </c>
      <c r="F166" s="40" t="s">
        <v>53</v>
      </c>
      <c r="G166" s="40" t="s">
        <v>120</v>
      </c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 t="s">
        <v>116</v>
      </c>
      <c r="B167" s="40" t="s">
        <v>117</v>
      </c>
      <c r="C167" s="40" t="s">
        <v>234</v>
      </c>
      <c r="D167" s="40">
        <v>200068</v>
      </c>
      <c r="E167" s="41" t="s">
        <v>241</v>
      </c>
      <c r="F167" s="40" t="s">
        <v>53</v>
      </c>
      <c r="G167" s="40" t="s">
        <v>120</v>
      </c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 t="s">
        <v>116</v>
      </c>
      <c r="B168" s="40" t="s">
        <v>117</v>
      </c>
      <c r="C168" s="40" t="s">
        <v>234</v>
      </c>
      <c r="D168" s="40">
        <v>200074</v>
      </c>
      <c r="E168" s="41" t="s">
        <v>242</v>
      </c>
      <c r="F168" s="40" t="s">
        <v>53</v>
      </c>
      <c r="G168" s="40" t="s">
        <v>120</v>
      </c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 t="s">
        <v>116</v>
      </c>
      <c r="B169" s="40" t="s">
        <v>117</v>
      </c>
      <c r="C169" s="40" t="s">
        <v>234</v>
      </c>
      <c r="D169" s="40">
        <v>200080</v>
      </c>
      <c r="E169" s="41" t="s">
        <v>243</v>
      </c>
      <c r="F169" s="40" t="s">
        <v>53</v>
      </c>
      <c r="G169" s="40" t="s">
        <v>120</v>
      </c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 t="s">
        <v>116</v>
      </c>
      <c r="B170" s="40" t="s">
        <v>117</v>
      </c>
      <c r="C170" s="40" t="s">
        <v>234</v>
      </c>
      <c r="D170" s="40">
        <v>200083</v>
      </c>
      <c r="E170" s="41" t="s">
        <v>244</v>
      </c>
      <c r="F170" s="40" t="s">
        <v>53</v>
      </c>
      <c r="G170" s="40" t="s">
        <v>120</v>
      </c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 t="s">
        <v>116</v>
      </c>
      <c r="B171" s="40" t="s">
        <v>117</v>
      </c>
      <c r="C171" s="40" t="s">
        <v>234</v>
      </c>
      <c r="D171" s="40">
        <v>200101</v>
      </c>
      <c r="E171" s="41" t="s">
        <v>245</v>
      </c>
      <c r="F171" s="40" t="s">
        <v>53</v>
      </c>
      <c r="G171" s="40" t="s">
        <v>120</v>
      </c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 t="s">
        <v>116</v>
      </c>
      <c r="B172" s="40" t="s">
        <v>117</v>
      </c>
      <c r="C172" s="40" t="s">
        <v>234</v>
      </c>
      <c r="D172" s="40">
        <v>200121</v>
      </c>
      <c r="E172" s="41" t="s">
        <v>246</v>
      </c>
      <c r="F172" s="40" t="s">
        <v>53</v>
      </c>
      <c r="G172" s="40" t="s">
        <v>120</v>
      </c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 t="s">
        <v>116</v>
      </c>
      <c r="B173" s="40" t="s">
        <v>117</v>
      </c>
      <c r="C173" s="40" t="s">
        <v>234</v>
      </c>
      <c r="D173" s="40">
        <v>200123</v>
      </c>
      <c r="E173" s="41" t="s">
        <v>247</v>
      </c>
      <c r="F173" s="40" t="s">
        <v>53</v>
      </c>
      <c r="G173" s="40" t="s">
        <v>120</v>
      </c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 t="s">
        <v>116</v>
      </c>
      <c r="B174" s="40" t="s">
        <v>117</v>
      </c>
      <c r="C174" s="40" t="s">
        <v>234</v>
      </c>
      <c r="D174" s="40">
        <v>200136</v>
      </c>
      <c r="E174" s="41" t="s">
        <v>248</v>
      </c>
      <c r="F174" s="40" t="s">
        <v>53</v>
      </c>
      <c r="G174" s="40" t="s">
        <v>120</v>
      </c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 t="s">
        <v>116</v>
      </c>
      <c r="B175" s="40" t="s">
        <v>117</v>
      </c>
      <c r="C175" s="40" t="s">
        <v>234</v>
      </c>
      <c r="D175" s="40">
        <v>200137</v>
      </c>
      <c r="E175" s="41" t="s">
        <v>249</v>
      </c>
      <c r="F175" s="40" t="s">
        <v>53</v>
      </c>
      <c r="G175" s="40" t="s">
        <v>120</v>
      </c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 t="s">
        <v>116</v>
      </c>
      <c r="B176" s="40" t="s">
        <v>117</v>
      </c>
      <c r="C176" s="40" t="s">
        <v>234</v>
      </c>
      <c r="D176" s="40">
        <v>200143</v>
      </c>
      <c r="E176" s="41" t="s">
        <v>250</v>
      </c>
      <c r="F176" s="40" t="s">
        <v>53</v>
      </c>
      <c r="G176" s="40" t="s">
        <v>120</v>
      </c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 t="s">
        <v>116</v>
      </c>
      <c r="B177" s="40" t="s">
        <v>117</v>
      </c>
      <c r="C177" s="40" t="s">
        <v>234</v>
      </c>
      <c r="D177" s="40">
        <v>200145</v>
      </c>
      <c r="E177" s="41" t="s">
        <v>251</v>
      </c>
      <c r="F177" s="40" t="s">
        <v>53</v>
      </c>
      <c r="G177" s="40" t="s">
        <v>120</v>
      </c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 t="s">
        <v>116</v>
      </c>
      <c r="B178" s="40" t="s">
        <v>117</v>
      </c>
      <c r="C178" s="40" t="s">
        <v>234</v>
      </c>
      <c r="D178" s="40">
        <v>200160</v>
      </c>
      <c r="E178" s="41" t="s">
        <v>252</v>
      </c>
      <c r="F178" s="40" t="s">
        <v>53</v>
      </c>
      <c r="G178" s="40" t="s">
        <v>120</v>
      </c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 t="s">
        <v>116</v>
      </c>
      <c r="B179" s="40" t="s">
        <v>117</v>
      </c>
      <c r="C179" s="40" t="s">
        <v>234</v>
      </c>
      <c r="D179" s="40">
        <v>200172</v>
      </c>
      <c r="E179" s="41" t="s">
        <v>253</v>
      </c>
      <c r="F179" s="40" t="s">
        <v>53</v>
      </c>
      <c r="G179" s="40" t="s">
        <v>120</v>
      </c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 t="s">
        <v>116</v>
      </c>
      <c r="B180" s="40" t="s">
        <v>117</v>
      </c>
      <c r="C180" s="40" t="s">
        <v>234</v>
      </c>
      <c r="D180" s="40">
        <v>200174</v>
      </c>
      <c r="E180" s="41" t="s">
        <v>254</v>
      </c>
      <c r="F180" s="40" t="s">
        <v>53</v>
      </c>
      <c r="G180" s="40" t="s">
        <v>120</v>
      </c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 t="s">
        <v>116</v>
      </c>
      <c r="B181" s="40" t="s">
        <v>117</v>
      </c>
      <c r="C181" s="40" t="s">
        <v>234</v>
      </c>
      <c r="D181" s="40">
        <v>200189</v>
      </c>
      <c r="E181" s="41" t="s">
        <v>255</v>
      </c>
      <c r="F181" s="40" t="s">
        <v>53</v>
      </c>
      <c r="G181" s="40" t="s">
        <v>120</v>
      </c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 t="s">
        <v>116</v>
      </c>
      <c r="B182" s="40" t="s">
        <v>117</v>
      </c>
      <c r="C182" s="40" t="s">
        <v>234</v>
      </c>
      <c r="D182" s="40">
        <v>200218</v>
      </c>
      <c r="E182" s="41" t="s">
        <v>256</v>
      </c>
      <c r="F182" s="40" t="s">
        <v>53</v>
      </c>
      <c r="G182" s="40" t="s">
        <v>120</v>
      </c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 t="s">
        <v>116</v>
      </c>
      <c r="B183" s="40" t="s">
        <v>117</v>
      </c>
      <c r="C183" s="40" t="s">
        <v>234</v>
      </c>
      <c r="D183" s="40">
        <v>200230</v>
      </c>
      <c r="E183" s="41" t="s">
        <v>257</v>
      </c>
      <c r="F183" s="40" t="s">
        <v>53</v>
      </c>
      <c r="G183" s="40" t="s">
        <v>120</v>
      </c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 t="s">
        <v>116</v>
      </c>
      <c r="B184" s="40" t="s">
        <v>117</v>
      </c>
      <c r="C184" s="40" t="s">
        <v>234</v>
      </c>
      <c r="D184" s="40">
        <v>200231</v>
      </c>
      <c r="E184" s="41" t="s">
        <v>258</v>
      </c>
      <c r="F184" s="40" t="s">
        <v>53</v>
      </c>
      <c r="G184" s="40" t="s">
        <v>120</v>
      </c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 t="s">
        <v>116</v>
      </c>
      <c r="B185" s="40" t="s">
        <v>117</v>
      </c>
      <c r="C185" s="40" t="s">
        <v>234</v>
      </c>
      <c r="D185" s="40">
        <v>200233</v>
      </c>
      <c r="E185" s="41" t="s">
        <v>259</v>
      </c>
      <c r="F185" s="40" t="s">
        <v>53</v>
      </c>
      <c r="G185" s="40" t="s">
        <v>120</v>
      </c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 t="s">
        <v>116</v>
      </c>
      <c r="B186" s="40" t="s">
        <v>117</v>
      </c>
      <c r="C186" s="40" t="s">
        <v>234</v>
      </c>
      <c r="D186" s="40">
        <v>200238</v>
      </c>
      <c r="E186" s="41" t="s">
        <v>260</v>
      </c>
      <c r="F186" s="40" t="s">
        <v>53</v>
      </c>
      <c r="G186" s="40" t="s">
        <v>120</v>
      </c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 t="s">
        <v>116</v>
      </c>
      <c r="B187" s="40" t="s">
        <v>117</v>
      </c>
      <c r="C187" s="40" t="s">
        <v>234</v>
      </c>
      <c r="D187" s="40">
        <v>200243</v>
      </c>
      <c r="E187" s="41" t="s">
        <v>261</v>
      </c>
      <c r="F187" s="40" t="s">
        <v>53</v>
      </c>
      <c r="G187" s="40" t="s">
        <v>120</v>
      </c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 t="s">
        <v>116</v>
      </c>
      <c r="B188" s="40" t="s">
        <v>117</v>
      </c>
      <c r="C188" s="40" t="s">
        <v>234</v>
      </c>
      <c r="D188" s="40">
        <v>200248</v>
      </c>
      <c r="E188" s="41" t="s">
        <v>262</v>
      </c>
      <c r="F188" s="40" t="s">
        <v>53</v>
      </c>
      <c r="G188" s="40" t="s">
        <v>120</v>
      </c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 t="s">
        <v>116</v>
      </c>
      <c r="B189" s="40" t="s">
        <v>117</v>
      </c>
      <c r="C189" s="40" t="s">
        <v>234</v>
      </c>
      <c r="D189" s="40">
        <v>200250</v>
      </c>
      <c r="E189" s="41" t="s">
        <v>263</v>
      </c>
      <c r="F189" s="40" t="s">
        <v>53</v>
      </c>
      <c r="G189" s="40" t="s">
        <v>120</v>
      </c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 t="s">
        <v>116</v>
      </c>
      <c r="B190" s="40" t="s">
        <v>117</v>
      </c>
      <c r="C190" s="40" t="s">
        <v>234</v>
      </c>
      <c r="D190" s="40">
        <v>200251</v>
      </c>
      <c r="E190" s="41" t="s">
        <v>264</v>
      </c>
      <c r="F190" s="40" t="s">
        <v>53</v>
      </c>
      <c r="G190" s="40" t="s">
        <v>120</v>
      </c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 t="s">
        <v>116</v>
      </c>
      <c r="B191" s="40" t="s">
        <v>117</v>
      </c>
      <c r="C191" s="40" t="s">
        <v>234</v>
      </c>
      <c r="D191" s="40">
        <v>200256</v>
      </c>
      <c r="E191" s="41" t="s">
        <v>265</v>
      </c>
      <c r="F191" s="40" t="s">
        <v>53</v>
      </c>
      <c r="G191" s="40" t="s">
        <v>120</v>
      </c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 t="s">
        <v>116</v>
      </c>
      <c r="B192" s="40" t="s">
        <v>117</v>
      </c>
      <c r="C192" s="40" t="s">
        <v>234</v>
      </c>
      <c r="D192" s="40">
        <v>200268</v>
      </c>
      <c r="E192" s="41" t="s">
        <v>266</v>
      </c>
      <c r="F192" s="40" t="s">
        <v>53</v>
      </c>
      <c r="G192" s="40" t="s">
        <v>120</v>
      </c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 t="s">
        <v>116</v>
      </c>
      <c r="B193" s="40" t="s">
        <v>117</v>
      </c>
      <c r="C193" s="40" t="s">
        <v>234</v>
      </c>
      <c r="D193" s="40">
        <v>200269</v>
      </c>
      <c r="E193" s="41" t="s">
        <v>267</v>
      </c>
      <c r="F193" s="40" t="s">
        <v>53</v>
      </c>
      <c r="G193" s="40" t="s">
        <v>120</v>
      </c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 t="s">
        <v>116</v>
      </c>
      <c r="B194" s="40" t="s">
        <v>117</v>
      </c>
      <c r="C194" s="40" t="s">
        <v>268</v>
      </c>
      <c r="D194" s="40" t="s">
        <v>269</v>
      </c>
      <c r="E194" s="41" t="s">
        <v>270</v>
      </c>
      <c r="F194" s="40" t="s">
        <v>53</v>
      </c>
      <c r="G194" s="40" t="s">
        <v>84</v>
      </c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 t="s">
        <v>116</v>
      </c>
      <c r="B195" s="40" t="s">
        <v>117</v>
      </c>
      <c r="C195" s="40" t="s">
        <v>268</v>
      </c>
      <c r="D195" s="40">
        <v>79999</v>
      </c>
      <c r="E195" s="41" t="s">
        <v>271</v>
      </c>
      <c r="F195" s="40" t="s">
        <v>53</v>
      </c>
      <c r="G195" s="40" t="s">
        <v>1239</v>
      </c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 t="s">
        <v>116</v>
      </c>
      <c r="B196" s="40" t="s">
        <v>117</v>
      </c>
      <c r="C196" s="40" t="s">
        <v>272</v>
      </c>
      <c r="D196" s="40">
        <v>80005</v>
      </c>
      <c r="E196" s="41" t="s">
        <v>273</v>
      </c>
      <c r="F196" s="40" t="s">
        <v>53</v>
      </c>
      <c r="G196" s="40" t="s">
        <v>120</v>
      </c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 t="s">
        <v>116</v>
      </c>
      <c r="B197" s="40" t="s">
        <v>117</v>
      </c>
      <c r="C197" s="40" t="s">
        <v>272</v>
      </c>
      <c r="D197" s="40">
        <v>80006</v>
      </c>
      <c r="E197" s="41" t="s">
        <v>274</v>
      </c>
      <c r="F197" s="40" t="s">
        <v>53</v>
      </c>
      <c r="G197" s="40" t="s">
        <v>120</v>
      </c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 t="s">
        <v>116</v>
      </c>
      <c r="B198" s="40" t="s">
        <v>117</v>
      </c>
      <c r="C198" s="40" t="s">
        <v>272</v>
      </c>
      <c r="D198" s="40">
        <v>80007</v>
      </c>
      <c r="E198" s="41" t="s">
        <v>275</v>
      </c>
      <c r="F198" s="40" t="s">
        <v>53</v>
      </c>
      <c r="G198" s="40" t="s">
        <v>120</v>
      </c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 t="s">
        <v>116</v>
      </c>
      <c r="B199" s="40" t="s">
        <v>117</v>
      </c>
      <c r="C199" s="40" t="s">
        <v>272</v>
      </c>
      <c r="D199" s="40">
        <v>80008</v>
      </c>
      <c r="E199" s="41" t="s">
        <v>276</v>
      </c>
      <c r="F199" s="40" t="s">
        <v>53</v>
      </c>
      <c r="G199" s="40" t="s">
        <v>120</v>
      </c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 t="s">
        <v>116</v>
      </c>
      <c r="B200" s="40" t="s">
        <v>117</v>
      </c>
      <c r="C200" s="40" t="s">
        <v>272</v>
      </c>
      <c r="D200" s="40">
        <v>80010</v>
      </c>
      <c r="E200" s="41" t="s">
        <v>277</v>
      </c>
      <c r="F200" s="40" t="s">
        <v>53</v>
      </c>
      <c r="G200" s="40" t="s">
        <v>120</v>
      </c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 t="s">
        <v>116</v>
      </c>
      <c r="B201" s="40" t="s">
        <v>117</v>
      </c>
      <c r="C201" s="40" t="s">
        <v>278</v>
      </c>
      <c r="D201" s="40">
        <v>51002</v>
      </c>
      <c r="E201" s="41" t="s">
        <v>279</v>
      </c>
      <c r="F201" s="40" t="s">
        <v>53</v>
      </c>
      <c r="G201" s="40" t="s">
        <v>280</v>
      </c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 t="s">
        <v>116</v>
      </c>
      <c r="B202" s="40" t="s">
        <v>117</v>
      </c>
      <c r="C202" s="40" t="s">
        <v>278</v>
      </c>
      <c r="D202" s="40">
        <v>51018</v>
      </c>
      <c r="E202" s="42" t="s">
        <v>281</v>
      </c>
      <c r="F202" s="43" t="s">
        <v>53</v>
      </c>
      <c r="G202" s="43" t="s">
        <v>280</v>
      </c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 t="s">
        <v>116</v>
      </c>
      <c r="B203" s="40" t="s">
        <v>117</v>
      </c>
      <c r="C203" s="40" t="s">
        <v>278</v>
      </c>
      <c r="D203" s="40">
        <v>51019</v>
      </c>
      <c r="E203" s="42" t="s">
        <v>282</v>
      </c>
      <c r="F203" s="43" t="s">
        <v>53</v>
      </c>
      <c r="G203" s="43" t="s">
        <v>286</v>
      </c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 t="s">
        <v>116</v>
      </c>
      <c r="B204" s="40" t="s">
        <v>283</v>
      </c>
      <c r="C204" s="40" t="s">
        <v>284</v>
      </c>
      <c r="D204" s="40">
        <v>25001</v>
      </c>
      <c r="E204" s="42" t="s">
        <v>285</v>
      </c>
      <c r="F204" s="43" t="s">
        <v>53</v>
      </c>
      <c r="G204" s="43" t="s">
        <v>286</v>
      </c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 t="s">
        <v>116</v>
      </c>
      <c r="B205" s="40" t="s">
        <v>283</v>
      </c>
      <c r="C205" s="40" t="s">
        <v>287</v>
      </c>
      <c r="D205" s="40">
        <v>45000</v>
      </c>
      <c r="E205" s="41" t="s">
        <v>288</v>
      </c>
      <c r="F205" s="40" t="s">
        <v>53</v>
      </c>
      <c r="G205" s="40" t="s">
        <v>84</v>
      </c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 t="s">
        <v>116</v>
      </c>
      <c r="B206" s="40" t="s">
        <v>283</v>
      </c>
      <c r="C206" s="40" t="s">
        <v>287</v>
      </c>
      <c r="D206" s="40">
        <v>51000</v>
      </c>
      <c r="E206" s="41" t="s">
        <v>289</v>
      </c>
      <c r="F206" s="40" t="s">
        <v>53</v>
      </c>
      <c r="G206" s="40" t="s">
        <v>290</v>
      </c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 t="s">
        <v>116</v>
      </c>
      <c r="B207" s="40" t="s">
        <v>283</v>
      </c>
      <c r="C207" s="40" t="s">
        <v>287</v>
      </c>
      <c r="D207" s="40">
        <v>51004</v>
      </c>
      <c r="E207" s="41" t="s">
        <v>291</v>
      </c>
      <c r="F207" s="40" t="s">
        <v>53</v>
      </c>
      <c r="G207" s="40" t="s">
        <v>290</v>
      </c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 t="s">
        <v>116</v>
      </c>
      <c r="B208" s="40" t="s">
        <v>283</v>
      </c>
      <c r="C208" s="40" t="s">
        <v>287</v>
      </c>
      <c r="D208" s="40">
        <v>51005</v>
      </c>
      <c r="E208" s="41" t="s">
        <v>292</v>
      </c>
      <c r="F208" s="40" t="s">
        <v>53</v>
      </c>
      <c r="G208" s="40" t="s">
        <v>290</v>
      </c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 t="s">
        <v>116</v>
      </c>
      <c r="B209" s="40" t="s">
        <v>283</v>
      </c>
      <c r="C209" s="40" t="s">
        <v>287</v>
      </c>
      <c r="D209" s="40">
        <v>51006</v>
      </c>
      <c r="E209" s="41" t="s">
        <v>293</v>
      </c>
      <c r="F209" s="40" t="s">
        <v>53</v>
      </c>
      <c r="G209" s="40" t="s">
        <v>294</v>
      </c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 t="s">
        <v>116</v>
      </c>
      <c r="B210" s="40" t="s">
        <v>283</v>
      </c>
      <c r="C210" s="40" t="s">
        <v>287</v>
      </c>
      <c r="D210" s="40">
        <v>51007</v>
      </c>
      <c r="E210" s="41" t="s">
        <v>295</v>
      </c>
      <c r="F210" s="40" t="s">
        <v>53</v>
      </c>
      <c r="G210" s="40" t="s">
        <v>294</v>
      </c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 t="s">
        <v>116</v>
      </c>
      <c r="B211" s="40" t="s">
        <v>283</v>
      </c>
      <c r="C211" s="40" t="s">
        <v>287</v>
      </c>
      <c r="D211" s="40">
        <v>51008</v>
      </c>
      <c r="E211" s="41" t="s">
        <v>296</v>
      </c>
      <c r="F211" s="40" t="s">
        <v>53</v>
      </c>
      <c r="G211" s="40" t="s">
        <v>297</v>
      </c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 t="s">
        <v>116</v>
      </c>
      <c r="B212" s="40" t="s">
        <v>283</v>
      </c>
      <c r="C212" s="40" t="s">
        <v>287</v>
      </c>
      <c r="D212" s="40">
        <v>51009</v>
      </c>
      <c r="E212" s="41" t="s">
        <v>298</v>
      </c>
      <c r="F212" s="40" t="s">
        <v>53</v>
      </c>
      <c r="G212" s="40" t="s">
        <v>297</v>
      </c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 t="s">
        <v>299</v>
      </c>
      <c r="B213" s="40" t="s">
        <v>300</v>
      </c>
      <c r="C213" s="40" t="s">
        <v>301</v>
      </c>
      <c r="D213" s="40">
        <v>3000</v>
      </c>
      <c r="E213" s="41" t="s">
        <v>302</v>
      </c>
      <c r="F213" s="40" t="s">
        <v>53</v>
      </c>
      <c r="G213" s="40" t="s">
        <v>303</v>
      </c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 t="s">
        <v>299</v>
      </c>
      <c r="B214" s="40" t="s">
        <v>300</v>
      </c>
      <c r="C214" s="40" t="s">
        <v>301</v>
      </c>
      <c r="D214" s="40">
        <v>3001</v>
      </c>
      <c r="E214" s="41" t="s">
        <v>304</v>
      </c>
      <c r="F214" s="40" t="s">
        <v>53</v>
      </c>
      <c r="G214" s="40" t="s">
        <v>305</v>
      </c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 t="s">
        <v>299</v>
      </c>
      <c r="B215" s="40" t="s">
        <v>300</v>
      </c>
      <c r="C215" s="40" t="s">
        <v>301</v>
      </c>
      <c r="D215" s="40">
        <v>3002</v>
      </c>
      <c r="E215" s="41" t="s">
        <v>306</v>
      </c>
      <c r="F215" s="40" t="s">
        <v>53</v>
      </c>
      <c r="G215" s="40" t="s">
        <v>305</v>
      </c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 t="s">
        <v>299</v>
      </c>
      <c r="B216" s="40" t="s">
        <v>300</v>
      </c>
      <c r="C216" s="40" t="s">
        <v>301</v>
      </c>
      <c r="D216" s="40">
        <v>3003</v>
      </c>
      <c r="E216" s="41" t="s">
        <v>307</v>
      </c>
      <c r="F216" s="40" t="s">
        <v>53</v>
      </c>
      <c r="G216" s="40" t="s">
        <v>305</v>
      </c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 t="s">
        <v>299</v>
      </c>
      <c r="B217" s="40" t="s">
        <v>300</v>
      </c>
      <c r="C217" s="40" t="s">
        <v>301</v>
      </c>
      <c r="D217" s="40">
        <v>3004</v>
      </c>
      <c r="E217" s="41" t="s">
        <v>308</v>
      </c>
      <c r="F217" s="40" t="s">
        <v>53</v>
      </c>
      <c r="G217" s="40" t="s">
        <v>305</v>
      </c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 t="s">
        <v>299</v>
      </c>
      <c r="B218" s="40" t="s">
        <v>300</v>
      </c>
      <c r="C218" s="40" t="s">
        <v>301</v>
      </c>
      <c r="D218" s="40">
        <v>3005</v>
      </c>
      <c r="E218" s="41" t="s">
        <v>309</v>
      </c>
      <c r="F218" s="40" t="s">
        <v>53</v>
      </c>
      <c r="G218" s="40" t="s">
        <v>305</v>
      </c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 t="s">
        <v>299</v>
      </c>
      <c r="B219" s="40" t="s">
        <v>300</v>
      </c>
      <c r="C219" s="40" t="s">
        <v>301</v>
      </c>
      <c r="D219" s="40">
        <v>3006</v>
      </c>
      <c r="E219" s="41" t="s">
        <v>310</v>
      </c>
      <c r="F219" s="40" t="s">
        <v>53</v>
      </c>
      <c r="G219" s="40" t="s">
        <v>305</v>
      </c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 t="s">
        <v>299</v>
      </c>
      <c r="B220" s="40" t="s">
        <v>300</v>
      </c>
      <c r="C220" s="40" t="s">
        <v>301</v>
      </c>
      <c r="D220" s="40">
        <v>3007</v>
      </c>
      <c r="E220" s="41" t="s">
        <v>311</v>
      </c>
      <c r="F220" s="40" t="s">
        <v>53</v>
      </c>
      <c r="G220" s="40" t="s">
        <v>305</v>
      </c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 t="s">
        <v>299</v>
      </c>
      <c r="B221" s="40" t="s">
        <v>300</v>
      </c>
      <c r="C221" s="40" t="s">
        <v>301</v>
      </c>
      <c r="D221" s="40">
        <v>3008</v>
      </c>
      <c r="E221" s="41" t="s">
        <v>312</v>
      </c>
      <c r="F221" s="40" t="s">
        <v>53</v>
      </c>
      <c r="G221" s="40" t="s">
        <v>305</v>
      </c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 t="s">
        <v>299</v>
      </c>
      <c r="B222" s="40" t="s">
        <v>300</v>
      </c>
      <c r="C222" s="40" t="s">
        <v>301</v>
      </c>
      <c r="D222" s="40">
        <v>3009</v>
      </c>
      <c r="E222" s="41" t="s">
        <v>313</v>
      </c>
      <c r="F222" s="40" t="s">
        <v>53</v>
      </c>
      <c r="G222" s="40" t="s">
        <v>305</v>
      </c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 t="s">
        <v>299</v>
      </c>
      <c r="B223" s="40" t="s">
        <v>300</v>
      </c>
      <c r="C223" s="40" t="s">
        <v>301</v>
      </c>
      <c r="D223" s="40">
        <v>3011</v>
      </c>
      <c r="E223" s="41" t="s">
        <v>314</v>
      </c>
      <c r="F223" s="40" t="s">
        <v>53</v>
      </c>
      <c r="G223" s="40" t="s">
        <v>305</v>
      </c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 t="s">
        <v>299</v>
      </c>
      <c r="B224" s="40" t="s">
        <v>300</v>
      </c>
      <c r="C224" s="40" t="s">
        <v>301</v>
      </c>
      <c r="D224" s="40">
        <v>3012</v>
      </c>
      <c r="E224" s="41" t="s">
        <v>315</v>
      </c>
      <c r="F224" s="40" t="s">
        <v>53</v>
      </c>
      <c r="G224" s="40" t="s">
        <v>305</v>
      </c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 t="s">
        <v>299</v>
      </c>
      <c r="B225" s="40" t="s">
        <v>300</v>
      </c>
      <c r="C225" s="40" t="s">
        <v>301</v>
      </c>
      <c r="D225" s="40">
        <v>3013</v>
      </c>
      <c r="E225" s="41" t="s">
        <v>316</v>
      </c>
      <c r="F225" s="40" t="s">
        <v>53</v>
      </c>
      <c r="G225" s="40" t="s">
        <v>305</v>
      </c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 t="s">
        <v>299</v>
      </c>
      <c r="B226" s="40" t="s">
        <v>300</v>
      </c>
      <c r="C226" s="40" t="s">
        <v>301</v>
      </c>
      <c r="D226" s="40">
        <v>3014</v>
      </c>
      <c r="E226" s="41" t="s">
        <v>317</v>
      </c>
      <c r="F226" s="40" t="s">
        <v>53</v>
      </c>
      <c r="G226" s="40" t="s">
        <v>305</v>
      </c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 t="s">
        <v>299</v>
      </c>
      <c r="B227" s="40" t="s">
        <v>300</v>
      </c>
      <c r="C227" s="40" t="s">
        <v>301</v>
      </c>
      <c r="D227" s="40">
        <v>3015</v>
      </c>
      <c r="E227" s="41" t="s">
        <v>318</v>
      </c>
      <c r="F227" s="40" t="s">
        <v>53</v>
      </c>
      <c r="G227" s="40" t="s">
        <v>305</v>
      </c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 t="s">
        <v>299</v>
      </c>
      <c r="B228" s="40" t="s">
        <v>300</v>
      </c>
      <c r="C228" s="40" t="s">
        <v>301</v>
      </c>
      <c r="D228" s="40">
        <v>3016</v>
      </c>
      <c r="E228" s="41" t="s">
        <v>319</v>
      </c>
      <c r="F228" s="40" t="s">
        <v>53</v>
      </c>
      <c r="G228" s="40" t="s">
        <v>305</v>
      </c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 t="s">
        <v>299</v>
      </c>
      <c r="B229" s="40" t="s">
        <v>300</v>
      </c>
      <c r="C229" s="40" t="s">
        <v>301</v>
      </c>
      <c r="D229" s="40">
        <v>3017</v>
      </c>
      <c r="E229" s="41" t="s">
        <v>320</v>
      </c>
      <c r="F229" s="40" t="s">
        <v>53</v>
      </c>
      <c r="G229" s="40" t="s">
        <v>305</v>
      </c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 t="s">
        <v>299</v>
      </c>
      <c r="B230" s="40" t="s">
        <v>300</v>
      </c>
      <c r="C230" s="40" t="s">
        <v>301</v>
      </c>
      <c r="D230" s="40">
        <v>3018</v>
      </c>
      <c r="E230" s="41" t="s">
        <v>321</v>
      </c>
      <c r="F230" s="40" t="s">
        <v>53</v>
      </c>
      <c r="G230" s="40" t="s">
        <v>305</v>
      </c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 t="s">
        <v>299</v>
      </c>
      <c r="B231" s="40" t="s">
        <v>300</v>
      </c>
      <c r="C231" s="40" t="s">
        <v>301</v>
      </c>
      <c r="D231" s="40">
        <v>3019</v>
      </c>
      <c r="E231" s="41" t="s">
        <v>322</v>
      </c>
      <c r="F231" s="40" t="s">
        <v>53</v>
      </c>
      <c r="G231" s="40" t="s">
        <v>305</v>
      </c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 t="s">
        <v>299</v>
      </c>
      <c r="B232" s="40" t="s">
        <v>300</v>
      </c>
      <c r="C232" s="40" t="s">
        <v>301</v>
      </c>
      <c r="D232" s="40">
        <v>3020</v>
      </c>
      <c r="E232" s="41" t="s">
        <v>323</v>
      </c>
      <c r="F232" s="40" t="s">
        <v>53</v>
      </c>
      <c r="G232" s="40" t="s">
        <v>305</v>
      </c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 t="s">
        <v>299</v>
      </c>
      <c r="B233" s="40" t="s">
        <v>300</v>
      </c>
      <c r="C233" s="40" t="s">
        <v>301</v>
      </c>
      <c r="D233" s="40">
        <v>3021</v>
      </c>
      <c r="E233" s="41" t="s">
        <v>324</v>
      </c>
      <c r="F233" s="40" t="s">
        <v>53</v>
      </c>
      <c r="G233" s="40" t="s">
        <v>305</v>
      </c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 t="s">
        <v>299</v>
      </c>
      <c r="B234" s="40" t="s">
        <v>300</v>
      </c>
      <c r="C234" s="40" t="s">
        <v>301</v>
      </c>
      <c r="D234" s="40">
        <v>3022</v>
      </c>
      <c r="E234" s="41" t="s">
        <v>325</v>
      </c>
      <c r="F234" s="40" t="s">
        <v>53</v>
      </c>
      <c r="G234" s="40" t="s">
        <v>305</v>
      </c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 t="s">
        <v>299</v>
      </c>
      <c r="B235" s="40" t="s">
        <v>300</v>
      </c>
      <c r="C235" s="40" t="s">
        <v>301</v>
      </c>
      <c r="D235" s="40">
        <v>3023</v>
      </c>
      <c r="E235" s="41" t="s">
        <v>326</v>
      </c>
      <c r="F235" s="40" t="s">
        <v>53</v>
      </c>
      <c r="G235" s="40" t="s">
        <v>305</v>
      </c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 t="s">
        <v>299</v>
      </c>
      <c r="B236" s="40" t="s">
        <v>300</v>
      </c>
      <c r="C236" s="40" t="s">
        <v>301</v>
      </c>
      <c r="D236" s="40">
        <v>3024</v>
      </c>
      <c r="E236" s="41" t="s">
        <v>327</v>
      </c>
      <c r="F236" s="40" t="s">
        <v>53</v>
      </c>
      <c r="G236" s="40" t="s">
        <v>305</v>
      </c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 t="s">
        <v>299</v>
      </c>
      <c r="B237" s="40" t="s">
        <v>300</v>
      </c>
      <c r="C237" s="40" t="s">
        <v>301</v>
      </c>
      <c r="D237" s="40">
        <v>3333</v>
      </c>
      <c r="E237" s="41" t="s">
        <v>328</v>
      </c>
      <c r="F237" s="40" t="s">
        <v>53</v>
      </c>
      <c r="G237" s="40" t="s">
        <v>303</v>
      </c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 t="s">
        <v>299</v>
      </c>
      <c r="B238" s="40" t="s">
        <v>300</v>
      </c>
      <c r="C238" s="40" t="s">
        <v>301</v>
      </c>
      <c r="D238" s="40">
        <v>3334</v>
      </c>
      <c r="E238" s="41" t="s">
        <v>329</v>
      </c>
      <c r="F238" s="40" t="s">
        <v>53</v>
      </c>
      <c r="G238" s="40" t="s">
        <v>330</v>
      </c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 t="s">
        <v>299</v>
      </c>
      <c r="B239" s="40" t="s">
        <v>300</v>
      </c>
      <c r="C239" s="40" t="s">
        <v>301</v>
      </c>
      <c r="D239" s="40">
        <v>3335</v>
      </c>
      <c r="E239" s="41" t="s">
        <v>331</v>
      </c>
      <c r="F239" s="40" t="s">
        <v>53</v>
      </c>
      <c r="G239" s="40" t="s">
        <v>305</v>
      </c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 t="s">
        <v>299</v>
      </c>
      <c r="B240" s="40" t="s">
        <v>300</v>
      </c>
      <c r="C240" s="40" t="s">
        <v>301</v>
      </c>
      <c r="D240" s="40">
        <v>3336</v>
      </c>
      <c r="E240" s="41" t="s">
        <v>332</v>
      </c>
      <c r="F240" s="40" t="s">
        <v>53</v>
      </c>
      <c r="G240" s="40" t="s">
        <v>333</v>
      </c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 t="s">
        <v>299</v>
      </c>
      <c r="B241" s="40" t="s">
        <v>300</v>
      </c>
      <c r="C241" s="40" t="s">
        <v>301</v>
      </c>
      <c r="D241" s="40">
        <v>3337</v>
      </c>
      <c r="E241" s="41" t="s">
        <v>334</v>
      </c>
      <c r="F241" s="40" t="s">
        <v>53</v>
      </c>
      <c r="G241" s="40" t="s">
        <v>305</v>
      </c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 t="s">
        <v>299</v>
      </c>
      <c r="B242" s="40" t="s">
        <v>300</v>
      </c>
      <c r="C242" s="40" t="s">
        <v>301</v>
      </c>
      <c r="D242" s="40">
        <v>3338</v>
      </c>
      <c r="E242" s="41" t="s">
        <v>335</v>
      </c>
      <c r="F242" s="40" t="s">
        <v>53</v>
      </c>
      <c r="G242" s="40" t="s">
        <v>336</v>
      </c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 t="s">
        <v>299</v>
      </c>
      <c r="B243" s="40" t="s">
        <v>300</v>
      </c>
      <c r="C243" s="40" t="s">
        <v>301</v>
      </c>
      <c r="D243" s="40">
        <v>99998</v>
      </c>
      <c r="E243" s="41" t="s">
        <v>337</v>
      </c>
      <c r="F243" s="40" t="s">
        <v>53</v>
      </c>
      <c r="G243" s="40" t="s">
        <v>338</v>
      </c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 t="s">
        <v>299</v>
      </c>
      <c r="B244" s="40" t="s">
        <v>300</v>
      </c>
      <c r="C244" s="40" t="s">
        <v>339</v>
      </c>
      <c r="D244" s="40">
        <v>80000</v>
      </c>
      <c r="E244" s="41" t="s">
        <v>340</v>
      </c>
      <c r="F244" s="40" t="s">
        <v>53</v>
      </c>
      <c r="G244" s="40" t="s">
        <v>305</v>
      </c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 t="s">
        <v>299</v>
      </c>
      <c r="B245" s="40" t="s">
        <v>300</v>
      </c>
      <c r="C245" s="40" t="s">
        <v>339</v>
      </c>
      <c r="D245" s="40">
        <v>80001</v>
      </c>
      <c r="E245" s="41" t="s">
        <v>341</v>
      </c>
      <c r="F245" s="40" t="s">
        <v>53</v>
      </c>
      <c r="G245" s="40" t="s">
        <v>71</v>
      </c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 t="s">
        <v>343</v>
      </c>
      <c r="B246" s="40" t="s">
        <v>344</v>
      </c>
      <c r="C246" s="40" t="s">
        <v>345</v>
      </c>
      <c r="D246" s="40">
        <v>4000</v>
      </c>
      <c r="E246" s="41" t="s">
        <v>346</v>
      </c>
      <c r="F246" s="40" t="s">
        <v>347</v>
      </c>
      <c r="G246" s="40" t="s">
        <v>348</v>
      </c>
      <c r="H246" s="40" t="s">
        <v>349</v>
      </c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 t="s">
        <v>343</v>
      </c>
      <c r="B247" s="40" t="s">
        <v>344</v>
      </c>
      <c r="C247" s="40" t="s">
        <v>345</v>
      </c>
      <c r="D247" s="40">
        <v>4001</v>
      </c>
      <c r="E247" s="41" t="s">
        <v>350</v>
      </c>
      <c r="F247" s="40" t="s">
        <v>347</v>
      </c>
      <c r="G247" s="40" t="s">
        <v>348</v>
      </c>
      <c r="H247" s="40" t="s">
        <v>349</v>
      </c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 t="s">
        <v>343</v>
      </c>
      <c r="B248" s="40" t="s">
        <v>344</v>
      </c>
      <c r="C248" s="40" t="s">
        <v>351</v>
      </c>
      <c r="D248" s="40">
        <v>4002</v>
      </c>
      <c r="E248" s="41" t="s">
        <v>352</v>
      </c>
      <c r="F248" s="40" t="s">
        <v>347</v>
      </c>
      <c r="G248" s="40" t="s">
        <v>348</v>
      </c>
      <c r="H248" s="40" t="s">
        <v>349</v>
      </c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 t="s">
        <v>343</v>
      </c>
      <c r="B249" s="40" t="s">
        <v>344</v>
      </c>
      <c r="C249" s="40" t="s">
        <v>351</v>
      </c>
      <c r="D249" s="40">
        <v>4005</v>
      </c>
      <c r="E249" s="41" t="s">
        <v>353</v>
      </c>
      <c r="F249" s="40" t="s">
        <v>347</v>
      </c>
      <c r="G249" s="40" t="s">
        <v>348</v>
      </c>
      <c r="H249" s="40" t="str">
        <f>G249</f>
        <v>Revenues</v>
      </c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 t="s">
        <v>354</v>
      </c>
      <c r="B250" s="40" t="s">
        <v>355</v>
      </c>
      <c r="C250" s="40" t="s">
        <v>356</v>
      </c>
      <c r="D250" s="40">
        <v>21001</v>
      </c>
      <c r="E250" s="41" t="s">
        <v>357</v>
      </c>
      <c r="F250" s="40" t="s">
        <v>347</v>
      </c>
      <c r="G250" s="40" t="s">
        <v>358</v>
      </c>
      <c r="H250" s="40" t="s">
        <v>359</v>
      </c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 t="s">
        <v>354</v>
      </c>
      <c r="B251" s="40" t="s">
        <v>355</v>
      </c>
      <c r="C251" s="40" t="s">
        <v>356</v>
      </c>
      <c r="D251" s="40">
        <v>21002</v>
      </c>
      <c r="E251" s="41" t="s">
        <v>360</v>
      </c>
      <c r="F251" s="40" t="s">
        <v>347</v>
      </c>
      <c r="G251" s="40" t="s">
        <v>358</v>
      </c>
      <c r="H251" s="40" t="s">
        <v>359</v>
      </c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 t="s">
        <v>354</v>
      </c>
      <c r="B252" s="40" t="s">
        <v>355</v>
      </c>
      <c r="C252" s="40" t="s">
        <v>356</v>
      </c>
      <c r="D252" s="40">
        <v>21003</v>
      </c>
      <c r="E252" s="41" t="s">
        <v>361</v>
      </c>
      <c r="F252" s="40" t="s">
        <v>347</v>
      </c>
      <c r="G252" s="40" t="s">
        <v>358</v>
      </c>
      <c r="H252" s="40" t="s">
        <v>359</v>
      </c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 t="s">
        <v>354</v>
      </c>
      <c r="B253" s="40" t="s">
        <v>355</v>
      </c>
      <c r="C253" s="40" t="s">
        <v>356</v>
      </c>
      <c r="D253" s="40">
        <v>21004</v>
      </c>
      <c r="E253" s="41" t="s">
        <v>362</v>
      </c>
      <c r="F253" s="40" t="s">
        <v>347</v>
      </c>
      <c r="G253" s="40" t="s">
        <v>358</v>
      </c>
      <c r="H253" s="40" t="s">
        <v>359</v>
      </c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 t="s">
        <v>354</v>
      </c>
      <c r="B254" s="40" t="s">
        <v>355</v>
      </c>
      <c r="C254" s="40" t="s">
        <v>356</v>
      </c>
      <c r="D254" s="40">
        <v>21005</v>
      </c>
      <c r="E254" s="41" t="s">
        <v>363</v>
      </c>
      <c r="F254" s="40" t="s">
        <v>347</v>
      </c>
      <c r="G254" s="40" t="s">
        <v>364</v>
      </c>
      <c r="H254" s="40" t="s">
        <v>359</v>
      </c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 t="s">
        <v>354</v>
      </c>
      <c r="B255" s="40" t="s">
        <v>355</v>
      </c>
      <c r="C255" s="40" t="s">
        <v>356</v>
      </c>
      <c r="D255" s="40">
        <v>21006</v>
      </c>
      <c r="E255" s="41" t="s">
        <v>365</v>
      </c>
      <c r="F255" s="40" t="s">
        <v>347</v>
      </c>
      <c r="G255" s="40" t="s">
        <v>364</v>
      </c>
      <c r="H255" s="40" t="s">
        <v>359</v>
      </c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 t="s">
        <v>354</v>
      </c>
      <c r="B256" s="40" t="s">
        <v>355</v>
      </c>
      <c r="C256" s="40" t="s">
        <v>356</v>
      </c>
      <c r="D256" s="40">
        <v>21007</v>
      </c>
      <c r="E256" s="41" t="s">
        <v>366</v>
      </c>
      <c r="F256" s="40" t="s">
        <v>347</v>
      </c>
      <c r="G256" s="40" t="s">
        <v>364</v>
      </c>
      <c r="H256" s="40" t="s">
        <v>359</v>
      </c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 t="s">
        <v>354</v>
      </c>
      <c r="B257" s="40" t="s">
        <v>355</v>
      </c>
      <c r="C257" s="40" t="s">
        <v>356</v>
      </c>
      <c r="D257" s="40">
        <v>21008</v>
      </c>
      <c r="E257" s="41" t="s">
        <v>367</v>
      </c>
      <c r="F257" s="40" t="s">
        <v>347</v>
      </c>
      <c r="G257" s="40" t="s">
        <v>364</v>
      </c>
      <c r="H257" s="40" t="s">
        <v>359</v>
      </c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 t="s">
        <v>354</v>
      </c>
      <c r="B258" s="40" t="s">
        <v>355</v>
      </c>
      <c r="C258" s="40" t="s">
        <v>356</v>
      </c>
      <c r="D258" s="40">
        <v>21009</v>
      </c>
      <c r="E258" s="41" t="s">
        <v>368</v>
      </c>
      <c r="F258" s="40" t="s">
        <v>347</v>
      </c>
      <c r="G258" s="40" t="s">
        <v>358</v>
      </c>
      <c r="H258" s="40" t="s">
        <v>359</v>
      </c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 t="s">
        <v>354</v>
      </c>
      <c r="B259" s="40" t="s">
        <v>355</v>
      </c>
      <c r="C259" s="40" t="s">
        <v>356</v>
      </c>
      <c r="D259" s="40">
        <v>21010</v>
      </c>
      <c r="E259" s="41" t="s">
        <v>369</v>
      </c>
      <c r="F259" s="40" t="s">
        <v>347</v>
      </c>
      <c r="G259" s="40" t="s">
        <v>358</v>
      </c>
      <c r="H259" s="40" t="s">
        <v>359</v>
      </c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 t="s">
        <v>354</v>
      </c>
      <c r="B260" s="40" t="s">
        <v>355</v>
      </c>
      <c r="C260" s="40" t="s">
        <v>356</v>
      </c>
      <c r="D260" s="40">
        <v>61000</v>
      </c>
      <c r="E260" s="41" t="s">
        <v>370</v>
      </c>
      <c r="F260" s="40" t="s">
        <v>347</v>
      </c>
      <c r="G260" s="40" t="s">
        <v>348</v>
      </c>
      <c r="H260" s="40" t="s">
        <v>371</v>
      </c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 t="s">
        <v>354</v>
      </c>
      <c r="B261" s="40" t="s">
        <v>355</v>
      </c>
      <c r="C261" s="40" t="s">
        <v>372</v>
      </c>
      <c r="D261" s="40">
        <v>23001</v>
      </c>
      <c r="E261" s="41" t="s">
        <v>373</v>
      </c>
      <c r="F261" s="40" t="s">
        <v>347</v>
      </c>
      <c r="G261" s="40" t="s">
        <v>374</v>
      </c>
      <c r="H261" s="40" t="s">
        <v>359</v>
      </c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 t="s">
        <v>354</v>
      </c>
      <c r="B262" s="40" t="s">
        <v>355</v>
      </c>
      <c r="C262" s="40" t="s">
        <v>372</v>
      </c>
      <c r="D262" s="40">
        <v>23002</v>
      </c>
      <c r="E262" s="41" t="s">
        <v>375</v>
      </c>
      <c r="F262" s="40" t="s">
        <v>347</v>
      </c>
      <c r="G262" s="40" t="s">
        <v>374</v>
      </c>
      <c r="H262" s="40" t="s">
        <v>359</v>
      </c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 t="s">
        <v>354</v>
      </c>
      <c r="B263" s="40" t="s">
        <v>355</v>
      </c>
      <c r="C263" s="40" t="s">
        <v>372</v>
      </c>
      <c r="D263" s="40">
        <v>23003</v>
      </c>
      <c r="E263" s="41" t="s">
        <v>376</v>
      </c>
      <c r="F263" s="40" t="s">
        <v>347</v>
      </c>
      <c r="G263" s="40" t="s">
        <v>374</v>
      </c>
      <c r="H263" s="40" t="s">
        <v>359</v>
      </c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 t="s">
        <v>354</v>
      </c>
      <c r="B264" s="40" t="s">
        <v>355</v>
      </c>
      <c r="C264" s="40" t="s">
        <v>372</v>
      </c>
      <c r="D264" s="40">
        <v>23004</v>
      </c>
      <c r="E264" s="41" t="s">
        <v>377</v>
      </c>
      <c r="F264" s="40" t="s">
        <v>347</v>
      </c>
      <c r="G264" s="40" t="s">
        <v>374</v>
      </c>
      <c r="H264" s="40" t="s">
        <v>359</v>
      </c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 t="s">
        <v>354</v>
      </c>
      <c r="B265" s="40" t="s">
        <v>355</v>
      </c>
      <c r="C265" s="40" t="s">
        <v>372</v>
      </c>
      <c r="D265" s="40">
        <v>23011</v>
      </c>
      <c r="E265" s="41" t="s">
        <v>42</v>
      </c>
      <c r="F265" s="40" t="s">
        <v>347</v>
      </c>
      <c r="G265" s="40" t="s">
        <v>374</v>
      </c>
      <c r="H265" s="40" t="s">
        <v>359</v>
      </c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 t="s">
        <v>354</v>
      </c>
      <c r="B266" s="40" t="s">
        <v>355</v>
      </c>
      <c r="C266" s="40" t="s">
        <v>372</v>
      </c>
      <c r="D266" s="40">
        <v>23012</v>
      </c>
      <c r="E266" s="41" t="s">
        <v>41</v>
      </c>
      <c r="F266" s="40" t="s">
        <v>347</v>
      </c>
      <c r="G266" s="40" t="s">
        <v>374</v>
      </c>
      <c r="H266" s="40" t="s">
        <v>359</v>
      </c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 t="s">
        <v>354</v>
      </c>
      <c r="B267" s="40" t="s">
        <v>355</v>
      </c>
      <c r="C267" s="40" t="s">
        <v>372</v>
      </c>
      <c r="D267" s="40">
        <v>23013</v>
      </c>
      <c r="E267" s="41" t="s">
        <v>378</v>
      </c>
      <c r="F267" s="40" t="s">
        <v>347</v>
      </c>
      <c r="G267" s="40" t="s">
        <v>374</v>
      </c>
      <c r="H267" s="40" t="s">
        <v>359</v>
      </c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 t="s">
        <v>354</v>
      </c>
      <c r="B268" s="40" t="s">
        <v>355</v>
      </c>
      <c r="C268" s="40" t="s">
        <v>372</v>
      </c>
      <c r="D268" s="40">
        <v>23014</v>
      </c>
      <c r="E268" s="41" t="s">
        <v>379</v>
      </c>
      <c r="F268" s="40" t="s">
        <v>347</v>
      </c>
      <c r="G268" s="40" t="s">
        <v>374</v>
      </c>
      <c r="H268" s="40" t="s">
        <v>359</v>
      </c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 t="s">
        <v>354</v>
      </c>
      <c r="B269" s="40" t="s">
        <v>355</v>
      </c>
      <c r="C269" s="40" t="s">
        <v>372</v>
      </c>
      <c r="D269" s="40">
        <v>23015</v>
      </c>
      <c r="E269" s="41" t="s">
        <v>380</v>
      </c>
      <c r="F269" s="40" t="s">
        <v>347</v>
      </c>
      <c r="G269" s="40" t="s">
        <v>374</v>
      </c>
      <c r="H269" s="40" t="s">
        <v>359</v>
      </c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 t="s">
        <v>354</v>
      </c>
      <c r="B270" s="40" t="s">
        <v>355</v>
      </c>
      <c r="C270" s="40" t="s">
        <v>372</v>
      </c>
      <c r="D270" s="40">
        <v>23016</v>
      </c>
      <c r="E270" s="41" t="s">
        <v>381</v>
      </c>
      <c r="F270" s="40" t="s">
        <v>347</v>
      </c>
      <c r="G270" s="40" t="s">
        <v>374</v>
      </c>
      <c r="H270" s="40" t="s">
        <v>359</v>
      </c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 t="s">
        <v>354</v>
      </c>
      <c r="B271" s="40" t="s">
        <v>355</v>
      </c>
      <c r="C271" s="40" t="s">
        <v>372</v>
      </c>
      <c r="D271" s="40">
        <v>23017</v>
      </c>
      <c r="E271" s="41" t="s">
        <v>382</v>
      </c>
      <c r="F271" s="40" t="s">
        <v>347</v>
      </c>
      <c r="G271" s="40" t="s">
        <v>374</v>
      </c>
      <c r="H271" s="40" t="s">
        <v>359</v>
      </c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 t="s">
        <v>354</v>
      </c>
      <c r="B272" s="40" t="s">
        <v>355</v>
      </c>
      <c r="C272" s="40" t="s">
        <v>372</v>
      </c>
      <c r="D272" s="40">
        <v>23018</v>
      </c>
      <c r="E272" s="41" t="s">
        <v>383</v>
      </c>
      <c r="F272" s="40" t="s">
        <v>347</v>
      </c>
      <c r="G272" s="40" t="s">
        <v>374</v>
      </c>
      <c r="H272" s="40" t="s">
        <v>359</v>
      </c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 t="s">
        <v>354</v>
      </c>
      <c r="B273" s="40" t="s">
        <v>355</v>
      </c>
      <c r="C273" s="40" t="s">
        <v>372</v>
      </c>
      <c r="D273" s="40">
        <v>23019</v>
      </c>
      <c r="E273" s="41" t="s">
        <v>384</v>
      </c>
      <c r="F273" s="40" t="s">
        <v>347</v>
      </c>
      <c r="G273" s="40" t="s">
        <v>374</v>
      </c>
      <c r="H273" s="40" t="s">
        <v>359</v>
      </c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 t="s">
        <v>354</v>
      </c>
      <c r="B274" s="40" t="s">
        <v>355</v>
      </c>
      <c r="C274" s="40" t="s">
        <v>372</v>
      </c>
      <c r="D274" s="40">
        <v>23020</v>
      </c>
      <c r="E274" s="41" t="s">
        <v>385</v>
      </c>
      <c r="F274" s="40" t="s">
        <v>347</v>
      </c>
      <c r="G274" s="40" t="s">
        <v>374</v>
      </c>
      <c r="H274" s="40" t="s">
        <v>359</v>
      </c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 t="s">
        <v>354</v>
      </c>
      <c r="B275" s="40" t="s">
        <v>355</v>
      </c>
      <c r="C275" s="40" t="s">
        <v>372</v>
      </c>
      <c r="D275" s="40">
        <v>23021</v>
      </c>
      <c r="E275" s="41" t="s">
        <v>386</v>
      </c>
      <c r="F275" s="40" t="s">
        <v>347</v>
      </c>
      <c r="G275" s="40" t="s">
        <v>374</v>
      </c>
      <c r="H275" s="40" t="s">
        <v>359</v>
      </c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 t="s">
        <v>354</v>
      </c>
      <c r="B276" s="40" t="s">
        <v>355</v>
      </c>
      <c r="C276" s="40" t="s">
        <v>372</v>
      </c>
      <c r="D276" s="40">
        <v>23022</v>
      </c>
      <c r="E276" s="41" t="s">
        <v>387</v>
      </c>
      <c r="F276" s="40" t="s">
        <v>347</v>
      </c>
      <c r="G276" s="40" t="s">
        <v>374</v>
      </c>
      <c r="H276" s="40" t="s">
        <v>359</v>
      </c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 t="s">
        <v>354</v>
      </c>
      <c r="B277" s="40" t="s">
        <v>355</v>
      </c>
      <c r="C277" s="40" t="s">
        <v>372</v>
      </c>
      <c r="D277" s="40">
        <v>23023</v>
      </c>
      <c r="E277" s="41" t="s">
        <v>388</v>
      </c>
      <c r="F277" s="40" t="s">
        <v>347</v>
      </c>
      <c r="G277" s="40" t="s">
        <v>374</v>
      </c>
      <c r="H277" s="40" t="s">
        <v>359</v>
      </c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 t="s">
        <v>354</v>
      </c>
      <c r="B278" s="40" t="s">
        <v>355</v>
      </c>
      <c r="C278" s="40" t="s">
        <v>372</v>
      </c>
      <c r="D278" s="40">
        <v>23024</v>
      </c>
      <c r="E278" s="41" t="s">
        <v>389</v>
      </c>
      <c r="F278" s="40" t="s">
        <v>347</v>
      </c>
      <c r="G278" s="40" t="s">
        <v>374</v>
      </c>
      <c r="H278" s="40" t="s">
        <v>359</v>
      </c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 t="s">
        <v>354</v>
      </c>
      <c r="B279" s="40" t="s">
        <v>355</v>
      </c>
      <c r="C279" s="40" t="s">
        <v>372</v>
      </c>
      <c r="D279" s="40">
        <v>23025</v>
      </c>
      <c r="E279" s="41" t="s">
        <v>390</v>
      </c>
      <c r="F279" s="40" t="s">
        <v>347</v>
      </c>
      <c r="G279" s="40" t="s">
        <v>374</v>
      </c>
      <c r="H279" s="40" t="s">
        <v>359</v>
      </c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 t="s">
        <v>354</v>
      </c>
      <c r="B280" s="40" t="s">
        <v>355</v>
      </c>
      <c r="C280" s="40" t="s">
        <v>372</v>
      </c>
      <c r="D280" s="40">
        <v>23026</v>
      </c>
      <c r="E280" s="41" t="s">
        <v>391</v>
      </c>
      <c r="F280" s="40" t="s">
        <v>347</v>
      </c>
      <c r="G280" s="40" t="s">
        <v>374</v>
      </c>
      <c r="H280" s="40" t="s">
        <v>359</v>
      </c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 t="s">
        <v>354</v>
      </c>
      <c r="B281" s="40" t="s">
        <v>355</v>
      </c>
      <c r="C281" s="40" t="s">
        <v>372</v>
      </c>
      <c r="D281" s="40">
        <v>23027</v>
      </c>
      <c r="E281" s="41" t="s">
        <v>392</v>
      </c>
      <c r="F281" s="40" t="s">
        <v>347</v>
      </c>
      <c r="G281" s="40" t="s">
        <v>374</v>
      </c>
      <c r="H281" s="40" t="s">
        <v>359</v>
      </c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 t="s">
        <v>354</v>
      </c>
      <c r="B282" s="40" t="s">
        <v>355</v>
      </c>
      <c r="C282" s="40" t="s">
        <v>372</v>
      </c>
      <c r="D282" s="40">
        <v>23028</v>
      </c>
      <c r="E282" s="41" t="s">
        <v>393</v>
      </c>
      <c r="F282" s="40" t="s">
        <v>347</v>
      </c>
      <c r="G282" s="40" t="s">
        <v>374</v>
      </c>
      <c r="H282" s="40" t="s">
        <v>359</v>
      </c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 t="s">
        <v>354</v>
      </c>
      <c r="B283" s="40" t="s">
        <v>355</v>
      </c>
      <c r="C283" s="40" t="s">
        <v>372</v>
      </c>
      <c r="D283" s="40">
        <v>23029</v>
      </c>
      <c r="E283" s="41" t="s">
        <v>394</v>
      </c>
      <c r="F283" s="40" t="s">
        <v>347</v>
      </c>
      <c r="G283" s="40" t="s">
        <v>374</v>
      </c>
      <c r="H283" s="40" t="s">
        <v>359</v>
      </c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 t="s">
        <v>354</v>
      </c>
      <c r="B284" s="40" t="s">
        <v>355</v>
      </c>
      <c r="C284" s="40" t="s">
        <v>372</v>
      </c>
      <c r="D284" s="40">
        <v>23030</v>
      </c>
      <c r="E284" s="41" t="s">
        <v>395</v>
      </c>
      <c r="F284" s="40" t="s">
        <v>347</v>
      </c>
      <c r="G284" s="40" t="s">
        <v>374</v>
      </c>
      <c r="H284" s="40" t="s">
        <v>359</v>
      </c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 t="s">
        <v>354</v>
      </c>
      <c r="B285" s="40" t="s">
        <v>355</v>
      </c>
      <c r="C285" s="40" t="s">
        <v>372</v>
      </c>
      <c r="D285" s="40">
        <v>90010</v>
      </c>
      <c r="E285" s="41" t="s">
        <v>396</v>
      </c>
      <c r="F285" s="40" t="s">
        <v>347</v>
      </c>
      <c r="G285" s="40" t="s">
        <v>374</v>
      </c>
      <c r="H285" s="40" t="s">
        <v>359</v>
      </c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 t="s">
        <v>354</v>
      </c>
      <c r="B286" s="40" t="s">
        <v>355</v>
      </c>
      <c r="C286" s="40" t="s">
        <v>372</v>
      </c>
      <c r="D286" s="40">
        <v>90011</v>
      </c>
      <c r="E286" s="41" t="s">
        <v>397</v>
      </c>
      <c r="F286" s="40" t="s">
        <v>347</v>
      </c>
      <c r="G286" s="40" t="s">
        <v>374</v>
      </c>
      <c r="H286" s="40" t="s">
        <v>359</v>
      </c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 t="s">
        <v>354</v>
      </c>
      <c r="B287" s="40" t="s">
        <v>355</v>
      </c>
      <c r="C287" s="40" t="s">
        <v>372</v>
      </c>
      <c r="D287" s="40">
        <v>90012</v>
      </c>
      <c r="E287" s="41" t="s">
        <v>398</v>
      </c>
      <c r="F287" s="40" t="s">
        <v>347</v>
      </c>
      <c r="G287" s="40" t="s">
        <v>374</v>
      </c>
      <c r="H287" s="40" t="s">
        <v>359</v>
      </c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 t="s">
        <v>354</v>
      </c>
      <c r="B288" s="40" t="s">
        <v>355</v>
      </c>
      <c r="C288" s="40" t="s">
        <v>372</v>
      </c>
      <c r="D288" s="40">
        <v>90013</v>
      </c>
      <c r="E288" s="41" t="s">
        <v>399</v>
      </c>
      <c r="F288" s="40" t="s">
        <v>347</v>
      </c>
      <c r="G288" s="40" t="s">
        <v>374</v>
      </c>
      <c r="H288" s="40" t="s">
        <v>359</v>
      </c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 t="s">
        <v>354</v>
      </c>
      <c r="B289" s="40" t="s">
        <v>355</v>
      </c>
      <c r="C289" s="40" t="s">
        <v>372</v>
      </c>
      <c r="D289" s="40">
        <v>90015</v>
      </c>
      <c r="E289" s="41" t="s">
        <v>400</v>
      </c>
      <c r="F289" s="40" t="s">
        <v>347</v>
      </c>
      <c r="G289" s="40" t="s">
        <v>374</v>
      </c>
      <c r="H289" s="40" t="s">
        <v>359</v>
      </c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 t="s">
        <v>354</v>
      </c>
      <c r="B290" s="40" t="s">
        <v>355</v>
      </c>
      <c r="C290" s="40" t="s">
        <v>372</v>
      </c>
      <c r="D290" s="40">
        <v>90016</v>
      </c>
      <c r="E290" s="41" t="s">
        <v>401</v>
      </c>
      <c r="F290" s="40" t="s">
        <v>347</v>
      </c>
      <c r="G290" s="40" t="s">
        <v>374</v>
      </c>
      <c r="H290" s="40" t="s">
        <v>359</v>
      </c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 t="s">
        <v>354</v>
      </c>
      <c r="B291" s="40" t="s">
        <v>355</v>
      </c>
      <c r="C291" s="40" t="s">
        <v>372</v>
      </c>
      <c r="D291" s="40">
        <v>90020</v>
      </c>
      <c r="E291" s="41" t="s">
        <v>402</v>
      </c>
      <c r="F291" s="40" t="s">
        <v>347</v>
      </c>
      <c r="G291" s="40" t="s">
        <v>374</v>
      </c>
      <c r="H291" s="40" t="s">
        <v>359</v>
      </c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 t="s">
        <v>354</v>
      </c>
      <c r="B292" s="40" t="s">
        <v>355</v>
      </c>
      <c r="C292" s="40" t="s">
        <v>372</v>
      </c>
      <c r="D292" s="40">
        <v>90021</v>
      </c>
      <c r="E292" s="41" t="s">
        <v>403</v>
      </c>
      <c r="F292" s="40" t="s">
        <v>347</v>
      </c>
      <c r="G292" s="40" t="s">
        <v>374</v>
      </c>
      <c r="H292" s="40" t="s">
        <v>359</v>
      </c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 t="s">
        <v>354</v>
      </c>
      <c r="B293" s="40" t="s">
        <v>355</v>
      </c>
      <c r="C293" s="40" t="s">
        <v>404</v>
      </c>
      <c r="D293" s="40">
        <v>20004</v>
      </c>
      <c r="E293" s="41" t="s">
        <v>405</v>
      </c>
      <c r="F293" s="40" t="s">
        <v>347</v>
      </c>
      <c r="G293" s="40" t="s">
        <v>406</v>
      </c>
      <c r="H293" s="40" t="s">
        <v>407</v>
      </c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0" t="s">
        <v>354</v>
      </c>
      <c r="B294" s="40" t="s">
        <v>355</v>
      </c>
      <c r="C294" s="40" t="s">
        <v>404</v>
      </c>
      <c r="D294" s="40">
        <v>23000</v>
      </c>
      <c r="E294" s="44" t="s">
        <v>408</v>
      </c>
      <c r="F294" s="45" t="s">
        <v>347</v>
      </c>
      <c r="G294" s="45" t="s">
        <v>374</v>
      </c>
      <c r="H294" s="45" t="s">
        <v>409</v>
      </c>
      <c r="I294" s="45" t="s">
        <v>410</v>
      </c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0" t="s">
        <v>354</v>
      </c>
      <c r="B295" s="40" t="s">
        <v>355</v>
      </c>
      <c r="C295" s="40" t="s">
        <v>404</v>
      </c>
      <c r="D295" s="40">
        <v>23006</v>
      </c>
      <c r="E295" s="44" t="s">
        <v>411</v>
      </c>
      <c r="F295" s="45" t="s">
        <v>347</v>
      </c>
      <c r="G295" s="45" t="s">
        <v>374</v>
      </c>
      <c r="H295" s="45" t="s">
        <v>409</v>
      </c>
      <c r="I295" s="46" t="s">
        <v>412</v>
      </c>
      <c r="J295" s="46" t="s">
        <v>413</v>
      </c>
      <c r="K295" s="40" t="s">
        <v>414</v>
      </c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0" t="s">
        <v>354</v>
      </c>
      <c r="B296" s="40" t="s">
        <v>355</v>
      </c>
      <c r="C296" s="40" t="s">
        <v>404</v>
      </c>
      <c r="D296" s="40">
        <v>23009</v>
      </c>
      <c r="E296" s="44" t="s">
        <v>415</v>
      </c>
      <c r="F296" s="45" t="s">
        <v>347</v>
      </c>
      <c r="G296" s="45" t="s">
        <v>374</v>
      </c>
      <c r="H296" s="45" t="s">
        <v>409</v>
      </c>
      <c r="I296" s="45" t="s">
        <v>416</v>
      </c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0" t="s">
        <v>354</v>
      </c>
      <c r="B297" s="40" t="s">
        <v>355</v>
      </c>
      <c r="C297" s="40" t="s">
        <v>404</v>
      </c>
      <c r="D297" s="40">
        <v>23010</v>
      </c>
      <c r="E297" s="44" t="s">
        <v>417</v>
      </c>
      <c r="F297" s="45" t="s">
        <v>347</v>
      </c>
      <c r="G297" s="45" t="s">
        <v>374</v>
      </c>
      <c r="H297" s="45" t="s">
        <v>409</v>
      </c>
      <c r="I297" s="45" t="s">
        <v>416</v>
      </c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0" t="s">
        <v>418</v>
      </c>
      <c r="B298" s="40" t="s">
        <v>419</v>
      </c>
      <c r="C298" s="40" t="s">
        <v>420</v>
      </c>
      <c r="D298" s="40">
        <v>20051</v>
      </c>
      <c r="E298" s="41" t="s">
        <v>421</v>
      </c>
      <c r="F298" s="40" t="s">
        <v>347</v>
      </c>
      <c r="G298" s="40" t="s">
        <v>364</v>
      </c>
      <c r="H298" s="40" t="s">
        <v>359</v>
      </c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0" t="s">
        <v>418</v>
      </c>
      <c r="B299" s="40" t="s">
        <v>419</v>
      </c>
      <c r="C299" s="40" t="s">
        <v>420</v>
      </c>
      <c r="D299" s="40">
        <v>20053</v>
      </c>
      <c r="E299" s="41" t="s">
        <v>422</v>
      </c>
      <c r="F299" s="40" t="s">
        <v>347</v>
      </c>
      <c r="G299" s="40" t="s">
        <v>364</v>
      </c>
      <c r="H299" s="40" t="s">
        <v>359</v>
      </c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0" t="s">
        <v>418</v>
      </c>
      <c r="B300" s="40" t="s">
        <v>419</v>
      </c>
      <c r="C300" s="40" t="s">
        <v>420</v>
      </c>
      <c r="D300" s="40">
        <v>20054</v>
      </c>
      <c r="E300" s="41" t="s">
        <v>423</v>
      </c>
      <c r="F300" s="40" t="s">
        <v>347</v>
      </c>
      <c r="G300" s="40" t="s">
        <v>364</v>
      </c>
      <c r="H300" s="40" t="s">
        <v>359</v>
      </c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0" t="s">
        <v>418</v>
      </c>
      <c r="B301" s="40" t="s">
        <v>419</v>
      </c>
      <c r="C301" s="40" t="s">
        <v>420</v>
      </c>
      <c r="D301" s="40">
        <v>20055</v>
      </c>
      <c r="E301" s="41" t="s">
        <v>424</v>
      </c>
      <c r="F301" s="40" t="s">
        <v>347</v>
      </c>
      <c r="G301" s="40" t="s">
        <v>364</v>
      </c>
      <c r="H301" s="40" t="s">
        <v>359</v>
      </c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0" t="s">
        <v>418</v>
      </c>
      <c r="B302" s="40" t="s">
        <v>419</v>
      </c>
      <c r="C302" s="40" t="s">
        <v>420</v>
      </c>
      <c r="D302" s="40">
        <v>20057</v>
      </c>
      <c r="E302" s="41" t="s">
        <v>425</v>
      </c>
      <c r="F302" s="40" t="s">
        <v>347</v>
      </c>
      <c r="G302" s="40" t="s">
        <v>364</v>
      </c>
      <c r="H302" s="40" t="s">
        <v>359</v>
      </c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0" t="s">
        <v>418</v>
      </c>
      <c r="B303" s="40" t="s">
        <v>419</v>
      </c>
      <c r="C303" s="40" t="s">
        <v>420</v>
      </c>
      <c r="D303" s="40">
        <v>20058</v>
      </c>
      <c r="E303" s="41" t="s">
        <v>426</v>
      </c>
      <c r="F303" s="40" t="s">
        <v>347</v>
      </c>
      <c r="G303" s="40" t="s">
        <v>364</v>
      </c>
      <c r="H303" s="40" t="s">
        <v>359</v>
      </c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0" t="s">
        <v>418</v>
      </c>
      <c r="B304" s="40" t="s">
        <v>419</v>
      </c>
      <c r="C304" s="45" t="s">
        <v>420</v>
      </c>
      <c r="D304" s="45">
        <v>20059</v>
      </c>
      <c r="E304" s="44" t="s">
        <v>427</v>
      </c>
      <c r="F304" s="45" t="s">
        <v>347</v>
      </c>
      <c r="G304" s="45" t="s">
        <v>358</v>
      </c>
      <c r="H304" s="45" t="s">
        <v>428</v>
      </c>
      <c r="I304" s="47" t="s">
        <v>429</v>
      </c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0" t="s">
        <v>418</v>
      </c>
      <c r="B305" s="40" t="s">
        <v>419</v>
      </c>
      <c r="C305" s="40" t="s">
        <v>430</v>
      </c>
      <c r="D305" s="40">
        <v>20025</v>
      </c>
      <c r="E305" s="41" t="s">
        <v>431</v>
      </c>
      <c r="F305" s="40" t="s">
        <v>347</v>
      </c>
      <c r="G305" s="40" t="s">
        <v>364</v>
      </c>
      <c r="H305" s="40" t="s">
        <v>432</v>
      </c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0" t="s">
        <v>433</v>
      </c>
      <c r="B306" s="40" t="s">
        <v>434</v>
      </c>
      <c r="C306" s="40" t="s">
        <v>435</v>
      </c>
      <c r="D306" s="40">
        <v>26000</v>
      </c>
      <c r="E306" s="41" t="s">
        <v>436</v>
      </c>
      <c r="F306" s="40" t="s">
        <v>347</v>
      </c>
      <c r="G306" s="40" t="s">
        <v>406</v>
      </c>
      <c r="H306" s="40" t="s">
        <v>359</v>
      </c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0" t="s">
        <v>433</v>
      </c>
      <c r="B307" s="40" t="s">
        <v>434</v>
      </c>
      <c r="C307" s="40" t="s">
        <v>435</v>
      </c>
      <c r="D307" s="40">
        <v>26001</v>
      </c>
      <c r="E307" s="41" t="s">
        <v>437</v>
      </c>
      <c r="F307" s="40" t="s">
        <v>347</v>
      </c>
      <c r="G307" s="40" t="s">
        <v>406</v>
      </c>
      <c r="H307" s="40" t="s">
        <v>359</v>
      </c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0" t="s">
        <v>433</v>
      </c>
      <c r="B308" s="40" t="s">
        <v>434</v>
      </c>
      <c r="C308" s="40" t="s">
        <v>435</v>
      </c>
      <c r="D308" s="40">
        <v>26002</v>
      </c>
      <c r="E308" s="41" t="s">
        <v>438</v>
      </c>
      <c r="F308" s="40" t="s">
        <v>347</v>
      </c>
      <c r="G308" s="40" t="s">
        <v>406</v>
      </c>
      <c r="H308" s="40" t="s">
        <v>359</v>
      </c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0" t="s">
        <v>433</v>
      </c>
      <c r="B309" s="40" t="s">
        <v>434</v>
      </c>
      <c r="C309" s="40" t="s">
        <v>435</v>
      </c>
      <c r="D309" s="40">
        <v>26003</v>
      </c>
      <c r="E309" s="41" t="s">
        <v>439</v>
      </c>
      <c r="F309" s="40" t="s">
        <v>347</v>
      </c>
      <c r="G309" s="40" t="s">
        <v>406</v>
      </c>
      <c r="H309" s="40" t="s">
        <v>359</v>
      </c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0" t="s">
        <v>433</v>
      </c>
      <c r="B310" s="40" t="s">
        <v>434</v>
      </c>
      <c r="C310" s="40" t="s">
        <v>435</v>
      </c>
      <c r="D310" s="40">
        <v>26006</v>
      </c>
      <c r="E310" s="41" t="s">
        <v>440</v>
      </c>
      <c r="F310" s="40" t="s">
        <v>347</v>
      </c>
      <c r="G310" s="40" t="s">
        <v>406</v>
      </c>
      <c r="H310" s="40" t="s">
        <v>359</v>
      </c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0" t="s">
        <v>433</v>
      </c>
      <c r="B311" s="40" t="s">
        <v>434</v>
      </c>
      <c r="C311" s="40" t="s">
        <v>435</v>
      </c>
      <c r="D311" s="40">
        <v>26007</v>
      </c>
      <c r="E311" s="41" t="s">
        <v>441</v>
      </c>
      <c r="F311" s="40" t="s">
        <v>347</v>
      </c>
      <c r="G311" s="40" t="s">
        <v>406</v>
      </c>
      <c r="H311" s="40" t="s">
        <v>359</v>
      </c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0" t="s">
        <v>433</v>
      </c>
      <c r="B312" s="40" t="s">
        <v>434</v>
      </c>
      <c r="C312" s="40" t="s">
        <v>435</v>
      </c>
      <c r="D312" s="40">
        <v>26011</v>
      </c>
      <c r="E312" s="41" t="s">
        <v>442</v>
      </c>
      <c r="F312" s="40" t="s">
        <v>347</v>
      </c>
      <c r="G312" s="40" t="s">
        <v>406</v>
      </c>
      <c r="H312" s="40" t="s">
        <v>359</v>
      </c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0" t="s">
        <v>433</v>
      </c>
      <c r="B313" s="40" t="s">
        <v>434</v>
      </c>
      <c r="C313" s="40" t="s">
        <v>435</v>
      </c>
      <c r="D313" s="40">
        <v>26012</v>
      </c>
      <c r="E313" s="41" t="s">
        <v>443</v>
      </c>
      <c r="F313" s="40" t="s">
        <v>347</v>
      </c>
      <c r="G313" s="40" t="s">
        <v>406</v>
      </c>
      <c r="H313" s="40" t="s">
        <v>359</v>
      </c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0" t="s">
        <v>433</v>
      </c>
      <c r="B314" s="40" t="s">
        <v>434</v>
      </c>
      <c r="C314" s="40" t="s">
        <v>435</v>
      </c>
      <c r="D314" s="40">
        <v>26013</v>
      </c>
      <c r="E314" s="41" t="s">
        <v>444</v>
      </c>
      <c r="F314" s="40" t="s">
        <v>347</v>
      </c>
      <c r="G314" s="40" t="s">
        <v>406</v>
      </c>
      <c r="H314" s="40" t="s">
        <v>359</v>
      </c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0" t="s">
        <v>433</v>
      </c>
      <c r="B315" s="40" t="s">
        <v>434</v>
      </c>
      <c r="C315" s="40" t="s">
        <v>435</v>
      </c>
      <c r="D315" s="40">
        <v>26014</v>
      </c>
      <c r="E315" s="41" t="s">
        <v>445</v>
      </c>
      <c r="F315" s="40" t="s">
        <v>347</v>
      </c>
      <c r="G315" s="40" t="s">
        <v>406</v>
      </c>
      <c r="H315" s="40" t="s">
        <v>359</v>
      </c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0" t="s">
        <v>433</v>
      </c>
      <c r="B316" s="40" t="s">
        <v>434</v>
      </c>
      <c r="C316" s="40" t="s">
        <v>446</v>
      </c>
      <c r="D316" s="40">
        <v>20001</v>
      </c>
      <c r="E316" s="41" t="s">
        <v>447</v>
      </c>
      <c r="F316" s="40" t="s">
        <v>347</v>
      </c>
      <c r="G316" s="40" t="s">
        <v>406</v>
      </c>
      <c r="H316" s="40" t="s">
        <v>448</v>
      </c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0" t="s">
        <v>433</v>
      </c>
      <c r="B317" s="40" t="s">
        <v>434</v>
      </c>
      <c r="C317" s="40" t="s">
        <v>446</v>
      </c>
      <c r="D317" s="40">
        <v>20027</v>
      </c>
      <c r="E317" s="41" t="s">
        <v>449</v>
      </c>
      <c r="F317" s="40" t="s">
        <v>347</v>
      </c>
      <c r="G317" s="40" t="s">
        <v>406</v>
      </c>
      <c r="H317" s="40" t="s">
        <v>450</v>
      </c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0" t="s">
        <v>433</v>
      </c>
      <c r="B318" s="40" t="s">
        <v>434</v>
      </c>
      <c r="C318" s="40" t="s">
        <v>451</v>
      </c>
      <c r="D318" s="40">
        <v>20018</v>
      </c>
      <c r="E318" s="41" t="s">
        <v>452</v>
      </c>
      <c r="F318" s="40" t="s">
        <v>347</v>
      </c>
      <c r="G318" s="40" t="s">
        <v>406</v>
      </c>
      <c r="H318" s="40" t="s">
        <v>453</v>
      </c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0" t="s">
        <v>433</v>
      </c>
      <c r="B319" s="40" t="s">
        <v>434</v>
      </c>
      <c r="C319" s="40" t="s">
        <v>454</v>
      </c>
      <c r="D319" s="40">
        <v>20002</v>
      </c>
      <c r="E319" s="41" t="s">
        <v>455</v>
      </c>
      <c r="F319" s="40" t="s">
        <v>347</v>
      </c>
      <c r="G319" s="40" t="s">
        <v>406</v>
      </c>
      <c r="H319" s="40" t="s">
        <v>448</v>
      </c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0" t="s">
        <v>433</v>
      </c>
      <c r="B320" s="40" t="s">
        <v>434</v>
      </c>
      <c r="C320" s="40" t="s">
        <v>454</v>
      </c>
      <c r="D320" s="40">
        <v>20006</v>
      </c>
      <c r="E320" s="41" t="s">
        <v>456</v>
      </c>
      <c r="F320" s="40" t="s">
        <v>347</v>
      </c>
      <c r="G320" s="40" t="s">
        <v>406</v>
      </c>
      <c r="H320" s="40" t="s">
        <v>448</v>
      </c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0" t="s">
        <v>433</v>
      </c>
      <c r="B321" s="40" t="s">
        <v>434</v>
      </c>
      <c r="C321" s="40" t="s">
        <v>454</v>
      </c>
      <c r="D321" s="40">
        <v>20009</v>
      </c>
      <c r="E321" s="41" t="s">
        <v>457</v>
      </c>
      <c r="F321" s="40" t="s">
        <v>347</v>
      </c>
      <c r="G321" s="40" t="s">
        <v>406</v>
      </c>
      <c r="H321" s="40" t="s">
        <v>448</v>
      </c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0" t="s">
        <v>433</v>
      </c>
      <c r="B322" s="40" t="s">
        <v>434</v>
      </c>
      <c r="C322" s="40" t="s">
        <v>454</v>
      </c>
      <c r="D322" s="40">
        <v>20042</v>
      </c>
      <c r="E322" s="41" t="s">
        <v>458</v>
      </c>
      <c r="F322" s="40" t="s">
        <v>347</v>
      </c>
      <c r="G322" s="40" t="s">
        <v>406</v>
      </c>
      <c r="H322" s="40" t="s">
        <v>448</v>
      </c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0" t="s">
        <v>433</v>
      </c>
      <c r="B323" s="40" t="s">
        <v>434</v>
      </c>
      <c r="C323" s="40" t="s">
        <v>459</v>
      </c>
      <c r="D323" s="40">
        <v>20600</v>
      </c>
      <c r="E323" s="41" t="s">
        <v>460</v>
      </c>
      <c r="F323" s="40" t="s">
        <v>347</v>
      </c>
      <c r="G323" s="40" t="s">
        <v>406</v>
      </c>
      <c r="H323" s="40" t="s">
        <v>461</v>
      </c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0" t="s">
        <v>433</v>
      </c>
      <c r="B324" s="40" t="s">
        <v>434</v>
      </c>
      <c r="C324" s="40" t="s">
        <v>459</v>
      </c>
      <c r="D324" s="40">
        <v>20601</v>
      </c>
      <c r="E324" s="41" t="s">
        <v>462</v>
      </c>
      <c r="F324" s="40" t="s">
        <v>347</v>
      </c>
      <c r="G324" s="40" t="s">
        <v>406</v>
      </c>
      <c r="H324" s="40" t="s">
        <v>461</v>
      </c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0" t="s">
        <v>433</v>
      </c>
      <c r="B325" s="40" t="s">
        <v>434</v>
      </c>
      <c r="C325" s="40" t="s">
        <v>459</v>
      </c>
      <c r="D325" s="40">
        <v>20602</v>
      </c>
      <c r="E325" s="41" t="s">
        <v>463</v>
      </c>
      <c r="F325" s="40" t="s">
        <v>347</v>
      </c>
      <c r="G325" s="40" t="s">
        <v>406</v>
      </c>
      <c r="H325" s="40" t="s">
        <v>461</v>
      </c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0" t="s">
        <v>433</v>
      </c>
      <c r="B326" s="40" t="s">
        <v>434</v>
      </c>
      <c r="C326" s="40" t="s">
        <v>459</v>
      </c>
      <c r="D326" s="40">
        <v>20603</v>
      </c>
      <c r="E326" s="41" t="s">
        <v>464</v>
      </c>
      <c r="F326" s="40" t="s">
        <v>347</v>
      </c>
      <c r="G326" s="40" t="s">
        <v>406</v>
      </c>
      <c r="H326" s="40" t="s">
        <v>461</v>
      </c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0" t="s">
        <v>433</v>
      </c>
      <c r="B327" s="40" t="s">
        <v>434</v>
      </c>
      <c r="C327" s="40" t="s">
        <v>459</v>
      </c>
      <c r="D327" s="40">
        <v>20604</v>
      </c>
      <c r="E327" s="41" t="s">
        <v>465</v>
      </c>
      <c r="F327" s="40" t="s">
        <v>347</v>
      </c>
      <c r="G327" s="40" t="s">
        <v>406</v>
      </c>
      <c r="H327" s="40" t="s">
        <v>461</v>
      </c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0" t="s">
        <v>433</v>
      </c>
      <c r="B328" s="40" t="s">
        <v>434</v>
      </c>
      <c r="C328" s="40" t="s">
        <v>466</v>
      </c>
      <c r="D328" s="40">
        <v>20007</v>
      </c>
      <c r="E328" s="41" t="s">
        <v>467</v>
      </c>
      <c r="F328" s="40" t="s">
        <v>347</v>
      </c>
      <c r="G328" s="40" t="s">
        <v>406</v>
      </c>
      <c r="H328" s="40" t="s">
        <v>461</v>
      </c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0" t="s">
        <v>433</v>
      </c>
      <c r="B329" s="40" t="s">
        <v>434</v>
      </c>
      <c r="C329" s="40" t="s">
        <v>466</v>
      </c>
      <c r="D329" s="40">
        <v>20008</v>
      </c>
      <c r="E329" s="41" t="s">
        <v>468</v>
      </c>
      <c r="F329" s="40" t="s">
        <v>347</v>
      </c>
      <c r="G329" s="40" t="s">
        <v>406</v>
      </c>
      <c r="H329" s="40" t="s">
        <v>469</v>
      </c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0" t="s">
        <v>433</v>
      </c>
      <c r="B330" s="40" t="s">
        <v>434</v>
      </c>
      <c r="C330" s="40" t="s">
        <v>466</v>
      </c>
      <c r="D330" s="40">
        <v>20028</v>
      </c>
      <c r="E330" s="41" t="s">
        <v>470</v>
      </c>
      <c r="F330" s="40" t="s">
        <v>347</v>
      </c>
      <c r="G330" s="40" t="s">
        <v>406</v>
      </c>
      <c r="H330" s="40" t="s">
        <v>469</v>
      </c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0" t="s">
        <v>433</v>
      </c>
      <c r="B331" s="40" t="s">
        <v>434</v>
      </c>
      <c r="C331" s="40" t="s">
        <v>471</v>
      </c>
      <c r="D331" s="40">
        <v>20014</v>
      </c>
      <c r="E331" s="41" t="s">
        <v>25</v>
      </c>
      <c r="F331" s="40" t="s">
        <v>347</v>
      </c>
      <c r="G331" s="40" t="s">
        <v>406</v>
      </c>
      <c r="H331" s="40" t="s">
        <v>472</v>
      </c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0" t="s">
        <v>433</v>
      </c>
      <c r="B332" s="40" t="s">
        <v>434</v>
      </c>
      <c r="C332" s="40" t="s">
        <v>471</v>
      </c>
      <c r="D332" s="40">
        <v>20021</v>
      </c>
      <c r="E332" s="41" t="s">
        <v>27</v>
      </c>
      <c r="F332" s="40" t="s">
        <v>347</v>
      </c>
      <c r="G332" s="40" t="s">
        <v>406</v>
      </c>
      <c r="H332" s="40" t="s">
        <v>473</v>
      </c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0" t="s">
        <v>433</v>
      </c>
      <c r="B333" s="40" t="s">
        <v>434</v>
      </c>
      <c r="C333" s="40" t="s">
        <v>471</v>
      </c>
      <c r="D333" s="40">
        <v>20024</v>
      </c>
      <c r="E333" s="41" t="s">
        <v>11</v>
      </c>
      <c r="F333" s="40" t="s">
        <v>347</v>
      </c>
      <c r="G333" s="40" t="s">
        <v>406</v>
      </c>
      <c r="H333" s="40" t="s">
        <v>474</v>
      </c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0" t="s">
        <v>433</v>
      </c>
      <c r="B334" s="40" t="s">
        <v>434</v>
      </c>
      <c r="C334" s="40" t="s">
        <v>471</v>
      </c>
      <c r="D334" s="40">
        <v>20035</v>
      </c>
      <c r="E334" s="41" t="s">
        <v>475</v>
      </c>
      <c r="F334" s="40" t="s">
        <v>347</v>
      </c>
      <c r="G334" s="40" t="s">
        <v>406</v>
      </c>
      <c r="H334" s="40" t="s">
        <v>450</v>
      </c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0" t="s">
        <v>433</v>
      </c>
      <c r="B335" s="40" t="s">
        <v>434</v>
      </c>
      <c r="C335" s="40" t="s">
        <v>471</v>
      </c>
      <c r="D335" s="40">
        <v>20036</v>
      </c>
      <c r="E335" s="41" t="s">
        <v>29</v>
      </c>
      <c r="F335" s="40" t="s">
        <v>347</v>
      </c>
      <c r="G335" s="40" t="s">
        <v>406</v>
      </c>
      <c r="H335" s="40" t="s">
        <v>476</v>
      </c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0" t="s">
        <v>433</v>
      </c>
      <c r="B336" s="40" t="s">
        <v>434</v>
      </c>
      <c r="C336" s="40" t="s">
        <v>471</v>
      </c>
      <c r="D336" s="40">
        <v>20040</v>
      </c>
      <c r="E336" s="41" t="s">
        <v>477</v>
      </c>
      <c r="F336" s="40" t="s">
        <v>347</v>
      </c>
      <c r="G336" s="40" t="s">
        <v>406</v>
      </c>
      <c r="H336" s="40" t="s">
        <v>476</v>
      </c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0" t="s">
        <v>433</v>
      </c>
      <c r="B337" s="40" t="s">
        <v>434</v>
      </c>
      <c r="C337" s="40" t="s">
        <v>471</v>
      </c>
      <c r="D337" s="40">
        <v>20041</v>
      </c>
      <c r="E337" s="41" t="s">
        <v>31</v>
      </c>
      <c r="F337" s="40" t="s">
        <v>347</v>
      </c>
      <c r="G337" s="40" t="s">
        <v>406</v>
      </c>
      <c r="H337" s="40" t="s">
        <v>473</v>
      </c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0" t="s">
        <v>433</v>
      </c>
      <c r="B338" s="40" t="s">
        <v>434</v>
      </c>
      <c r="C338" s="40" t="s">
        <v>478</v>
      </c>
      <c r="D338" s="40">
        <v>20033</v>
      </c>
      <c r="E338" s="41" t="s">
        <v>479</v>
      </c>
      <c r="F338" s="40" t="s">
        <v>347</v>
      </c>
      <c r="G338" s="40" t="s">
        <v>406</v>
      </c>
      <c r="H338" s="40" t="s">
        <v>480</v>
      </c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0" t="s">
        <v>433</v>
      </c>
      <c r="B339" s="40" t="s">
        <v>434</v>
      </c>
      <c r="C339" s="40" t="s">
        <v>481</v>
      </c>
      <c r="D339" s="40">
        <v>20005</v>
      </c>
      <c r="E339" s="41" t="s">
        <v>482</v>
      </c>
      <c r="F339" s="40" t="s">
        <v>347</v>
      </c>
      <c r="G339" s="40" t="s">
        <v>406</v>
      </c>
      <c r="H339" s="40" t="s">
        <v>428</v>
      </c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0" t="s">
        <v>433</v>
      </c>
      <c r="B340" s="40" t="s">
        <v>434</v>
      </c>
      <c r="C340" s="40" t="s">
        <v>481</v>
      </c>
      <c r="D340" s="40">
        <v>20015</v>
      </c>
      <c r="E340" s="41" t="s">
        <v>483</v>
      </c>
      <c r="F340" s="40" t="s">
        <v>347</v>
      </c>
      <c r="G340" s="40" t="s">
        <v>406</v>
      </c>
      <c r="H340" s="40" t="s">
        <v>484</v>
      </c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0" t="s">
        <v>433</v>
      </c>
      <c r="B341" s="40" t="s">
        <v>434</v>
      </c>
      <c r="C341" s="40" t="s">
        <v>481</v>
      </c>
      <c r="D341" s="40">
        <v>20019</v>
      </c>
      <c r="E341" s="41" t="s">
        <v>485</v>
      </c>
      <c r="F341" s="40" t="s">
        <v>347</v>
      </c>
      <c r="G341" s="40" t="s">
        <v>374</v>
      </c>
      <c r="H341" s="40" t="s">
        <v>428</v>
      </c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0" t="s">
        <v>433</v>
      </c>
      <c r="B342" s="40" t="s">
        <v>434</v>
      </c>
      <c r="C342" s="40" t="s">
        <v>481</v>
      </c>
      <c r="D342" s="40">
        <v>20043</v>
      </c>
      <c r="E342" s="41" t="s">
        <v>486</v>
      </c>
      <c r="F342" s="40" t="s">
        <v>347</v>
      </c>
      <c r="G342" s="40" t="s">
        <v>374</v>
      </c>
      <c r="H342" s="48" t="s">
        <v>487</v>
      </c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0" t="s">
        <v>433</v>
      </c>
      <c r="B343" s="40" t="s">
        <v>434</v>
      </c>
      <c r="C343" s="40" t="s">
        <v>481</v>
      </c>
      <c r="D343" s="40">
        <v>20045</v>
      </c>
      <c r="E343" s="41" t="s">
        <v>488</v>
      </c>
      <c r="F343" s="40" t="s">
        <v>347</v>
      </c>
      <c r="G343" s="40" t="s">
        <v>406</v>
      </c>
      <c r="H343" s="40" t="s">
        <v>428</v>
      </c>
      <c r="I343" s="49" t="s">
        <v>489</v>
      </c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0" t="s">
        <v>433</v>
      </c>
      <c r="B344" s="40" t="s">
        <v>434</v>
      </c>
      <c r="C344" s="40" t="s">
        <v>490</v>
      </c>
      <c r="D344" s="40">
        <v>20017</v>
      </c>
      <c r="E344" s="41" t="s">
        <v>491</v>
      </c>
      <c r="F344" s="40" t="s">
        <v>347</v>
      </c>
      <c r="G344" s="40" t="s">
        <v>406</v>
      </c>
      <c r="H344" s="40" t="s">
        <v>492</v>
      </c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0" t="s">
        <v>433</v>
      </c>
      <c r="B345" s="40" t="s">
        <v>434</v>
      </c>
      <c r="C345" s="40" t="s">
        <v>490</v>
      </c>
      <c r="D345" s="40">
        <v>20020</v>
      </c>
      <c r="E345" s="41" t="s">
        <v>493</v>
      </c>
      <c r="F345" s="40" t="s">
        <v>347</v>
      </c>
      <c r="G345" s="40" t="s">
        <v>406</v>
      </c>
      <c r="H345" s="40" t="s">
        <v>409</v>
      </c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0" t="s">
        <v>433</v>
      </c>
      <c r="B346" s="40" t="s">
        <v>434</v>
      </c>
      <c r="C346" s="40" t="s">
        <v>490</v>
      </c>
      <c r="D346" s="45">
        <v>20029</v>
      </c>
      <c r="E346" s="44" t="s">
        <v>494</v>
      </c>
      <c r="F346" s="40" t="s">
        <v>347</v>
      </c>
      <c r="G346" s="45" t="s">
        <v>374</v>
      </c>
      <c r="H346" s="40" t="s">
        <v>409</v>
      </c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0" t="s">
        <v>433</v>
      </c>
      <c r="B347" s="40" t="s">
        <v>434</v>
      </c>
      <c r="C347" s="40" t="s">
        <v>490</v>
      </c>
      <c r="D347" s="40">
        <v>20031</v>
      </c>
      <c r="E347" s="41" t="s">
        <v>495</v>
      </c>
      <c r="F347" s="40" t="s">
        <v>347</v>
      </c>
      <c r="G347" s="40" t="s">
        <v>406</v>
      </c>
      <c r="H347" s="40" t="s">
        <v>409</v>
      </c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0" t="s">
        <v>496</v>
      </c>
      <c r="B348" s="40" t="s">
        <v>497</v>
      </c>
      <c r="C348" s="40" t="s">
        <v>498</v>
      </c>
      <c r="D348" s="40">
        <v>22000</v>
      </c>
      <c r="E348" s="41" t="s">
        <v>499</v>
      </c>
      <c r="F348" s="40" t="s">
        <v>347</v>
      </c>
      <c r="G348" s="40" t="s">
        <v>500</v>
      </c>
      <c r="H348" s="40" t="s">
        <v>501</v>
      </c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0" t="s">
        <v>496</v>
      </c>
      <c r="B349" s="40" t="s">
        <v>497</v>
      </c>
      <c r="C349" s="40" t="s">
        <v>498</v>
      </c>
      <c r="D349" s="40">
        <v>22003</v>
      </c>
      <c r="E349" s="41" t="s">
        <v>502</v>
      </c>
      <c r="F349" s="40" t="s">
        <v>347</v>
      </c>
      <c r="G349" s="40" t="s">
        <v>500</v>
      </c>
      <c r="H349" s="40" t="s">
        <v>503</v>
      </c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0" t="s">
        <v>496</v>
      </c>
      <c r="B350" s="40" t="s">
        <v>497</v>
      </c>
      <c r="C350" s="40" t="s">
        <v>498</v>
      </c>
      <c r="D350" s="40">
        <v>22004</v>
      </c>
      <c r="E350" s="41" t="s">
        <v>504</v>
      </c>
      <c r="F350" s="40" t="s">
        <v>347</v>
      </c>
      <c r="G350" s="40" t="s">
        <v>500</v>
      </c>
      <c r="H350" s="40" t="s">
        <v>503</v>
      </c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0" t="s">
        <v>496</v>
      </c>
      <c r="B351" s="40" t="s">
        <v>497</v>
      </c>
      <c r="C351" s="40" t="s">
        <v>498</v>
      </c>
      <c r="D351" s="40">
        <v>22005</v>
      </c>
      <c r="E351" s="41" t="s">
        <v>505</v>
      </c>
      <c r="F351" s="40" t="s">
        <v>347</v>
      </c>
      <c r="G351" s="40" t="s">
        <v>500</v>
      </c>
      <c r="H351" s="40" t="s">
        <v>503</v>
      </c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0" t="s">
        <v>496</v>
      </c>
      <c r="B352" s="40" t="s">
        <v>497</v>
      </c>
      <c r="C352" s="40" t="s">
        <v>506</v>
      </c>
      <c r="D352" s="40">
        <v>22222</v>
      </c>
      <c r="E352" s="41" t="s">
        <v>507</v>
      </c>
      <c r="F352" s="40" t="s">
        <v>347</v>
      </c>
      <c r="G352" s="40" t="s">
        <v>500</v>
      </c>
      <c r="H352" s="40" t="s">
        <v>508</v>
      </c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0" t="s">
        <v>496</v>
      </c>
      <c r="B353" s="40" t="s">
        <v>497</v>
      </c>
      <c r="C353" s="40" t="s">
        <v>509</v>
      </c>
      <c r="D353" s="40">
        <v>99999</v>
      </c>
      <c r="E353" s="41" t="s">
        <v>510</v>
      </c>
      <c r="F353" s="40" t="s">
        <v>347</v>
      </c>
      <c r="G353" s="40" t="s">
        <v>500</v>
      </c>
      <c r="H353" s="40" t="s">
        <v>501</v>
      </c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0"/>
      <c r="B354" s="40"/>
      <c r="C354" s="40"/>
      <c r="D354" s="40">
        <v>21011</v>
      </c>
      <c r="E354" s="41" t="s">
        <v>511</v>
      </c>
      <c r="F354" s="40" t="s">
        <v>347</v>
      </c>
      <c r="G354" s="40" t="s">
        <v>358</v>
      </c>
      <c r="H354" s="40" t="s">
        <v>409</v>
      </c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0"/>
      <c r="B355" s="40"/>
      <c r="C355" s="40"/>
      <c r="D355" s="40">
        <v>23033</v>
      </c>
      <c r="E355" s="41" t="s">
        <v>512</v>
      </c>
      <c r="F355" s="40" t="s">
        <v>347</v>
      </c>
      <c r="G355" s="40" t="s">
        <v>374</v>
      </c>
      <c r="H355" s="40" t="s">
        <v>409</v>
      </c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0"/>
      <c r="B356" s="40"/>
      <c r="C356" s="40"/>
      <c r="D356" s="40">
        <v>20030</v>
      </c>
      <c r="E356" s="41" t="s">
        <v>513</v>
      </c>
      <c r="F356" s="40" t="s">
        <v>347</v>
      </c>
      <c r="G356" s="40" t="s">
        <v>364</v>
      </c>
      <c r="H356" s="40" t="s">
        <v>409</v>
      </c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0"/>
      <c r="B357" s="40"/>
      <c r="C357" s="40"/>
      <c r="D357" s="40">
        <v>20046</v>
      </c>
      <c r="E357" s="41" t="s">
        <v>514</v>
      </c>
      <c r="F357" s="40" t="s">
        <v>347</v>
      </c>
      <c r="G357" s="40" t="s">
        <v>406</v>
      </c>
      <c r="H357" s="40" t="s">
        <v>409</v>
      </c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0"/>
      <c r="B358" s="40"/>
      <c r="C358" s="40"/>
      <c r="D358" s="40">
        <v>200000</v>
      </c>
      <c r="E358" s="41"/>
      <c r="F358" s="40" t="s">
        <v>53</v>
      </c>
      <c r="G358" s="40" t="s">
        <v>120</v>
      </c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0"/>
      <c r="B359" s="40"/>
      <c r="C359" s="40"/>
      <c r="D359" s="40">
        <v>200004</v>
      </c>
      <c r="E359" s="41"/>
      <c r="F359" s="40" t="s">
        <v>53</v>
      </c>
      <c r="G359" s="40" t="s">
        <v>120</v>
      </c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0"/>
      <c r="B360" s="40"/>
      <c r="C360" s="40"/>
      <c r="D360" s="40">
        <v>200008</v>
      </c>
      <c r="E360" s="41"/>
      <c r="F360" s="40" t="s">
        <v>53</v>
      </c>
      <c r="G360" s="40" t="s">
        <v>120</v>
      </c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0"/>
      <c r="B361" s="40"/>
      <c r="C361" s="40"/>
      <c r="D361" s="40">
        <v>200010</v>
      </c>
      <c r="E361" s="41"/>
      <c r="F361" s="40" t="s">
        <v>53</v>
      </c>
      <c r="G361" s="40" t="s">
        <v>120</v>
      </c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0"/>
      <c r="B362" s="40"/>
      <c r="C362" s="40"/>
      <c r="D362" s="40">
        <v>200015</v>
      </c>
      <c r="E362" s="41"/>
      <c r="F362" s="40" t="s">
        <v>53</v>
      </c>
      <c r="G362" s="40" t="s">
        <v>120</v>
      </c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0"/>
      <c r="B363" s="40"/>
      <c r="C363" s="40"/>
      <c r="D363" s="40">
        <v>20003</v>
      </c>
      <c r="E363" s="41"/>
      <c r="F363" s="40" t="s">
        <v>347</v>
      </c>
      <c r="G363" s="40" t="s">
        <v>406</v>
      </c>
      <c r="H363" s="40" t="s">
        <v>469</v>
      </c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0"/>
      <c r="B364" s="40"/>
      <c r="C364" s="40"/>
      <c r="D364" s="40">
        <v>200033</v>
      </c>
      <c r="E364" s="41"/>
      <c r="F364" s="40" t="s">
        <v>53</v>
      </c>
      <c r="G364" s="40" t="s">
        <v>120</v>
      </c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0"/>
      <c r="B365" s="40"/>
      <c r="C365" s="40"/>
      <c r="D365" s="40">
        <v>200034</v>
      </c>
      <c r="E365" s="41"/>
      <c r="F365" s="40" t="s">
        <v>53</v>
      </c>
      <c r="G365" s="40" t="s">
        <v>120</v>
      </c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0"/>
      <c r="B366" s="40"/>
      <c r="C366" s="40"/>
      <c r="D366" s="40">
        <v>200054</v>
      </c>
      <c r="E366" s="41"/>
      <c r="F366" s="40" t="s">
        <v>53</v>
      </c>
      <c r="G366" s="40" t="s">
        <v>120</v>
      </c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0"/>
      <c r="B367" s="40"/>
      <c r="C367" s="40"/>
      <c r="D367" s="40">
        <v>200057</v>
      </c>
      <c r="E367" s="41"/>
      <c r="F367" s="40" t="s">
        <v>53</v>
      </c>
      <c r="G367" s="40" t="s">
        <v>120</v>
      </c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0"/>
      <c r="B368" s="40"/>
      <c r="C368" s="40"/>
      <c r="D368" s="40">
        <v>200062</v>
      </c>
      <c r="E368" s="41"/>
      <c r="F368" s="40" t="s">
        <v>53</v>
      </c>
      <c r="G368" s="40" t="s">
        <v>120</v>
      </c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0"/>
      <c r="B369" s="40"/>
      <c r="C369" s="40"/>
      <c r="D369" s="40">
        <v>200064</v>
      </c>
      <c r="E369" s="41"/>
      <c r="F369" s="40" t="s">
        <v>53</v>
      </c>
      <c r="G369" s="40" t="s">
        <v>120</v>
      </c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0"/>
      <c r="B370" s="40"/>
      <c r="C370" s="40"/>
      <c r="D370" s="40">
        <v>200066</v>
      </c>
      <c r="E370" s="41"/>
      <c r="F370" s="40" t="s">
        <v>53</v>
      </c>
      <c r="G370" s="40" t="s">
        <v>120</v>
      </c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0"/>
      <c r="B371" s="40"/>
      <c r="C371" s="40"/>
      <c r="D371" s="40">
        <v>200069</v>
      </c>
      <c r="E371" s="41"/>
      <c r="F371" s="40" t="s">
        <v>53</v>
      </c>
      <c r="G371" s="40" t="s">
        <v>120</v>
      </c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0"/>
      <c r="B372" s="40"/>
      <c r="C372" s="40"/>
      <c r="D372" s="40">
        <v>200076</v>
      </c>
      <c r="E372" s="41"/>
      <c r="F372" s="40" t="s">
        <v>53</v>
      </c>
      <c r="G372" s="40" t="s">
        <v>120</v>
      </c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0"/>
      <c r="B373" s="40"/>
      <c r="C373" s="40"/>
      <c r="D373" s="40">
        <v>200078</v>
      </c>
      <c r="E373" s="41"/>
      <c r="F373" s="40" t="s">
        <v>53</v>
      </c>
      <c r="G373" s="40" t="s">
        <v>120</v>
      </c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0"/>
      <c r="B374" s="40"/>
      <c r="C374" s="40"/>
      <c r="D374" s="40">
        <v>200084</v>
      </c>
      <c r="E374" s="41"/>
      <c r="F374" s="40" t="s">
        <v>53</v>
      </c>
      <c r="G374" s="40" t="s">
        <v>120</v>
      </c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0"/>
      <c r="B375" s="40"/>
      <c r="C375" s="40"/>
      <c r="D375" s="40">
        <v>200085</v>
      </c>
      <c r="E375" s="41"/>
      <c r="F375" s="40" t="s">
        <v>53</v>
      </c>
      <c r="G375" s="40" t="s">
        <v>120</v>
      </c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0"/>
      <c r="B376" s="40"/>
      <c r="C376" s="40"/>
      <c r="D376" s="40">
        <v>200087</v>
      </c>
      <c r="E376" s="41"/>
      <c r="F376" s="40" t="s">
        <v>53</v>
      </c>
      <c r="G376" s="40" t="s">
        <v>120</v>
      </c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0"/>
      <c r="B377" s="40"/>
      <c r="C377" s="40"/>
      <c r="D377" s="40">
        <v>200090</v>
      </c>
      <c r="E377" s="41"/>
      <c r="F377" s="40" t="s">
        <v>53</v>
      </c>
      <c r="G377" s="40" t="s">
        <v>120</v>
      </c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0"/>
      <c r="B378" s="40"/>
      <c r="C378" s="40"/>
      <c r="D378" s="40">
        <v>200091</v>
      </c>
      <c r="E378" s="41"/>
      <c r="F378" s="40" t="s">
        <v>53</v>
      </c>
      <c r="G378" s="40" t="s">
        <v>120</v>
      </c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0"/>
      <c r="B379" s="40"/>
      <c r="C379" s="40"/>
      <c r="D379" s="40">
        <v>200092</v>
      </c>
      <c r="E379" s="41"/>
      <c r="F379" s="40" t="s">
        <v>53</v>
      </c>
      <c r="G379" s="40" t="s">
        <v>120</v>
      </c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0"/>
      <c r="B380" s="40"/>
      <c r="C380" s="40"/>
      <c r="D380" s="40">
        <v>200093</v>
      </c>
      <c r="E380" s="41"/>
      <c r="F380" s="40" t="s">
        <v>53</v>
      </c>
      <c r="G380" s="40" t="s">
        <v>120</v>
      </c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0"/>
      <c r="B381" s="40"/>
      <c r="C381" s="40"/>
      <c r="D381" s="40">
        <v>200098</v>
      </c>
      <c r="E381" s="41"/>
      <c r="F381" s="40" t="s">
        <v>53</v>
      </c>
      <c r="G381" s="40" t="s">
        <v>120</v>
      </c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0"/>
      <c r="B382" s="40"/>
      <c r="C382" s="40"/>
      <c r="D382" s="40">
        <v>200099</v>
      </c>
      <c r="E382" s="41"/>
      <c r="F382" s="40" t="s">
        <v>53</v>
      </c>
      <c r="G382" s="40" t="s">
        <v>120</v>
      </c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0"/>
      <c r="B383" s="40"/>
      <c r="C383" s="40"/>
      <c r="D383" s="40">
        <v>200100</v>
      </c>
      <c r="E383" s="41"/>
      <c r="F383" s="40" t="s">
        <v>53</v>
      </c>
      <c r="G383" s="40" t="s">
        <v>120</v>
      </c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0"/>
      <c r="B384" s="40"/>
      <c r="C384" s="40"/>
      <c r="D384" s="40">
        <v>200116</v>
      </c>
      <c r="E384" s="41"/>
      <c r="F384" s="40" t="s">
        <v>53</v>
      </c>
      <c r="G384" s="40" t="s">
        <v>120</v>
      </c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0"/>
      <c r="B385" s="40"/>
      <c r="C385" s="40"/>
      <c r="D385" s="40">
        <v>200070</v>
      </c>
      <c r="E385" s="41"/>
      <c r="F385" s="40" t="s">
        <v>53</v>
      </c>
      <c r="G385" s="40" t="s">
        <v>120</v>
      </c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0"/>
      <c r="B386" s="40"/>
      <c r="C386" s="40"/>
      <c r="D386" s="40">
        <v>200073</v>
      </c>
      <c r="E386" s="41"/>
      <c r="F386" s="40" t="s">
        <v>53</v>
      </c>
      <c r="G386" s="40" t="s">
        <v>120</v>
      </c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0"/>
      <c r="B387" s="40"/>
      <c r="C387" s="40"/>
      <c r="D387" s="40">
        <v>200088</v>
      </c>
      <c r="E387" s="41"/>
      <c r="F387" s="40" t="s">
        <v>53</v>
      </c>
      <c r="G387" s="40" t="s">
        <v>120</v>
      </c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0"/>
      <c r="B388" s="40"/>
      <c r="C388" s="40"/>
      <c r="D388" s="40">
        <v>200095</v>
      </c>
      <c r="E388" s="41"/>
      <c r="F388" s="40" t="s">
        <v>53</v>
      </c>
      <c r="G388" s="40" t="s">
        <v>120</v>
      </c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0"/>
      <c r="B389" s="40"/>
      <c r="C389" s="40"/>
      <c r="D389" s="40">
        <v>200097</v>
      </c>
      <c r="E389" s="41"/>
      <c r="F389" s="40" t="s">
        <v>53</v>
      </c>
      <c r="G389" s="40" t="s">
        <v>120</v>
      </c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0"/>
      <c r="B390" s="40"/>
      <c r="C390" s="40"/>
      <c r="D390" s="40">
        <v>200109</v>
      </c>
      <c r="E390" s="41"/>
      <c r="F390" s="40" t="s">
        <v>53</v>
      </c>
      <c r="G390" s="40" t="s">
        <v>120</v>
      </c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0"/>
      <c r="B391" s="40"/>
      <c r="C391" s="40"/>
      <c r="D391" s="40">
        <v>200110</v>
      </c>
      <c r="E391" s="41"/>
      <c r="F391" s="40" t="s">
        <v>53</v>
      </c>
      <c r="G391" s="40" t="s">
        <v>120</v>
      </c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0"/>
      <c r="B392" s="40"/>
      <c r="C392" s="40"/>
      <c r="D392" s="40">
        <v>200117</v>
      </c>
      <c r="E392" s="41"/>
      <c r="F392" s="40" t="s">
        <v>53</v>
      </c>
      <c r="G392" s="40" t="s">
        <v>120</v>
      </c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0"/>
      <c r="B393" s="40"/>
      <c r="C393" s="40"/>
      <c r="D393" s="40">
        <v>200118</v>
      </c>
      <c r="E393" s="41"/>
      <c r="F393" s="40" t="s">
        <v>53</v>
      </c>
      <c r="G393" s="40" t="s">
        <v>120</v>
      </c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0"/>
      <c r="B394" s="40"/>
      <c r="C394" s="40"/>
      <c r="D394" s="40">
        <v>200126</v>
      </c>
      <c r="E394" s="41"/>
      <c r="F394" s="40" t="s">
        <v>53</v>
      </c>
      <c r="G394" s="40" t="s">
        <v>120</v>
      </c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0"/>
      <c r="B395" s="40"/>
      <c r="C395" s="40"/>
      <c r="D395" s="40">
        <v>200127</v>
      </c>
      <c r="E395" s="41"/>
      <c r="F395" s="40" t="s">
        <v>53</v>
      </c>
      <c r="G395" s="40" t="s">
        <v>120</v>
      </c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0"/>
      <c r="B396" s="40"/>
      <c r="C396" s="40"/>
      <c r="D396" s="40">
        <v>200133</v>
      </c>
      <c r="E396" s="41"/>
      <c r="F396" s="40" t="s">
        <v>53</v>
      </c>
      <c r="G396" s="40" t="s">
        <v>120</v>
      </c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0"/>
      <c r="B397" s="40"/>
      <c r="C397" s="40"/>
      <c r="D397" s="40">
        <v>200138</v>
      </c>
      <c r="E397" s="41"/>
      <c r="F397" s="40" t="s">
        <v>53</v>
      </c>
      <c r="G397" s="40" t="s">
        <v>120</v>
      </c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0"/>
      <c r="B398" s="40"/>
      <c r="C398" s="40"/>
      <c r="D398" s="40">
        <v>200144</v>
      </c>
      <c r="E398" s="41"/>
      <c r="F398" s="40" t="s">
        <v>53</v>
      </c>
      <c r="G398" s="40" t="s">
        <v>120</v>
      </c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0"/>
      <c r="B399" s="40"/>
      <c r="C399" s="40"/>
      <c r="D399" s="40">
        <v>200146</v>
      </c>
      <c r="E399" s="41"/>
      <c r="F399" s="40" t="s">
        <v>53</v>
      </c>
      <c r="G399" s="40" t="s">
        <v>120</v>
      </c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0"/>
      <c r="B400" s="40"/>
      <c r="C400" s="40"/>
      <c r="D400" s="40">
        <v>200147</v>
      </c>
      <c r="E400" s="41"/>
      <c r="F400" s="40" t="s">
        <v>53</v>
      </c>
      <c r="G400" s="40" t="s">
        <v>120</v>
      </c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0"/>
      <c r="B401" s="40"/>
      <c r="C401" s="40"/>
      <c r="D401" s="40">
        <v>200148</v>
      </c>
      <c r="E401" s="41"/>
      <c r="F401" s="40" t="s">
        <v>53</v>
      </c>
      <c r="G401" s="40" t="s">
        <v>120</v>
      </c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0"/>
      <c r="B402" s="40"/>
      <c r="C402" s="40"/>
      <c r="D402" s="40">
        <v>200150</v>
      </c>
      <c r="E402" s="41"/>
      <c r="F402" s="40" t="s">
        <v>53</v>
      </c>
      <c r="G402" s="40" t="s">
        <v>120</v>
      </c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0"/>
      <c r="B403" s="40"/>
      <c r="C403" s="40"/>
      <c r="D403" s="40">
        <v>200152</v>
      </c>
      <c r="E403" s="41"/>
      <c r="F403" s="40" t="s">
        <v>53</v>
      </c>
      <c r="G403" s="40" t="s">
        <v>120</v>
      </c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0"/>
      <c r="B404" s="40"/>
      <c r="C404" s="40"/>
      <c r="D404" s="40">
        <v>200153</v>
      </c>
      <c r="E404" s="41"/>
      <c r="F404" s="40" t="s">
        <v>53</v>
      </c>
      <c r="G404" s="40" t="s">
        <v>120</v>
      </c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0"/>
      <c r="B405" s="40"/>
      <c r="C405" s="40"/>
      <c r="D405" s="40">
        <v>200164</v>
      </c>
      <c r="E405" s="41"/>
      <c r="F405" s="40" t="s">
        <v>53</v>
      </c>
      <c r="G405" s="40" t="s">
        <v>120</v>
      </c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0"/>
      <c r="B406" s="40"/>
      <c r="C406" s="40"/>
      <c r="D406" s="40">
        <v>200166</v>
      </c>
      <c r="E406" s="41"/>
      <c r="F406" s="40" t="s">
        <v>53</v>
      </c>
      <c r="G406" s="40" t="s">
        <v>120</v>
      </c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0"/>
      <c r="B407" s="40"/>
      <c r="C407" s="40"/>
      <c r="D407" s="40">
        <v>200170</v>
      </c>
      <c r="E407" s="41"/>
      <c r="F407" s="40" t="s">
        <v>53</v>
      </c>
      <c r="G407" s="40" t="s">
        <v>120</v>
      </c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0"/>
      <c r="B408" s="40"/>
      <c r="C408" s="40"/>
      <c r="D408" s="40">
        <v>200171</v>
      </c>
      <c r="E408" s="41"/>
      <c r="F408" s="40" t="s">
        <v>53</v>
      </c>
      <c r="G408" s="40" t="s">
        <v>120</v>
      </c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0"/>
      <c r="B409" s="40"/>
      <c r="C409" s="40"/>
      <c r="D409" s="40">
        <v>200181</v>
      </c>
      <c r="E409" s="41"/>
      <c r="F409" s="40" t="s">
        <v>53</v>
      </c>
      <c r="G409" s="40" t="s">
        <v>120</v>
      </c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0"/>
      <c r="B410" s="40"/>
      <c r="C410" s="40"/>
      <c r="D410" s="40">
        <v>200182</v>
      </c>
      <c r="E410" s="41"/>
      <c r="F410" s="40" t="s">
        <v>53</v>
      </c>
      <c r="G410" s="40" t="s">
        <v>120</v>
      </c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0"/>
      <c r="B411" s="40"/>
      <c r="C411" s="40"/>
      <c r="D411" s="40">
        <v>200185</v>
      </c>
      <c r="E411" s="41"/>
      <c r="F411" s="40" t="s">
        <v>53</v>
      </c>
      <c r="G411" s="40" t="s">
        <v>120</v>
      </c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0"/>
      <c r="B412" s="40"/>
      <c r="C412" s="40"/>
      <c r="D412" s="40">
        <v>200186</v>
      </c>
      <c r="E412" s="41"/>
      <c r="F412" s="40" t="s">
        <v>53</v>
      </c>
      <c r="G412" s="40" t="s">
        <v>120</v>
      </c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0"/>
      <c r="B413" s="40"/>
      <c r="C413" s="40"/>
      <c r="D413" s="40">
        <v>200188</v>
      </c>
      <c r="E413" s="41"/>
      <c r="F413" s="40" t="s">
        <v>53</v>
      </c>
      <c r="G413" s="40" t="s">
        <v>120</v>
      </c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0"/>
      <c r="B414" s="40"/>
      <c r="C414" s="40"/>
      <c r="D414" s="40">
        <v>200192</v>
      </c>
      <c r="E414" s="41"/>
      <c r="F414" s="40" t="s">
        <v>53</v>
      </c>
      <c r="G414" s="40" t="s">
        <v>120</v>
      </c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0"/>
      <c r="B415" s="40"/>
      <c r="C415" s="40"/>
      <c r="D415" s="40">
        <v>200203</v>
      </c>
      <c r="E415" s="41"/>
      <c r="F415" s="40" t="s">
        <v>53</v>
      </c>
      <c r="G415" s="40" t="s">
        <v>120</v>
      </c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0"/>
      <c r="B416" s="40"/>
      <c r="C416" s="40"/>
      <c r="D416" s="40">
        <v>200205</v>
      </c>
      <c r="E416" s="41"/>
      <c r="F416" s="40" t="s">
        <v>53</v>
      </c>
      <c r="G416" s="40" t="s">
        <v>120</v>
      </c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0"/>
      <c r="B417" s="40"/>
      <c r="C417" s="40"/>
      <c r="D417" s="40">
        <v>200207</v>
      </c>
      <c r="E417" s="41"/>
      <c r="F417" s="40" t="s">
        <v>53</v>
      </c>
      <c r="G417" s="40" t="s">
        <v>120</v>
      </c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0"/>
      <c r="B418" s="40"/>
      <c r="C418" s="40"/>
      <c r="D418" s="40">
        <v>200209</v>
      </c>
      <c r="E418" s="41"/>
      <c r="F418" s="40" t="s">
        <v>53</v>
      </c>
      <c r="G418" s="40" t="s">
        <v>120</v>
      </c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0"/>
      <c r="B419" s="40"/>
      <c r="C419" s="40"/>
      <c r="D419" s="40">
        <v>200210</v>
      </c>
      <c r="E419" s="41"/>
      <c r="F419" s="40" t="s">
        <v>53</v>
      </c>
      <c r="G419" s="40" t="s">
        <v>120</v>
      </c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0"/>
      <c r="B420" s="40"/>
      <c r="C420" s="40"/>
      <c r="D420" s="40">
        <v>200211</v>
      </c>
      <c r="E420" s="41"/>
      <c r="F420" s="40" t="s">
        <v>53</v>
      </c>
      <c r="G420" s="40" t="s">
        <v>120</v>
      </c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0"/>
      <c r="B421" s="40"/>
      <c r="C421" s="40"/>
      <c r="D421" s="40">
        <v>200212</v>
      </c>
      <c r="E421" s="41"/>
      <c r="F421" s="40" t="s">
        <v>53</v>
      </c>
      <c r="G421" s="40" t="s">
        <v>120</v>
      </c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0"/>
      <c r="B422" s="40"/>
      <c r="C422" s="40"/>
      <c r="D422" s="40">
        <v>200213</v>
      </c>
      <c r="E422" s="41"/>
      <c r="F422" s="40" t="s">
        <v>53</v>
      </c>
      <c r="G422" s="40" t="s">
        <v>120</v>
      </c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0"/>
      <c r="B423" s="40"/>
      <c r="C423" s="40"/>
      <c r="D423" s="40">
        <v>200214</v>
      </c>
      <c r="E423" s="41"/>
      <c r="F423" s="40" t="s">
        <v>53</v>
      </c>
      <c r="G423" s="40" t="s">
        <v>120</v>
      </c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0"/>
      <c r="B424" s="40"/>
      <c r="C424" s="40"/>
      <c r="D424" s="40">
        <v>200215</v>
      </c>
      <c r="E424" s="41"/>
      <c r="F424" s="40" t="s">
        <v>53</v>
      </c>
      <c r="G424" s="40" t="s">
        <v>120</v>
      </c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0"/>
      <c r="B425" s="40"/>
      <c r="C425" s="40"/>
      <c r="D425" s="40">
        <v>200216</v>
      </c>
      <c r="E425" s="41"/>
      <c r="F425" s="40" t="s">
        <v>53</v>
      </c>
      <c r="G425" s="40" t="s">
        <v>120</v>
      </c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0"/>
      <c r="B426" s="40"/>
      <c r="C426" s="40"/>
      <c r="D426" s="40">
        <v>200217</v>
      </c>
      <c r="E426" s="41"/>
      <c r="F426" s="40" t="s">
        <v>53</v>
      </c>
      <c r="G426" s="40" t="s">
        <v>120</v>
      </c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0"/>
      <c r="B427" s="40"/>
      <c r="C427" s="40"/>
      <c r="D427" s="40">
        <v>200221</v>
      </c>
      <c r="E427" s="41"/>
      <c r="F427" s="40" t="s">
        <v>53</v>
      </c>
      <c r="G427" s="40" t="s">
        <v>120</v>
      </c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0"/>
      <c r="B428" s="40"/>
      <c r="C428" s="40"/>
      <c r="D428" s="40">
        <v>200222</v>
      </c>
      <c r="E428" s="41"/>
      <c r="F428" s="40" t="s">
        <v>53</v>
      </c>
      <c r="G428" s="40" t="s">
        <v>120</v>
      </c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0"/>
      <c r="B429" s="40"/>
      <c r="C429" s="40"/>
      <c r="D429" s="40">
        <v>200225</v>
      </c>
      <c r="E429" s="41"/>
      <c r="F429" s="40" t="s">
        <v>53</v>
      </c>
      <c r="G429" s="40" t="s">
        <v>120</v>
      </c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0"/>
      <c r="B430" s="40"/>
      <c r="C430" s="40"/>
      <c r="D430" s="40">
        <v>200227</v>
      </c>
      <c r="E430" s="41"/>
      <c r="F430" s="40" t="s">
        <v>53</v>
      </c>
      <c r="G430" s="40" t="s">
        <v>120</v>
      </c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0"/>
      <c r="B431" s="40"/>
      <c r="C431" s="40"/>
      <c r="D431" s="40">
        <v>200228</v>
      </c>
      <c r="E431" s="41"/>
      <c r="F431" s="40" t="s">
        <v>53</v>
      </c>
      <c r="G431" s="40" t="s">
        <v>120</v>
      </c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0"/>
      <c r="B432" s="40"/>
      <c r="C432" s="40"/>
      <c r="D432" s="40">
        <v>200235</v>
      </c>
      <c r="E432" s="41"/>
      <c r="F432" s="40" t="s">
        <v>53</v>
      </c>
      <c r="G432" s="40" t="s">
        <v>120</v>
      </c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0"/>
      <c r="B433" s="40"/>
      <c r="C433" s="40"/>
      <c r="D433" s="40">
        <v>200245</v>
      </c>
      <c r="E433" s="41"/>
      <c r="F433" s="40" t="s">
        <v>53</v>
      </c>
      <c r="G433" s="40" t="s">
        <v>120</v>
      </c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0"/>
      <c r="B434" s="40"/>
      <c r="C434" s="40"/>
      <c r="D434" s="40">
        <v>200246</v>
      </c>
      <c r="E434" s="41"/>
      <c r="F434" s="40" t="s">
        <v>53</v>
      </c>
      <c r="G434" s="40" t="s">
        <v>120</v>
      </c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0"/>
      <c r="B435" s="40"/>
      <c r="C435" s="40"/>
      <c r="D435" s="40">
        <v>200247</v>
      </c>
      <c r="E435" s="41"/>
      <c r="F435" s="40" t="s">
        <v>53</v>
      </c>
      <c r="G435" s="40" t="s">
        <v>120</v>
      </c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0"/>
      <c r="B436" s="40"/>
      <c r="C436" s="40"/>
      <c r="D436" s="40">
        <v>200249</v>
      </c>
      <c r="E436" s="41"/>
      <c r="F436" s="40" t="s">
        <v>53</v>
      </c>
      <c r="G436" s="40" t="s">
        <v>120</v>
      </c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0"/>
      <c r="B437" s="40"/>
      <c r="C437" s="40"/>
      <c r="D437" s="40">
        <v>200260</v>
      </c>
      <c r="E437" s="41"/>
      <c r="F437" s="40" t="s">
        <v>53</v>
      </c>
      <c r="G437" s="40" t="s">
        <v>120</v>
      </c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0"/>
      <c r="B438" s="40"/>
      <c r="C438" s="40"/>
      <c r="D438" s="50">
        <v>200000</v>
      </c>
      <c r="E438" s="41"/>
      <c r="F438" s="40" t="s">
        <v>53</v>
      </c>
      <c r="G438" s="40" t="s">
        <v>120</v>
      </c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0"/>
      <c r="B439" s="40"/>
      <c r="C439" s="40"/>
      <c r="D439" s="50">
        <v>200003</v>
      </c>
      <c r="E439" s="41"/>
      <c r="F439" s="40" t="s">
        <v>53</v>
      </c>
      <c r="G439" s="40" t="s">
        <v>120</v>
      </c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0"/>
      <c r="B440" s="40"/>
      <c r="C440" s="40"/>
      <c r="D440" s="50">
        <v>200004</v>
      </c>
      <c r="E440" s="41"/>
      <c r="F440" s="40" t="s">
        <v>53</v>
      </c>
      <c r="G440" s="40" t="s">
        <v>120</v>
      </c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0"/>
      <c r="B441" s="40"/>
      <c r="C441" s="40"/>
      <c r="D441" s="50">
        <v>200006</v>
      </c>
      <c r="E441" s="41"/>
      <c r="F441" s="40" t="s">
        <v>53</v>
      </c>
      <c r="G441" s="40" t="s">
        <v>120</v>
      </c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0"/>
      <c r="B442" s="40"/>
      <c r="C442" s="40"/>
      <c r="D442" s="50">
        <v>200007</v>
      </c>
      <c r="E442" s="41"/>
      <c r="F442" s="40" t="s">
        <v>53</v>
      </c>
      <c r="G442" s="40" t="s">
        <v>120</v>
      </c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0"/>
      <c r="B443" s="40"/>
      <c r="C443" s="40"/>
      <c r="D443" s="50">
        <v>200008</v>
      </c>
      <c r="E443" s="41"/>
      <c r="F443" s="40" t="s">
        <v>53</v>
      </c>
      <c r="G443" s="40" t="s">
        <v>120</v>
      </c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0"/>
      <c r="B444" s="40"/>
      <c r="C444" s="40"/>
      <c r="D444" s="50">
        <v>200009</v>
      </c>
      <c r="E444" s="41"/>
      <c r="F444" s="40" t="s">
        <v>53</v>
      </c>
      <c r="G444" s="40" t="s">
        <v>120</v>
      </c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0"/>
      <c r="B445" s="40"/>
      <c r="C445" s="40"/>
      <c r="D445" s="50">
        <v>200010</v>
      </c>
      <c r="E445" s="41"/>
      <c r="F445" s="40" t="s">
        <v>53</v>
      </c>
      <c r="G445" s="40" t="s">
        <v>120</v>
      </c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0"/>
      <c r="B446" s="40"/>
      <c r="C446" s="40"/>
      <c r="D446" s="50">
        <v>200012</v>
      </c>
      <c r="E446" s="41"/>
      <c r="F446" s="40" t="s">
        <v>53</v>
      </c>
      <c r="G446" s="40" t="s">
        <v>120</v>
      </c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0"/>
      <c r="B447" s="40"/>
      <c r="C447" s="40"/>
      <c r="D447" s="50">
        <v>200014</v>
      </c>
      <c r="E447" s="41"/>
      <c r="F447" s="40" t="s">
        <v>53</v>
      </c>
      <c r="G447" s="40" t="s">
        <v>120</v>
      </c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0"/>
      <c r="B448" s="40"/>
      <c r="C448" s="40"/>
      <c r="D448" s="50">
        <v>200015</v>
      </c>
      <c r="E448" s="41"/>
      <c r="F448" s="40" t="s">
        <v>53</v>
      </c>
      <c r="G448" s="40" t="s">
        <v>120</v>
      </c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0"/>
      <c r="B449" s="40"/>
      <c r="C449" s="40"/>
      <c r="D449" s="50">
        <v>200020</v>
      </c>
      <c r="E449" s="41"/>
      <c r="F449" s="40" t="s">
        <v>53</v>
      </c>
      <c r="G449" s="40" t="s">
        <v>120</v>
      </c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0"/>
      <c r="B450" s="40"/>
      <c r="C450" s="40"/>
      <c r="D450" s="50">
        <v>200023</v>
      </c>
      <c r="E450" s="41"/>
      <c r="F450" s="40" t="s">
        <v>53</v>
      </c>
      <c r="G450" s="40" t="s">
        <v>120</v>
      </c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0"/>
      <c r="B451" s="40"/>
      <c r="C451" s="40"/>
      <c r="D451" s="50">
        <v>200025</v>
      </c>
      <c r="E451" s="41"/>
      <c r="F451" s="40" t="s">
        <v>53</v>
      </c>
      <c r="G451" s="40" t="s">
        <v>120</v>
      </c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0"/>
      <c r="B452" s="40"/>
      <c r="C452" s="40"/>
      <c r="D452" s="50">
        <v>200032</v>
      </c>
      <c r="E452" s="41"/>
      <c r="F452" s="40" t="s">
        <v>53</v>
      </c>
      <c r="G452" s="40" t="s">
        <v>120</v>
      </c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0"/>
      <c r="B453" s="40"/>
      <c r="C453" s="40"/>
      <c r="D453" s="50">
        <v>200033</v>
      </c>
      <c r="E453" s="41"/>
      <c r="F453" s="40" t="s">
        <v>53</v>
      </c>
      <c r="G453" s="40" t="s">
        <v>120</v>
      </c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0"/>
      <c r="B454" s="40"/>
      <c r="C454" s="40"/>
      <c r="D454" s="50">
        <v>200034</v>
      </c>
      <c r="E454" s="41"/>
      <c r="F454" s="40" t="s">
        <v>53</v>
      </c>
      <c r="G454" s="40" t="s">
        <v>120</v>
      </c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0"/>
      <c r="B455" s="40"/>
      <c r="C455" s="40"/>
      <c r="D455" s="50">
        <v>200036</v>
      </c>
      <c r="E455" s="41"/>
      <c r="F455" s="40" t="s">
        <v>53</v>
      </c>
      <c r="G455" s="40" t="s">
        <v>120</v>
      </c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0"/>
      <c r="B456" s="40"/>
      <c r="C456" s="40"/>
      <c r="D456" s="50">
        <v>200039</v>
      </c>
      <c r="E456" s="41"/>
      <c r="F456" s="40" t="s">
        <v>53</v>
      </c>
      <c r="G456" s="40" t="s">
        <v>120</v>
      </c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0"/>
      <c r="B457" s="40"/>
      <c r="C457" s="40"/>
      <c r="D457" s="50">
        <v>200041</v>
      </c>
      <c r="E457" s="41"/>
      <c r="F457" s="40" t="s">
        <v>53</v>
      </c>
      <c r="G457" s="40" t="s">
        <v>120</v>
      </c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0"/>
      <c r="B458" s="40"/>
      <c r="C458" s="40"/>
      <c r="D458" s="50">
        <v>200048</v>
      </c>
      <c r="E458" s="41"/>
      <c r="F458" s="40" t="s">
        <v>53</v>
      </c>
      <c r="G458" s="40" t="s">
        <v>120</v>
      </c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0"/>
      <c r="B459" s="40"/>
      <c r="C459" s="40"/>
      <c r="D459" s="50">
        <v>200049</v>
      </c>
      <c r="E459" s="41"/>
      <c r="F459" s="40" t="s">
        <v>53</v>
      </c>
      <c r="G459" s="40" t="s">
        <v>120</v>
      </c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0"/>
      <c r="B460" s="40"/>
      <c r="C460" s="40"/>
      <c r="D460" s="50">
        <v>200050</v>
      </c>
      <c r="E460" s="41"/>
      <c r="F460" s="40" t="s">
        <v>53</v>
      </c>
      <c r="G460" s="40" t="s">
        <v>120</v>
      </c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0"/>
      <c r="B461" s="40"/>
      <c r="C461" s="40"/>
      <c r="D461" s="50">
        <v>200051</v>
      </c>
      <c r="E461" s="41"/>
      <c r="F461" s="40" t="s">
        <v>53</v>
      </c>
      <c r="G461" s="40" t="s">
        <v>120</v>
      </c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0"/>
      <c r="B462" s="40"/>
      <c r="C462" s="40"/>
      <c r="D462" s="50">
        <v>200052</v>
      </c>
      <c r="E462" s="41"/>
      <c r="F462" s="40" t="s">
        <v>53</v>
      </c>
      <c r="G462" s="40" t="s">
        <v>120</v>
      </c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0"/>
      <c r="B463" s="40"/>
      <c r="C463" s="40"/>
      <c r="D463" s="50">
        <v>200054</v>
      </c>
      <c r="E463" s="41"/>
      <c r="F463" s="40" t="s">
        <v>53</v>
      </c>
      <c r="G463" s="40" t="s">
        <v>120</v>
      </c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0"/>
      <c r="B464" s="40"/>
      <c r="C464" s="40"/>
      <c r="D464" s="50">
        <v>200057</v>
      </c>
      <c r="E464" s="41"/>
      <c r="F464" s="40" t="s">
        <v>53</v>
      </c>
      <c r="G464" s="40" t="s">
        <v>120</v>
      </c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0"/>
      <c r="B465" s="40"/>
      <c r="C465" s="40"/>
      <c r="D465" s="50">
        <v>200058</v>
      </c>
      <c r="E465" s="41"/>
      <c r="F465" s="40" t="s">
        <v>53</v>
      </c>
      <c r="G465" s="40" t="s">
        <v>120</v>
      </c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0"/>
      <c r="B466" s="40"/>
      <c r="C466" s="40"/>
      <c r="D466" s="50">
        <v>200060</v>
      </c>
      <c r="E466" s="41"/>
      <c r="F466" s="40" t="s">
        <v>53</v>
      </c>
      <c r="G466" s="40" t="s">
        <v>120</v>
      </c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0"/>
      <c r="B467" s="40"/>
      <c r="C467" s="40"/>
      <c r="D467" s="50">
        <v>200061</v>
      </c>
      <c r="E467" s="41"/>
      <c r="F467" s="40" t="s">
        <v>53</v>
      </c>
      <c r="G467" s="40" t="s">
        <v>120</v>
      </c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0"/>
      <c r="B468" s="40"/>
      <c r="C468" s="40"/>
      <c r="D468" s="50">
        <v>200062</v>
      </c>
      <c r="E468" s="41"/>
      <c r="F468" s="40" t="s">
        <v>53</v>
      </c>
      <c r="G468" s="40" t="s">
        <v>120</v>
      </c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0"/>
      <c r="B469" s="40"/>
      <c r="C469" s="40"/>
      <c r="D469" s="50">
        <v>200064</v>
      </c>
      <c r="E469" s="41"/>
      <c r="F469" s="40" t="s">
        <v>53</v>
      </c>
      <c r="G469" s="40" t="s">
        <v>120</v>
      </c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0"/>
      <c r="B470" s="40"/>
      <c r="C470" s="40"/>
      <c r="D470" s="50">
        <v>200065</v>
      </c>
      <c r="E470" s="41"/>
      <c r="F470" s="40" t="s">
        <v>53</v>
      </c>
      <c r="G470" s="40" t="s">
        <v>120</v>
      </c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0"/>
      <c r="B471" s="40"/>
      <c r="C471" s="40"/>
      <c r="D471" s="50">
        <v>200066</v>
      </c>
      <c r="E471" s="41"/>
      <c r="F471" s="40" t="s">
        <v>53</v>
      </c>
      <c r="G471" s="40" t="s">
        <v>120</v>
      </c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0"/>
      <c r="B472" s="40"/>
      <c r="C472" s="40"/>
      <c r="D472" s="50">
        <v>200067</v>
      </c>
      <c r="E472" s="41"/>
      <c r="F472" s="40" t="s">
        <v>53</v>
      </c>
      <c r="G472" s="40" t="s">
        <v>120</v>
      </c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0"/>
      <c r="B473" s="40"/>
      <c r="C473" s="40"/>
      <c r="D473" s="50">
        <v>200068</v>
      </c>
      <c r="E473" s="41"/>
      <c r="F473" s="40" t="s">
        <v>53</v>
      </c>
      <c r="G473" s="40" t="s">
        <v>120</v>
      </c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0"/>
      <c r="B474" s="40"/>
      <c r="C474" s="40"/>
      <c r="D474" s="50">
        <v>200069</v>
      </c>
      <c r="E474" s="41"/>
      <c r="F474" s="40" t="s">
        <v>53</v>
      </c>
      <c r="G474" s="40" t="s">
        <v>120</v>
      </c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0"/>
      <c r="B475" s="40"/>
      <c r="C475" s="40"/>
      <c r="D475" s="50">
        <v>200070</v>
      </c>
      <c r="E475" s="41"/>
      <c r="F475" s="40" t="s">
        <v>53</v>
      </c>
      <c r="G475" s="40" t="s">
        <v>120</v>
      </c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0"/>
      <c r="B476" s="40"/>
      <c r="C476" s="40"/>
      <c r="D476" s="50">
        <v>200073</v>
      </c>
      <c r="E476" s="41"/>
      <c r="F476" s="40" t="s">
        <v>53</v>
      </c>
      <c r="G476" s="40" t="s">
        <v>120</v>
      </c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0"/>
      <c r="B477" s="40"/>
      <c r="C477" s="40"/>
      <c r="D477" s="50">
        <v>200074</v>
      </c>
      <c r="E477" s="41"/>
      <c r="F477" s="40" t="s">
        <v>53</v>
      </c>
      <c r="G477" s="40" t="s">
        <v>120</v>
      </c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0"/>
      <c r="B478" s="40"/>
      <c r="C478" s="40"/>
      <c r="D478" s="50">
        <v>200076</v>
      </c>
      <c r="E478" s="41"/>
      <c r="F478" s="40" t="s">
        <v>53</v>
      </c>
      <c r="G478" s="40" t="s">
        <v>120</v>
      </c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0"/>
      <c r="B479" s="40"/>
      <c r="C479" s="40"/>
      <c r="D479" s="50">
        <v>200078</v>
      </c>
      <c r="E479" s="41"/>
      <c r="F479" s="40" t="s">
        <v>53</v>
      </c>
      <c r="G479" s="40" t="s">
        <v>120</v>
      </c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0"/>
      <c r="B480" s="40"/>
      <c r="C480" s="40"/>
      <c r="D480" s="50">
        <v>200080</v>
      </c>
      <c r="E480" s="41"/>
      <c r="F480" s="40" t="s">
        <v>53</v>
      </c>
      <c r="G480" s="40" t="s">
        <v>120</v>
      </c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0"/>
      <c r="B481" s="40"/>
      <c r="C481" s="40"/>
      <c r="D481" s="50">
        <v>200083</v>
      </c>
      <c r="E481" s="41"/>
      <c r="F481" s="40" t="s">
        <v>53</v>
      </c>
      <c r="G481" s="40" t="s">
        <v>120</v>
      </c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0"/>
      <c r="B482" s="40"/>
      <c r="C482" s="40"/>
      <c r="D482" s="50">
        <v>200084</v>
      </c>
      <c r="E482" s="41"/>
      <c r="F482" s="40" t="s">
        <v>53</v>
      </c>
      <c r="G482" s="40" t="s">
        <v>120</v>
      </c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0"/>
      <c r="B483" s="40"/>
      <c r="C483" s="40"/>
      <c r="D483" s="50">
        <v>200085</v>
      </c>
      <c r="E483" s="41"/>
      <c r="F483" s="40" t="s">
        <v>53</v>
      </c>
      <c r="G483" s="40" t="s">
        <v>120</v>
      </c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0"/>
      <c r="B484" s="40"/>
      <c r="C484" s="40"/>
      <c r="D484" s="50">
        <v>200086</v>
      </c>
      <c r="E484" s="41"/>
      <c r="F484" s="40" t="s">
        <v>53</v>
      </c>
      <c r="G484" s="40" t="s">
        <v>120</v>
      </c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0"/>
      <c r="B485" s="40"/>
      <c r="C485" s="40"/>
      <c r="D485" s="50">
        <v>200087</v>
      </c>
      <c r="E485" s="41"/>
      <c r="F485" s="40" t="s">
        <v>53</v>
      </c>
      <c r="G485" s="40" t="s">
        <v>120</v>
      </c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0"/>
      <c r="B486" s="40"/>
      <c r="C486" s="40"/>
      <c r="D486" s="50">
        <v>200088</v>
      </c>
      <c r="E486" s="41"/>
      <c r="F486" s="40" t="s">
        <v>53</v>
      </c>
      <c r="G486" s="40" t="s">
        <v>120</v>
      </c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0"/>
      <c r="B487" s="40"/>
      <c r="C487" s="40"/>
      <c r="D487" s="50">
        <v>200089</v>
      </c>
      <c r="E487" s="41"/>
      <c r="F487" s="40" t="s">
        <v>53</v>
      </c>
      <c r="G487" s="40" t="s">
        <v>120</v>
      </c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0"/>
      <c r="B488" s="40"/>
      <c r="C488" s="40"/>
      <c r="D488" s="50">
        <v>200090</v>
      </c>
      <c r="E488" s="41"/>
      <c r="F488" s="40" t="s">
        <v>53</v>
      </c>
      <c r="G488" s="40" t="s">
        <v>120</v>
      </c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0"/>
      <c r="B489" s="40"/>
      <c r="C489" s="40"/>
      <c r="D489" s="50">
        <v>200091</v>
      </c>
      <c r="E489" s="41"/>
      <c r="F489" s="40" t="s">
        <v>53</v>
      </c>
      <c r="G489" s="40" t="s">
        <v>120</v>
      </c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0"/>
      <c r="B490" s="40"/>
      <c r="C490" s="40"/>
      <c r="D490" s="50">
        <v>200092</v>
      </c>
      <c r="E490" s="41"/>
      <c r="F490" s="40" t="s">
        <v>53</v>
      </c>
      <c r="G490" s="40" t="s">
        <v>120</v>
      </c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0"/>
      <c r="B491" s="40"/>
      <c r="C491" s="40"/>
      <c r="D491" s="50">
        <v>200093</v>
      </c>
      <c r="E491" s="41"/>
      <c r="F491" s="40" t="s">
        <v>53</v>
      </c>
      <c r="G491" s="40" t="s">
        <v>120</v>
      </c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0"/>
      <c r="B492" s="40"/>
      <c r="C492" s="40"/>
      <c r="D492" s="50">
        <v>200094</v>
      </c>
      <c r="E492" s="41"/>
      <c r="F492" s="40" t="s">
        <v>53</v>
      </c>
      <c r="G492" s="40" t="s">
        <v>120</v>
      </c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0"/>
      <c r="B493" s="40"/>
      <c r="C493" s="40"/>
      <c r="D493" s="50">
        <v>200095</v>
      </c>
      <c r="E493" s="41"/>
      <c r="F493" s="40" t="s">
        <v>53</v>
      </c>
      <c r="G493" s="40" t="s">
        <v>120</v>
      </c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0"/>
      <c r="B494" s="40"/>
      <c r="C494" s="40"/>
      <c r="D494" s="50">
        <v>200097</v>
      </c>
      <c r="E494" s="41"/>
      <c r="F494" s="40" t="s">
        <v>53</v>
      </c>
      <c r="G494" s="40" t="s">
        <v>120</v>
      </c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0"/>
      <c r="B495" s="40"/>
      <c r="C495" s="40"/>
      <c r="D495" s="50">
        <v>200098</v>
      </c>
      <c r="E495" s="41"/>
      <c r="F495" s="40" t="s">
        <v>53</v>
      </c>
      <c r="G495" s="40" t="s">
        <v>120</v>
      </c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0"/>
      <c r="B496" s="40"/>
      <c r="C496" s="40"/>
      <c r="D496" s="50">
        <v>200099</v>
      </c>
      <c r="E496" s="41"/>
      <c r="F496" s="40" t="s">
        <v>53</v>
      </c>
      <c r="G496" s="40" t="s">
        <v>120</v>
      </c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0"/>
      <c r="B497" s="40"/>
      <c r="C497" s="40"/>
      <c r="D497" s="50">
        <v>200100</v>
      </c>
      <c r="E497" s="41"/>
      <c r="F497" s="40" t="s">
        <v>53</v>
      </c>
      <c r="G497" s="40" t="s">
        <v>120</v>
      </c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0"/>
      <c r="B498" s="40"/>
      <c r="C498" s="40"/>
      <c r="D498" s="50">
        <v>200101</v>
      </c>
      <c r="E498" s="41"/>
      <c r="F498" s="40" t="s">
        <v>53</v>
      </c>
      <c r="G498" s="40" t="s">
        <v>120</v>
      </c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0"/>
      <c r="B499" s="40"/>
      <c r="C499" s="40"/>
      <c r="D499" s="50">
        <v>200103</v>
      </c>
      <c r="E499" s="41"/>
      <c r="F499" s="40" t="s">
        <v>53</v>
      </c>
      <c r="G499" s="40" t="s">
        <v>120</v>
      </c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0"/>
      <c r="B500" s="40"/>
      <c r="C500" s="40"/>
      <c r="D500" s="50">
        <v>200104</v>
      </c>
      <c r="E500" s="41"/>
      <c r="F500" s="40" t="s">
        <v>53</v>
      </c>
      <c r="G500" s="40" t="s">
        <v>120</v>
      </c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0"/>
      <c r="B501" s="40"/>
      <c r="C501" s="40"/>
      <c r="D501" s="50">
        <v>200106</v>
      </c>
      <c r="E501" s="41"/>
      <c r="F501" s="40" t="s">
        <v>53</v>
      </c>
      <c r="G501" s="40" t="s">
        <v>120</v>
      </c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0"/>
      <c r="B502" s="40"/>
      <c r="C502" s="40"/>
      <c r="D502" s="50">
        <v>200107</v>
      </c>
      <c r="E502" s="41"/>
      <c r="F502" s="40" t="s">
        <v>53</v>
      </c>
      <c r="G502" s="40" t="s">
        <v>120</v>
      </c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0"/>
      <c r="B503" s="40"/>
      <c r="C503" s="40"/>
      <c r="D503" s="50">
        <v>200108</v>
      </c>
      <c r="E503" s="41"/>
      <c r="F503" s="40" t="s">
        <v>53</v>
      </c>
      <c r="G503" s="40" t="s">
        <v>120</v>
      </c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0"/>
      <c r="B504" s="40"/>
      <c r="C504" s="40"/>
      <c r="D504" s="50">
        <v>200109</v>
      </c>
      <c r="E504" s="41"/>
      <c r="F504" s="40" t="s">
        <v>53</v>
      </c>
      <c r="G504" s="40" t="s">
        <v>120</v>
      </c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0"/>
      <c r="B505" s="40"/>
      <c r="C505" s="40"/>
      <c r="D505" s="50">
        <v>200110</v>
      </c>
      <c r="E505" s="41"/>
      <c r="F505" s="40" t="s">
        <v>53</v>
      </c>
      <c r="G505" s="40" t="s">
        <v>120</v>
      </c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0"/>
      <c r="B506" s="40"/>
      <c r="C506" s="40"/>
      <c r="D506" s="50">
        <v>200112</v>
      </c>
      <c r="E506" s="41"/>
      <c r="F506" s="40" t="s">
        <v>53</v>
      </c>
      <c r="G506" s="40" t="s">
        <v>120</v>
      </c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0"/>
      <c r="B507" s="40"/>
      <c r="C507" s="40"/>
      <c r="D507" s="50">
        <v>200113</v>
      </c>
      <c r="E507" s="41"/>
      <c r="F507" s="40" t="s">
        <v>53</v>
      </c>
      <c r="G507" s="40" t="s">
        <v>120</v>
      </c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0"/>
      <c r="B508" s="40"/>
      <c r="C508" s="40"/>
      <c r="D508" s="50">
        <v>200114</v>
      </c>
      <c r="E508" s="41"/>
      <c r="F508" s="40" t="s">
        <v>53</v>
      </c>
      <c r="G508" s="40" t="s">
        <v>120</v>
      </c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0"/>
      <c r="B509" s="40"/>
      <c r="C509" s="40"/>
      <c r="D509" s="50">
        <v>200115</v>
      </c>
      <c r="E509" s="41"/>
      <c r="F509" s="40" t="s">
        <v>53</v>
      </c>
      <c r="G509" s="40" t="s">
        <v>120</v>
      </c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0"/>
      <c r="B510" s="40"/>
      <c r="C510" s="40"/>
      <c r="D510" s="50">
        <v>200116</v>
      </c>
      <c r="E510" s="41"/>
      <c r="F510" s="40" t="s">
        <v>53</v>
      </c>
      <c r="G510" s="40" t="s">
        <v>120</v>
      </c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0"/>
      <c r="B511" s="40"/>
      <c r="C511" s="40"/>
      <c r="D511" s="50">
        <v>200117</v>
      </c>
      <c r="E511" s="41"/>
      <c r="F511" s="40" t="s">
        <v>53</v>
      </c>
      <c r="G511" s="40" t="s">
        <v>120</v>
      </c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0"/>
      <c r="B512" s="40"/>
      <c r="C512" s="40"/>
      <c r="D512" s="50">
        <v>200118</v>
      </c>
      <c r="E512" s="41"/>
      <c r="F512" s="40" t="s">
        <v>53</v>
      </c>
      <c r="G512" s="40" t="s">
        <v>120</v>
      </c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0"/>
      <c r="B513" s="40"/>
      <c r="C513" s="40"/>
      <c r="D513" s="50">
        <v>200121</v>
      </c>
      <c r="E513" s="41"/>
      <c r="F513" s="40" t="s">
        <v>53</v>
      </c>
      <c r="G513" s="40" t="s">
        <v>120</v>
      </c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0"/>
      <c r="B514" s="40"/>
      <c r="C514" s="40"/>
      <c r="D514" s="50">
        <v>200123</v>
      </c>
      <c r="E514" s="41"/>
      <c r="F514" s="40" t="s">
        <v>53</v>
      </c>
      <c r="G514" s="40" t="s">
        <v>120</v>
      </c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0"/>
      <c r="B515" s="40"/>
      <c r="C515" s="40"/>
      <c r="D515" s="50">
        <v>200124</v>
      </c>
      <c r="E515" s="41"/>
      <c r="F515" s="40" t="s">
        <v>53</v>
      </c>
      <c r="G515" s="40" t="s">
        <v>120</v>
      </c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0"/>
      <c r="B516" s="40"/>
      <c r="C516" s="40"/>
      <c r="D516" s="50">
        <v>200125</v>
      </c>
      <c r="E516" s="41"/>
      <c r="F516" s="40" t="s">
        <v>53</v>
      </c>
      <c r="G516" s="40" t="s">
        <v>120</v>
      </c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0"/>
      <c r="B517" s="40"/>
      <c r="C517" s="40"/>
      <c r="D517" s="50">
        <v>200126</v>
      </c>
      <c r="E517" s="41"/>
      <c r="F517" s="40" t="s">
        <v>53</v>
      </c>
      <c r="G517" s="40" t="s">
        <v>120</v>
      </c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0"/>
      <c r="B518" s="40"/>
      <c r="C518" s="40"/>
      <c r="D518" s="50">
        <v>200127</v>
      </c>
      <c r="E518" s="41"/>
      <c r="F518" s="40" t="s">
        <v>53</v>
      </c>
      <c r="G518" s="40" t="s">
        <v>120</v>
      </c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0"/>
      <c r="B519" s="40"/>
      <c r="C519" s="40"/>
      <c r="D519" s="50">
        <v>200128</v>
      </c>
      <c r="E519" s="41"/>
      <c r="F519" s="40" t="s">
        <v>53</v>
      </c>
      <c r="G519" s="40" t="s">
        <v>120</v>
      </c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0"/>
      <c r="B520" s="40"/>
      <c r="C520" s="40"/>
      <c r="D520" s="50">
        <v>200130</v>
      </c>
      <c r="E520" s="41"/>
      <c r="F520" s="40" t="s">
        <v>53</v>
      </c>
      <c r="G520" s="40" t="s">
        <v>120</v>
      </c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0"/>
      <c r="B521" s="40"/>
      <c r="C521" s="40"/>
      <c r="D521" s="50">
        <v>200131</v>
      </c>
      <c r="E521" s="41"/>
      <c r="F521" s="40" t="s">
        <v>53</v>
      </c>
      <c r="G521" s="40" t="s">
        <v>120</v>
      </c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0"/>
      <c r="B522" s="40"/>
      <c r="C522" s="40"/>
      <c r="D522" s="50">
        <v>200133</v>
      </c>
      <c r="E522" s="41"/>
      <c r="F522" s="40" t="s">
        <v>53</v>
      </c>
      <c r="G522" s="40" t="s">
        <v>120</v>
      </c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0"/>
      <c r="B523" s="40"/>
      <c r="C523" s="40"/>
      <c r="D523" s="50">
        <v>200136</v>
      </c>
      <c r="E523" s="41"/>
      <c r="F523" s="40" t="s">
        <v>53</v>
      </c>
      <c r="G523" s="40" t="s">
        <v>120</v>
      </c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0"/>
      <c r="B524" s="40"/>
      <c r="C524" s="40"/>
      <c r="D524" s="50">
        <v>200137</v>
      </c>
      <c r="E524" s="41"/>
      <c r="F524" s="40" t="s">
        <v>53</v>
      </c>
      <c r="G524" s="40" t="s">
        <v>120</v>
      </c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0"/>
      <c r="B525" s="40"/>
      <c r="C525" s="40"/>
      <c r="D525" s="50">
        <v>200138</v>
      </c>
      <c r="E525" s="41"/>
      <c r="F525" s="40" t="s">
        <v>53</v>
      </c>
      <c r="G525" s="40" t="s">
        <v>120</v>
      </c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0"/>
      <c r="B526" s="40"/>
      <c r="C526" s="40"/>
      <c r="D526" s="50">
        <v>200139</v>
      </c>
      <c r="E526" s="41"/>
      <c r="F526" s="40" t="s">
        <v>53</v>
      </c>
      <c r="G526" s="40" t="s">
        <v>120</v>
      </c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0"/>
      <c r="B527" s="40"/>
      <c r="C527" s="40"/>
      <c r="D527" s="50">
        <v>200143</v>
      </c>
      <c r="E527" s="41"/>
      <c r="F527" s="40" t="s">
        <v>53</v>
      </c>
      <c r="G527" s="40" t="s">
        <v>120</v>
      </c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0"/>
      <c r="B528" s="40"/>
      <c r="C528" s="40"/>
      <c r="D528" s="50">
        <v>200144</v>
      </c>
      <c r="E528" s="41"/>
      <c r="F528" s="40" t="s">
        <v>53</v>
      </c>
      <c r="G528" s="40" t="s">
        <v>120</v>
      </c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0"/>
      <c r="B529" s="40"/>
      <c r="C529" s="40"/>
      <c r="D529" s="50">
        <v>200145</v>
      </c>
      <c r="E529" s="41"/>
      <c r="F529" s="40" t="s">
        <v>53</v>
      </c>
      <c r="G529" s="40" t="s">
        <v>120</v>
      </c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0"/>
      <c r="B530" s="40"/>
      <c r="C530" s="40"/>
      <c r="D530" s="50">
        <v>200146</v>
      </c>
      <c r="E530" s="41"/>
      <c r="F530" s="40" t="s">
        <v>53</v>
      </c>
      <c r="G530" s="40" t="s">
        <v>120</v>
      </c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0"/>
      <c r="B531" s="40"/>
      <c r="C531" s="40"/>
      <c r="D531" s="50">
        <v>200147</v>
      </c>
      <c r="E531" s="41"/>
      <c r="F531" s="40" t="s">
        <v>53</v>
      </c>
      <c r="G531" s="40" t="s">
        <v>120</v>
      </c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0"/>
      <c r="B532" s="40"/>
      <c r="C532" s="40"/>
      <c r="D532" s="50">
        <v>200148</v>
      </c>
      <c r="E532" s="41"/>
      <c r="F532" s="40" t="s">
        <v>53</v>
      </c>
      <c r="G532" s="40" t="s">
        <v>120</v>
      </c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0"/>
      <c r="B533" s="40"/>
      <c r="C533" s="40"/>
      <c r="D533" s="50">
        <v>200149</v>
      </c>
      <c r="E533" s="41"/>
      <c r="F533" s="40" t="s">
        <v>53</v>
      </c>
      <c r="G533" s="40" t="s">
        <v>120</v>
      </c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0"/>
      <c r="B534" s="40"/>
      <c r="C534" s="40"/>
      <c r="D534" s="50">
        <v>200150</v>
      </c>
      <c r="E534" s="41"/>
      <c r="F534" s="40" t="s">
        <v>53</v>
      </c>
      <c r="G534" s="40" t="s">
        <v>120</v>
      </c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0"/>
      <c r="B535" s="40"/>
      <c r="C535" s="40"/>
      <c r="D535" s="50">
        <v>200152</v>
      </c>
      <c r="E535" s="41"/>
      <c r="F535" s="40" t="s">
        <v>53</v>
      </c>
      <c r="G535" s="40" t="s">
        <v>120</v>
      </c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0"/>
      <c r="B536" s="40"/>
      <c r="C536" s="40"/>
      <c r="D536" s="50">
        <v>200153</v>
      </c>
      <c r="E536" s="41"/>
      <c r="F536" s="40" t="s">
        <v>53</v>
      </c>
      <c r="G536" s="40" t="s">
        <v>120</v>
      </c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0"/>
      <c r="B537" s="40"/>
      <c r="C537" s="40"/>
      <c r="D537" s="50">
        <v>200155</v>
      </c>
      <c r="E537" s="41"/>
      <c r="F537" s="40" t="s">
        <v>53</v>
      </c>
      <c r="G537" s="40" t="s">
        <v>120</v>
      </c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0"/>
      <c r="B538" s="40"/>
      <c r="C538" s="40"/>
      <c r="D538" s="50">
        <v>200156</v>
      </c>
      <c r="E538" s="41"/>
      <c r="F538" s="40" t="s">
        <v>53</v>
      </c>
      <c r="G538" s="40" t="s">
        <v>120</v>
      </c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0"/>
      <c r="B539" s="40"/>
      <c r="C539" s="40"/>
      <c r="D539" s="50">
        <v>200157</v>
      </c>
      <c r="E539" s="41"/>
      <c r="F539" s="40" t="s">
        <v>53</v>
      </c>
      <c r="G539" s="40" t="s">
        <v>120</v>
      </c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0"/>
      <c r="B540" s="40"/>
      <c r="C540" s="40"/>
      <c r="D540" s="50">
        <v>200158</v>
      </c>
      <c r="E540" s="41"/>
      <c r="F540" s="40" t="s">
        <v>53</v>
      </c>
      <c r="G540" s="40" t="s">
        <v>120</v>
      </c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0"/>
      <c r="B541" s="40"/>
      <c r="C541" s="40"/>
      <c r="D541" s="50">
        <v>200160</v>
      </c>
      <c r="E541" s="41"/>
      <c r="F541" s="40" t="s">
        <v>53</v>
      </c>
      <c r="G541" s="40" t="s">
        <v>120</v>
      </c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0"/>
      <c r="B542" s="40"/>
      <c r="C542" s="40"/>
      <c r="D542" s="50">
        <v>200162</v>
      </c>
      <c r="E542" s="41"/>
      <c r="F542" s="40" t="s">
        <v>53</v>
      </c>
      <c r="G542" s="40" t="s">
        <v>120</v>
      </c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0"/>
      <c r="B543" s="40"/>
      <c r="C543" s="40"/>
      <c r="D543" s="50">
        <v>200164</v>
      </c>
      <c r="E543" s="41"/>
      <c r="F543" s="40" t="s">
        <v>53</v>
      </c>
      <c r="G543" s="40" t="s">
        <v>120</v>
      </c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0"/>
      <c r="B544" s="40"/>
      <c r="C544" s="40"/>
      <c r="D544" s="50">
        <v>200166</v>
      </c>
      <c r="E544" s="41"/>
      <c r="F544" s="40" t="s">
        <v>53</v>
      </c>
      <c r="G544" s="40" t="s">
        <v>120</v>
      </c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0"/>
      <c r="B545" s="40"/>
      <c r="C545" s="40"/>
      <c r="D545" s="50">
        <v>200168</v>
      </c>
      <c r="E545" s="41"/>
      <c r="F545" s="40" t="s">
        <v>53</v>
      </c>
      <c r="G545" s="40" t="s">
        <v>120</v>
      </c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0"/>
      <c r="B546" s="40"/>
      <c r="C546" s="40"/>
      <c r="D546" s="50">
        <v>200170</v>
      </c>
      <c r="E546" s="41"/>
      <c r="F546" s="40" t="s">
        <v>53</v>
      </c>
      <c r="G546" s="40" t="s">
        <v>120</v>
      </c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0"/>
      <c r="B547" s="40"/>
      <c r="C547" s="40"/>
      <c r="D547" s="50">
        <v>200171</v>
      </c>
      <c r="E547" s="41"/>
      <c r="F547" s="40" t="s">
        <v>53</v>
      </c>
      <c r="G547" s="40" t="s">
        <v>120</v>
      </c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0"/>
      <c r="B548" s="40"/>
      <c r="C548" s="40"/>
      <c r="D548" s="50">
        <v>200172</v>
      </c>
      <c r="E548" s="41"/>
      <c r="F548" s="40" t="s">
        <v>53</v>
      </c>
      <c r="G548" s="40" t="s">
        <v>120</v>
      </c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0"/>
      <c r="B549" s="40"/>
      <c r="C549" s="40"/>
      <c r="D549" s="50">
        <v>200173</v>
      </c>
      <c r="E549" s="41"/>
      <c r="F549" s="40" t="s">
        <v>53</v>
      </c>
      <c r="G549" s="40" t="s">
        <v>120</v>
      </c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0"/>
      <c r="B550" s="40"/>
      <c r="C550" s="40"/>
      <c r="D550" s="50">
        <v>200174</v>
      </c>
      <c r="E550" s="41"/>
      <c r="F550" s="40" t="s">
        <v>53</v>
      </c>
      <c r="G550" s="40" t="s">
        <v>120</v>
      </c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0"/>
      <c r="B551" s="40"/>
      <c r="C551" s="40"/>
      <c r="D551" s="50">
        <v>200175</v>
      </c>
      <c r="E551" s="41"/>
      <c r="F551" s="40" t="s">
        <v>53</v>
      </c>
      <c r="G551" s="40" t="s">
        <v>120</v>
      </c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0"/>
      <c r="B552" s="40"/>
      <c r="C552" s="40"/>
      <c r="D552" s="50">
        <v>200177</v>
      </c>
      <c r="E552" s="41"/>
      <c r="F552" s="40" t="s">
        <v>53</v>
      </c>
      <c r="G552" s="40" t="s">
        <v>120</v>
      </c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0"/>
      <c r="B553" s="40"/>
      <c r="C553" s="40"/>
      <c r="D553" s="50">
        <v>200178</v>
      </c>
      <c r="E553" s="41"/>
      <c r="F553" s="40" t="s">
        <v>53</v>
      </c>
      <c r="G553" s="40" t="s">
        <v>120</v>
      </c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0"/>
      <c r="B554" s="40"/>
      <c r="C554" s="40"/>
      <c r="D554" s="50">
        <v>200181</v>
      </c>
      <c r="E554" s="41"/>
      <c r="F554" s="40" t="s">
        <v>53</v>
      </c>
      <c r="G554" s="40" t="s">
        <v>120</v>
      </c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0"/>
      <c r="B555" s="40"/>
      <c r="C555" s="40"/>
      <c r="D555" s="50">
        <v>200182</v>
      </c>
      <c r="E555" s="41"/>
      <c r="F555" s="40" t="s">
        <v>53</v>
      </c>
      <c r="G555" s="40" t="s">
        <v>120</v>
      </c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0"/>
      <c r="B556" s="40"/>
      <c r="C556" s="40"/>
      <c r="D556" s="50">
        <v>200184</v>
      </c>
      <c r="E556" s="41"/>
      <c r="F556" s="40" t="s">
        <v>53</v>
      </c>
      <c r="G556" s="40" t="s">
        <v>120</v>
      </c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0"/>
      <c r="B557" s="40"/>
      <c r="C557" s="40"/>
      <c r="D557" s="50">
        <v>200185</v>
      </c>
      <c r="E557" s="41"/>
      <c r="F557" s="40" t="s">
        <v>53</v>
      </c>
      <c r="G557" s="40" t="s">
        <v>120</v>
      </c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0"/>
      <c r="B558" s="40"/>
      <c r="C558" s="40"/>
      <c r="D558" s="50">
        <v>200186</v>
      </c>
      <c r="E558" s="41"/>
      <c r="F558" s="40" t="s">
        <v>53</v>
      </c>
      <c r="G558" s="40" t="s">
        <v>120</v>
      </c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0"/>
      <c r="B559" s="40"/>
      <c r="C559" s="40"/>
      <c r="D559" s="50">
        <v>200187</v>
      </c>
      <c r="E559" s="41"/>
      <c r="F559" s="40" t="s">
        <v>53</v>
      </c>
      <c r="G559" s="40" t="s">
        <v>120</v>
      </c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0"/>
      <c r="B560" s="40"/>
      <c r="C560" s="40"/>
      <c r="D560" s="50">
        <v>200188</v>
      </c>
      <c r="E560" s="41"/>
      <c r="F560" s="40" t="s">
        <v>53</v>
      </c>
      <c r="G560" s="40" t="s">
        <v>120</v>
      </c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0"/>
      <c r="B561" s="40"/>
      <c r="C561" s="40"/>
      <c r="D561" s="50">
        <v>200189</v>
      </c>
      <c r="E561" s="41"/>
      <c r="F561" s="40" t="s">
        <v>53</v>
      </c>
      <c r="G561" s="40" t="s">
        <v>120</v>
      </c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0"/>
      <c r="B562" s="40"/>
      <c r="C562" s="40"/>
      <c r="D562" s="50">
        <v>200192</v>
      </c>
      <c r="E562" s="41"/>
      <c r="F562" s="40" t="s">
        <v>53</v>
      </c>
      <c r="G562" s="40" t="s">
        <v>120</v>
      </c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0"/>
      <c r="B563" s="40"/>
      <c r="C563" s="40"/>
      <c r="D563" s="50">
        <v>200193</v>
      </c>
      <c r="E563" s="41"/>
      <c r="F563" s="40" t="s">
        <v>53</v>
      </c>
      <c r="G563" s="40" t="s">
        <v>120</v>
      </c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0"/>
      <c r="B564" s="40"/>
      <c r="C564" s="40"/>
      <c r="D564" s="50">
        <v>200195</v>
      </c>
      <c r="E564" s="41"/>
      <c r="F564" s="40" t="s">
        <v>53</v>
      </c>
      <c r="G564" s="40" t="s">
        <v>120</v>
      </c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0"/>
      <c r="B565" s="40"/>
      <c r="C565" s="40"/>
      <c r="D565" s="50">
        <v>200196</v>
      </c>
      <c r="E565" s="41"/>
      <c r="F565" s="40" t="s">
        <v>53</v>
      </c>
      <c r="G565" s="40" t="s">
        <v>120</v>
      </c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0"/>
      <c r="B566" s="40"/>
      <c r="C566" s="40"/>
      <c r="D566" s="50">
        <v>200197</v>
      </c>
      <c r="E566" s="41"/>
      <c r="F566" s="40" t="s">
        <v>53</v>
      </c>
      <c r="G566" s="40" t="s">
        <v>120</v>
      </c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0"/>
      <c r="B567" s="40"/>
      <c r="C567" s="40"/>
      <c r="D567" s="50">
        <v>200203</v>
      </c>
      <c r="E567" s="41"/>
      <c r="F567" s="40" t="s">
        <v>53</v>
      </c>
      <c r="G567" s="40" t="s">
        <v>120</v>
      </c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0"/>
      <c r="B568" s="40"/>
      <c r="C568" s="40"/>
      <c r="D568" s="50">
        <v>200204</v>
      </c>
      <c r="E568" s="41"/>
      <c r="F568" s="40" t="s">
        <v>53</v>
      </c>
      <c r="G568" s="40" t="s">
        <v>120</v>
      </c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0"/>
      <c r="B569" s="40"/>
      <c r="C569" s="40"/>
      <c r="D569" s="50">
        <v>200205</v>
      </c>
      <c r="E569" s="41"/>
      <c r="F569" s="40" t="s">
        <v>53</v>
      </c>
      <c r="G569" s="40" t="s">
        <v>120</v>
      </c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0"/>
      <c r="B570" s="40"/>
      <c r="C570" s="40"/>
      <c r="D570" s="50">
        <v>200206</v>
      </c>
      <c r="E570" s="41"/>
      <c r="F570" s="40" t="s">
        <v>53</v>
      </c>
      <c r="G570" s="40" t="s">
        <v>120</v>
      </c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0"/>
      <c r="B571" s="40"/>
      <c r="C571" s="40"/>
      <c r="D571" s="50">
        <v>200207</v>
      </c>
      <c r="E571" s="41"/>
      <c r="F571" s="40" t="s">
        <v>53</v>
      </c>
      <c r="G571" s="40" t="s">
        <v>120</v>
      </c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0"/>
      <c r="B572" s="40"/>
      <c r="C572" s="40"/>
      <c r="D572" s="50">
        <v>200208</v>
      </c>
      <c r="E572" s="41"/>
      <c r="F572" s="40" t="s">
        <v>53</v>
      </c>
      <c r="G572" s="40" t="s">
        <v>120</v>
      </c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0"/>
      <c r="B573" s="40"/>
      <c r="C573" s="40"/>
      <c r="D573" s="50">
        <v>200209</v>
      </c>
      <c r="E573" s="41"/>
      <c r="F573" s="40" t="s">
        <v>53</v>
      </c>
      <c r="G573" s="40" t="s">
        <v>120</v>
      </c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0"/>
      <c r="B574" s="40"/>
      <c r="C574" s="40"/>
      <c r="D574" s="50">
        <v>200210</v>
      </c>
      <c r="E574" s="41"/>
      <c r="F574" s="40" t="s">
        <v>53</v>
      </c>
      <c r="G574" s="40" t="s">
        <v>120</v>
      </c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0"/>
      <c r="B575" s="40"/>
      <c r="C575" s="40"/>
      <c r="D575" s="50">
        <v>200211</v>
      </c>
      <c r="E575" s="41"/>
      <c r="F575" s="40" t="s">
        <v>53</v>
      </c>
      <c r="G575" s="40" t="s">
        <v>120</v>
      </c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0"/>
      <c r="B576" s="40"/>
      <c r="C576" s="40"/>
      <c r="D576" s="50">
        <v>200212</v>
      </c>
      <c r="E576" s="41"/>
      <c r="F576" s="40" t="s">
        <v>53</v>
      </c>
      <c r="G576" s="40" t="s">
        <v>120</v>
      </c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0"/>
      <c r="B577" s="40"/>
      <c r="C577" s="40"/>
      <c r="D577" s="50">
        <v>200213</v>
      </c>
      <c r="E577" s="41"/>
      <c r="F577" s="40" t="s">
        <v>53</v>
      </c>
      <c r="G577" s="40" t="s">
        <v>120</v>
      </c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0"/>
      <c r="B578" s="40"/>
      <c r="C578" s="40"/>
      <c r="D578" s="50">
        <v>200214</v>
      </c>
      <c r="E578" s="41"/>
      <c r="F578" s="40" t="s">
        <v>53</v>
      </c>
      <c r="G578" s="40" t="s">
        <v>120</v>
      </c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0"/>
      <c r="B579" s="40"/>
      <c r="C579" s="40"/>
      <c r="D579" s="50">
        <v>200215</v>
      </c>
      <c r="E579" s="41"/>
      <c r="F579" s="40" t="s">
        <v>53</v>
      </c>
      <c r="G579" s="40" t="s">
        <v>120</v>
      </c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0"/>
      <c r="B580" s="40"/>
      <c r="C580" s="40"/>
      <c r="D580" s="50">
        <v>200216</v>
      </c>
      <c r="E580" s="41"/>
      <c r="F580" s="40" t="s">
        <v>53</v>
      </c>
      <c r="G580" s="40" t="s">
        <v>120</v>
      </c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0"/>
      <c r="B581" s="40"/>
      <c r="C581" s="40"/>
      <c r="D581" s="50">
        <v>200217</v>
      </c>
      <c r="E581" s="41"/>
      <c r="F581" s="40" t="s">
        <v>53</v>
      </c>
      <c r="G581" s="40" t="s">
        <v>120</v>
      </c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0"/>
      <c r="B582" s="40"/>
      <c r="C582" s="40"/>
      <c r="D582" s="50">
        <v>200218</v>
      </c>
      <c r="E582" s="41"/>
      <c r="F582" s="40" t="s">
        <v>53</v>
      </c>
      <c r="G582" s="40" t="s">
        <v>120</v>
      </c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0"/>
      <c r="B583" s="40"/>
      <c r="C583" s="40"/>
      <c r="D583" s="50">
        <v>200219</v>
      </c>
      <c r="E583" s="41"/>
      <c r="F583" s="40" t="s">
        <v>53</v>
      </c>
      <c r="G583" s="40" t="s">
        <v>120</v>
      </c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0"/>
      <c r="B584" s="40"/>
      <c r="C584" s="40"/>
      <c r="D584" s="50">
        <v>200220</v>
      </c>
      <c r="E584" s="41"/>
      <c r="F584" s="40" t="s">
        <v>53</v>
      </c>
      <c r="G584" s="40" t="s">
        <v>120</v>
      </c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0"/>
      <c r="B585" s="40"/>
      <c r="C585" s="40"/>
      <c r="D585" s="50">
        <v>200221</v>
      </c>
      <c r="E585" s="41"/>
      <c r="F585" s="40" t="s">
        <v>53</v>
      </c>
      <c r="G585" s="40" t="s">
        <v>120</v>
      </c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0"/>
      <c r="B586" s="40"/>
      <c r="C586" s="40"/>
      <c r="D586" s="50">
        <v>200222</v>
      </c>
      <c r="E586" s="41"/>
      <c r="F586" s="40" t="s">
        <v>53</v>
      </c>
      <c r="G586" s="40" t="s">
        <v>120</v>
      </c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0"/>
      <c r="B587" s="40"/>
      <c r="C587" s="40"/>
      <c r="D587" s="50">
        <v>200223</v>
      </c>
      <c r="E587" s="41"/>
      <c r="F587" s="40" t="s">
        <v>53</v>
      </c>
      <c r="G587" s="40" t="s">
        <v>120</v>
      </c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0"/>
      <c r="B588" s="40"/>
      <c r="C588" s="40"/>
      <c r="D588" s="50">
        <v>200224</v>
      </c>
      <c r="E588" s="41"/>
      <c r="F588" s="40" t="s">
        <v>53</v>
      </c>
      <c r="G588" s="40" t="s">
        <v>120</v>
      </c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0"/>
      <c r="B589" s="40"/>
      <c r="C589" s="40"/>
      <c r="D589" s="50">
        <v>200225</v>
      </c>
      <c r="E589" s="41"/>
      <c r="F589" s="40" t="s">
        <v>53</v>
      </c>
      <c r="G589" s="40" t="s">
        <v>120</v>
      </c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0"/>
      <c r="B590" s="40"/>
      <c r="C590" s="40"/>
      <c r="D590" s="50">
        <v>200226</v>
      </c>
      <c r="E590" s="41"/>
      <c r="F590" s="40" t="s">
        <v>53</v>
      </c>
      <c r="G590" s="40" t="s">
        <v>120</v>
      </c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0"/>
      <c r="B591" s="40"/>
      <c r="C591" s="40"/>
      <c r="D591" s="50">
        <v>200227</v>
      </c>
      <c r="E591" s="41"/>
      <c r="F591" s="40" t="s">
        <v>53</v>
      </c>
      <c r="G591" s="40" t="s">
        <v>120</v>
      </c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0"/>
      <c r="B592" s="40"/>
      <c r="C592" s="40"/>
      <c r="D592" s="50">
        <v>200228</v>
      </c>
      <c r="E592" s="41"/>
      <c r="F592" s="40" t="s">
        <v>53</v>
      </c>
      <c r="G592" s="40" t="s">
        <v>120</v>
      </c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0"/>
      <c r="B593" s="40"/>
      <c r="C593" s="40"/>
      <c r="D593" s="50">
        <v>200229</v>
      </c>
      <c r="E593" s="41"/>
      <c r="F593" s="40" t="s">
        <v>53</v>
      </c>
      <c r="G593" s="40" t="s">
        <v>120</v>
      </c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0"/>
      <c r="B594" s="40"/>
      <c r="C594" s="40"/>
      <c r="D594" s="50">
        <v>200230</v>
      </c>
      <c r="E594" s="41"/>
      <c r="F594" s="40" t="s">
        <v>53</v>
      </c>
      <c r="G594" s="40" t="s">
        <v>120</v>
      </c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0"/>
      <c r="B595" s="40"/>
      <c r="C595" s="40"/>
      <c r="D595" s="50">
        <v>200231</v>
      </c>
      <c r="E595" s="41"/>
      <c r="F595" s="40" t="s">
        <v>53</v>
      </c>
      <c r="G595" s="40" t="s">
        <v>120</v>
      </c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0"/>
      <c r="B596" s="40"/>
      <c r="C596" s="40"/>
      <c r="D596" s="50">
        <v>200233</v>
      </c>
      <c r="E596" s="41"/>
      <c r="F596" s="40" t="s">
        <v>53</v>
      </c>
      <c r="G596" s="40" t="s">
        <v>120</v>
      </c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0"/>
      <c r="B597" s="40"/>
      <c r="C597" s="40"/>
      <c r="D597" s="50">
        <v>200235</v>
      </c>
      <c r="E597" s="41"/>
      <c r="F597" s="40" t="s">
        <v>53</v>
      </c>
      <c r="G597" s="40" t="s">
        <v>120</v>
      </c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0"/>
      <c r="B598" s="40"/>
      <c r="C598" s="40"/>
      <c r="D598" s="50">
        <v>200236</v>
      </c>
      <c r="E598" s="41"/>
      <c r="F598" s="40" t="s">
        <v>53</v>
      </c>
      <c r="G598" s="40" t="s">
        <v>120</v>
      </c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0"/>
      <c r="B599" s="40"/>
      <c r="C599" s="40"/>
      <c r="D599" s="50">
        <v>200237</v>
      </c>
      <c r="E599" s="41"/>
      <c r="F599" s="40" t="s">
        <v>53</v>
      </c>
      <c r="G599" s="40" t="s">
        <v>120</v>
      </c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0"/>
      <c r="B600" s="40"/>
      <c r="C600" s="40"/>
      <c r="D600" s="50">
        <v>200238</v>
      </c>
      <c r="E600" s="41"/>
      <c r="F600" s="40" t="s">
        <v>53</v>
      </c>
      <c r="G600" s="40" t="s">
        <v>120</v>
      </c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0"/>
      <c r="B601" s="40"/>
      <c r="C601" s="40"/>
      <c r="D601" s="50">
        <v>200239</v>
      </c>
      <c r="E601" s="41"/>
      <c r="F601" s="40" t="s">
        <v>53</v>
      </c>
      <c r="G601" s="40" t="s">
        <v>120</v>
      </c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0"/>
      <c r="B602" s="40"/>
      <c r="C602" s="40"/>
      <c r="D602" s="50">
        <v>200240</v>
      </c>
      <c r="E602" s="41"/>
      <c r="F602" s="40" t="s">
        <v>53</v>
      </c>
      <c r="G602" s="40" t="s">
        <v>120</v>
      </c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0"/>
      <c r="B603" s="40"/>
      <c r="C603" s="40"/>
      <c r="D603" s="50">
        <v>200241</v>
      </c>
      <c r="E603" s="41"/>
      <c r="F603" s="40" t="s">
        <v>53</v>
      </c>
      <c r="G603" s="40" t="s">
        <v>120</v>
      </c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0"/>
      <c r="B604" s="40"/>
      <c r="C604" s="40"/>
      <c r="D604" s="50">
        <v>200242</v>
      </c>
      <c r="E604" s="41"/>
      <c r="F604" s="40" t="s">
        <v>53</v>
      </c>
      <c r="G604" s="40" t="s">
        <v>120</v>
      </c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0"/>
      <c r="B605" s="40"/>
      <c r="C605" s="40"/>
      <c r="D605" s="50">
        <v>200243</v>
      </c>
      <c r="E605" s="41"/>
      <c r="F605" s="40" t="s">
        <v>53</v>
      </c>
      <c r="G605" s="40" t="s">
        <v>120</v>
      </c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0"/>
      <c r="B606" s="40"/>
      <c r="C606" s="40"/>
      <c r="D606" s="50">
        <v>200244</v>
      </c>
      <c r="E606" s="41"/>
      <c r="F606" s="40" t="s">
        <v>53</v>
      </c>
      <c r="G606" s="40" t="s">
        <v>120</v>
      </c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0"/>
      <c r="B607" s="40"/>
      <c r="C607" s="40"/>
      <c r="D607" s="50">
        <v>200245</v>
      </c>
      <c r="E607" s="41"/>
      <c r="F607" s="40" t="s">
        <v>53</v>
      </c>
      <c r="G607" s="40" t="s">
        <v>120</v>
      </c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0"/>
      <c r="B608" s="40"/>
      <c r="C608" s="40"/>
      <c r="D608" s="50">
        <v>200246</v>
      </c>
      <c r="E608" s="41"/>
      <c r="F608" s="40" t="s">
        <v>53</v>
      </c>
      <c r="G608" s="40" t="s">
        <v>120</v>
      </c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0"/>
      <c r="B609" s="40"/>
      <c r="C609" s="40"/>
      <c r="D609" s="50">
        <v>200247</v>
      </c>
      <c r="E609" s="41"/>
      <c r="F609" s="40" t="s">
        <v>53</v>
      </c>
      <c r="G609" s="40" t="s">
        <v>120</v>
      </c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0"/>
      <c r="B610" s="40"/>
      <c r="C610" s="40"/>
      <c r="D610" s="50">
        <v>200248</v>
      </c>
      <c r="E610" s="41"/>
      <c r="F610" s="40" t="s">
        <v>53</v>
      </c>
      <c r="G610" s="40" t="s">
        <v>120</v>
      </c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0"/>
      <c r="B611" s="40"/>
      <c r="C611" s="40"/>
      <c r="D611" s="50">
        <v>200249</v>
      </c>
      <c r="E611" s="41"/>
      <c r="F611" s="40" t="s">
        <v>53</v>
      </c>
      <c r="G611" s="40" t="s">
        <v>120</v>
      </c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0"/>
      <c r="B612" s="40"/>
      <c r="C612" s="40"/>
      <c r="D612" s="50">
        <v>200250</v>
      </c>
      <c r="E612" s="41"/>
      <c r="F612" s="40" t="s">
        <v>53</v>
      </c>
      <c r="G612" s="40" t="s">
        <v>120</v>
      </c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0"/>
      <c r="B613" s="40"/>
      <c r="C613" s="40"/>
      <c r="D613" s="50">
        <v>200251</v>
      </c>
      <c r="E613" s="41"/>
      <c r="F613" s="40" t="s">
        <v>53</v>
      </c>
      <c r="G613" s="40" t="s">
        <v>120</v>
      </c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0"/>
      <c r="B614" s="40"/>
      <c r="C614" s="40"/>
      <c r="D614" s="50">
        <v>200252</v>
      </c>
      <c r="E614" s="41"/>
      <c r="F614" s="40" t="s">
        <v>53</v>
      </c>
      <c r="G614" s="40" t="s">
        <v>120</v>
      </c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0"/>
      <c r="B615" s="40"/>
      <c r="C615" s="40"/>
      <c r="D615" s="50">
        <v>200253</v>
      </c>
      <c r="E615" s="41"/>
      <c r="F615" s="40" t="s">
        <v>53</v>
      </c>
      <c r="G615" s="40" t="s">
        <v>120</v>
      </c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0"/>
      <c r="B616" s="40"/>
      <c r="C616" s="40"/>
      <c r="D616" s="50">
        <v>200254</v>
      </c>
      <c r="E616" s="41"/>
      <c r="F616" s="40" t="s">
        <v>53</v>
      </c>
      <c r="G616" s="40" t="s">
        <v>120</v>
      </c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0"/>
      <c r="B617" s="40"/>
      <c r="C617" s="40"/>
      <c r="D617" s="50">
        <v>200255</v>
      </c>
      <c r="E617" s="41"/>
      <c r="F617" s="40" t="s">
        <v>53</v>
      </c>
      <c r="G617" s="40" t="s">
        <v>120</v>
      </c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0"/>
      <c r="B618" s="40"/>
      <c r="C618" s="40"/>
      <c r="D618" s="50">
        <v>200256</v>
      </c>
      <c r="E618" s="41"/>
      <c r="F618" s="40" t="s">
        <v>53</v>
      </c>
      <c r="G618" s="40" t="s">
        <v>120</v>
      </c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0"/>
      <c r="B619" s="40"/>
      <c r="C619" s="40"/>
      <c r="D619" s="50">
        <v>200257</v>
      </c>
      <c r="E619" s="41"/>
      <c r="F619" s="40" t="s">
        <v>53</v>
      </c>
      <c r="G619" s="40" t="s">
        <v>120</v>
      </c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0"/>
      <c r="B620" s="40"/>
      <c r="C620" s="40"/>
      <c r="D620" s="50">
        <v>200258</v>
      </c>
      <c r="E620" s="41"/>
      <c r="F620" s="40" t="s">
        <v>53</v>
      </c>
      <c r="G620" s="40" t="s">
        <v>120</v>
      </c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0"/>
      <c r="B621" s="40"/>
      <c r="C621" s="40"/>
      <c r="D621" s="50">
        <v>200259</v>
      </c>
      <c r="E621" s="41"/>
      <c r="F621" s="40" t="s">
        <v>53</v>
      </c>
      <c r="G621" s="40" t="s">
        <v>120</v>
      </c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0"/>
      <c r="B622" s="40"/>
      <c r="C622" s="40"/>
      <c r="D622" s="50">
        <v>200260</v>
      </c>
      <c r="E622" s="41"/>
      <c r="F622" s="40" t="s">
        <v>53</v>
      </c>
      <c r="G622" s="40" t="s">
        <v>120</v>
      </c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0"/>
      <c r="B623" s="40"/>
      <c r="C623" s="40"/>
      <c r="D623" s="50">
        <v>200261</v>
      </c>
      <c r="E623" s="41"/>
      <c r="F623" s="40" t="s">
        <v>53</v>
      </c>
      <c r="G623" s="40" t="s">
        <v>120</v>
      </c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0"/>
      <c r="B624" s="40"/>
      <c r="C624" s="40"/>
      <c r="D624" s="50">
        <v>200262</v>
      </c>
      <c r="E624" s="41"/>
      <c r="F624" s="40" t="s">
        <v>53</v>
      </c>
      <c r="G624" s="40" t="s">
        <v>120</v>
      </c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0"/>
      <c r="B625" s="40"/>
      <c r="C625" s="40"/>
      <c r="D625" s="50">
        <v>200263</v>
      </c>
      <c r="E625" s="41"/>
      <c r="F625" s="40" t="s">
        <v>53</v>
      </c>
      <c r="G625" s="40" t="s">
        <v>120</v>
      </c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0"/>
      <c r="B626" s="40"/>
      <c r="C626" s="40"/>
      <c r="D626" s="50">
        <v>200264</v>
      </c>
      <c r="E626" s="41"/>
      <c r="F626" s="40" t="s">
        <v>53</v>
      </c>
      <c r="G626" s="40" t="s">
        <v>120</v>
      </c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0"/>
      <c r="B627" s="40"/>
      <c r="C627" s="40"/>
      <c r="D627" s="50">
        <v>200265</v>
      </c>
      <c r="E627" s="41"/>
      <c r="F627" s="40" t="s">
        <v>53</v>
      </c>
      <c r="G627" s="40" t="s">
        <v>120</v>
      </c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0"/>
      <c r="B628" s="40"/>
      <c r="C628" s="40"/>
      <c r="D628" s="50">
        <v>200266</v>
      </c>
      <c r="E628" s="41"/>
      <c r="F628" s="40" t="s">
        <v>53</v>
      </c>
      <c r="G628" s="40" t="s">
        <v>120</v>
      </c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0"/>
      <c r="B629" s="40"/>
      <c r="C629" s="40"/>
      <c r="D629" s="50">
        <v>200267</v>
      </c>
      <c r="E629" s="41"/>
      <c r="F629" s="40" t="s">
        <v>53</v>
      </c>
      <c r="G629" s="40" t="s">
        <v>120</v>
      </c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0"/>
      <c r="B630" s="40"/>
      <c r="C630" s="40"/>
      <c r="D630" s="50">
        <v>200268</v>
      </c>
      <c r="E630" s="41"/>
      <c r="F630" s="40" t="s">
        <v>53</v>
      </c>
      <c r="G630" s="40" t="s">
        <v>120</v>
      </c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0"/>
      <c r="B631" s="40"/>
      <c r="C631" s="40"/>
      <c r="D631" s="50">
        <v>200269</v>
      </c>
      <c r="E631" s="41"/>
      <c r="F631" s="40" t="s">
        <v>53</v>
      </c>
      <c r="G631" s="40" t="s">
        <v>120</v>
      </c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0"/>
      <c r="B632" s="40"/>
      <c r="C632" s="40"/>
      <c r="D632" s="50">
        <v>200270</v>
      </c>
      <c r="E632" s="41"/>
      <c r="F632" s="40" t="s">
        <v>53</v>
      </c>
      <c r="G632" s="40" t="s">
        <v>120</v>
      </c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0"/>
      <c r="B633" s="40"/>
      <c r="C633" s="40"/>
      <c r="D633" s="50">
        <v>200271</v>
      </c>
      <c r="E633" s="41"/>
      <c r="F633" s="40" t="s">
        <v>53</v>
      </c>
      <c r="G633" s="40" t="s">
        <v>120</v>
      </c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0"/>
      <c r="B634" s="40"/>
      <c r="C634" s="40"/>
      <c r="D634" s="50">
        <v>200272</v>
      </c>
      <c r="E634" s="41"/>
      <c r="F634" s="40" t="s">
        <v>53</v>
      </c>
      <c r="G634" s="40" t="s">
        <v>120</v>
      </c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0"/>
      <c r="B635" s="40"/>
      <c r="C635" s="40"/>
      <c r="D635" s="50">
        <v>200273</v>
      </c>
      <c r="E635" s="41"/>
      <c r="F635" s="40" t="s">
        <v>53</v>
      </c>
      <c r="G635" s="40" t="s">
        <v>120</v>
      </c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0"/>
      <c r="B636" s="40"/>
      <c r="C636" s="40"/>
      <c r="D636" s="50">
        <v>200274</v>
      </c>
      <c r="E636" s="41"/>
      <c r="F636" s="40" t="s">
        <v>53</v>
      </c>
      <c r="G636" s="40" t="s">
        <v>120</v>
      </c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0"/>
      <c r="B637" s="40"/>
      <c r="C637" s="40"/>
      <c r="D637" s="50">
        <v>200275</v>
      </c>
      <c r="E637" s="41"/>
      <c r="F637" s="40" t="s">
        <v>53</v>
      </c>
      <c r="G637" s="40" t="s">
        <v>120</v>
      </c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0"/>
      <c r="B638" s="40"/>
      <c r="C638" s="40"/>
      <c r="D638" s="50">
        <v>200276</v>
      </c>
      <c r="E638" s="41"/>
      <c r="F638" s="40" t="s">
        <v>53</v>
      </c>
      <c r="G638" s="40" t="s">
        <v>120</v>
      </c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0"/>
      <c r="B639" s="40"/>
      <c r="C639" s="40"/>
      <c r="D639" s="50">
        <v>200277</v>
      </c>
      <c r="E639" s="41"/>
      <c r="F639" s="40" t="s">
        <v>53</v>
      </c>
      <c r="G639" s="40" t="s">
        <v>120</v>
      </c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0"/>
      <c r="B640" s="40"/>
      <c r="C640" s="40"/>
      <c r="D640" s="50">
        <v>200278</v>
      </c>
      <c r="E640" s="41"/>
      <c r="F640" s="40" t="s">
        <v>53</v>
      </c>
      <c r="G640" s="40" t="s">
        <v>120</v>
      </c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0"/>
      <c r="B641" s="40"/>
      <c r="C641" s="40"/>
      <c r="D641" s="50">
        <v>200279</v>
      </c>
      <c r="E641" s="41"/>
      <c r="F641" s="40" t="s">
        <v>53</v>
      </c>
      <c r="G641" s="40" t="s">
        <v>120</v>
      </c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0"/>
      <c r="B642" s="40"/>
      <c r="C642" s="40"/>
      <c r="D642" s="50">
        <v>200280</v>
      </c>
      <c r="E642" s="41"/>
      <c r="F642" s="40" t="s">
        <v>53</v>
      </c>
      <c r="G642" s="40" t="s">
        <v>120</v>
      </c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0"/>
      <c r="B643" s="40"/>
      <c r="C643" s="40"/>
      <c r="D643" s="50">
        <v>200281</v>
      </c>
      <c r="E643" s="41"/>
      <c r="F643" s="40" t="s">
        <v>53</v>
      </c>
      <c r="G643" s="40" t="s">
        <v>120</v>
      </c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0"/>
      <c r="B644" s="40"/>
      <c r="C644" s="40"/>
      <c r="D644" s="50">
        <v>200282</v>
      </c>
      <c r="E644" s="41"/>
      <c r="F644" s="40" t="s">
        <v>53</v>
      </c>
      <c r="G644" s="40" t="s">
        <v>120</v>
      </c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0"/>
      <c r="B645" s="40"/>
      <c r="C645" s="40"/>
      <c r="D645" s="50">
        <v>200283</v>
      </c>
      <c r="E645" s="41"/>
      <c r="F645" s="40" t="s">
        <v>53</v>
      </c>
      <c r="G645" s="40" t="s">
        <v>120</v>
      </c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0"/>
      <c r="B646" s="40"/>
      <c r="C646" s="40"/>
      <c r="D646" s="50">
        <v>200284</v>
      </c>
      <c r="E646" s="41"/>
      <c r="F646" s="40" t="s">
        <v>53</v>
      </c>
      <c r="G646" s="40" t="s">
        <v>120</v>
      </c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0"/>
      <c r="B647" s="40"/>
      <c r="C647" s="40"/>
      <c r="D647" s="50">
        <v>200285</v>
      </c>
      <c r="E647" s="41"/>
      <c r="F647" s="40" t="s">
        <v>53</v>
      </c>
      <c r="G647" s="40" t="s">
        <v>120</v>
      </c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0"/>
      <c r="B648" s="40"/>
      <c r="C648" s="40"/>
      <c r="D648" s="50">
        <v>200286</v>
      </c>
      <c r="E648" s="41"/>
      <c r="F648" s="40" t="s">
        <v>53</v>
      </c>
      <c r="G648" s="40" t="s">
        <v>120</v>
      </c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0"/>
      <c r="B649" s="40"/>
      <c r="C649" s="40"/>
      <c r="D649" s="50">
        <v>200287</v>
      </c>
      <c r="E649" s="41"/>
      <c r="F649" s="40" t="s">
        <v>53</v>
      </c>
      <c r="G649" s="40" t="s">
        <v>120</v>
      </c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0"/>
      <c r="B650" s="40"/>
      <c r="C650" s="40"/>
      <c r="D650" s="50">
        <v>200288</v>
      </c>
      <c r="E650" s="41"/>
      <c r="F650" s="40" t="s">
        <v>53</v>
      </c>
      <c r="G650" s="40" t="s">
        <v>120</v>
      </c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0"/>
      <c r="B651" s="40"/>
      <c r="C651" s="40"/>
      <c r="D651" s="50">
        <v>200289</v>
      </c>
      <c r="E651" s="41"/>
      <c r="F651" s="40" t="s">
        <v>53</v>
      </c>
      <c r="G651" s="40" t="s">
        <v>120</v>
      </c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0"/>
      <c r="B652" s="40"/>
      <c r="C652" s="40"/>
      <c r="D652" s="50">
        <v>200290</v>
      </c>
      <c r="E652" s="41"/>
      <c r="F652" s="40" t="s">
        <v>53</v>
      </c>
      <c r="G652" s="40" t="s">
        <v>120</v>
      </c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0"/>
      <c r="B653" s="40"/>
      <c r="C653" s="40"/>
      <c r="D653" s="50">
        <v>200291</v>
      </c>
      <c r="E653" s="41"/>
      <c r="F653" s="40" t="s">
        <v>53</v>
      </c>
      <c r="G653" s="40" t="s">
        <v>120</v>
      </c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0"/>
      <c r="B654" s="40"/>
      <c r="C654" s="40"/>
      <c r="D654" s="50">
        <v>200292</v>
      </c>
      <c r="E654" s="41"/>
      <c r="F654" s="40" t="s">
        <v>53</v>
      </c>
      <c r="G654" s="40" t="s">
        <v>120</v>
      </c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0"/>
      <c r="B655" s="40"/>
      <c r="C655" s="40"/>
      <c r="D655" s="50">
        <v>200293</v>
      </c>
      <c r="E655" s="41"/>
      <c r="F655" s="40" t="s">
        <v>53</v>
      </c>
      <c r="G655" s="40" t="s">
        <v>120</v>
      </c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0"/>
      <c r="B656" s="40"/>
      <c r="C656" s="40"/>
      <c r="D656" s="50">
        <v>200294</v>
      </c>
      <c r="E656" s="41"/>
      <c r="F656" s="40" t="s">
        <v>53</v>
      </c>
      <c r="G656" s="40" t="s">
        <v>120</v>
      </c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0"/>
      <c r="B657" s="40"/>
      <c r="C657" s="40"/>
      <c r="D657" s="50">
        <v>200295</v>
      </c>
      <c r="E657" s="41"/>
      <c r="F657" s="40" t="s">
        <v>53</v>
      </c>
      <c r="G657" s="40" t="s">
        <v>120</v>
      </c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0"/>
      <c r="B658" s="40"/>
      <c r="C658" s="40"/>
      <c r="D658" s="50">
        <v>200296</v>
      </c>
      <c r="E658" s="41"/>
      <c r="F658" s="40" t="s">
        <v>53</v>
      </c>
      <c r="G658" s="40" t="s">
        <v>120</v>
      </c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0"/>
      <c r="B659" s="40"/>
      <c r="C659" s="40"/>
      <c r="D659" s="50">
        <v>200297</v>
      </c>
      <c r="E659" s="41"/>
      <c r="F659" s="40" t="s">
        <v>53</v>
      </c>
      <c r="G659" s="40" t="s">
        <v>120</v>
      </c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0"/>
      <c r="B660" s="40"/>
      <c r="C660" s="40"/>
      <c r="D660" s="50">
        <v>200298</v>
      </c>
      <c r="E660" s="41"/>
      <c r="F660" s="40" t="s">
        <v>53</v>
      </c>
      <c r="G660" s="40" t="s">
        <v>120</v>
      </c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0"/>
      <c r="B661" s="40"/>
      <c r="C661" s="40"/>
      <c r="D661" s="50">
        <v>200299</v>
      </c>
      <c r="E661" s="41"/>
      <c r="F661" s="40" t="s">
        <v>53</v>
      </c>
      <c r="G661" s="40" t="s">
        <v>120</v>
      </c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0"/>
      <c r="B662" s="40"/>
      <c r="C662" s="40"/>
      <c r="D662" s="50">
        <v>200300</v>
      </c>
      <c r="E662" s="41"/>
      <c r="F662" s="40" t="s">
        <v>53</v>
      </c>
      <c r="G662" s="40" t="s">
        <v>120</v>
      </c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0"/>
      <c r="B663" s="40"/>
      <c r="C663" s="40"/>
      <c r="D663" s="50">
        <v>200301</v>
      </c>
      <c r="E663" s="41"/>
      <c r="F663" s="40" t="s">
        <v>53</v>
      </c>
      <c r="G663" s="40" t="s">
        <v>120</v>
      </c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0"/>
      <c r="B664" s="40"/>
      <c r="C664" s="40"/>
      <c r="D664" s="50">
        <v>200302</v>
      </c>
      <c r="E664" s="41"/>
      <c r="F664" s="40" t="s">
        <v>53</v>
      </c>
      <c r="G664" s="40" t="s">
        <v>120</v>
      </c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0"/>
      <c r="B665" s="40"/>
      <c r="C665" s="40"/>
      <c r="D665" s="50">
        <v>200303</v>
      </c>
      <c r="E665" s="41"/>
      <c r="F665" s="40" t="s">
        <v>53</v>
      </c>
      <c r="G665" s="40" t="s">
        <v>120</v>
      </c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0"/>
      <c r="B666" s="40"/>
      <c r="C666" s="40"/>
      <c r="D666" s="50">
        <v>200304</v>
      </c>
      <c r="E666" s="41"/>
      <c r="F666" s="40" t="s">
        <v>53</v>
      </c>
      <c r="G666" s="40" t="s">
        <v>120</v>
      </c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0"/>
      <c r="B667" s="40"/>
      <c r="C667" s="40"/>
      <c r="D667" s="50">
        <v>200305</v>
      </c>
      <c r="E667" s="41"/>
      <c r="F667" s="40" t="s">
        <v>53</v>
      </c>
      <c r="G667" s="40" t="s">
        <v>120</v>
      </c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0"/>
      <c r="B668" s="40"/>
      <c r="C668" s="40"/>
      <c r="D668" s="50">
        <v>200306</v>
      </c>
      <c r="E668" s="41"/>
      <c r="F668" s="40" t="s">
        <v>53</v>
      </c>
      <c r="G668" s="40" t="s">
        <v>120</v>
      </c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0"/>
      <c r="B669" s="40"/>
      <c r="C669" s="40"/>
      <c r="D669" s="50">
        <v>200307</v>
      </c>
      <c r="E669" s="41"/>
      <c r="F669" s="40" t="s">
        <v>53</v>
      </c>
      <c r="G669" s="40" t="s">
        <v>120</v>
      </c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0"/>
      <c r="B670" s="40"/>
      <c r="C670" s="40"/>
      <c r="D670" s="50">
        <v>200308</v>
      </c>
      <c r="E670" s="41"/>
      <c r="F670" s="40" t="s">
        <v>53</v>
      </c>
      <c r="G670" s="40" t="s">
        <v>120</v>
      </c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0"/>
      <c r="B671" s="40"/>
      <c r="C671" s="40"/>
      <c r="D671" s="50">
        <v>200309</v>
      </c>
      <c r="E671" s="41"/>
      <c r="F671" s="40" t="s">
        <v>53</v>
      </c>
      <c r="G671" s="40" t="s">
        <v>120</v>
      </c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0"/>
      <c r="B672" s="40"/>
      <c r="C672" s="40"/>
      <c r="D672" s="50">
        <v>200310</v>
      </c>
      <c r="E672" s="41"/>
      <c r="F672" s="40" t="s">
        <v>53</v>
      </c>
      <c r="G672" s="40" t="s">
        <v>120</v>
      </c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0"/>
      <c r="B673" s="40"/>
      <c r="C673" s="40"/>
      <c r="D673" s="50">
        <v>200311</v>
      </c>
      <c r="E673" s="41"/>
      <c r="F673" s="40" t="s">
        <v>53</v>
      </c>
      <c r="G673" s="40" t="s">
        <v>120</v>
      </c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0"/>
      <c r="B674" s="40"/>
      <c r="C674" s="40"/>
      <c r="D674" s="50">
        <v>200312</v>
      </c>
      <c r="E674" s="41"/>
      <c r="F674" s="40" t="s">
        <v>53</v>
      </c>
      <c r="G674" s="40" t="s">
        <v>120</v>
      </c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0"/>
      <c r="B675" s="40"/>
      <c r="C675" s="40"/>
      <c r="D675" s="50">
        <v>200313</v>
      </c>
      <c r="E675" s="41"/>
      <c r="F675" s="40" t="s">
        <v>53</v>
      </c>
      <c r="G675" s="40" t="s">
        <v>120</v>
      </c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0"/>
      <c r="B676" s="40"/>
      <c r="C676" s="40"/>
      <c r="D676" s="50">
        <v>200314</v>
      </c>
      <c r="E676" s="41"/>
      <c r="F676" s="40" t="s">
        <v>53</v>
      </c>
      <c r="G676" s="40" t="s">
        <v>120</v>
      </c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0"/>
      <c r="B677" s="40"/>
      <c r="C677" s="40"/>
      <c r="D677" s="50">
        <v>200315</v>
      </c>
      <c r="E677" s="41"/>
      <c r="F677" s="40" t="s">
        <v>53</v>
      </c>
      <c r="G677" s="40" t="s">
        <v>120</v>
      </c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0"/>
      <c r="B678" s="40"/>
      <c r="C678" s="40"/>
      <c r="D678" s="50">
        <v>200316</v>
      </c>
      <c r="E678" s="41"/>
      <c r="F678" s="40" t="s">
        <v>53</v>
      </c>
      <c r="G678" s="40" t="s">
        <v>120</v>
      </c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0"/>
      <c r="B679" s="40"/>
      <c r="C679" s="40"/>
      <c r="D679" s="50">
        <v>200317</v>
      </c>
      <c r="E679" s="41"/>
      <c r="F679" s="40" t="s">
        <v>53</v>
      </c>
      <c r="G679" s="40" t="s">
        <v>120</v>
      </c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0"/>
      <c r="B680" s="40"/>
      <c r="C680" s="40"/>
      <c r="D680" s="50">
        <v>200318</v>
      </c>
      <c r="E680" s="41"/>
      <c r="F680" s="40" t="s">
        <v>53</v>
      </c>
      <c r="G680" s="40" t="s">
        <v>120</v>
      </c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0"/>
      <c r="B681" s="40"/>
      <c r="C681" s="40"/>
      <c r="D681" s="50">
        <v>200319</v>
      </c>
      <c r="E681" s="41"/>
      <c r="F681" s="40" t="s">
        <v>53</v>
      </c>
      <c r="G681" s="40" t="s">
        <v>120</v>
      </c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0"/>
      <c r="B682" s="40"/>
      <c r="C682" s="40"/>
      <c r="D682" s="50">
        <v>200320</v>
      </c>
      <c r="E682" s="41"/>
      <c r="F682" s="40" t="s">
        <v>53</v>
      </c>
      <c r="G682" s="40" t="s">
        <v>120</v>
      </c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0"/>
      <c r="B683" s="40"/>
      <c r="C683" s="40"/>
      <c r="D683" s="50">
        <v>200321</v>
      </c>
      <c r="E683" s="41"/>
      <c r="F683" s="40" t="s">
        <v>53</v>
      </c>
      <c r="G683" s="40" t="s">
        <v>120</v>
      </c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0"/>
      <c r="B684" s="40"/>
      <c r="C684" s="40"/>
      <c r="D684" s="50">
        <v>200322</v>
      </c>
      <c r="E684" s="41"/>
      <c r="F684" s="40" t="s">
        <v>53</v>
      </c>
      <c r="G684" s="40" t="s">
        <v>120</v>
      </c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0"/>
      <c r="B685" s="40"/>
      <c r="C685" s="40"/>
      <c r="D685" s="50">
        <v>200323</v>
      </c>
      <c r="E685" s="41"/>
      <c r="F685" s="40" t="s">
        <v>53</v>
      </c>
      <c r="G685" s="40" t="s">
        <v>120</v>
      </c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0"/>
      <c r="B686" s="40"/>
      <c r="C686" s="40"/>
      <c r="D686" s="50">
        <v>200326</v>
      </c>
      <c r="E686" s="41"/>
      <c r="F686" s="40" t="s">
        <v>53</v>
      </c>
      <c r="G686" s="40" t="s">
        <v>120</v>
      </c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0"/>
      <c r="B687" s="40"/>
      <c r="C687" s="40"/>
      <c r="D687" s="50">
        <v>200327</v>
      </c>
      <c r="E687" s="41"/>
      <c r="F687" s="40" t="s">
        <v>53</v>
      </c>
      <c r="G687" s="40" t="s">
        <v>120</v>
      </c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0"/>
      <c r="B688" s="40"/>
      <c r="C688" s="40"/>
      <c r="D688" s="50">
        <v>200328</v>
      </c>
      <c r="E688" s="41"/>
      <c r="F688" s="40" t="s">
        <v>53</v>
      </c>
      <c r="G688" s="40" t="s">
        <v>120</v>
      </c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0"/>
      <c r="B689" s="40"/>
      <c r="C689" s="40"/>
      <c r="D689" s="50">
        <v>200337</v>
      </c>
      <c r="E689" s="41"/>
      <c r="F689" s="40" t="s">
        <v>53</v>
      </c>
      <c r="G689" s="40" t="s">
        <v>120</v>
      </c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0"/>
      <c r="B690" s="40"/>
      <c r="C690" s="40"/>
      <c r="D690" s="50">
        <v>200338</v>
      </c>
      <c r="E690" s="41"/>
      <c r="F690" s="40" t="s">
        <v>53</v>
      </c>
      <c r="G690" s="40" t="s">
        <v>120</v>
      </c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0"/>
      <c r="B691" s="40"/>
      <c r="C691" s="40"/>
      <c r="D691" s="50">
        <v>200339</v>
      </c>
      <c r="E691" s="41"/>
      <c r="F691" s="40" t="s">
        <v>53</v>
      </c>
      <c r="G691" s="40" t="s">
        <v>120</v>
      </c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0"/>
      <c r="B692" s="40"/>
      <c r="C692" s="40"/>
      <c r="D692" s="40">
        <v>22002</v>
      </c>
      <c r="E692" s="41"/>
      <c r="F692" s="40" t="s">
        <v>347</v>
      </c>
      <c r="G692" s="40" t="s">
        <v>358</v>
      </c>
      <c r="H692" s="40" t="s">
        <v>515</v>
      </c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0"/>
      <c r="B693" s="40"/>
      <c r="C693" s="40"/>
      <c r="D693" s="40">
        <v>23007</v>
      </c>
      <c r="E693" s="41"/>
      <c r="F693" s="40" t="s">
        <v>347</v>
      </c>
      <c r="G693" s="40" t="s">
        <v>374</v>
      </c>
      <c r="H693" s="40" t="s">
        <v>359</v>
      </c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0"/>
      <c r="B694" s="40"/>
      <c r="C694" s="40"/>
      <c r="D694" s="40">
        <v>26004</v>
      </c>
      <c r="E694" s="41"/>
      <c r="F694" s="40" t="s">
        <v>347</v>
      </c>
      <c r="G694" s="40" t="s">
        <v>406</v>
      </c>
      <c r="H694" s="40" t="s">
        <v>359</v>
      </c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0"/>
      <c r="B695" s="40"/>
      <c r="C695" s="40"/>
      <c r="D695" s="40">
        <v>4010</v>
      </c>
      <c r="E695" s="41"/>
      <c r="F695" s="40" t="s">
        <v>347</v>
      </c>
      <c r="G695" s="40" t="s">
        <v>348</v>
      </c>
      <c r="H695" s="40" t="s">
        <v>348</v>
      </c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0"/>
      <c r="B696" s="40"/>
      <c r="C696" s="40"/>
      <c r="D696" s="40">
        <v>50016</v>
      </c>
      <c r="E696" s="41"/>
      <c r="F696" s="40" t="s">
        <v>53</v>
      </c>
      <c r="G696" s="40" t="s">
        <v>84</v>
      </c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0"/>
      <c r="B697" s="40"/>
      <c r="C697" s="40"/>
      <c r="D697" s="40">
        <v>51010</v>
      </c>
      <c r="E697" s="51"/>
      <c r="F697" s="40" t="s">
        <v>53</v>
      </c>
      <c r="G697" s="52" t="s">
        <v>516</v>
      </c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0"/>
      <c r="B698" s="40"/>
      <c r="C698" s="40"/>
      <c r="D698" s="40">
        <v>51011</v>
      </c>
      <c r="E698" s="51"/>
      <c r="F698" s="40" t="s">
        <v>53</v>
      </c>
      <c r="G698" s="52" t="s">
        <v>516</v>
      </c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0"/>
      <c r="B699" s="40"/>
      <c r="C699" s="40"/>
      <c r="D699" s="40">
        <v>51012</v>
      </c>
      <c r="E699" s="51"/>
      <c r="F699" s="40" t="s">
        <v>53</v>
      </c>
      <c r="G699" s="52" t="s">
        <v>516</v>
      </c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0"/>
      <c r="B700" s="40"/>
      <c r="C700" s="40"/>
      <c r="D700" s="40">
        <v>51013</v>
      </c>
      <c r="E700" s="51"/>
      <c r="F700" s="40" t="s">
        <v>53</v>
      </c>
      <c r="G700" s="52" t="s">
        <v>516</v>
      </c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0"/>
      <c r="B701" s="40"/>
      <c r="C701" s="40"/>
      <c r="D701" s="40">
        <v>51014</v>
      </c>
      <c r="E701" s="51"/>
      <c r="F701" s="40" t="s">
        <v>53</v>
      </c>
      <c r="G701" s="52" t="s">
        <v>516</v>
      </c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0"/>
      <c r="B702" s="40"/>
      <c r="C702" s="40"/>
      <c r="D702" s="40">
        <v>51015</v>
      </c>
      <c r="E702" s="51"/>
      <c r="F702" s="40" t="s">
        <v>53</v>
      </c>
      <c r="G702" s="52" t="s">
        <v>516</v>
      </c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0"/>
      <c r="B703" s="40"/>
      <c r="C703" s="40"/>
      <c r="D703" s="40">
        <v>51016</v>
      </c>
      <c r="E703" s="51" t="s">
        <v>517</v>
      </c>
      <c r="F703" s="40" t="s">
        <v>53</v>
      </c>
      <c r="G703" s="52" t="s">
        <v>516</v>
      </c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0"/>
      <c r="B704" s="40"/>
      <c r="C704" s="40"/>
      <c r="D704" s="40">
        <v>51017</v>
      </c>
      <c r="E704" s="41" t="s">
        <v>518</v>
      </c>
      <c r="F704" s="40" t="s">
        <v>53</v>
      </c>
      <c r="G704" s="52" t="s">
        <v>516</v>
      </c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0"/>
      <c r="B705" s="40"/>
      <c r="C705" s="40"/>
      <c r="D705" s="40">
        <v>80009</v>
      </c>
      <c r="E705" s="41" t="s">
        <v>519</v>
      </c>
      <c r="F705" s="40" t="s">
        <v>53</v>
      </c>
      <c r="G705" s="40" t="s">
        <v>120</v>
      </c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0"/>
      <c r="B706" s="40"/>
      <c r="C706" s="40"/>
      <c r="D706" s="40">
        <v>80025</v>
      </c>
      <c r="E706" s="41"/>
      <c r="F706" s="40" t="s">
        <v>53</v>
      </c>
      <c r="G706" s="52" t="s">
        <v>54</v>
      </c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0"/>
      <c r="B707" s="40"/>
      <c r="C707" s="40"/>
      <c r="D707" s="53">
        <v>200329</v>
      </c>
      <c r="E707" s="41"/>
      <c r="F707" s="40" t="s">
        <v>53</v>
      </c>
      <c r="G707" s="40" t="s">
        <v>120</v>
      </c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0"/>
      <c r="B708" s="40"/>
      <c r="C708" s="40"/>
      <c r="D708" s="53">
        <v>200340</v>
      </c>
      <c r="E708" s="41"/>
      <c r="F708" s="40" t="s">
        <v>53</v>
      </c>
      <c r="G708" s="40" t="s">
        <v>120</v>
      </c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0"/>
      <c r="B709" s="40"/>
      <c r="C709" s="40"/>
      <c r="D709" s="53">
        <v>200343</v>
      </c>
      <c r="E709" s="41"/>
      <c r="F709" s="40" t="s">
        <v>53</v>
      </c>
      <c r="G709" s="40" t="s">
        <v>120</v>
      </c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0"/>
      <c r="B710" s="40"/>
      <c r="C710" s="40"/>
      <c r="D710" s="53">
        <v>200344</v>
      </c>
      <c r="E710" s="41"/>
      <c r="F710" s="40" t="s">
        <v>53</v>
      </c>
      <c r="G710" s="40" t="s">
        <v>120</v>
      </c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0"/>
      <c r="B711" s="40"/>
      <c r="C711" s="40"/>
      <c r="D711" s="53">
        <v>200345</v>
      </c>
      <c r="E711" s="41"/>
      <c r="F711" s="40" t="s">
        <v>53</v>
      </c>
      <c r="G711" s="40" t="s">
        <v>120</v>
      </c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0"/>
      <c r="B712" s="40"/>
      <c r="C712" s="40"/>
      <c r="D712" s="2">
        <v>20047</v>
      </c>
      <c r="E712" s="41" t="s">
        <v>26</v>
      </c>
      <c r="F712" s="40" t="s">
        <v>347</v>
      </c>
      <c r="G712" s="40" t="s">
        <v>406</v>
      </c>
      <c r="H712" s="40" t="s">
        <v>450</v>
      </c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0"/>
      <c r="B713" s="40"/>
      <c r="C713" s="40"/>
      <c r="D713" s="2">
        <v>20050</v>
      </c>
      <c r="E713" s="41" t="s">
        <v>26</v>
      </c>
      <c r="F713" s="40" t="s">
        <v>347</v>
      </c>
      <c r="G713" s="40" t="s">
        <v>364</v>
      </c>
      <c r="H713" s="40" t="s">
        <v>409</v>
      </c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0"/>
      <c r="B714" s="40"/>
      <c r="C714" s="40"/>
      <c r="D714" s="2">
        <v>20062</v>
      </c>
      <c r="E714" s="41" t="s">
        <v>26</v>
      </c>
      <c r="F714" s="40" t="s">
        <v>347</v>
      </c>
      <c r="G714" s="40" t="s">
        <v>406</v>
      </c>
      <c r="H714" s="40" t="s">
        <v>450</v>
      </c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0"/>
      <c r="B715" s="40"/>
      <c r="C715" s="40"/>
      <c r="D715" s="2">
        <v>79998</v>
      </c>
      <c r="E715" s="41" t="s">
        <v>26</v>
      </c>
      <c r="F715" s="40" t="s">
        <v>53</v>
      </c>
      <c r="G715" s="54" t="s">
        <v>520</v>
      </c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0"/>
      <c r="B716" s="40"/>
      <c r="C716" s="40"/>
      <c r="D716" s="2">
        <v>61002</v>
      </c>
      <c r="E716" s="41" t="s">
        <v>26</v>
      </c>
      <c r="F716" s="40" t="s">
        <v>347</v>
      </c>
      <c r="G716" s="40" t="s">
        <v>358</v>
      </c>
      <c r="H716" s="40" t="s">
        <v>521</v>
      </c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0"/>
      <c r="B717" s="40"/>
      <c r="C717" s="40"/>
      <c r="D717" s="2">
        <v>4007</v>
      </c>
      <c r="E717" s="41" t="s">
        <v>26</v>
      </c>
      <c r="F717" s="40" t="s">
        <v>347</v>
      </c>
      <c r="G717" s="40" t="s">
        <v>348</v>
      </c>
      <c r="H717" s="55" t="s">
        <v>522</v>
      </c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0"/>
      <c r="B718" s="40"/>
      <c r="C718" s="40"/>
      <c r="D718" s="2">
        <v>300001</v>
      </c>
      <c r="E718" s="41" t="s">
        <v>26</v>
      </c>
      <c r="F718" s="40" t="s">
        <v>53</v>
      </c>
      <c r="G718" s="40" t="s">
        <v>120</v>
      </c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0"/>
      <c r="B719" s="40"/>
      <c r="C719" s="40"/>
      <c r="D719" s="2">
        <v>300002</v>
      </c>
      <c r="E719" s="41" t="s">
        <v>26</v>
      </c>
      <c r="F719" s="40" t="s">
        <v>53</v>
      </c>
      <c r="G719" s="40" t="s">
        <v>120</v>
      </c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0"/>
      <c r="B720" s="40"/>
      <c r="C720" s="40"/>
      <c r="D720" s="2">
        <v>61003</v>
      </c>
      <c r="E720" s="56" t="s">
        <v>523</v>
      </c>
      <c r="F720" s="40" t="s">
        <v>347</v>
      </c>
      <c r="G720" s="40" t="s">
        <v>358</v>
      </c>
      <c r="H720" s="40" t="s">
        <v>524</v>
      </c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0"/>
      <c r="B721" s="40"/>
      <c r="C721" s="40"/>
      <c r="D721" s="2">
        <v>23031</v>
      </c>
      <c r="E721" s="56" t="s">
        <v>525</v>
      </c>
      <c r="F721" s="40" t="s">
        <v>347</v>
      </c>
      <c r="G721" s="40" t="s">
        <v>374</v>
      </c>
      <c r="H721" s="40" t="s">
        <v>524</v>
      </c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0"/>
      <c r="B722" s="40"/>
      <c r="C722" s="40"/>
      <c r="D722" s="2">
        <v>20060</v>
      </c>
      <c r="E722" s="56" t="s">
        <v>526</v>
      </c>
      <c r="F722" s="40" t="s">
        <v>347</v>
      </c>
      <c r="G722" s="40" t="s">
        <v>364</v>
      </c>
      <c r="H722" s="40" t="s">
        <v>524</v>
      </c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0"/>
      <c r="B723" s="40"/>
      <c r="C723" s="40"/>
      <c r="D723" s="2">
        <v>20090</v>
      </c>
      <c r="E723" s="56" t="s">
        <v>527</v>
      </c>
      <c r="F723" s="40" t="s">
        <v>347</v>
      </c>
      <c r="G723" s="40" t="s">
        <v>406</v>
      </c>
      <c r="H723" s="40" t="s">
        <v>428</v>
      </c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0"/>
      <c r="B724" s="40"/>
      <c r="C724" s="40"/>
      <c r="D724" s="2">
        <v>20048</v>
      </c>
      <c r="E724" s="56" t="s">
        <v>528</v>
      </c>
      <c r="F724" s="40" t="s">
        <v>347</v>
      </c>
      <c r="G724" s="40" t="s">
        <v>406</v>
      </c>
      <c r="H724" s="40" t="s">
        <v>524</v>
      </c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0"/>
      <c r="B725" s="40"/>
      <c r="C725" s="40"/>
      <c r="D725" s="2" t="s">
        <v>529</v>
      </c>
      <c r="E725" s="56" t="s">
        <v>530</v>
      </c>
      <c r="F725" s="40" t="s">
        <v>53</v>
      </c>
      <c r="G725" s="40" t="s">
        <v>531</v>
      </c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0"/>
      <c r="B726" s="40"/>
      <c r="C726" s="40"/>
      <c r="D726" s="2">
        <v>200325</v>
      </c>
      <c r="E726" s="56" t="s">
        <v>532</v>
      </c>
      <c r="F726" s="40" t="s">
        <v>53</v>
      </c>
      <c r="G726" s="40" t="s">
        <v>120</v>
      </c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0"/>
      <c r="B727" s="40"/>
      <c r="C727" s="40"/>
      <c r="D727" s="2">
        <v>200330</v>
      </c>
      <c r="E727" s="56" t="s">
        <v>533</v>
      </c>
      <c r="F727" s="40" t="s">
        <v>53</v>
      </c>
      <c r="G727" s="40" t="s">
        <v>120</v>
      </c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0"/>
      <c r="B728" s="40"/>
      <c r="C728" s="40"/>
      <c r="D728" s="2">
        <v>200331</v>
      </c>
      <c r="E728" s="56" t="s">
        <v>534</v>
      </c>
      <c r="F728" s="40" t="s">
        <v>53</v>
      </c>
      <c r="G728" s="40" t="s">
        <v>120</v>
      </c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0"/>
      <c r="B729" s="40"/>
      <c r="C729" s="40"/>
      <c r="D729" s="2">
        <v>200334</v>
      </c>
      <c r="E729" s="56" t="s">
        <v>535</v>
      </c>
      <c r="F729" s="40" t="s">
        <v>53</v>
      </c>
      <c r="G729" s="40" t="s">
        <v>120</v>
      </c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0"/>
      <c r="B730" s="40"/>
      <c r="C730" s="40"/>
      <c r="D730" s="2">
        <v>200335</v>
      </c>
      <c r="E730" s="56" t="s">
        <v>536</v>
      </c>
      <c r="F730" s="40" t="s">
        <v>53</v>
      </c>
      <c r="G730" s="40" t="s">
        <v>120</v>
      </c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0"/>
      <c r="B731" s="40"/>
      <c r="C731" s="40"/>
      <c r="D731" s="2">
        <v>200346</v>
      </c>
      <c r="E731" s="56" t="s">
        <v>537</v>
      </c>
      <c r="F731" s="40" t="s">
        <v>53</v>
      </c>
      <c r="G731" s="40" t="s">
        <v>120</v>
      </c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0"/>
      <c r="B732" s="40"/>
      <c r="C732" s="40"/>
      <c r="D732" s="2">
        <v>200347</v>
      </c>
      <c r="E732" s="56" t="s">
        <v>538</v>
      </c>
      <c r="F732" s="40" t="s">
        <v>53</v>
      </c>
      <c r="G732" s="40" t="s">
        <v>120</v>
      </c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0"/>
      <c r="B733" s="40"/>
      <c r="C733" s="40"/>
      <c r="D733" s="2">
        <v>200348</v>
      </c>
      <c r="E733" s="56" t="s">
        <v>539</v>
      </c>
      <c r="F733" s="40" t="s">
        <v>53</v>
      </c>
      <c r="G733" s="40" t="s">
        <v>120</v>
      </c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0"/>
      <c r="B734" s="40"/>
      <c r="C734" s="40"/>
      <c r="D734" s="2">
        <v>200333</v>
      </c>
      <c r="E734" s="56" t="s">
        <v>540</v>
      </c>
      <c r="F734" s="40" t="s">
        <v>53</v>
      </c>
      <c r="G734" s="40" t="s">
        <v>120</v>
      </c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0"/>
      <c r="B735" s="40"/>
      <c r="C735" s="40"/>
      <c r="D735" s="2">
        <v>200341</v>
      </c>
      <c r="E735" s="56" t="s">
        <v>541</v>
      </c>
      <c r="F735" s="40" t="s">
        <v>53</v>
      </c>
      <c r="G735" s="40" t="s">
        <v>120</v>
      </c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0"/>
      <c r="B736" s="40"/>
      <c r="C736" s="40"/>
      <c r="D736" s="2">
        <v>300003</v>
      </c>
      <c r="E736" s="56" t="s">
        <v>542</v>
      </c>
      <c r="F736" s="40" t="s">
        <v>53</v>
      </c>
      <c r="G736" s="40" t="s">
        <v>120</v>
      </c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0"/>
      <c r="B737" s="40"/>
      <c r="C737" s="40"/>
      <c r="D737" s="2">
        <v>25002</v>
      </c>
      <c r="E737" s="57" t="s">
        <v>543</v>
      </c>
      <c r="F737" s="43" t="s">
        <v>53</v>
      </c>
      <c r="G737" s="58" t="s">
        <v>544</v>
      </c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0"/>
      <c r="B738" s="40"/>
      <c r="C738" s="40"/>
      <c r="D738" s="2">
        <v>20063</v>
      </c>
      <c r="E738" s="56" t="s">
        <v>545</v>
      </c>
      <c r="F738" s="40" t="s">
        <v>347</v>
      </c>
      <c r="G738" s="40" t="s">
        <v>364</v>
      </c>
      <c r="H738" s="59" t="s">
        <v>409</v>
      </c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0"/>
      <c r="B739" s="40"/>
      <c r="C739" s="40"/>
      <c r="D739" s="2">
        <v>20064</v>
      </c>
      <c r="E739" s="56" t="s">
        <v>546</v>
      </c>
      <c r="F739" s="40" t="s">
        <v>347</v>
      </c>
      <c r="G739" s="40" t="s">
        <v>364</v>
      </c>
      <c r="H739" s="59" t="s">
        <v>547</v>
      </c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0"/>
      <c r="B740" s="40"/>
      <c r="C740" s="40"/>
      <c r="D740" s="2">
        <v>20026</v>
      </c>
      <c r="E740" s="56" t="s">
        <v>548</v>
      </c>
      <c r="F740" s="40" t="s">
        <v>347</v>
      </c>
      <c r="G740" s="40" t="s">
        <v>406</v>
      </c>
      <c r="H740" s="40" t="s">
        <v>450</v>
      </c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0"/>
      <c r="B741" s="40"/>
      <c r="C741" s="40"/>
      <c r="D741" s="2">
        <v>24000</v>
      </c>
      <c r="E741" s="56"/>
      <c r="F741" s="40" t="s">
        <v>347</v>
      </c>
      <c r="G741" s="55" t="s">
        <v>549</v>
      </c>
      <c r="H741" s="55" t="s">
        <v>549</v>
      </c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0"/>
      <c r="B742" s="40"/>
      <c r="C742" s="40"/>
      <c r="D742" s="2">
        <v>300005</v>
      </c>
      <c r="E742" s="41"/>
      <c r="F742" s="40" t="s">
        <v>53</v>
      </c>
      <c r="G742" s="40" t="s">
        <v>120</v>
      </c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0"/>
      <c r="B743" s="40"/>
      <c r="C743" s="40"/>
      <c r="D743" s="2">
        <v>300006</v>
      </c>
      <c r="E743" s="41"/>
      <c r="F743" s="40" t="s">
        <v>53</v>
      </c>
      <c r="G743" s="40" t="s">
        <v>120</v>
      </c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0"/>
      <c r="B744" s="40"/>
      <c r="C744" s="40"/>
      <c r="D744" s="2">
        <v>300007</v>
      </c>
      <c r="E744" s="41"/>
      <c r="F744" s="40" t="s">
        <v>53</v>
      </c>
      <c r="G744" s="40" t="s">
        <v>120</v>
      </c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0"/>
      <c r="B745" s="40"/>
      <c r="C745" s="40"/>
      <c r="D745" s="2">
        <v>61006</v>
      </c>
      <c r="E745" s="56" t="s">
        <v>550</v>
      </c>
      <c r="F745" s="40" t="s">
        <v>347</v>
      </c>
      <c r="G745" s="40" t="s">
        <v>358</v>
      </c>
      <c r="H745" s="40" t="s">
        <v>551</v>
      </c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0"/>
      <c r="B746" s="40"/>
      <c r="C746" s="40"/>
      <c r="D746" s="2">
        <v>23032</v>
      </c>
      <c r="E746" s="56" t="s">
        <v>552</v>
      </c>
      <c r="F746" s="40" t="s">
        <v>347</v>
      </c>
      <c r="G746" s="40" t="s">
        <v>374</v>
      </c>
      <c r="H746" s="40" t="s">
        <v>551</v>
      </c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0"/>
      <c r="B747" s="40"/>
      <c r="C747" s="40"/>
      <c r="D747" s="2">
        <v>20061</v>
      </c>
      <c r="E747" s="56" t="s">
        <v>553</v>
      </c>
      <c r="F747" s="40" t="s">
        <v>347</v>
      </c>
      <c r="G747" s="40" t="s">
        <v>364</v>
      </c>
      <c r="H747" s="40" t="s">
        <v>551</v>
      </c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0"/>
      <c r="B748" s="40"/>
      <c r="C748" s="40"/>
      <c r="D748" s="2">
        <v>20049</v>
      </c>
      <c r="E748" s="56" t="s">
        <v>554</v>
      </c>
      <c r="F748" s="40" t="s">
        <v>347</v>
      </c>
      <c r="G748" s="40" t="s">
        <v>406</v>
      </c>
      <c r="H748" s="40" t="s">
        <v>551</v>
      </c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0"/>
      <c r="B749" s="40"/>
      <c r="C749" s="40"/>
      <c r="D749" s="2">
        <v>23034</v>
      </c>
      <c r="E749" s="56" t="s">
        <v>555</v>
      </c>
      <c r="F749" s="40" t="s">
        <v>347</v>
      </c>
      <c r="G749" s="40" t="s">
        <v>374</v>
      </c>
      <c r="H749" s="40" t="s">
        <v>487</v>
      </c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0"/>
      <c r="B750" s="40"/>
      <c r="C750" s="40"/>
      <c r="D750" s="2">
        <v>20065</v>
      </c>
      <c r="E750" s="56" t="s">
        <v>556</v>
      </c>
      <c r="F750" s="40" t="s">
        <v>347</v>
      </c>
      <c r="G750" s="40" t="s">
        <v>364</v>
      </c>
      <c r="H750" s="40" t="s">
        <v>487</v>
      </c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0"/>
      <c r="B751" s="40"/>
      <c r="C751" s="40"/>
      <c r="D751" s="2">
        <v>22006</v>
      </c>
      <c r="E751" s="56" t="s">
        <v>557</v>
      </c>
      <c r="F751" s="40" t="s">
        <v>347</v>
      </c>
      <c r="G751" s="40" t="s">
        <v>500</v>
      </c>
      <c r="H751" s="40" t="s">
        <v>503</v>
      </c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0"/>
      <c r="B752" s="40"/>
      <c r="C752" s="40"/>
      <c r="D752" s="2">
        <v>200122</v>
      </c>
      <c r="E752" s="56" t="s">
        <v>558</v>
      </c>
      <c r="F752" s="40" t="s">
        <v>53</v>
      </c>
      <c r="G752" s="40" t="s">
        <v>297</v>
      </c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0"/>
      <c r="B753" s="40"/>
      <c r="C753" s="40"/>
      <c r="D753" s="2">
        <v>4103</v>
      </c>
      <c r="E753" s="56" t="s">
        <v>559</v>
      </c>
      <c r="F753" s="40" t="s">
        <v>347</v>
      </c>
      <c r="G753" s="40" t="s">
        <v>348</v>
      </c>
      <c r="H753" s="40" t="s">
        <v>348</v>
      </c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0"/>
      <c r="B754" s="40"/>
      <c r="C754" s="40"/>
      <c r="D754" s="2">
        <v>4104</v>
      </c>
      <c r="E754" s="56" t="s">
        <v>560</v>
      </c>
      <c r="F754" s="40" t="s">
        <v>347</v>
      </c>
      <c r="G754" s="40" t="s">
        <v>348</v>
      </c>
      <c r="H754" s="40" t="s">
        <v>348</v>
      </c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0"/>
      <c r="B755" s="40"/>
      <c r="C755" s="40"/>
      <c r="D755" s="2">
        <v>4105</v>
      </c>
      <c r="E755" s="56" t="s">
        <v>561</v>
      </c>
      <c r="F755" s="40" t="s">
        <v>347</v>
      </c>
      <c r="G755" s="40" t="s">
        <v>348</v>
      </c>
      <c r="H755" s="40" t="s">
        <v>348</v>
      </c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0"/>
      <c r="B756" s="40"/>
      <c r="C756" s="40"/>
      <c r="D756" s="2">
        <v>61008</v>
      </c>
      <c r="E756" s="56" t="s">
        <v>562</v>
      </c>
      <c r="F756" s="40" t="s">
        <v>347</v>
      </c>
      <c r="G756" s="40" t="s">
        <v>358</v>
      </c>
      <c r="H756" s="59" t="s">
        <v>563</v>
      </c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0"/>
      <c r="B757" s="40"/>
      <c r="C757" s="40"/>
      <c r="D757" s="2">
        <v>20067</v>
      </c>
      <c r="E757" s="56" t="s">
        <v>564</v>
      </c>
      <c r="F757" s="40" t="s">
        <v>347</v>
      </c>
      <c r="G757" s="40" t="s">
        <v>364</v>
      </c>
      <c r="H757" s="59" t="s">
        <v>563</v>
      </c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0"/>
      <c r="B758" s="40"/>
      <c r="C758" s="40"/>
      <c r="D758" s="2">
        <v>20100</v>
      </c>
      <c r="E758" s="56" t="s">
        <v>565</v>
      </c>
      <c r="F758" s="40" t="s">
        <v>347</v>
      </c>
      <c r="G758" s="40" t="s">
        <v>406</v>
      </c>
      <c r="H758" s="59" t="s">
        <v>563</v>
      </c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0"/>
      <c r="B759" s="40"/>
      <c r="C759" s="40"/>
      <c r="D759" s="2">
        <v>100006</v>
      </c>
      <c r="E759" s="56" t="s">
        <v>566</v>
      </c>
      <c r="F759" s="40" t="s">
        <v>53</v>
      </c>
      <c r="G759" s="40" t="s">
        <v>297</v>
      </c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0"/>
      <c r="B760" s="40"/>
      <c r="C760" s="40"/>
      <c r="D760" s="2">
        <v>4106</v>
      </c>
      <c r="E760" s="56" t="s">
        <v>567</v>
      </c>
      <c r="F760" s="40" t="s">
        <v>347</v>
      </c>
      <c r="G760" s="40" t="s">
        <v>348</v>
      </c>
      <c r="H760" s="40" t="s">
        <v>348</v>
      </c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0"/>
      <c r="B761" s="40"/>
      <c r="C761" s="40"/>
      <c r="D761" s="2">
        <v>61009</v>
      </c>
      <c r="E761" s="56" t="s">
        <v>568</v>
      </c>
      <c r="F761" s="40" t="s">
        <v>347</v>
      </c>
      <c r="G761" s="40" t="s">
        <v>358</v>
      </c>
      <c r="H761" s="60" t="s">
        <v>487</v>
      </c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0"/>
      <c r="B762" s="40"/>
      <c r="C762" s="40"/>
      <c r="D762" s="2">
        <v>200031</v>
      </c>
      <c r="E762" s="56" t="s">
        <v>569</v>
      </c>
      <c r="F762" s="40" t="s">
        <v>53</v>
      </c>
      <c r="G762" s="40" t="s">
        <v>120</v>
      </c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0"/>
      <c r="B763" s="40"/>
      <c r="C763" s="40"/>
      <c r="D763" s="2">
        <v>4008</v>
      </c>
      <c r="E763" s="56" t="s">
        <v>570</v>
      </c>
      <c r="F763" s="40" t="s">
        <v>347</v>
      </c>
      <c r="G763" s="40" t="s">
        <v>348</v>
      </c>
      <c r="H763" s="40" t="s">
        <v>348</v>
      </c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0"/>
      <c r="B764" s="40"/>
      <c r="C764" s="40"/>
      <c r="D764" s="2">
        <v>4009</v>
      </c>
      <c r="E764" s="56" t="s">
        <v>571</v>
      </c>
      <c r="F764" s="40" t="s">
        <v>347</v>
      </c>
      <c r="G764" s="40" t="s">
        <v>348</v>
      </c>
      <c r="H764" s="40" t="s">
        <v>348</v>
      </c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0"/>
      <c r="B765" s="40"/>
      <c r="C765" s="40"/>
      <c r="D765" s="2">
        <v>20066</v>
      </c>
      <c r="E765" s="56" t="s">
        <v>572</v>
      </c>
      <c r="F765" s="40" t="s">
        <v>347</v>
      </c>
      <c r="G765" s="40" t="s">
        <v>348</v>
      </c>
      <c r="H765" s="40" t="s">
        <v>348</v>
      </c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0"/>
      <c r="B766" s="40"/>
      <c r="C766" s="40"/>
      <c r="D766" s="2">
        <v>200035</v>
      </c>
      <c r="E766" s="56" t="s">
        <v>573</v>
      </c>
      <c r="F766" s="40" t="s">
        <v>53</v>
      </c>
      <c r="G766" s="40" t="s">
        <v>120</v>
      </c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0"/>
      <c r="B767" s="40"/>
      <c r="C767" s="40"/>
      <c r="D767" s="2">
        <v>200038</v>
      </c>
      <c r="E767" s="56" t="s">
        <v>574</v>
      </c>
      <c r="F767" s="40" t="s">
        <v>53</v>
      </c>
      <c r="G767" s="40" t="s">
        <v>120</v>
      </c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0"/>
      <c r="B768" s="40"/>
      <c r="C768" s="40"/>
      <c r="D768" s="2">
        <v>200043</v>
      </c>
      <c r="E768" s="56" t="s">
        <v>575</v>
      </c>
      <c r="F768" s="40" t="s">
        <v>53</v>
      </c>
      <c r="G768" s="40" t="s">
        <v>120</v>
      </c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0"/>
      <c r="B769" s="40"/>
      <c r="C769" s="40"/>
      <c r="D769" s="2">
        <v>200332</v>
      </c>
      <c r="E769" s="56" t="s">
        <v>576</v>
      </c>
      <c r="F769" s="40" t="s">
        <v>53</v>
      </c>
      <c r="G769" s="40" t="s">
        <v>120</v>
      </c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0"/>
      <c r="B770" s="40"/>
      <c r="C770" s="40"/>
      <c r="D770" s="2">
        <v>200349</v>
      </c>
      <c r="E770" s="56" t="s">
        <v>577</v>
      </c>
      <c r="F770" s="40" t="s">
        <v>53</v>
      </c>
      <c r="G770" s="40" t="s">
        <v>120</v>
      </c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0"/>
      <c r="B771" s="40"/>
      <c r="C771" s="40"/>
      <c r="D771" s="2">
        <v>200351</v>
      </c>
      <c r="E771" s="56" t="s">
        <v>578</v>
      </c>
      <c r="F771" s="40" t="s">
        <v>53</v>
      </c>
      <c r="G771" s="40" t="s">
        <v>120</v>
      </c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0"/>
      <c r="B772" s="40"/>
      <c r="C772" s="40"/>
      <c r="D772" s="2">
        <v>200016</v>
      </c>
      <c r="E772" s="56" t="s">
        <v>579</v>
      </c>
      <c r="F772" s="40" t="s">
        <v>53</v>
      </c>
      <c r="G772" s="40" t="s">
        <v>120</v>
      </c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0"/>
      <c r="B773" s="40"/>
      <c r="C773" s="40"/>
      <c r="D773" s="2">
        <v>200022</v>
      </c>
      <c r="E773" s="56" t="s">
        <v>580</v>
      </c>
      <c r="F773" s="40" t="s">
        <v>53</v>
      </c>
      <c r="G773" s="40" t="s">
        <v>120</v>
      </c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0"/>
      <c r="B774" s="40"/>
      <c r="C774" s="40"/>
      <c r="D774" s="2">
        <v>80011</v>
      </c>
      <c r="E774" s="56" t="s">
        <v>581</v>
      </c>
      <c r="F774" s="40" t="s">
        <v>53</v>
      </c>
      <c r="G774" s="40" t="s">
        <v>54</v>
      </c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0"/>
      <c r="B775" s="40"/>
      <c r="C775" s="40"/>
      <c r="D775" s="2">
        <v>3339</v>
      </c>
      <c r="E775" s="56" t="s">
        <v>582</v>
      </c>
      <c r="F775" s="40" t="s">
        <v>53</v>
      </c>
      <c r="G775" s="40" t="s">
        <v>305</v>
      </c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0"/>
      <c r="B776" s="40"/>
      <c r="C776" s="40"/>
      <c r="D776" s="2">
        <v>61004</v>
      </c>
      <c r="E776" s="56" t="s">
        <v>583</v>
      </c>
      <c r="F776" s="40" t="s">
        <v>347</v>
      </c>
      <c r="G776" s="40" t="s">
        <v>358</v>
      </c>
      <c r="H776" s="40" t="s">
        <v>359</v>
      </c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0"/>
      <c r="B777" s="40"/>
      <c r="C777" s="40"/>
      <c r="D777" s="2">
        <v>61005</v>
      </c>
      <c r="E777" s="56" t="s">
        <v>584</v>
      </c>
      <c r="F777" s="40" t="s">
        <v>347</v>
      </c>
      <c r="G777" s="40" t="s">
        <v>358</v>
      </c>
      <c r="H777" s="40" t="s">
        <v>359</v>
      </c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0"/>
      <c r="B778" s="40"/>
      <c r="C778" s="40"/>
      <c r="D778" s="2">
        <v>61007</v>
      </c>
      <c r="E778" s="56" t="s">
        <v>585</v>
      </c>
      <c r="F778" s="40" t="s">
        <v>347</v>
      </c>
      <c r="G778" s="40" t="s">
        <v>358</v>
      </c>
      <c r="H778" s="59" t="s">
        <v>428</v>
      </c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0"/>
      <c r="B779" s="40"/>
      <c r="C779" s="40"/>
      <c r="D779" s="2">
        <v>20052</v>
      </c>
      <c r="E779" s="56" t="s">
        <v>586</v>
      </c>
      <c r="F779" s="40" t="s">
        <v>347</v>
      </c>
      <c r="G779" s="59" t="s">
        <v>406</v>
      </c>
      <c r="H779" s="59" t="s">
        <v>472</v>
      </c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0"/>
      <c r="B780" s="40"/>
      <c r="C780" s="40"/>
      <c r="D780" s="2">
        <v>20010</v>
      </c>
      <c r="E780" s="56" t="s">
        <v>587</v>
      </c>
      <c r="F780" s="40" t="s">
        <v>347</v>
      </c>
      <c r="G780" s="40" t="s">
        <v>406</v>
      </c>
      <c r="H780" s="59" t="s">
        <v>428</v>
      </c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0"/>
      <c r="B781" s="40"/>
      <c r="C781" s="40"/>
      <c r="D781" s="61">
        <v>200358</v>
      </c>
      <c r="E781" s="62" t="s">
        <v>588</v>
      </c>
      <c r="F781" s="40" t="s">
        <v>53</v>
      </c>
      <c r="G781" s="40" t="s">
        <v>120</v>
      </c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0"/>
      <c r="B782" s="40"/>
      <c r="C782" s="40"/>
      <c r="D782" s="61">
        <v>200359</v>
      </c>
      <c r="E782" s="62" t="s">
        <v>589</v>
      </c>
      <c r="F782" s="40" t="s">
        <v>53</v>
      </c>
      <c r="G782" s="40" t="s">
        <v>120</v>
      </c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0"/>
      <c r="B783" s="40"/>
      <c r="C783" s="40"/>
      <c r="D783" s="61">
        <v>300008</v>
      </c>
      <c r="E783" s="62" t="s">
        <v>590</v>
      </c>
      <c r="F783" s="40" t="s">
        <v>53</v>
      </c>
      <c r="G783" s="40" t="s">
        <v>120</v>
      </c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0"/>
      <c r="B784" s="40"/>
      <c r="C784" s="40"/>
      <c r="D784" s="61">
        <v>51020</v>
      </c>
      <c r="E784" s="63" t="s">
        <v>591</v>
      </c>
      <c r="F784" s="43" t="s">
        <v>53</v>
      </c>
      <c r="G784" s="43" t="s">
        <v>280</v>
      </c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0"/>
      <c r="B785" s="40"/>
      <c r="C785" s="40"/>
      <c r="D785" s="61">
        <v>25003</v>
      </c>
      <c r="E785" s="62" t="s">
        <v>592</v>
      </c>
      <c r="F785" s="40" t="s">
        <v>53</v>
      </c>
      <c r="G785" s="40" t="s">
        <v>286</v>
      </c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0"/>
      <c r="B786" s="40"/>
      <c r="C786" s="40"/>
      <c r="D786" s="2">
        <v>23036</v>
      </c>
      <c r="E786" s="56" t="s">
        <v>593</v>
      </c>
      <c r="F786" s="40" t="s">
        <v>347</v>
      </c>
      <c r="G786" s="40" t="s">
        <v>374</v>
      </c>
      <c r="H786" s="40" t="s">
        <v>359</v>
      </c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0"/>
      <c r="B787" s="40"/>
      <c r="C787" s="40"/>
      <c r="D787" s="2">
        <v>26015</v>
      </c>
      <c r="E787" s="56" t="s">
        <v>594</v>
      </c>
      <c r="F787" s="40" t="s">
        <v>347</v>
      </c>
      <c r="G787" s="40" t="s">
        <v>406</v>
      </c>
      <c r="H787" s="40" t="s">
        <v>359</v>
      </c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0"/>
      <c r="B788" s="40"/>
      <c r="C788" s="40"/>
      <c r="D788" s="2">
        <v>200353</v>
      </c>
      <c r="E788" s="56"/>
      <c r="F788" s="40" t="s">
        <v>53</v>
      </c>
      <c r="G788" s="2" t="s">
        <v>120</v>
      </c>
      <c r="H788" s="2">
        <v>0</v>
      </c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0"/>
      <c r="B789" s="40"/>
      <c r="C789" s="40"/>
      <c r="D789" s="2">
        <v>200367</v>
      </c>
      <c r="E789" s="56"/>
      <c r="F789" s="40" t="s">
        <v>53</v>
      </c>
      <c r="G789" s="2" t="s">
        <v>120</v>
      </c>
      <c r="H789" s="2">
        <v>0</v>
      </c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0"/>
      <c r="B790" s="40"/>
      <c r="C790" s="40"/>
      <c r="D790" s="2">
        <v>300011</v>
      </c>
      <c r="E790" s="56"/>
      <c r="F790" s="40" t="s">
        <v>53</v>
      </c>
      <c r="G790" s="2" t="s">
        <v>120</v>
      </c>
      <c r="H790" s="2">
        <v>0</v>
      </c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0"/>
      <c r="B791" s="40"/>
      <c r="C791" s="40"/>
      <c r="D791" s="2">
        <v>300013</v>
      </c>
      <c r="E791" s="56"/>
      <c r="F791" s="40" t="s">
        <v>53</v>
      </c>
      <c r="G791" s="2" t="s">
        <v>120</v>
      </c>
      <c r="H791" s="2">
        <v>0</v>
      </c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0"/>
      <c r="B792" s="40"/>
      <c r="C792" s="40"/>
      <c r="D792" s="2">
        <v>300014</v>
      </c>
      <c r="E792" s="56"/>
      <c r="F792" s="40" t="s">
        <v>53</v>
      </c>
      <c r="G792" s="2" t="s">
        <v>120</v>
      </c>
      <c r="H792" s="2">
        <v>0</v>
      </c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0"/>
      <c r="B793" s="40"/>
      <c r="C793" s="40"/>
      <c r="D793" s="2">
        <v>300015</v>
      </c>
      <c r="E793" s="56"/>
      <c r="F793" s="40" t="s">
        <v>53</v>
      </c>
      <c r="G793" s="2" t="s">
        <v>120</v>
      </c>
      <c r="H793" s="2">
        <v>0</v>
      </c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0"/>
      <c r="B794" s="40"/>
      <c r="C794" s="40"/>
      <c r="D794" s="2">
        <v>23037</v>
      </c>
      <c r="E794" s="56"/>
      <c r="F794" s="2" t="s">
        <v>347</v>
      </c>
      <c r="G794" s="2" t="s">
        <v>374</v>
      </c>
      <c r="H794" s="2" t="s">
        <v>409</v>
      </c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0"/>
      <c r="B795" s="40"/>
      <c r="C795" s="40"/>
      <c r="D795" s="2">
        <v>20044</v>
      </c>
      <c r="E795" s="56"/>
      <c r="F795" s="2" t="s">
        <v>347</v>
      </c>
      <c r="G795" s="2" t="s">
        <v>406</v>
      </c>
      <c r="H795" s="59" t="s">
        <v>469</v>
      </c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0"/>
      <c r="B796" s="40"/>
      <c r="C796" s="40"/>
      <c r="D796" s="2">
        <v>300016</v>
      </c>
      <c r="E796" s="56" t="s">
        <v>595</v>
      </c>
      <c r="F796" s="40" t="s">
        <v>53</v>
      </c>
      <c r="G796" s="2" t="s">
        <v>120</v>
      </c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0"/>
      <c r="B797" s="40"/>
      <c r="C797" s="40"/>
      <c r="D797" s="2">
        <v>20038</v>
      </c>
      <c r="E797" s="56" t="s">
        <v>596</v>
      </c>
      <c r="F797" s="2" t="s">
        <v>347</v>
      </c>
      <c r="G797" s="40" t="s">
        <v>406</v>
      </c>
      <c r="H797" s="59" t="s">
        <v>450</v>
      </c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0"/>
      <c r="B798" s="40"/>
      <c r="C798" s="40"/>
      <c r="D798" s="2">
        <v>20068</v>
      </c>
      <c r="E798" s="56" t="s">
        <v>597</v>
      </c>
      <c r="F798" s="2" t="s">
        <v>347</v>
      </c>
      <c r="G798" s="40" t="s">
        <v>406</v>
      </c>
      <c r="H798" s="59" t="s">
        <v>473</v>
      </c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0"/>
      <c r="B799" s="40"/>
      <c r="C799" s="40"/>
      <c r="D799" s="2">
        <v>20101</v>
      </c>
      <c r="E799" s="56" t="s">
        <v>598</v>
      </c>
      <c r="F799" s="2" t="s">
        <v>347</v>
      </c>
      <c r="G799" s="40" t="s">
        <v>374</v>
      </c>
      <c r="H799" s="59" t="s">
        <v>428</v>
      </c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0"/>
      <c r="B800" s="40"/>
      <c r="C800" s="40"/>
      <c r="D800" s="2">
        <v>300009</v>
      </c>
      <c r="E800" s="56" t="s">
        <v>123</v>
      </c>
      <c r="F800" s="40" t="s">
        <v>53</v>
      </c>
      <c r="G800" s="2" t="s">
        <v>120</v>
      </c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0"/>
      <c r="B801" s="40"/>
      <c r="C801" s="40"/>
      <c r="D801" s="2">
        <v>300021</v>
      </c>
      <c r="E801" s="56" t="s">
        <v>127</v>
      </c>
      <c r="F801" s="40" t="s">
        <v>53</v>
      </c>
      <c r="G801" s="2" t="s">
        <v>71</v>
      </c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0"/>
      <c r="B802" s="40"/>
      <c r="C802" s="40"/>
      <c r="D802" s="2">
        <v>300036</v>
      </c>
      <c r="E802" s="56" t="s">
        <v>574</v>
      </c>
      <c r="F802" s="40" t="s">
        <v>53</v>
      </c>
      <c r="G802" s="2" t="s">
        <v>120</v>
      </c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0"/>
      <c r="B803" s="40"/>
      <c r="C803" s="40"/>
      <c r="D803" s="2">
        <v>300048</v>
      </c>
      <c r="E803" s="56" t="s">
        <v>599</v>
      </c>
      <c r="F803" s="40" t="s">
        <v>53</v>
      </c>
      <c r="G803" s="2" t="s">
        <v>120</v>
      </c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0"/>
      <c r="B804" s="40"/>
      <c r="C804" s="40"/>
      <c r="D804" s="2">
        <v>300051</v>
      </c>
      <c r="E804" s="56" t="s">
        <v>136</v>
      </c>
      <c r="F804" s="40" t="s">
        <v>53</v>
      </c>
      <c r="G804" s="2" t="s">
        <v>120</v>
      </c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0"/>
      <c r="B805" s="40"/>
      <c r="C805" s="40"/>
      <c r="D805" s="2">
        <v>300056</v>
      </c>
      <c r="E805" s="56" t="s">
        <v>139</v>
      </c>
      <c r="F805" s="40" t="s">
        <v>53</v>
      </c>
      <c r="G805" s="2" t="s">
        <v>120</v>
      </c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0"/>
      <c r="B806" s="40"/>
      <c r="C806" s="40"/>
      <c r="D806" s="2">
        <v>300058</v>
      </c>
      <c r="E806" s="56" t="s">
        <v>600</v>
      </c>
      <c r="F806" s="40" t="s">
        <v>53</v>
      </c>
      <c r="G806" s="2" t="s">
        <v>120</v>
      </c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0"/>
      <c r="B807" s="40"/>
      <c r="C807" s="40"/>
      <c r="D807" s="2">
        <v>300070</v>
      </c>
      <c r="E807" s="56" t="s">
        <v>145</v>
      </c>
      <c r="F807" s="40" t="s">
        <v>53</v>
      </c>
      <c r="G807" s="2" t="s">
        <v>120</v>
      </c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0"/>
      <c r="B808" s="40"/>
      <c r="C808" s="40"/>
      <c r="D808" s="2">
        <v>300073</v>
      </c>
      <c r="E808" s="56" t="s">
        <v>146</v>
      </c>
      <c r="F808" s="40" t="s">
        <v>53</v>
      </c>
      <c r="G808" s="2" t="s">
        <v>120</v>
      </c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0"/>
      <c r="B809" s="40"/>
      <c r="C809" s="40"/>
      <c r="D809" s="2">
        <v>300084</v>
      </c>
      <c r="E809" s="56" t="s">
        <v>149</v>
      </c>
      <c r="F809" s="40" t="s">
        <v>53</v>
      </c>
      <c r="G809" s="2" t="s">
        <v>120</v>
      </c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0"/>
      <c r="B810" s="40"/>
      <c r="C810" s="40"/>
      <c r="D810" s="2">
        <v>300086</v>
      </c>
      <c r="E810" s="56" t="s">
        <v>151</v>
      </c>
      <c r="F810" s="40" t="s">
        <v>53</v>
      </c>
      <c r="G810" s="2" t="s">
        <v>120</v>
      </c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0"/>
      <c r="B811" s="40"/>
      <c r="C811" s="40"/>
      <c r="D811" s="2">
        <v>300105</v>
      </c>
      <c r="E811" s="56" t="s">
        <v>601</v>
      </c>
      <c r="F811" s="40" t="s">
        <v>53</v>
      </c>
      <c r="G811" s="2" t="s">
        <v>120</v>
      </c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0"/>
      <c r="B812" s="40"/>
      <c r="C812" s="40"/>
      <c r="D812" s="2">
        <v>300117</v>
      </c>
      <c r="E812" s="56" t="s">
        <v>162</v>
      </c>
      <c r="F812" s="40" t="s">
        <v>53</v>
      </c>
      <c r="G812" s="2" t="s">
        <v>120</v>
      </c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0"/>
      <c r="B813" s="40"/>
      <c r="C813" s="40"/>
      <c r="D813" s="2">
        <v>300147</v>
      </c>
      <c r="E813" s="56" t="s">
        <v>176</v>
      </c>
      <c r="F813" s="40" t="s">
        <v>53</v>
      </c>
      <c r="G813" s="2" t="s">
        <v>120</v>
      </c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0"/>
      <c r="B814" s="40"/>
      <c r="C814" s="40"/>
      <c r="D814" s="2">
        <v>300155</v>
      </c>
      <c r="E814" s="56" t="s">
        <v>183</v>
      </c>
      <c r="F814" s="40" t="s">
        <v>53</v>
      </c>
      <c r="G814" s="2" t="s">
        <v>120</v>
      </c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0"/>
      <c r="B815" s="40"/>
      <c r="C815" s="40"/>
      <c r="D815" s="2">
        <v>300174</v>
      </c>
      <c r="E815" s="56" t="s">
        <v>202</v>
      </c>
      <c r="F815" s="40" t="s">
        <v>53</v>
      </c>
      <c r="G815" s="2" t="s">
        <v>120</v>
      </c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0"/>
      <c r="B816" s="40"/>
      <c r="C816" s="40"/>
      <c r="D816" s="2">
        <v>300185</v>
      </c>
      <c r="E816" s="56" t="s">
        <v>602</v>
      </c>
      <c r="F816" s="40" t="s">
        <v>53</v>
      </c>
      <c r="G816" s="2" t="s">
        <v>120</v>
      </c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0"/>
      <c r="B817" s="40"/>
      <c r="C817" s="40"/>
      <c r="D817" s="2">
        <v>300192</v>
      </c>
      <c r="E817" s="56" t="s">
        <v>603</v>
      </c>
      <c r="F817" s="40" t="s">
        <v>53</v>
      </c>
      <c r="G817" s="2" t="s">
        <v>120</v>
      </c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0"/>
      <c r="B818" s="40"/>
      <c r="C818" s="40"/>
      <c r="D818" s="2">
        <v>300193</v>
      </c>
      <c r="E818" s="56" t="s">
        <v>223</v>
      </c>
      <c r="F818" s="40" t="s">
        <v>53</v>
      </c>
      <c r="G818" s="2" t="s">
        <v>120</v>
      </c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0"/>
      <c r="B819" s="40"/>
      <c r="C819" s="40"/>
      <c r="D819" s="2">
        <v>300198</v>
      </c>
      <c r="E819" s="56" t="s">
        <v>227</v>
      </c>
      <c r="F819" s="40" t="s">
        <v>53</v>
      </c>
      <c r="G819" s="2" t="s">
        <v>120</v>
      </c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0"/>
      <c r="B820" s="40"/>
      <c r="C820" s="40"/>
      <c r="D820" s="2">
        <v>300208</v>
      </c>
      <c r="E820" s="56" t="s">
        <v>534</v>
      </c>
      <c r="F820" s="40" t="s">
        <v>53</v>
      </c>
      <c r="G820" s="2" t="s">
        <v>120</v>
      </c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0"/>
      <c r="B821" s="40"/>
      <c r="C821" s="40"/>
      <c r="D821" s="2">
        <v>300239</v>
      </c>
      <c r="E821" s="56" t="s">
        <v>604</v>
      </c>
      <c r="F821" s="40" t="s">
        <v>53</v>
      </c>
      <c r="G821" s="2" t="s">
        <v>120</v>
      </c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0"/>
      <c r="B822" s="40"/>
      <c r="C822" s="40"/>
      <c r="D822" s="2">
        <v>300242</v>
      </c>
      <c r="E822" s="56" t="s">
        <v>605</v>
      </c>
      <c r="F822" s="40" t="s">
        <v>53</v>
      </c>
      <c r="G822" s="2" t="s">
        <v>120</v>
      </c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0"/>
      <c r="B823" s="40"/>
      <c r="C823" s="40"/>
      <c r="D823" s="2">
        <v>300244</v>
      </c>
      <c r="E823" s="56" t="s">
        <v>606</v>
      </c>
      <c r="F823" s="40" t="s">
        <v>53</v>
      </c>
      <c r="G823" s="2" t="s">
        <v>120</v>
      </c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0"/>
      <c r="B824" s="40"/>
      <c r="C824" s="40"/>
      <c r="D824" s="2">
        <v>300250</v>
      </c>
      <c r="E824" s="56" t="s">
        <v>607</v>
      </c>
      <c r="F824" s="40" t="s">
        <v>53</v>
      </c>
      <c r="G824" s="2" t="s">
        <v>120</v>
      </c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0"/>
      <c r="B825" s="40"/>
      <c r="C825" s="40"/>
      <c r="D825" s="2">
        <v>300251</v>
      </c>
      <c r="E825" s="56" t="s">
        <v>608</v>
      </c>
      <c r="F825" s="40" t="s">
        <v>53</v>
      </c>
      <c r="G825" s="2" t="s">
        <v>120</v>
      </c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0"/>
      <c r="B826" s="40"/>
      <c r="C826" s="40"/>
      <c r="D826" s="2">
        <v>300252</v>
      </c>
      <c r="E826" s="56" t="s">
        <v>609</v>
      </c>
      <c r="F826" s="40" t="s">
        <v>53</v>
      </c>
      <c r="G826" s="2" t="s">
        <v>120</v>
      </c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0"/>
      <c r="B827" s="40"/>
      <c r="C827" s="40"/>
      <c r="D827" s="2">
        <v>300253</v>
      </c>
      <c r="E827" s="56" t="s">
        <v>610</v>
      </c>
      <c r="F827" s="40" t="s">
        <v>53</v>
      </c>
      <c r="G827" s="2" t="s">
        <v>120</v>
      </c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0"/>
      <c r="B828" s="40"/>
      <c r="C828" s="40"/>
      <c r="D828" s="2">
        <v>300254</v>
      </c>
      <c r="E828" s="56" t="s">
        <v>611</v>
      </c>
      <c r="F828" s="40" t="s">
        <v>53</v>
      </c>
      <c r="G828" s="2" t="s">
        <v>120</v>
      </c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0"/>
      <c r="B829" s="40"/>
      <c r="C829" s="40"/>
      <c r="D829" s="2">
        <v>300255</v>
      </c>
      <c r="E829" s="56" t="s">
        <v>612</v>
      </c>
      <c r="F829" s="40" t="s">
        <v>53</v>
      </c>
      <c r="G829" s="2" t="s">
        <v>120</v>
      </c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0"/>
      <c r="B830" s="40"/>
      <c r="C830" s="40"/>
      <c r="D830" s="2">
        <v>300256</v>
      </c>
      <c r="E830" s="56" t="s">
        <v>613</v>
      </c>
      <c r="F830" s="40" t="s">
        <v>53</v>
      </c>
      <c r="G830" s="2" t="s">
        <v>120</v>
      </c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0"/>
      <c r="B831" s="40"/>
      <c r="C831" s="40"/>
      <c r="D831" s="2">
        <v>300257</v>
      </c>
      <c r="E831" s="56" t="s">
        <v>614</v>
      </c>
      <c r="F831" s="40" t="s">
        <v>53</v>
      </c>
      <c r="G831" s="2" t="s">
        <v>120</v>
      </c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0"/>
      <c r="B832" s="40"/>
      <c r="C832" s="40"/>
      <c r="D832" s="2">
        <v>300258</v>
      </c>
      <c r="E832" s="56" t="s">
        <v>615</v>
      </c>
      <c r="F832" s="40" t="s">
        <v>53</v>
      </c>
      <c r="G832" s="2" t="s">
        <v>120</v>
      </c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0"/>
      <c r="B833" s="40"/>
      <c r="C833" s="40"/>
      <c r="D833" s="2">
        <v>300259</v>
      </c>
      <c r="E833" s="56" t="s">
        <v>616</v>
      </c>
      <c r="F833" s="40" t="s">
        <v>53</v>
      </c>
      <c r="G833" s="2" t="s">
        <v>120</v>
      </c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0"/>
      <c r="B834" s="40"/>
      <c r="C834" s="40"/>
      <c r="D834" s="2">
        <v>300260</v>
      </c>
      <c r="E834" s="56" t="s">
        <v>617</v>
      </c>
      <c r="F834" s="40" t="s">
        <v>53</v>
      </c>
      <c r="G834" s="2" t="s">
        <v>120</v>
      </c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0"/>
      <c r="B835" s="40"/>
      <c r="C835" s="40"/>
      <c r="D835" s="2">
        <v>300261</v>
      </c>
      <c r="E835" s="56" t="s">
        <v>618</v>
      </c>
      <c r="F835" s="40" t="s">
        <v>53</v>
      </c>
      <c r="G835" s="2" t="s">
        <v>120</v>
      </c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0"/>
      <c r="B836" s="40"/>
      <c r="C836" s="40"/>
      <c r="D836" s="2">
        <v>310000</v>
      </c>
      <c r="E836" s="56" t="s">
        <v>579</v>
      </c>
      <c r="F836" s="40" t="s">
        <v>53</v>
      </c>
      <c r="G836" s="2" t="s">
        <v>120</v>
      </c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0"/>
      <c r="B837" s="40"/>
      <c r="C837" s="40"/>
      <c r="D837" s="2">
        <v>310003</v>
      </c>
      <c r="E837" s="56" t="s">
        <v>619</v>
      </c>
      <c r="F837" s="40" t="s">
        <v>53</v>
      </c>
      <c r="G837" s="2" t="s">
        <v>120</v>
      </c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0"/>
      <c r="B838" s="40"/>
      <c r="C838" s="40"/>
      <c r="D838" s="2">
        <v>310015</v>
      </c>
      <c r="E838" s="56" t="s">
        <v>413</v>
      </c>
      <c r="F838" s="40" t="s">
        <v>53</v>
      </c>
      <c r="G838" s="2" t="s">
        <v>120</v>
      </c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0"/>
      <c r="B839" s="40"/>
      <c r="C839" s="40"/>
      <c r="D839" s="2">
        <v>310018</v>
      </c>
      <c r="E839" s="56" t="s">
        <v>620</v>
      </c>
      <c r="F839" s="40" t="s">
        <v>53</v>
      </c>
      <c r="G839" s="2" t="s">
        <v>120</v>
      </c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0"/>
      <c r="B840" s="40"/>
      <c r="C840" s="40"/>
      <c r="D840" s="2">
        <v>310019</v>
      </c>
      <c r="E840" s="56" t="s">
        <v>621</v>
      </c>
      <c r="F840" s="40" t="s">
        <v>53</v>
      </c>
      <c r="G840" s="2" t="s">
        <v>120</v>
      </c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0"/>
      <c r="B841" s="40"/>
      <c r="C841" s="40"/>
      <c r="D841" s="2">
        <v>310020</v>
      </c>
      <c r="E841" s="56" t="s">
        <v>622</v>
      </c>
      <c r="F841" s="40" t="s">
        <v>53</v>
      </c>
      <c r="G841" s="2" t="s">
        <v>120</v>
      </c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0"/>
      <c r="B842" s="40"/>
      <c r="C842" s="40"/>
      <c r="D842" s="2">
        <v>310021</v>
      </c>
      <c r="E842" s="56" t="s">
        <v>623</v>
      </c>
      <c r="F842" s="40" t="s">
        <v>53</v>
      </c>
      <c r="G842" s="2" t="s">
        <v>120</v>
      </c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0"/>
      <c r="B843" s="40"/>
      <c r="C843" s="40"/>
      <c r="D843" s="2">
        <v>310024</v>
      </c>
      <c r="E843" s="56" t="s">
        <v>624</v>
      </c>
      <c r="F843" s="40" t="s">
        <v>53</v>
      </c>
      <c r="G843" s="2" t="s">
        <v>120</v>
      </c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0"/>
      <c r="B844" s="40"/>
      <c r="C844" s="40"/>
      <c r="D844" s="2">
        <v>310027</v>
      </c>
      <c r="E844" s="56" t="s">
        <v>625</v>
      </c>
      <c r="F844" s="40" t="s">
        <v>53</v>
      </c>
      <c r="G844" s="2" t="s">
        <v>120</v>
      </c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0"/>
      <c r="B845" s="40"/>
      <c r="C845" s="40"/>
      <c r="D845" s="2">
        <v>310033</v>
      </c>
      <c r="E845" s="56" t="s">
        <v>626</v>
      </c>
      <c r="F845" s="40" t="s">
        <v>53</v>
      </c>
      <c r="G845" s="2" t="s">
        <v>120</v>
      </c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0"/>
      <c r="B846" s="40"/>
      <c r="C846" s="40"/>
      <c r="D846" s="2">
        <v>310048</v>
      </c>
      <c r="E846" s="56" t="s">
        <v>627</v>
      </c>
      <c r="F846" s="40" t="s">
        <v>53</v>
      </c>
      <c r="G846" s="2" t="s">
        <v>120</v>
      </c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0"/>
      <c r="B847" s="40"/>
      <c r="C847" s="40"/>
      <c r="D847" s="2">
        <v>310049</v>
      </c>
      <c r="E847" s="56" t="s">
        <v>628</v>
      </c>
      <c r="F847" s="40" t="s">
        <v>53</v>
      </c>
      <c r="G847" s="2" t="s">
        <v>120</v>
      </c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0"/>
      <c r="B848" s="40"/>
      <c r="C848" s="40"/>
      <c r="D848" s="2">
        <v>310052</v>
      </c>
      <c r="E848" s="56" t="s">
        <v>558</v>
      </c>
      <c r="F848" s="40" t="s">
        <v>53</v>
      </c>
      <c r="G848" s="2" t="s">
        <v>297</v>
      </c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0"/>
      <c r="B849" s="40"/>
      <c r="C849" s="40"/>
      <c r="D849" s="2">
        <v>310053</v>
      </c>
      <c r="E849" s="56" t="s">
        <v>629</v>
      </c>
      <c r="F849" s="40" t="s">
        <v>53</v>
      </c>
      <c r="G849" s="2" t="s">
        <v>120</v>
      </c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0"/>
      <c r="B850" s="40"/>
      <c r="C850" s="40"/>
      <c r="D850" s="2">
        <v>310061</v>
      </c>
      <c r="E850" s="56" t="s">
        <v>630</v>
      </c>
      <c r="F850" s="40" t="s">
        <v>53</v>
      </c>
      <c r="G850" s="2" t="s">
        <v>120</v>
      </c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0"/>
      <c r="B851" s="40"/>
      <c r="C851" s="40"/>
      <c r="D851" s="2">
        <v>310072</v>
      </c>
      <c r="E851" s="56" t="s">
        <v>631</v>
      </c>
      <c r="F851" s="40" t="s">
        <v>53</v>
      </c>
      <c r="G851" s="2" t="s">
        <v>120</v>
      </c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0"/>
      <c r="B852" s="40"/>
      <c r="C852" s="40"/>
      <c r="D852" s="2">
        <v>310087</v>
      </c>
      <c r="E852" s="56" t="s">
        <v>632</v>
      </c>
      <c r="F852" s="40" t="s">
        <v>53</v>
      </c>
      <c r="G852" s="2" t="s">
        <v>120</v>
      </c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0"/>
      <c r="B853" s="40"/>
      <c r="C853" s="40"/>
      <c r="D853" s="2">
        <v>310088</v>
      </c>
      <c r="E853" s="56" t="s">
        <v>633</v>
      </c>
      <c r="F853" s="40" t="s">
        <v>53</v>
      </c>
      <c r="G853" s="2" t="s">
        <v>120</v>
      </c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0"/>
      <c r="B854" s="40"/>
      <c r="C854" s="40"/>
      <c r="D854" s="2">
        <v>310092</v>
      </c>
      <c r="E854" s="56" t="s">
        <v>634</v>
      </c>
      <c r="F854" s="40" t="s">
        <v>53</v>
      </c>
      <c r="G854" s="2" t="s">
        <v>120</v>
      </c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0"/>
      <c r="B855" s="40"/>
      <c r="C855" s="40"/>
      <c r="D855" s="2">
        <v>310115</v>
      </c>
      <c r="E855" s="56" t="s">
        <v>635</v>
      </c>
      <c r="F855" s="40" t="s">
        <v>53</v>
      </c>
      <c r="G855" s="2" t="s">
        <v>120</v>
      </c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0"/>
      <c r="B856" s="40"/>
      <c r="C856" s="40"/>
      <c r="D856" s="2">
        <v>310116</v>
      </c>
      <c r="E856" s="56" t="s">
        <v>636</v>
      </c>
      <c r="F856" s="40" t="s">
        <v>53</v>
      </c>
      <c r="G856" s="2" t="s">
        <v>120</v>
      </c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0"/>
      <c r="B857" s="40"/>
      <c r="C857" s="40"/>
      <c r="D857" s="2">
        <v>310119</v>
      </c>
      <c r="E857" s="56" t="s">
        <v>637</v>
      </c>
      <c r="F857" s="40" t="s">
        <v>53</v>
      </c>
      <c r="G857" s="2" t="s">
        <v>120</v>
      </c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0"/>
      <c r="B858" s="40"/>
      <c r="C858" s="40"/>
      <c r="D858" s="2">
        <v>310120</v>
      </c>
      <c r="E858" s="56" t="s">
        <v>638</v>
      </c>
      <c r="F858" s="40" t="s">
        <v>53</v>
      </c>
      <c r="G858" s="2" t="s">
        <v>120</v>
      </c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0"/>
      <c r="B859" s="40"/>
      <c r="C859" s="40"/>
      <c r="D859" s="2">
        <v>310123</v>
      </c>
      <c r="E859" s="56" t="s">
        <v>540</v>
      </c>
      <c r="F859" s="40" t="s">
        <v>53</v>
      </c>
      <c r="G859" s="2" t="s">
        <v>120</v>
      </c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0"/>
      <c r="B860" s="40"/>
      <c r="C860" s="40"/>
      <c r="D860" s="2">
        <v>310126</v>
      </c>
      <c r="E860" s="56" t="s">
        <v>639</v>
      </c>
      <c r="F860" s="40" t="s">
        <v>53</v>
      </c>
      <c r="G860" s="2" t="s">
        <v>120</v>
      </c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0"/>
      <c r="B861" s="40"/>
      <c r="C861" s="40"/>
      <c r="D861" s="2">
        <v>310127</v>
      </c>
      <c r="E861" s="56" t="s">
        <v>541</v>
      </c>
      <c r="F861" s="40" t="s">
        <v>53</v>
      </c>
      <c r="G861" s="2" t="s">
        <v>120</v>
      </c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0"/>
      <c r="B862" s="40"/>
      <c r="C862" s="40"/>
      <c r="D862" s="2">
        <v>310132</v>
      </c>
      <c r="E862" s="56" t="s">
        <v>640</v>
      </c>
      <c r="F862" s="40" t="s">
        <v>53</v>
      </c>
      <c r="G862" s="2" t="s">
        <v>120</v>
      </c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0"/>
      <c r="B863" s="40"/>
      <c r="C863" s="40"/>
      <c r="D863" s="2">
        <v>310137</v>
      </c>
      <c r="E863" s="56" t="s">
        <v>641</v>
      </c>
      <c r="F863" s="40" t="s">
        <v>53</v>
      </c>
      <c r="G863" s="2" t="s">
        <v>120</v>
      </c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0"/>
      <c r="B864" s="40"/>
      <c r="C864" s="40"/>
      <c r="D864" s="2">
        <v>310138</v>
      </c>
      <c r="E864" s="56" t="s">
        <v>642</v>
      </c>
      <c r="F864" s="40" t="s">
        <v>53</v>
      </c>
      <c r="G864" s="2" t="s">
        <v>120</v>
      </c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0"/>
      <c r="B865" s="40"/>
      <c r="C865" s="40"/>
      <c r="D865" s="2">
        <v>310143</v>
      </c>
      <c r="E865" s="56" t="s">
        <v>595</v>
      </c>
      <c r="F865" s="40" t="s">
        <v>53</v>
      </c>
      <c r="G865" s="2" t="s">
        <v>120</v>
      </c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0"/>
      <c r="B866" s="40"/>
      <c r="C866" s="40"/>
      <c r="D866" s="2">
        <v>310146</v>
      </c>
      <c r="E866" s="56" t="s">
        <v>643</v>
      </c>
      <c r="F866" s="40" t="s">
        <v>53</v>
      </c>
      <c r="G866" s="2" t="s">
        <v>120</v>
      </c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0"/>
      <c r="B867" s="40"/>
      <c r="C867" s="40"/>
      <c r="D867" s="2">
        <v>310152</v>
      </c>
      <c r="E867" s="56" t="s">
        <v>644</v>
      </c>
      <c r="F867" s="40" t="s">
        <v>53</v>
      </c>
      <c r="G867" s="2" t="s">
        <v>120</v>
      </c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0"/>
      <c r="B868" s="40"/>
      <c r="C868" s="40"/>
      <c r="D868" s="2">
        <v>310153</v>
      </c>
      <c r="E868" s="56" t="s">
        <v>645</v>
      </c>
      <c r="F868" s="40" t="s">
        <v>53</v>
      </c>
      <c r="G868" s="2" t="s">
        <v>120</v>
      </c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0"/>
      <c r="B869" s="40"/>
      <c r="C869" s="40"/>
      <c r="D869" s="2">
        <v>310154</v>
      </c>
      <c r="E869" s="56" t="s">
        <v>646</v>
      </c>
      <c r="F869" s="40" t="s">
        <v>53</v>
      </c>
      <c r="G869" s="2" t="s">
        <v>120</v>
      </c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0"/>
      <c r="B870" s="40"/>
      <c r="C870" s="40"/>
      <c r="D870" s="2">
        <v>310155</v>
      </c>
      <c r="E870" s="56" t="s">
        <v>647</v>
      </c>
      <c r="F870" s="40" t="s">
        <v>53</v>
      </c>
      <c r="G870" s="2" t="s">
        <v>120</v>
      </c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0"/>
      <c r="B871" s="40"/>
      <c r="C871" s="40"/>
      <c r="D871" s="2">
        <v>310156</v>
      </c>
      <c r="E871" s="56" t="s">
        <v>648</v>
      </c>
      <c r="F871" s="40" t="s">
        <v>53</v>
      </c>
      <c r="G871" s="2" t="s">
        <v>120</v>
      </c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0"/>
      <c r="B872" s="40"/>
      <c r="C872" s="40"/>
      <c r="D872" s="2">
        <v>310157</v>
      </c>
      <c r="E872" s="56" t="s">
        <v>649</v>
      </c>
      <c r="F872" s="40" t="s">
        <v>53</v>
      </c>
      <c r="G872" s="2" t="s">
        <v>120</v>
      </c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0"/>
      <c r="B873" s="40"/>
      <c r="C873" s="40"/>
      <c r="D873" s="2">
        <v>310158</v>
      </c>
      <c r="E873" s="56" t="s">
        <v>650</v>
      </c>
      <c r="F873" s="40" t="s">
        <v>53</v>
      </c>
      <c r="G873" s="2" t="s">
        <v>120</v>
      </c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0"/>
      <c r="B874" s="40"/>
      <c r="C874" s="40"/>
      <c r="D874" s="2">
        <v>310160</v>
      </c>
      <c r="E874" s="56" t="s">
        <v>651</v>
      </c>
      <c r="F874" s="40" t="s">
        <v>53</v>
      </c>
      <c r="G874" s="2" t="s">
        <v>120</v>
      </c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0"/>
      <c r="B875" s="40"/>
      <c r="C875" s="40"/>
      <c r="D875" s="2">
        <v>310161</v>
      </c>
      <c r="E875" s="56" t="s">
        <v>652</v>
      </c>
      <c r="F875" s="40" t="s">
        <v>53</v>
      </c>
      <c r="G875" s="2" t="s">
        <v>120</v>
      </c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0"/>
      <c r="B876" s="40"/>
      <c r="C876" s="40"/>
      <c r="D876" s="2">
        <v>20070</v>
      </c>
      <c r="E876" s="56" t="s">
        <v>653</v>
      </c>
      <c r="F876" s="40" t="s">
        <v>347</v>
      </c>
      <c r="G876" s="40" t="s">
        <v>364</v>
      </c>
      <c r="H876" s="40" t="s">
        <v>547</v>
      </c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0"/>
      <c r="B877" s="40"/>
      <c r="C877" s="40"/>
      <c r="D877" s="2">
        <v>20069</v>
      </c>
      <c r="E877" s="56" t="s">
        <v>654</v>
      </c>
      <c r="F877" s="40" t="s">
        <v>347</v>
      </c>
      <c r="G877" s="40" t="s">
        <v>406</v>
      </c>
      <c r="H877" s="40" t="s">
        <v>469</v>
      </c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0"/>
      <c r="B878" s="40"/>
      <c r="C878" s="40"/>
      <c r="D878" s="2">
        <v>20071</v>
      </c>
      <c r="E878" s="56" t="s">
        <v>655</v>
      </c>
      <c r="F878" s="40" t="s">
        <v>347</v>
      </c>
      <c r="G878" s="40" t="s">
        <v>364</v>
      </c>
      <c r="H878" s="40" t="s">
        <v>656</v>
      </c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0"/>
      <c r="B879" s="40"/>
      <c r="C879" s="40"/>
      <c r="D879" s="2">
        <v>20102</v>
      </c>
      <c r="E879" s="56" t="s">
        <v>657</v>
      </c>
      <c r="F879" s="40" t="s">
        <v>347</v>
      </c>
      <c r="G879" s="40" t="s">
        <v>374</v>
      </c>
      <c r="H879" s="40" t="s">
        <v>428</v>
      </c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0"/>
      <c r="B880" s="40"/>
      <c r="C880" s="40"/>
      <c r="D880" s="2">
        <v>300166</v>
      </c>
      <c r="E880" s="56" t="s">
        <v>192</v>
      </c>
      <c r="F880" s="40" t="s">
        <v>53</v>
      </c>
      <c r="G880" s="2" t="s">
        <v>120</v>
      </c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0"/>
      <c r="B881" s="40"/>
      <c r="C881" s="40"/>
      <c r="D881" s="2">
        <v>20073</v>
      </c>
      <c r="E881" s="56" t="s">
        <v>658</v>
      </c>
      <c r="F881" s="40" t="s">
        <v>347</v>
      </c>
      <c r="G881" s="40" t="s">
        <v>364</v>
      </c>
      <c r="H881" s="40" t="s">
        <v>658</v>
      </c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0"/>
      <c r="B882" s="40"/>
      <c r="C882" s="40"/>
      <c r="D882" s="2">
        <v>300000</v>
      </c>
      <c r="E882" s="56" t="s">
        <v>659</v>
      </c>
      <c r="F882" s="40" t="s">
        <v>53</v>
      </c>
      <c r="G882" s="2" t="s">
        <v>120</v>
      </c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0"/>
      <c r="B883" s="40"/>
      <c r="C883" s="40"/>
      <c r="D883" s="2">
        <v>300030</v>
      </c>
      <c r="E883" s="56" t="s">
        <v>129</v>
      </c>
      <c r="F883" s="40" t="s">
        <v>53</v>
      </c>
      <c r="G883" s="2" t="s">
        <v>120</v>
      </c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0"/>
      <c r="B884" s="40"/>
      <c r="C884" s="40"/>
      <c r="D884" s="2">
        <v>300055</v>
      </c>
      <c r="E884" s="56" t="s">
        <v>138</v>
      </c>
      <c r="F884" s="40" t="s">
        <v>53</v>
      </c>
      <c r="G884" s="2" t="s">
        <v>120</v>
      </c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0"/>
      <c r="B885" s="40"/>
      <c r="C885" s="40"/>
      <c r="D885" s="2">
        <v>300060</v>
      </c>
      <c r="E885" s="56" t="s">
        <v>142</v>
      </c>
      <c r="F885" s="40" t="s">
        <v>53</v>
      </c>
      <c r="G885" s="2" t="s">
        <v>120</v>
      </c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0"/>
      <c r="B886" s="40"/>
      <c r="C886" s="40"/>
      <c r="D886" s="2">
        <v>300068</v>
      </c>
      <c r="E886" s="56" t="s">
        <v>660</v>
      </c>
      <c r="F886" s="40" t="s">
        <v>53</v>
      </c>
      <c r="G886" s="2" t="s">
        <v>120</v>
      </c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0"/>
      <c r="B887" s="40"/>
      <c r="C887" s="40"/>
      <c r="D887" s="2">
        <v>300095</v>
      </c>
      <c r="E887" s="56" t="s">
        <v>152</v>
      </c>
      <c r="F887" s="40" t="s">
        <v>53</v>
      </c>
      <c r="G887" s="2" t="s">
        <v>120</v>
      </c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0"/>
      <c r="B888" s="40"/>
      <c r="C888" s="40"/>
      <c r="D888" s="2">
        <v>300209</v>
      </c>
      <c r="E888" s="56" t="s">
        <v>576</v>
      </c>
      <c r="F888" s="40" t="s">
        <v>53</v>
      </c>
      <c r="G888" s="2" t="s">
        <v>120</v>
      </c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0"/>
      <c r="B889" s="40"/>
      <c r="C889" s="40"/>
      <c r="D889" s="2">
        <v>300225</v>
      </c>
      <c r="E889" s="56" t="s">
        <v>661</v>
      </c>
      <c r="F889" s="40" t="s">
        <v>53</v>
      </c>
      <c r="G889" s="2" t="s">
        <v>120</v>
      </c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0"/>
      <c r="B890" s="40"/>
      <c r="C890" s="40"/>
      <c r="D890" s="2">
        <v>310009</v>
      </c>
      <c r="E890" s="56" t="s">
        <v>662</v>
      </c>
      <c r="F890" s="40" t="s">
        <v>53</v>
      </c>
      <c r="G890" s="2" t="s">
        <v>120</v>
      </c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0"/>
      <c r="B891" s="40"/>
      <c r="C891" s="40"/>
      <c r="D891" s="2">
        <v>310030</v>
      </c>
      <c r="E891" s="56" t="s">
        <v>243</v>
      </c>
      <c r="F891" s="40" t="s">
        <v>53</v>
      </c>
      <c r="G891" s="2" t="s">
        <v>120</v>
      </c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0"/>
      <c r="B892" s="40"/>
      <c r="C892" s="40"/>
      <c r="D892" s="2">
        <v>310067</v>
      </c>
      <c r="E892" s="56" t="s">
        <v>251</v>
      </c>
      <c r="F892" s="40" t="s">
        <v>53</v>
      </c>
      <c r="G892" s="2" t="s">
        <v>120</v>
      </c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0"/>
      <c r="B893" s="40"/>
      <c r="C893" s="40"/>
      <c r="D893" s="2">
        <v>310140</v>
      </c>
      <c r="E893" s="56" t="s">
        <v>663</v>
      </c>
      <c r="F893" s="40" t="s">
        <v>53</v>
      </c>
      <c r="G893" s="2" t="s">
        <v>120</v>
      </c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0"/>
      <c r="B894" s="40"/>
      <c r="C894" s="40"/>
      <c r="D894" s="2">
        <v>310141</v>
      </c>
      <c r="E894" s="56" t="s">
        <v>664</v>
      </c>
      <c r="F894" s="40" t="s">
        <v>53</v>
      </c>
      <c r="G894" s="2" t="s">
        <v>120</v>
      </c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0"/>
      <c r="B895" s="40"/>
      <c r="C895" s="40"/>
      <c r="D895" s="2">
        <v>310142</v>
      </c>
      <c r="E895" s="56" t="s">
        <v>665</v>
      </c>
      <c r="F895" s="40" t="s">
        <v>53</v>
      </c>
      <c r="G895" s="2" t="s">
        <v>120</v>
      </c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0"/>
      <c r="B896" s="40"/>
      <c r="C896" s="40"/>
      <c r="D896" s="2">
        <v>300019</v>
      </c>
      <c r="E896" s="56" t="s">
        <v>126</v>
      </c>
      <c r="F896" s="40" t="s">
        <v>53</v>
      </c>
      <c r="G896" s="2" t="s">
        <v>120</v>
      </c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0"/>
      <c r="B897" s="40"/>
      <c r="C897" s="40"/>
      <c r="D897" s="2">
        <v>300034</v>
      </c>
      <c r="E897" s="56" t="s">
        <v>666</v>
      </c>
      <c r="F897" s="40" t="s">
        <v>53</v>
      </c>
      <c r="G897" s="2" t="s">
        <v>120</v>
      </c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0"/>
      <c r="B898" s="40"/>
      <c r="C898" s="40"/>
      <c r="D898" s="2">
        <v>300039</v>
      </c>
      <c r="E898" s="56" t="s">
        <v>132</v>
      </c>
      <c r="F898" s="40" t="s">
        <v>53</v>
      </c>
      <c r="G898" s="2" t="s">
        <v>120</v>
      </c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0"/>
      <c r="B899" s="40"/>
      <c r="C899" s="40"/>
      <c r="D899" s="2">
        <v>300046</v>
      </c>
      <c r="E899" s="56" t="s">
        <v>133</v>
      </c>
      <c r="F899" s="40" t="s">
        <v>53</v>
      </c>
      <c r="G899" s="2" t="s">
        <v>120</v>
      </c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0"/>
      <c r="B900" s="40"/>
      <c r="C900" s="40"/>
      <c r="D900" s="2">
        <v>300047</v>
      </c>
      <c r="E900" s="56" t="s">
        <v>667</v>
      </c>
      <c r="F900" s="40" t="s">
        <v>53</v>
      </c>
      <c r="G900" s="2" t="s">
        <v>120</v>
      </c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0"/>
      <c r="B901" s="40"/>
      <c r="C901" s="40"/>
      <c r="D901" s="2">
        <v>300059</v>
      </c>
      <c r="E901" s="56" t="s">
        <v>141</v>
      </c>
      <c r="F901" s="40" t="s">
        <v>53</v>
      </c>
      <c r="G901" s="2" t="s">
        <v>120</v>
      </c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0"/>
      <c r="B902" s="40"/>
      <c r="C902" s="40"/>
      <c r="D902" s="2">
        <v>300079</v>
      </c>
      <c r="E902" s="56" t="s">
        <v>148</v>
      </c>
      <c r="F902" s="40" t="s">
        <v>53</v>
      </c>
      <c r="G902" s="2" t="s">
        <v>120</v>
      </c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0"/>
      <c r="B903" s="40"/>
      <c r="C903" s="40"/>
      <c r="D903" s="2">
        <v>300085</v>
      </c>
      <c r="E903" s="56" t="s">
        <v>150</v>
      </c>
      <c r="F903" s="40" t="s">
        <v>53</v>
      </c>
      <c r="G903" s="2" t="s">
        <v>120</v>
      </c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0"/>
      <c r="B904" s="40"/>
      <c r="C904" s="40"/>
      <c r="D904" s="2">
        <v>300093</v>
      </c>
      <c r="E904" s="56" t="s">
        <v>668</v>
      </c>
      <c r="F904" s="40" t="s">
        <v>53</v>
      </c>
      <c r="G904" s="2" t="s">
        <v>120</v>
      </c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0"/>
      <c r="B905" s="40"/>
      <c r="C905" s="40"/>
      <c r="D905" s="2">
        <v>300097</v>
      </c>
      <c r="E905" s="56" t="s">
        <v>154</v>
      </c>
      <c r="F905" s="40" t="s">
        <v>53</v>
      </c>
      <c r="G905" s="2" t="s">
        <v>120</v>
      </c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0"/>
      <c r="B906" s="40"/>
      <c r="C906" s="40"/>
      <c r="D906" s="2">
        <v>300102</v>
      </c>
      <c r="E906" s="56" t="s">
        <v>155</v>
      </c>
      <c r="F906" s="40" t="s">
        <v>53</v>
      </c>
      <c r="G906" s="2" t="s">
        <v>120</v>
      </c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0"/>
      <c r="B907" s="40"/>
      <c r="C907" s="40"/>
      <c r="D907" s="2">
        <v>300106</v>
      </c>
      <c r="E907" s="56" t="s">
        <v>157</v>
      </c>
      <c r="F907" s="40" t="s">
        <v>53</v>
      </c>
      <c r="G907" s="2" t="s">
        <v>120</v>
      </c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0"/>
      <c r="B908" s="40"/>
      <c r="C908" s="40"/>
      <c r="D908" s="2">
        <v>300108</v>
      </c>
      <c r="E908" s="56" t="s">
        <v>158</v>
      </c>
      <c r="F908" s="40" t="s">
        <v>53</v>
      </c>
      <c r="G908" s="2" t="s">
        <v>120</v>
      </c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0"/>
      <c r="B909" s="40"/>
      <c r="C909" s="40"/>
      <c r="D909" s="2">
        <v>300109</v>
      </c>
      <c r="E909" s="56" t="s">
        <v>159</v>
      </c>
      <c r="F909" s="40" t="s">
        <v>53</v>
      </c>
      <c r="G909" s="2" t="s">
        <v>120</v>
      </c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0"/>
      <c r="B910" s="40"/>
      <c r="C910" s="40"/>
      <c r="D910" s="2">
        <v>300123</v>
      </c>
      <c r="E910" s="56" t="s">
        <v>669</v>
      </c>
      <c r="F910" s="40" t="s">
        <v>53</v>
      </c>
      <c r="G910" s="2" t="s">
        <v>120</v>
      </c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0"/>
      <c r="B911" s="40"/>
      <c r="C911" s="40"/>
      <c r="D911" s="2">
        <v>300126</v>
      </c>
      <c r="E911" s="56" t="s">
        <v>164</v>
      </c>
      <c r="F911" s="40" t="s">
        <v>53</v>
      </c>
      <c r="G911" s="2" t="s">
        <v>120</v>
      </c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0"/>
      <c r="B912" s="40"/>
      <c r="C912" s="40"/>
      <c r="D912" s="2">
        <v>300129</v>
      </c>
      <c r="E912" s="56" t="s">
        <v>670</v>
      </c>
      <c r="F912" s="40" t="s">
        <v>53</v>
      </c>
      <c r="G912" s="2" t="s">
        <v>120</v>
      </c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0"/>
      <c r="B913" s="40"/>
      <c r="C913" s="40"/>
      <c r="D913" s="2">
        <v>300140</v>
      </c>
      <c r="E913" s="56" t="s">
        <v>170</v>
      </c>
      <c r="F913" s="40" t="s">
        <v>53</v>
      </c>
      <c r="G913" s="2" t="s">
        <v>120</v>
      </c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0"/>
      <c r="B914" s="40"/>
      <c r="C914" s="40"/>
      <c r="D914" s="2">
        <v>300141</v>
      </c>
      <c r="E914" s="56" t="s">
        <v>171</v>
      </c>
      <c r="F914" s="40" t="s">
        <v>53</v>
      </c>
      <c r="G914" s="2" t="s">
        <v>120</v>
      </c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0"/>
      <c r="B915" s="40"/>
      <c r="C915" s="40"/>
      <c r="D915" s="2">
        <v>300143</v>
      </c>
      <c r="E915" s="56" t="s">
        <v>671</v>
      </c>
      <c r="F915" s="40" t="s">
        <v>53</v>
      </c>
      <c r="G915" s="2" t="s">
        <v>120</v>
      </c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0"/>
      <c r="B916" s="40"/>
      <c r="C916" s="40"/>
      <c r="D916" s="2">
        <v>300145</v>
      </c>
      <c r="E916" s="56" t="s">
        <v>175</v>
      </c>
      <c r="F916" s="40" t="s">
        <v>53</v>
      </c>
      <c r="G916" s="2" t="s">
        <v>120</v>
      </c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0"/>
      <c r="B917" s="40"/>
      <c r="C917" s="40"/>
      <c r="D917" s="2">
        <v>310008</v>
      </c>
      <c r="E917" s="56" t="s">
        <v>672</v>
      </c>
      <c r="F917" s="40" t="s">
        <v>53</v>
      </c>
      <c r="G917" s="2" t="s">
        <v>120</v>
      </c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0"/>
      <c r="B918" s="40"/>
      <c r="C918" s="40"/>
      <c r="D918" s="2">
        <v>310011</v>
      </c>
      <c r="E918" s="56" t="s">
        <v>673</v>
      </c>
      <c r="F918" s="40" t="s">
        <v>53</v>
      </c>
      <c r="G918" s="2" t="s">
        <v>120</v>
      </c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0"/>
      <c r="B919" s="40"/>
      <c r="C919" s="40"/>
      <c r="D919" s="2">
        <v>310016</v>
      </c>
      <c r="E919" s="56" t="s">
        <v>674</v>
      </c>
      <c r="F919" s="40" t="s">
        <v>53</v>
      </c>
      <c r="G919" s="2" t="s">
        <v>120</v>
      </c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0"/>
      <c r="B920" s="40"/>
      <c r="C920" s="40"/>
      <c r="D920" s="2">
        <v>310034</v>
      </c>
      <c r="E920" s="56" t="s">
        <v>675</v>
      </c>
      <c r="F920" s="40" t="s">
        <v>53</v>
      </c>
      <c r="G920" s="2" t="s">
        <v>120</v>
      </c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0"/>
      <c r="B921" s="40"/>
      <c r="C921" s="40"/>
      <c r="D921" s="2">
        <v>310040</v>
      </c>
      <c r="E921" s="56" t="s">
        <v>676</v>
      </c>
      <c r="F921" s="40" t="s">
        <v>53</v>
      </c>
      <c r="G921" s="2" t="s">
        <v>120</v>
      </c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0"/>
      <c r="B922" s="40"/>
      <c r="C922" s="40"/>
      <c r="D922" s="2">
        <v>310051</v>
      </c>
      <c r="E922" s="56" t="s">
        <v>677</v>
      </c>
      <c r="F922" s="40" t="s">
        <v>53</v>
      </c>
      <c r="G922" s="2" t="s">
        <v>120</v>
      </c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0"/>
      <c r="B923" s="40"/>
      <c r="C923" s="40"/>
      <c r="D923" s="2">
        <v>310057</v>
      </c>
      <c r="E923" s="56" t="s">
        <v>678</v>
      </c>
      <c r="F923" s="40" t="s">
        <v>53</v>
      </c>
      <c r="G923" s="2" t="s">
        <v>120</v>
      </c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0"/>
      <c r="B924" s="40"/>
      <c r="C924" s="40"/>
      <c r="D924" s="2">
        <v>310068</v>
      </c>
      <c r="E924" s="56" t="s">
        <v>679</v>
      </c>
      <c r="F924" s="40" t="s">
        <v>53</v>
      </c>
      <c r="G924" s="2" t="s">
        <v>120</v>
      </c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0"/>
      <c r="B925" s="40"/>
      <c r="C925" s="40"/>
      <c r="D925" s="2">
        <v>310077</v>
      </c>
      <c r="E925" s="56" t="s">
        <v>680</v>
      </c>
      <c r="F925" s="40" t="s">
        <v>53</v>
      </c>
      <c r="G925" s="2" t="s">
        <v>120</v>
      </c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0"/>
      <c r="B926" s="40"/>
      <c r="C926" s="40"/>
      <c r="D926" s="2">
        <v>310083</v>
      </c>
      <c r="E926" s="56" t="s">
        <v>255</v>
      </c>
      <c r="F926" s="40" t="s">
        <v>53</v>
      </c>
      <c r="G926" s="2" t="s">
        <v>120</v>
      </c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0"/>
      <c r="B927" s="40"/>
      <c r="C927" s="40"/>
      <c r="D927" s="2">
        <v>310086</v>
      </c>
      <c r="E927" s="56" t="s">
        <v>681</v>
      </c>
      <c r="F927" s="40" t="s">
        <v>53</v>
      </c>
      <c r="G927" s="2" t="s">
        <v>120</v>
      </c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0"/>
      <c r="B928" s="40"/>
      <c r="C928" s="40"/>
      <c r="D928" s="2">
        <v>310090</v>
      </c>
      <c r="E928" s="56" t="s">
        <v>682</v>
      </c>
      <c r="F928" s="40" t="s">
        <v>53</v>
      </c>
      <c r="G928" s="2" t="s">
        <v>120</v>
      </c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0"/>
      <c r="B929" s="40"/>
      <c r="C929" s="40"/>
      <c r="D929" s="2">
        <v>310091</v>
      </c>
      <c r="E929" s="56" t="s">
        <v>683</v>
      </c>
      <c r="F929" s="40" t="s">
        <v>53</v>
      </c>
      <c r="G929" s="2" t="s">
        <v>120</v>
      </c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0"/>
      <c r="B930" s="40"/>
      <c r="C930" s="40"/>
      <c r="D930" s="2">
        <v>310093</v>
      </c>
      <c r="E930" s="56" t="s">
        <v>684</v>
      </c>
      <c r="F930" s="40" t="s">
        <v>53</v>
      </c>
      <c r="G930" s="2" t="s">
        <v>120</v>
      </c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0"/>
      <c r="B931" s="40"/>
      <c r="C931" s="40"/>
      <c r="D931" s="2">
        <v>310094</v>
      </c>
      <c r="E931" s="56" t="s">
        <v>685</v>
      </c>
      <c r="F931" s="40" t="s">
        <v>53</v>
      </c>
      <c r="G931" s="2" t="s">
        <v>120</v>
      </c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0"/>
      <c r="B932" s="40"/>
      <c r="C932" s="40"/>
      <c r="D932" s="2">
        <v>310097</v>
      </c>
      <c r="E932" s="56" t="s">
        <v>686</v>
      </c>
      <c r="F932" s="40" t="s">
        <v>53</v>
      </c>
      <c r="G932" s="2" t="s">
        <v>120</v>
      </c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0"/>
      <c r="B933" s="40"/>
      <c r="C933" s="40"/>
      <c r="D933" s="2">
        <v>300127</v>
      </c>
      <c r="E933" s="56" t="s">
        <v>165</v>
      </c>
      <c r="F933" s="40" t="s">
        <v>53</v>
      </c>
      <c r="G933" s="2" t="s">
        <v>120</v>
      </c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0"/>
      <c r="B934" s="40"/>
      <c r="C934" s="40"/>
      <c r="D934" s="2">
        <v>300149</v>
      </c>
      <c r="E934" s="56" t="s">
        <v>178</v>
      </c>
      <c r="F934" s="40" t="s">
        <v>53</v>
      </c>
      <c r="G934" s="2" t="s">
        <v>120</v>
      </c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0"/>
      <c r="B935" s="40"/>
      <c r="C935" s="40"/>
      <c r="D935" s="2">
        <v>310013</v>
      </c>
      <c r="E935" s="56" t="s">
        <v>687</v>
      </c>
      <c r="F935" s="40" t="s">
        <v>53</v>
      </c>
      <c r="G935" s="2" t="s">
        <v>120</v>
      </c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0"/>
      <c r="B936" s="40"/>
      <c r="C936" s="40"/>
      <c r="D936" s="2">
        <v>310017</v>
      </c>
      <c r="E936" s="56" t="s">
        <v>688</v>
      </c>
      <c r="F936" s="40" t="s">
        <v>53</v>
      </c>
      <c r="G936" s="2" t="s">
        <v>120</v>
      </c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0"/>
      <c r="B937" s="40"/>
      <c r="C937" s="40"/>
      <c r="D937" s="2">
        <v>310038</v>
      </c>
      <c r="E937" s="56" t="s">
        <v>689</v>
      </c>
      <c r="F937" s="40" t="s">
        <v>53</v>
      </c>
      <c r="G937" s="2" t="s">
        <v>120</v>
      </c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0"/>
      <c r="B938" s="40"/>
      <c r="C938" s="40"/>
      <c r="D938" s="2">
        <v>310096</v>
      </c>
      <c r="E938" s="56" t="s">
        <v>690</v>
      </c>
      <c r="F938" s="40" t="s">
        <v>53</v>
      </c>
      <c r="G938" s="2" t="s">
        <v>120</v>
      </c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0"/>
      <c r="B939" s="40"/>
      <c r="C939" s="40"/>
      <c r="D939" s="2">
        <v>310098</v>
      </c>
      <c r="E939" s="56" t="s">
        <v>691</v>
      </c>
      <c r="F939" s="40" t="s">
        <v>53</v>
      </c>
      <c r="G939" s="2" t="s">
        <v>120</v>
      </c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0"/>
      <c r="B940" s="40"/>
      <c r="C940" s="40"/>
      <c r="D940" s="2">
        <v>310099</v>
      </c>
      <c r="E940" s="56" t="s">
        <v>692</v>
      </c>
      <c r="F940" s="40" t="s">
        <v>53</v>
      </c>
      <c r="G940" s="2" t="s">
        <v>120</v>
      </c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0"/>
      <c r="B941" s="40"/>
      <c r="C941" s="40"/>
      <c r="D941" s="2">
        <v>310100</v>
      </c>
      <c r="E941" s="56" t="s">
        <v>693</v>
      </c>
      <c r="F941" s="40" t="s">
        <v>53</v>
      </c>
      <c r="G941" s="2" t="s">
        <v>120</v>
      </c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0"/>
      <c r="B942" s="40"/>
      <c r="C942" s="40"/>
      <c r="D942" s="2">
        <v>310102</v>
      </c>
      <c r="E942" s="56" t="s">
        <v>694</v>
      </c>
      <c r="F942" s="40" t="s">
        <v>53</v>
      </c>
      <c r="G942" s="2" t="s">
        <v>120</v>
      </c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0"/>
      <c r="B943" s="40"/>
      <c r="C943" s="40"/>
      <c r="D943" s="2">
        <v>310104</v>
      </c>
      <c r="E943" s="56" t="s">
        <v>695</v>
      </c>
      <c r="F943" s="40" t="s">
        <v>53</v>
      </c>
      <c r="G943" s="2" t="s">
        <v>120</v>
      </c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0"/>
      <c r="B944" s="40"/>
      <c r="C944" s="40"/>
      <c r="D944" s="2">
        <v>310105</v>
      </c>
      <c r="E944" s="56" t="s">
        <v>696</v>
      </c>
      <c r="F944" s="40" t="s">
        <v>53</v>
      </c>
      <c r="G944" s="2" t="s">
        <v>120</v>
      </c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0"/>
      <c r="B945" s="40"/>
      <c r="C945" s="40"/>
      <c r="D945" s="2">
        <v>310108</v>
      </c>
      <c r="E945" s="56" t="s">
        <v>697</v>
      </c>
      <c r="F945" s="40" t="s">
        <v>53</v>
      </c>
      <c r="G945" s="2" t="s">
        <v>120</v>
      </c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0"/>
      <c r="B946" s="40"/>
      <c r="C946" s="40"/>
      <c r="D946" s="2">
        <v>300148</v>
      </c>
      <c r="E946" s="56" t="s">
        <v>177</v>
      </c>
      <c r="F946" s="40" t="s">
        <v>53</v>
      </c>
      <c r="G946" s="2" t="s">
        <v>120</v>
      </c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0"/>
      <c r="B947" s="40"/>
      <c r="C947" s="40"/>
      <c r="D947" s="2">
        <v>300150</v>
      </c>
      <c r="E947" s="56" t="s">
        <v>179</v>
      </c>
      <c r="F947" s="40" t="s">
        <v>53</v>
      </c>
      <c r="G947" s="2" t="s">
        <v>120</v>
      </c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0"/>
      <c r="B948" s="40"/>
      <c r="C948" s="40"/>
      <c r="D948" s="2">
        <v>300152</v>
      </c>
      <c r="E948" s="56" t="s">
        <v>181</v>
      </c>
      <c r="F948" s="40" t="s">
        <v>53</v>
      </c>
      <c r="G948" s="2" t="s">
        <v>120</v>
      </c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0"/>
      <c r="B949" s="40"/>
      <c r="C949" s="40"/>
      <c r="D949" s="2">
        <v>300153</v>
      </c>
      <c r="E949" s="56" t="s">
        <v>182</v>
      </c>
      <c r="F949" s="40" t="s">
        <v>53</v>
      </c>
      <c r="G949" s="2" t="s">
        <v>120</v>
      </c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0"/>
      <c r="B950" s="40"/>
      <c r="C950" s="40"/>
      <c r="D950" s="2">
        <v>300159</v>
      </c>
      <c r="E950" s="56" t="s">
        <v>185</v>
      </c>
      <c r="F950" s="40" t="s">
        <v>53</v>
      </c>
      <c r="G950" s="2" t="s">
        <v>120</v>
      </c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0"/>
      <c r="B951" s="40"/>
      <c r="C951" s="40"/>
      <c r="D951" s="2">
        <v>300160</v>
      </c>
      <c r="E951" s="56" t="s">
        <v>222</v>
      </c>
      <c r="F951" s="40" t="s">
        <v>53</v>
      </c>
      <c r="G951" s="2" t="s">
        <v>120</v>
      </c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0"/>
      <c r="B952" s="40"/>
      <c r="C952" s="40"/>
      <c r="D952" s="2">
        <v>300161</v>
      </c>
      <c r="E952" s="56" t="s">
        <v>187</v>
      </c>
      <c r="F952" s="40" t="s">
        <v>53</v>
      </c>
      <c r="G952" s="2" t="s">
        <v>120</v>
      </c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0"/>
      <c r="B953" s="40"/>
      <c r="C953" s="40"/>
      <c r="D953" s="2">
        <v>300171</v>
      </c>
      <c r="E953" s="56" t="s">
        <v>698</v>
      </c>
      <c r="F953" s="40" t="s">
        <v>53</v>
      </c>
      <c r="G953" s="2" t="s">
        <v>120</v>
      </c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0"/>
      <c r="B954" s="40"/>
      <c r="C954" s="40"/>
      <c r="D954" s="2">
        <v>310069</v>
      </c>
      <c r="E954" s="56" t="s">
        <v>699</v>
      </c>
      <c r="F954" s="40" t="s">
        <v>53</v>
      </c>
      <c r="G954" s="2" t="s">
        <v>120</v>
      </c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0"/>
      <c r="B955" s="40"/>
      <c r="C955" s="40"/>
      <c r="D955" s="2">
        <v>310080</v>
      </c>
      <c r="E955" s="56" t="s">
        <v>700</v>
      </c>
      <c r="F955" s="40" t="s">
        <v>53</v>
      </c>
      <c r="G955" s="2" t="s">
        <v>120</v>
      </c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0"/>
      <c r="B956" s="40"/>
      <c r="C956" s="40"/>
      <c r="D956" s="2">
        <v>310095</v>
      </c>
      <c r="E956" s="56" t="s">
        <v>701</v>
      </c>
      <c r="F956" s="40" t="s">
        <v>53</v>
      </c>
      <c r="G956" s="2" t="s">
        <v>120</v>
      </c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0"/>
      <c r="B957" s="40"/>
      <c r="C957" s="40"/>
      <c r="D957" s="2">
        <v>310101</v>
      </c>
      <c r="E957" s="56" t="s">
        <v>702</v>
      </c>
      <c r="F957" s="40" t="s">
        <v>53</v>
      </c>
      <c r="G957" s="2" t="s">
        <v>120</v>
      </c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0"/>
      <c r="B958" s="40"/>
      <c r="C958" s="40"/>
      <c r="D958" s="2">
        <v>310110</v>
      </c>
      <c r="E958" s="56" t="s">
        <v>703</v>
      </c>
      <c r="F958" s="40" t="s">
        <v>53</v>
      </c>
      <c r="G958" s="2" t="s">
        <v>120</v>
      </c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0"/>
      <c r="B959" s="40"/>
      <c r="C959" s="40"/>
      <c r="D959" s="2">
        <v>310121</v>
      </c>
      <c r="E959" s="56" t="s">
        <v>232</v>
      </c>
      <c r="F959" s="40" t="s">
        <v>53</v>
      </c>
      <c r="G959" s="2" t="s">
        <v>120</v>
      </c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0"/>
      <c r="B960" s="40"/>
      <c r="C960" s="40"/>
      <c r="D960" s="2">
        <v>310122</v>
      </c>
      <c r="E960" s="56" t="s">
        <v>233</v>
      </c>
      <c r="F960" s="40" t="s">
        <v>53</v>
      </c>
      <c r="G960" s="2" t="s">
        <v>120</v>
      </c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0"/>
      <c r="B961" s="40"/>
      <c r="C961" s="40"/>
      <c r="D961" s="2">
        <v>300110</v>
      </c>
      <c r="E961" s="56" t="s">
        <v>160</v>
      </c>
      <c r="F961" s="40" t="s">
        <v>53</v>
      </c>
      <c r="G961" s="2" t="s">
        <v>120</v>
      </c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0"/>
      <c r="B962" s="40"/>
      <c r="C962" s="40"/>
      <c r="D962" s="2">
        <v>300142</v>
      </c>
      <c r="E962" s="56" t="s">
        <v>172</v>
      </c>
      <c r="F962" s="40" t="s">
        <v>53</v>
      </c>
      <c r="G962" s="2" t="s">
        <v>120</v>
      </c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0"/>
      <c r="B963" s="40"/>
      <c r="C963" s="40"/>
      <c r="D963" s="2">
        <v>300144</v>
      </c>
      <c r="E963" s="56" t="s">
        <v>174</v>
      </c>
      <c r="F963" s="40" t="s">
        <v>53</v>
      </c>
      <c r="G963" s="2" t="s">
        <v>120</v>
      </c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0"/>
      <c r="B964" s="40"/>
      <c r="C964" s="40"/>
      <c r="D964" s="2">
        <v>300167</v>
      </c>
      <c r="E964" s="56" t="s">
        <v>193</v>
      </c>
      <c r="F964" s="40" t="s">
        <v>53</v>
      </c>
      <c r="G964" s="2" t="s">
        <v>120</v>
      </c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0"/>
      <c r="B965" s="40"/>
      <c r="C965" s="40"/>
      <c r="D965" s="2">
        <v>300172</v>
      </c>
      <c r="E965" s="56" t="s">
        <v>704</v>
      </c>
      <c r="F965" s="40" t="s">
        <v>53</v>
      </c>
      <c r="G965" s="2" t="s">
        <v>120</v>
      </c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0"/>
      <c r="B966" s="40"/>
      <c r="C966" s="40"/>
      <c r="D966" s="2">
        <v>300173</v>
      </c>
      <c r="E966" s="56" t="s">
        <v>705</v>
      </c>
      <c r="F966" s="40" t="s">
        <v>53</v>
      </c>
      <c r="G966" s="2" t="s">
        <v>120</v>
      </c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0"/>
      <c r="B967" s="40"/>
      <c r="C967" s="40"/>
      <c r="D967" s="2">
        <v>300176</v>
      </c>
      <c r="E967" s="56" t="s">
        <v>706</v>
      </c>
      <c r="F967" s="40" t="s">
        <v>53</v>
      </c>
      <c r="G967" s="2" t="s">
        <v>120</v>
      </c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0"/>
      <c r="B968" s="40"/>
      <c r="C968" s="40"/>
      <c r="D968" s="2">
        <v>300178</v>
      </c>
      <c r="E968" s="56" t="s">
        <v>206</v>
      </c>
      <c r="F968" s="40" t="s">
        <v>53</v>
      </c>
      <c r="G968" s="2" t="s">
        <v>120</v>
      </c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0"/>
      <c r="B969" s="40"/>
      <c r="C969" s="40"/>
      <c r="D969" s="2">
        <v>300179</v>
      </c>
      <c r="E969" s="56" t="s">
        <v>207</v>
      </c>
      <c r="F969" s="40" t="s">
        <v>53</v>
      </c>
      <c r="G969" s="2" t="s">
        <v>120</v>
      </c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0"/>
      <c r="B970" s="40"/>
      <c r="C970" s="40"/>
      <c r="D970" s="2">
        <v>300187</v>
      </c>
      <c r="E970" s="56" t="s">
        <v>707</v>
      </c>
      <c r="F970" s="40" t="s">
        <v>53</v>
      </c>
      <c r="G970" s="2" t="s">
        <v>120</v>
      </c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0"/>
      <c r="B971" s="40"/>
      <c r="C971" s="40"/>
      <c r="D971" s="2">
        <v>300189</v>
      </c>
      <c r="E971" s="56" t="s">
        <v>219</v>
      </c>
      <c r="F971" s="40" t="s">
        <v>53</v>
      </c>
      <c r="G971" s="2" t="s">
        <v>120</v>
      </c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0"/>
      <c r="B972" s="40"/>
      <c r="C972" s="40"/>
      <c r="D972" s="2">
        <v>310002</v>
      </c>
      <c r="E972" s="56" t="s">
        <v>708</v>
      </c>
      <c r="F972" s="40" t="s">
        <v>53</v>
      </c>
      <c r="G972" s="2" t="s">
        <v>120</v>
      </c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0"/>
      <c r="B973" s="40"/>
      <c r="C973" s="40"/>
      <c r="D973" s="2">
        <v>310046</v>
      </c>
      <c r="E973" s="56" t="s">
        <v>245</v>
      </c>
      <c r="F973" s="40" t="s">
        <v>53</v>
      </c>
      <c r="G973" s="2" t="s">
        <v>120</v>
      </c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0"/>
      <c r="B974" s="40"/>
      <c r="C974" s="40"/>
      <c r="D974" s="2">
        <v>310060</v>
      </c>
      <c r="E974" s="56" t="s">
        <v>248</v>
      </c>
      <c r="F974" s="40" t="s">
        <v>53</v>
      </c>
      <c r="G974" s="2" t="s">
        <v>120</v>
      </c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0"/>
      <c r="B975" s="40"/>
      <c r="C975" s="40"/>
      <c r="D975" s="2">
        <v>310109</v>
      </c>
      <c r="E975" s="56" t="s">
        <v>709</v>
      </c>
      <c r="F975" s="40" t="s">
        <v>53</v>
      </c>
      <c r="G975" s="2" t="s">
        <v>120</v>
      </c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0"/>
      <c r="B976" s="40"/>
      <c r="C976" s="40"/>
      <c r="D976" s="2">
        <v>310113</v>
      </c>
      <c r="E976" s="56" t="s">
        <v>710</v>
      </c>
      <c r="F976" s="40" t="s">
        <v>53</v>
      </c>
      <c r="G976" s="2" t="s">
        <v>120</v>
      </c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0"/>
      <c r="B977" s="40"/>
      <c r="C977" s="40"/>
      <c r="D977" s="2">
        <v>310118</v>
      </c>
      <c r="E977" s="56" t="s">
        <v>711</v>
      </c>
      <c r="F977" s="40" t="s">
        <v>53</v>
      </c>
      <c r="G977" s="2" t="s">
        <v>120</v>
      </c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0"/>
      <c r="B978" s="40"/>
      <c r="C978" s="40"/>
      <c r="D978" s="2">
        <v>300074</v>
      </c>
      <c r="E978" s="56" t="s">
        <v>147</v>
      </c>
      <c r="F978" s="40" t="s">
        <v>53</v>
      </c>
      <c r="G978" s="2" t="s">
        <v>120</v>
      </c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0"/>
      <c r="B979" s="40"/>
      <c r="C979" s="40"/>
      <c r="D979" s="2">
        <v>300165</v>
      </c>
      <c r="E979" s="56" t="s">
        <v>191</v>
      </c>
      <c r="F979" s="40" t="s">
        <v>53</v>
      </c>
      <c r="G979" s="2" t="s">
        <v>120</v>
      </c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0"/>
      <c r="B980" s="40"/>
      <c r="C980" s="40"/>
      <c r="D980" s="2">
        <v>300177</v>
      </c>
      <c r="E980" s="56" t="s">
        <v>205</v>
      </c>
      <c r="F980" s="40" t="s">
        <v>53</v>
      </c>
      <c r="G980" s="2" t="s">
        <v>120</v>
      </c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0"/>
      <c r="B981" s="40"/>
      <c r="C981" s="40"/>
      <c r="D981" s="2">
        <v>300181</v>
      </c>
      <c r="E981" s="56" t="s">
        <v>208</v>
      </c>
      <c r="F981" s="40" t="s">
        <v>53</v>
      </c>
      <c r="G981" s="2" t="s">
        <v>120</v>
      </c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0"/>
      <c r="B982" s="40"/>
      <c r="C982" s="40"/>
      <c r="D982" s="2">
        <v>300182</v>
      </c>
      <c r="E982" s="56" t="s">
        <v>209</v>
      </c>
      <c r="F982" s="40" t="s">
        <v>53</v>
      </c>
      <c r="G982" s="2" t="s">
        <v>120</v>
      </c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0"/>
      <c r="B983" s="40"/>
      <c r="C983" s="40"/>
      <c r="D983" s="2">
        <v>300184</v>
      </c>
      <c r="E983" s="56" t="s">
        <v>211</v>
      </c>
      <c r="F983" s="40" t="s">
        <v>53</v>
      </c>
      <c r="G983" s="2" t="s">
        <v>120</v>
      </c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0"/>
      <c r="B984" s="40"/>
      <c r="C984" s="40"/>
      <c r="D984" s="2">
        <v>300188</v>
      </c>
      <c r="E984" s="56" t="s">
        <v>712</v>
      </c>
      <c r="F984" s="40" t="s">
        <v>53</v>
      </c>
      <c r="G984" s="2" t="s">
        <v>120</v>
      </c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0"/>
      <c r="B985" s="40"/>
      <c r="C985" s="40"/>
      <c r="D985" s="2">
        <v>300190</v>
      </c>
      <c r="E985" s="56" t="s">
        <v>220</v>
      </c>
      <c r="F985" s="40" t="s">
        <v>53</v>
      </c>
      <c r="G985" s="2" t="s">
        <v>120</v>
      </c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0"/>
      <c r="B986" s="40"/>
      <c r="C986" s="40"/>
      <c r="D986" s="2">
        <v>300191</v>
      </c>
      <c r="E986" s="56" t="s">
        <v>221</v>
      </c>
      <c r="F986" s="40" t="s">
        <v>53</v>
      </c>
      <c r="G986" s="2" t="s">
        <v>120</v>
      </c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0"/>
      <c r="B987" s="40"/>
      <c r="C987" s="40"/>
      <c r="D987" s="2">
        <v>300196</v>
      </c>
      <c r="E987" s="56" t="s">
        <v>225</v>
      </c>
      <c r="F987" s="40" t="s">
        <v>53</v>
      </c>
      <c r="G987" s="2" t="s">
        <v>120</v>
      </c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0"/>
      <c r="B988" s="40"/>
      <c r="C988" s="40"/>
      <c r="D988" s="2">
        <v>300200</v>
      </c>
      <c r="E988" s="56" t="s">
        <v>229</v>
      </c>
      <c r="F988" s="40" t="s">
        <v>53</v>
      </c>
      <c r="G988" s="2" t="s">
        <v>120</v>
      </c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0"/>
      <c r="B989" s="40"/>
      <c r="C989" s="40"/>
      <c r="D989" s="2">
        <v>300206</v>
      </c>
      <c r="E989" s="56" t="s">
        <v>713</v>
      </c>
      <c r="F989" s="40" t="s">
        <v>53</v>
      </c>
      <c r="G989" s="2" t="s">
        <v>120</v>
      </c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0"/>
      <c r="B990" s="40"/>
      <c r="C990" s="40"/>
      <c r="D990" s="2">
        <v>300213</v>
      </c>
      <c r="E990" s="56" t="s">
        <v>714</v>
      </c>
      <c r="F990" s="40" t="s">
        <v>53</v>
      </c>
      <c r="G990" s="2" t="s">
        <v>120</v>
      </c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0"/>
      <c r="B991" s="40"/>
      <c r="C991" s="40"/>
      <c r="D991" s="2">
        <v>300215</v>
      </c>
      <c r="E991" s="56" t="s">
        <v>715</v>
      </c>
      <c r="F991" s="40" t="s">
        <v>53</v>
      </c>
      <c r="G991" s="2" t="s">
        <v>120</v>
      </c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0"/>
      <c r="B992" s="40"/>
      <c r="C992" s="40"/>
      <c r="D992" s="2">
        <v>300216</v>
      </c>
      <c r="E992" s="56" t="s">
        <v>716</v>
      </c>
      <c r="F992" s="40" t="s">
        <v>53</v>
      </c>
      <c r="G992" s="2" t="s">
        <v>120</v>
      </c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0"/>
      <c r="B993" s="40"/>
      <c r="C993" s="40"/>
      <c r="D993" s="2">
        <v>310012</v>
      </c>
      <c r="E993" s="56" t="s">
        <v>717</v>
      </c>
      <c r="F993" s="40" t="s">
        <v>53</v>
      </c>
      <c r="G993" s="2" t="s">
        <v>120</v>
      </c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0"/>
      <c r="B994" s="40"/>
      <c r="C994" s="40"/>
      <c r="D994" s="2">
        <v>310114</v>
      </c>
      <c r="E994" s="56" t="s">
        <v>718</v>
      </c>
      <c r="F994" s="40" t="s">
        <v>53</v>
      </c>
      <c r="G994" s="2" t="s">
        <v>120</v>
      </c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0"/>
      <c r="B995" s="40"/>
      <c r="C995" s="40"/>
      <c r="D995" s="2">
        <v>310117</v>
      </c>
      <c r="E995" s="56" t="s">
        <v>719</v>
      </c>
      <c r="F995" s="40" t="s">
        <v>53</v>
      </c>
      <c r="G995" s="2" t="s">
        <v>120</v>
      </c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0"/>
      <c r="B996" s="40"/>
      <c r="C996" s="40"/>
      <c r="D996" s="2">
        <v>300012</v>
      </c>
      <c r="E996" s="56" t="s">
        <v>124</v>
      </c>
      <c r="F996" s="40" t="s">
        <v>53</v>
      </c>
      <c r="G996" s="2" t="s">
        <v>120</v>
      </c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0"/>
      <c r="B997" s="40"/>
      <c r="C997" s="40"/>
      <c r="D997" s="2">
        <v>300151</v>
      </c>
      <c r="E997" s="56" t="s">
        <v>180</v>
      </c>
      <c r="F997" s="40" t="s">
        <v>53</v>
      </c>
      <c r="G997" s="2" t="s">
        <v>120</v>
      </c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0"/>
      <c r="B998" s="40"/>
      <c r="C998" s="40"/>
      <c r="D998" s="2">
        <v>300156</v>
      </c>
      <c r="E998" s="56" t="s">
        <v>184</v>
      </c>
      <c r="F998" s="40" t="s">
        <v>53</v>
      </c>
      <c r="G998" s="2" t="s">
        <v>120</v>
      </c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0"/>
      <c r="B999" s="40"/>
      <c r="C999" s="40"/>
      <c r="D999" s="2">
        <v>300186</v>
      </c>
      <c r="E999" s="56" t="s">
        <v>720</v>
      </c>
      <c r="F999" s="40" t="s">
        <v>53</v>
      </c>
      <c r="G999" s="2" t="s">
        <v>120</v>
      </c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0"/>
      <c r="B1000" s="40"/>
      <c r="C1000" s="40"/>
      <c r="D1000" s="2">
        <v>300201</v>
      </c>
      <c r="E1000" s="56" t="s">
        <v>230</v>
      </c>
      <c r="F1000" s="40" t="s">
        <v>53</v>
      </c>
      <c r="G1000" s="2" t="s">
        <v>120</v>
      </c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5.75" customHeight="1">
      <c r="A1001" s="40"/>
      <c r="B1001" s="40"/>
      <c r="C1001" s="40"/>
      <c r="D1001" s="2">
        <v>300202</v>
      </c>
      <c r="E1001" s="56" t="s">
        <v>231</v>
      </c>
      <c r="F1001" s="40" t="s">
        <v>53</v>
      </c>
      <c r="G1001" s="2" t="s">
        <v>120</v>
      </c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5.75" customHeight="1">
      <c r="A1002" s="40"/>
      <c r="B1002" s="40"/>
      <c r="C1002" s="40"/>
      <c r="D1002" s="2">
        <v>300217</v>
      </c>
      <c r="E1002" s="56" t="s">
        <v>721</v>
      </c>
      <c r="F1002" s="40" t="s">
        <v>53</v>
      </c>
      <c r="G1002" s="2" t="s">
        <v>120</v>
      </c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5.75" customHeight="1">
      <c r="A1003" s="40"/>
      <c r="B1003" s="40"/>
      <c r="C1003" s="40"/>
      <c r="D1003" s="2">
        <v>310025</v>
      </c>
      <c r="E1003" s="56" t="s">
        <v>242</v>
      </c>
      <c r="F1003" s="40" t="s">
        <v>53</v>
      </c>
      <c r="G1003" s="2" t="s">
        <v>120</v>
      </c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5.75" customHeight="1">
      <c r="A1004" s="40"/>
      <c r="B1004" s="40"/>
      <c r="C1004" s="40"/>
      <c r="D1004" s="2">
        <v>310079</v>
      </c>
      <c r="E1004" s="56" t="s">
        <v>722</v>
      </c>
      <c r="F1004" s="40" t="s">
        <v>53</v>
      </c>
      <c r="G1004" s="2" t="s">
        <v>120</v>
      </c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5.75" customHeight="1">
      <c r="A1005" s="40"/>
      <c r="B1005" s="40"/>
      <c r="C1005" s="40"/>
      <c r="D1005" s="2">
        <v>310112</v>
      </c>
      <c r="E1005" s="56" t="s">
        <v>723</v>
      </c>
      <c r="F1005" s="40" t="s">
        <v>53</v>
      </c>
      <c r="G1005" s="2" t="s">
        <v>120</v>
      </c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5.75" customHeight="1">
      <c r="A1006" s="40"/>
      <c r="B1006" s="40"/>
      <c r="C1006" s="40"/>
      <c r="D1006" s="2">
        <v>310124</v>
      </c>
      <c r="E1006" s="56" t="s">
        <v>724</v>
      </c>
      <c r="F1006" s="40" t="s">
        <v>53</v>
      </c>
      <c r="G1006" s="2" t="s">
        <v>120</v>
      </c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5.75" customHeight="1">
      <c r="A1007" s="40"/>
      <c r="B1007" s="40"/>
      <c r="C1007" s="40"/>
      <c r="D1007" s="2">
        <v>310125</v>
      </c>
      <c r="E1007" s="56" t="s">
        <v>725</v>
      </c>
      <c r="F1007" s="40" t="s">
        <v>53</v>
      </c>
      <c r="G1007" s="2" t="s">
        <v>120</v>
      </c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spans="1:26" ht="15.75" customHeight="1">
      <c r="A1008" s="40"/>
      <c r="B1008" s="40"/>
      <c r="C1008" s="40"/>
      <c r="D1008" s="2">
        <v>310129</v>
      </c>
      <c r="E1008" s="56" t="s">
        <v>726</v>
      </c>
      <c r="F1008" s="40" t="s">
        <v>53</v>
      </c>
      <c r="G1008" s="2" t="s">
        <v>120</v>
      </c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spans="1:26" ht="15.75" customHeight="1">
      <c r="A1009" s="40"/>
      <c r="B1009" s="40"/>
      <c r="C1009" s="40"/>
      <c r="D1009" s="2">
        <v>300029</v>
      </c>
      <c r="E1009" s="56" t="s">
        <v>569</v>
      </c>
      <c r="F1009" s="40" t="s">
        <v>53</v>
      </c>
      <c r="G1009" s="2" t="s">
        <v>120</v>
      </c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spans="1:26" ht="15.75" customHeight="1">
      <c r="A1010" s="40"/>
      <c r="B1010" s="40"/>
      <c r="C1010" s="40"/>
      <c r="D1010" s="2">
        <v>300119</v>
      </c>
      <c r="E1010" s="56" t="s">
        <v>163</v>
      </c>
      <c r="F1010" s="40" t="s">
        <v>53</v>
      </c>
      <c r="G1010" s="2" t="s">
        <v>120</v>
      </c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spans="1:26" ht="15.75" customHeight="1">
      <c r="A1011" s="40"/>
      <c r="B1011" s="40"/>
      <c r="C1011" s="40"/>
      <c r="D1011" s="2">
        <v>300183</v>
      </c>
      <c r="E1011" s="56" t="s">
        <v>210</v>
      </c>
      <c r="F1011" s="40" t="s">
        <v>53</v>
      </c>
      <c r="G1011" s="2" t="s">
        <v>120</v>
      </c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 spans="1:26" ht="15.75" customHeight="1">
      <c r="A1012" s="40"/>
      <c r="B1012" s="40"/>
      <c r="C1012" s="40"/>
      <c r="D1012" s="2">
        <v>300207</v>
      </c>
      <c r="E1012" s="56" t="s">
        <v>533</v>
      </c>
      <c r="F1012" s="40" t="s">
        <v>53</v>
      </c>
      <c r="G1012" s="2" t="s">
        <v>120</v>
      </c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 spans="1:26" ht="15.75" customHeight="1">
      <c r="A1013" s="40"/>
      <c r="B1013" s="40"/>
      <c r="C1013" s="40"/>
      <c r="D1013" s="2">
        <v>300210</v>
      </c>
      <c r="E1013" s="56" t="s">
        <v>535</v>
      </c>
      <c r="F1013" s="40" t="s">
        <v>53</v>
      </c>
      <c r="G1013" s="2" t="s">
        <v>120</v>
      </c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 spans="1:26" ht="15.75" customHeight="1">
      <c r="A1014" s="40"/>
      <c r="B1014" s="40"/>
      <c r="C1014" s="40"/>
      <c r="D1014" s="2">
        <v>300211</v>
      </c>
      <c r="E1014" s="56" t="s">
        <v>536</v>
      </c>
      <c r="F1014" s="40" t="s">
        <v>53</v>
      </c>
      <c r="G1014" s="2" t="s">
        <v>120</v>
      </c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 spans="1:26" ht="15.75" customHeight="1">
      <c r="A1015" s="40"/>
      <c r="B1015" s="40"/>
      <c r="C1015" s="40"/>
      <c r="D1015" s="2">
        <v>300218</v>
      </c>
      <c r="E1015" s="56" t="s">
        <v>537</v>
      </c>
      <c r="F1015" s="40" t="s">
        <v>53</v>
      </c>
      <c r="G1015" s="2" t="s">
        <v>120</v>
      </c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 spans="1:26" ht="15.75" customHeight="1">
      <c r="A1016" s="40"/>
      <c r="B1016" s="40"/>
      <c r="C1016" s="40"/>
      <c r="D1016" s="2">
        <v>300219</v>
      </c>
      <c r="E1016" s="56" t="s">
        <v>538</v>
      </c>
      <c r="F1016" s="40" t="s">
        <v>53</v>
      </c>
      <c r="G1016" s="2" t="s">
        <v>120</v>
      </c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 spans="1:26" ht="15.75" customHeight="1">
      <c r="A1017" s="40"/>
      <c r="B1017" s="40"/>
      <c r="C1017" s="40"/>
      <c r="D1017" s="2">
        <v>300220</v>
      </c>
      <c r="E1017" s="56" t="s">
        <v>539</v>
      </c>
      <c r="F1017" s="40" t="s">
        <v>53</v>
      </c>
      <c r="G1017" s="2" t="s">
        <v>120</v>
      </c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 spans="1:26" ht="15.75" customHeight="1">
      <c r="A1018" s="40"/>
      <c r="B1018" s="40"/>
      <c r="C1018" s="40"/>
      <c r="D1018" s="2">
        <v>310054</v>
      </c>
      <c r="E1018" s="56" t="s">
        <v>727</v>
      </c>
      <c r="F1018" s="40" t="s">
        <v>53</v>
      </c>
      <c r="G1018" s="2" t="s">
        <v>120</v>
      </c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 spans="1:26" ht="15.75" customHeight="1">
      <c r="A1019" s="40"/>
      <c r="B1019" s="40"/>
      <c r="C1019" s="40"/>
      <c r="D1019" s="2">
        <v>310130</v>
      </c>
      <c r="E1019" s="56" t="s">
        <v>542</v>
      </c>
      <c r="F1019" s="40" t="s">
        <v>53</v>
      </c>
      <c r="G1019" s="2" t="s">
        <v>120</v>
      </c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 spans="1:26" ht="15.75" customHeight="1">
      <c r="A1020" s="40"/>
      <c r="B1020" s="40"/>
      <c r="C1020" s="40"/>
      <c r="D1020" s="2">
        <v>310133</v>
      </c>
      <c r="E1020" s="56" t="s">
        <v>728</v>
      </c>
      <c r="F1020" s="40" t="s">
        <v>53</v>
      </c>
      <c r="G1020" s="2" t="s">
        <v>120</v>
      </c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</row>
    <row r="1021" spans="1:26" ht="15.75" customHeight="1">
      <c r="A1021" s="40"/>
      <c r="B1021" s="40"/>
      <c r="C1021" s="40"/>
      <c r="D1021" s="2">
        <v>310134</v>
      </c>
      <c r="E1021" s="56" t="s">
        <v>729</v>
      </c>
      <c r="F1021" s="40" t="s">
        <v>53</v>
      </c>
      <c r="G1021" s="2" t="s">
        <v>120</v>
      </c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</row>
    <row r="1022" spans="1:26" ht="15.75" customHeight="1">
      <c r="A1022" s="40"/>
      <c r="B1022" s="40"/>
      <c r="C1022" s="40"/>
      <c r="D1022" s="2">
        <v>300023</v>
      </c>
      <c r="E1022" s="56" t="s">
        <v>128</v>
      </c>
      <c r="F1022" s="40" t="s">
        <v>53</v>
      </c>
      <c r="G1022" s="2" t="s">
        <v>120</v>
      </c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</row>
    <row r="1023" spans="1:26" ht="15.75" customHeight="1">
      <c r="A1023" s="40"/>
      <c r="B1023" s="40"/>
      <c r="C1023" s="40"/>
      <c r="D1023" s="2">
        <v>300033</v>
      </c>
      <c r="E1023" s="56" t="s">
        <v>573</v>
      </c>
      <c r="F1023" s="40" t="s">
        <v>53</v>
      </c>
      <c r="G1023" s="2" t="s">
        <v>120</v>
      </c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</row>
    <row r="1024" spans="1:26" ht="15.75" customHeight="1">
      <c r="A1024" s="40"/>
      <c r="B1024" s="40"/>
      <c r="C1024" s="40"/>
      <c r="D1024" s="2">
        <v>300041</v>
      </c>
      <c r="E1024" s="56" t="s">
        <v>575</v>
      </c>
      <c r="F1024" s="40" t="s">
        <v>53</v>
      </c>
      <c r="G1024" s="2" t="s">
        <v>120</v>
      </c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</row>
    <row r="1025" spans="1:26" ht="15.75" customHeight="1">
      <c r="A1025" s="40"/>
      <c r="B1025" s="40"/>
      <c r="C1025" s="40"/>
      <c r="D1025" s="2">
        <v>300180</v>
      </c>
      <c r="E1025" s="56" t="s">
        <v>730</v>
      </c>
      <c r="F1025" s="40" t="s">
        <v>53</v>
      </c>
      <c r="G1025" s="2" t="s">
        <v>120</v>
      </c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</row>
    <row r="1026" spans="1:26" ht="15.75" customHeight="1">
      <c r="A1026" s="40"/>
      <c r="B1026" s="40"/>
      <c r="C1026" s="40"/>
      <c r="D1026" s="2">
        <v>300230</v>
      </c>
      <c r="E1026" s="56" t="s">
        <v>588</v>
      </c>
      <c r="F1026" s="40" t="s">
        <v>53</v>
      </c>
      <c r="G1026" s="2" t="s">
        <v>120</v>
      </c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</row>
    <row r="1027" spans="1:26" ht="15.75" customHeight="1">
      <c r="A1027" s="40"/>
      <c r="B1027" s="40"/>
      <c r="C1027" s="40"/>
      <c r="D1027" s="2">
        <v>300231</v>
      </c>
      <c r="E1027" s="56" t="s">
        <v>589</v>
      </c>
      <c r="F1027" s="40" t="s">
        <v>53</v>
      </c>
      <c r="G1027" s="2" t="s">
        <v>120</v>
      </c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</row>
    <row r="1028" spans="1:26" ht="15.75" customHeight="1">
      <c r="A1028" s="40"/>
      <c r="B1028" s="40"/>
      <c r="C1028" s="40"/>
      <c r="D1028" s="2">
        <v>310135</v>
      </c>
      <c r="E1028" s="56" t="s">
        <v>590</v>
      </c>
      <c r="F1028" s="40" t="s">
        <v>53</v>
      </c>
      <c r="G1028" s="2" t="s">
        <v>120</v>
      </c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</row>
    <row r="1029" spans="1:26" ht="15.75" customHeight="1">
      <c r="A1029" s="40"/>
      <c r="B1029" s="40"/>
      <c r="C1029" s="40"/>
      <c r="D1029" s="2">
        <v>50007</v>
      </c>
      <c r="E1029" s="56" t="s">
        <v>731</v>
      </c>
      <c r="F1029" s="40" t="s">
        <v>53</v>
      </c>
      <c r="G1029" s="2" t="s">
        <v>71</v>
      </c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</row>
    <row r="1030" spans="1:26" ht="15.75" customHeight="1">
      <c r="A1030" s="40"/>
      <c r="B1030" s="40"/>
      <c r="C1030" s="40"/>
      <c r="D1030" s="2">
        <v>90022</v>
      </c>
      <c r="E1030" s="56" t="s">
        <v>732</v>
      </c>
      <c r="F1030" s="40" t="s">
        <v>53</v>
      </c>
      <c r="G1030" s="2" t="s">
        <v>84</v>
      </c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</row>
    <row r="1031" spans="1:26" ht="15.75" customHeight="1">
      <c r="A1031" s="40"/>
      <c r="B1031" s="40"/>
      <c r="C1031" s="40"/>
      <c r="D1031" s="2">
        <v>300071</v>
      </c>
      <c r="E1031" s="56" t="s">
        <v>733</v>
      </c>
      <c r="F1031" s="40" t="s">
        <v>53</v>
      </c>
      <c r="G1031" s="2" t="s">
        <v>120</v>
      </c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</row>
    <row r="1032" spans="1:26" ht="15.75" customHeight="1">
      <c r="A1032" s="40"/>
      <c r="B1032" s="40"/>
      <c r="C1032" s="40"/>
      <c r="D1032" s="2">
        <v>300081</v>
      </c>
      <c r="E1032" s="56" t="s">
        <v>734</v>
      </c>
      <c r="F1032" s="40" t="s">
        <v>53</v>
      </c>
      <c r="G1032" s="2" t="s">
        <v>120</v>
      </c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</row>
    <row r="1033" spans="1:26" ht="15.75" customHeight="1">
      <c r="A1033" s="40"/>
      <c r="B1033" s="40"/>
      <c r="C1033" s="40"/>
      <c r="D1033" s="2">
        <v>300139</v>
      </c>
      <c r="E1033" s="56" t="s">
        <v>169</v>
      </c>
      <c r="F1033" s="40" t="s">
        <v>53</v>
      </c>
      <c r="G1033" s="2" t="s">
        <v>120</v>
      </c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</row>
    <row r="1034" spans="1:26" ht="15.75" customHeight="1">
      <c r="A1034" s="40"/>
      <c r="B1034" s="40"/>
      <c r="C1034" s="40"/>
      <c r="D1034" s="2">
        <v>300221</v>
      </c>
      <c r="E1034" s="56" t="s">
        <v>577</v>
      </c>
      <c r="F1034" s="40" t="s">
        <v>53</v>
      </c>
      <c r="G1034" s="2" t="s">
        <v>120</v>
      </c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</row>
    <row r="1035" spans="1:26" ht="15.75" customHeight="1">
      <c r="A1035" s="40"/>
      <c r="B1035" s="40"/>
      <c r="C1035" s="40"/>
      <c r="D1035" s="2">
        <v>300228</v>
      </c>
      <c r="E1035" s="56" t="s">
        <v>735</v>
      </c>
      <c r="F1035" s="40" t="s">
        <v>53</v>
      </c>
      <c r="G1035" s="2" t="s">
        <v>120</v>
      </c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</row>
    <row r="1036" spans="1:26" ht="15.75" customHeight="1">
      <c r="A1036" s="40"/>
      <c r="B1036" s="40"/>
      <c r="C1036" s="40"/>
      <c r="D1036" s="2">
        <v>300262</v>
      </c>
      <c r="E1036" s="56" t="s">
        <v>736</v>
      </c>
      <c r="F1036" s="40" t="s">
        <v>53</v>
      </c>
      <c r="G1036" s="2" t="s">
        <v>120</v>
      </c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</row>
    <row r="1037" spans="1:26" ht="15.75" customHeight="1">
      <c r="A1037" s="40"/>
      <c r="B1037" s="40"/>
      <c r="C1037" s="40"/>
      <c r="D1037" s="2">
        <v>300263</v>
      </c>
      <c r="E1037" s="56" t="s">
        <v>737</v>
      </c>
      <c r="F1037" s="40" t="s">
        <v>53</v>
      </c>
      <c r="G1037" s="2" t="s">
        <v>120</v>
      </c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</row>
    <row r="1038" spans="1:26" ht="15.75" customHeight="1">
      <c r="A1038" s="40"/>
      <c r="B1038" s="40"/>
      <c r="C1038" s="40"/>
      <c r="D1038" s="2">
        <v>300264</v>
      </c>
      <c r="E1038" s="56" t="s">
        <v>738</v>
      </c>
      <c r="F1038" s="40" t="s">
        <v>53</v>
      </c>
      <c r="G1038" s="2" t="s">
        <v>120</v>
      </c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</row>
    <row r="1039" spans="1:26" ht="15.75" customHeight="1">
      <c r="A1039" s="40"/>
      <c r="B1039" s="40"/>
      <c r="C1039" s="40"/>
      <c r="D1039" s="2">
        <v>300265</v>
      </c>
      <c r="E1039" s="56" t="s">
        <v>739</v>
      </c>
      <c r="F1039" s="40" t="s">
        <v>53</v>
      </c>
      <c r="G1039" s="2" t="s">
        <v>120</v>
      </c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</row>
    <row r="1040" spans="1:26" ht="15.75" customHeight="1">
      <c r="A1040" s="40"/>
      <c r="B1040" s="40"/>
      <c r="C1040" s="40"/>
      <c r="D1040" s="2">
        <v>300266</v>
      </c>
      <c r="E1040" s="56" t="s">
        <v>740</v>
      </c>
      <c r="F1040" s="40" t="s">
        <v>53</v>
      </c>
      <c r="G1040" s="2" t="s">
        <v>120</v>
      </c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</row>
    <row r="1041" spans="1:26" ht="15.75" customHeight="1">
      <c r="A1041" s="40"/>
      <c r="B1041" s="40"/>
      <c r="C1041" s="40"/>
      <c r="D1041" s="2">
        <v>300267</v>
      </c>
      <c r="E1041" s="56" t="s">
        <v>741</v>
      </c>
      <c r="F1041" s="40" t="s">
        <v>53</v>
      </c>
      <c r="G1041" s="2" t="s">
        <v>120</v>
      </c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</row>
    <row r="1042" spans="1:26" ht="15.75" customHeight="1">
      <c r="A1042" s="40"/>
      <c r="B1042" s="40"/>
      <c r="C1042" s="40"/>
      <c r="D1042" s="2">
        <v>300268</v>
      </c>
      <c r="E1042" s="56" t="s">
        <v>742</v>
      </c>
      <c r="F1042" s="40" t="s">
        <v>53</v>
      </c>
      <c r="G1042" s="2" t="s">
        <v>120</v>
      </c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</row>
    <row r="1043" spans="1:26" ht="15.75" customHeight="1">
      <c r="A1043" s="40"/>
      <c r="B1043" s="40"/>
      <c r="C1043" s="40"/>
      <c r="D1043" s="2">
        <v>300271</v>
      </c>
      <c r="E1043" s="56" t="s">
        <v>743</v>
      </c>
      <c r="F1043" s="40" t="s">
        <v>53</v>
      </c>
      <c r="G1043" s="2" t="s">
        <v>120</v>
      </c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</row>
    <row r="1044" spans="1:26" ht="15.75" customHeight="1">
      <c r="A1044" s="40"/>
      <c r="B1044" s="40"/>
      <c r="C1044" s="40"/>
      <c r="D1044" s="2">
        <v>310001</v>
      </c>
      <c r="E1044" s="56" t="s">
        <v>580</v>
      </c>
      <c r="F1044" s="40" t="s">
        <v>53</v>
      </c>
      <c r="G1044" s="2" t="s">
        <v>120</v>
      </c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</row>
    <row r="1045" spans="1:26" ht="15.75" customHeight="1">
      <c r="A1045" s="40"/>
      <c r="B1045" s="40"/>
      <c r="C1045" s="40"/>
      <c r="D1045" s="2">
        <v>310044</v>
      </c>
      <c r="E1045" s="56" t="s">
        <v>744</v>
      </c>
      <c r="F1045" s="40" t="s">
        <v>53</v>
      </c>
      <c r="G1045" s="2" t="s">
        <v>120</v>
      </c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</row>
    <row r="1046" spans="1:26" ht="15.75" customHeight="1">
      <c r="A1046" s="40"/>
      <c r="B1046" s="40"/>
      <c r="C1046" s="40"/>
      <c r="D1046" s="2">
        <v>310144</v>
      </c>
      <c r="E1046" s="56" t="s">
        <v>745</v>
      </c>
      <c r="F1046" s="40" t="s">
        <v>53</v>
      </c>
      <c r="G1046" s="2" t="s">
        <v>120</v>
      </c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</row>
    <row r="1047" spans="1:26" ht="15.75" customHeight="1">
      <c r="A1047" s="40"/>
      <c r="B1047" s="40"/>
      <c r="C1047" s="40"/>
      <c r="D1047" s="2">
        <v>310147</v>
      </c>
      <c r="E1047" s="56" t="s">
        <v>746</v>
      </c>
      <c r="F1047" s="40" t="s">
        <v>53</v>
      </c>
      <c r="G1047" s="2" t="s">
        <v>120</v>
      </c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</row>
    <row r="1048" spans="1:26" ht="15.75" customHeight="1">
      <c r="A1048" s="40"/>
      <c r="B1048" s="40"/>
      <c r="C1048" s="40"/>
      <c r="D1048" s="2">
        <v>310148</v>
      </c>
      <c r="E1048" s="56" t="s">
        <v>747</v>
      </c>
      <c r="F1048" s="40" t="s">
        <v>53</v>
      </c>
      <c r="G1048" s="2" t="s">
        <v>120</v>
      </c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</row>
    <row r="1049" spans="1:26" ht="15.75" customHeight="1">
      <c r="A1049" s="40"/>
      <c r="B1049" s="40"/>
      <c r="C1049" s="40"/>
      <c r="D1049" s="2">
        <v>310163</v>
      </c>
      <c r="E1049" s="56" t="s">
        <v>748</v>
      </c>
      <c r="F1049" s="40" t="s">
        <v>53</v>
      </c>
      <c r="G1049" s="2" t="s">
        <v>120</v>
      </c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</row>
    <row r="1050" spans="1:26" ht="15.75" customHeight="1">
      <c r="A1050" s="40"/>
      <c r="B1050" s="40"/>
      <c r="C1050" s="40"/>
      <c r="D1050" s="2">
        <v>310166</v>
      </c>
      <c r="E1050" s="56" t="s">
        <v>749</v>
      </c>
      <c r="F1050" s="40" t="s">
        <v>53</v>
      </c>
      <c r="G1050" s="2" t="s">
        <v>120</v>
      </c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</row>
    <row r="1051" spans="1:26" ht="15.75" customHeight="1">
      <c r="A1051" s="40"/>
      <c r="B1051" s="40"/>
      <c r="C1051" s="40"/>
      <c r="D1051" s="2">
        <v>310167</v>
      </c>
      <c r="E1051" s="56" t="s">
        <v>750</v>
      </c>
      <c r="F1051" s="40" t="s">
        <v>53</v>
      </c>
      <c r="G1051" s="2" t="s">
        <v>120</v>
      </c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</row>
    <row r="1052" spans="1:26" ht="15.75" customHeight="1">
      <c r="A1052" s="40"/>
      <c r="B1052" s="40"/>
      <c r="C1052" s="40"/>
      <c r="D1052" s="2">
        <v>310168</v>
      </c>
      <c r="E1052" s="56" t="s">
        <v>751</v>
      </c>
      <c r="F1052" s="40" t="s">
        <v>53</v>
      </c>
      <c r="G1052" s="2" t="s">
        <v>120</v>
      </c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</row>
    <row r="1053" spans="1:26" ht="15.75" customHeight="1">
      <c r="A1053" s="40"/>
      <c r="B1053" s="40"/>
      <c r="C1053" s="40"/>
      <c r="D1053" s="2">
        <v>310169</v>
      </c>
      <c r="E1053" s="56" t="s">
        <v>752</v>
      </c>
      <c r="F1053" s="40" t="s">
        <v>53</v>
      </c>
      <c r="G1053" s="2" t="s">
        <v>120</v>
      </c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</row>
    <row r="1054" spans="1:26" ht="15.75" customHeight="1">
      <c r="A1054" s="40"/>
      <c r="B1054" s="40"/>
      <c r="C1054" s="40"/>
      <c r="D1054" s="2">
        <v>310170</v>
      </c>
      <c r="E1054" s="56" t="s">
        <v>753</v>
      </c>
      <c r="F1054" s="40" t="s">
        <v>53</v>
      </c>
      <c r="G1054" s="2" t="s">
        <v>120</v>
      </c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</row>
    <row r="1055" spans="1:26" ht="15.75" customHeight="1">
      <c r="A1055" s="40"/>
      <c r="B1055" s="40"/>
      <c r="C1055" s="40"/>
      <c r="D1055" s="2">
        <v>310172</v>
      </c>
      <c r="E1055" s="56" t="s">
        <v>754</v>
      </c>
      <c r="F1055" s="40" t="s">
        <v>53</v>
      </c>
      <c r="G1055" s="2" t="s">
        <v>120</v>
      </c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</row>
    <row r="1056" spans="1:26" ht="15.75" customHeight="1">
      <c r="A1056" s="40"/>
      <c r="B1056" s="40"/>
      <c r="C1056" s="40"/>
      <c r="D1056" s="2">
        <v>80012</v>
      </c>
      <c r="E1056" s="56" t="s">
        <v>755</v>
      </c>
      <c r="F1056" s="40" t="s">
        <v>53</v>
      </c>
      <c r="G1056" s="2" t="s">
        <v>54</v>
      </c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</row>
    <row r="1057" spans="1:26" ht="15.75" customHeight="1">
      <c r="A1057" s="40"/>
      <c r="B1057" s="40"/>
      <c r="C1057" s="40"/>
      <c r="D1057" s="2">
        <v>61010</v>
      </c>
      <c r="E1057" s="56" t="s">
        <v>756</v>
      </c>
      <c r="F1057" s="40" t="s">
        <v>347</v>
      </c>
      <c r="G1057" s="40" t="s">
        <v>364</v>
      </c>
      <c r="H1057" s="40" t="s">
        <v>359</v>
      </c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</row>
    <row r="1058" spans="1:26" ht="15.75" customHeight="1">
      <c r="A1058" s="40"/>
      <c r="B1058" s="40"/>
      <c r="C1058" s="40"/>
      <c r="D1058" s="2">
        <v>61011</v>
      </c>
      <c r="E1058" s="56" t="s">
        <v>757</v>
      </c>
      <c r="F1058" s="40" t="s">
        <v>347</v>
      </c>
      <c r="G1058" s="40" t="s">
        <v>364</v>
      </c>
      <c r="H1058" s="40" t="s">
        <v>359</v>
      </c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</row>
    <row r="1059" spans="1:26" ht="15.75" customHeight="1">
      <c r="A1059" s="40"/>
      <c r="B1059" s="40"/>
      <c r="C1059" s="40"/>
      <c r="D1059" s="2">
        <v>61012</v>
      </c>
      <c r="E1059" s="56" t="s">
        <v>758</v>
      </c>
      <c r="F1059" s="40" t="s">
        <v>347</v>
      </c>
      <c r="G1059" s="40" t="s">
        <v>374</v>
      </c>
      <c r="H1059" s="40" t="s">
        <v>359</v>
      </c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</row>
    <row r="1060" spans="1:26" ht="15.75" customHeight="1">
      <c r="A1060" s="40"/>
      <c r="B1060" s="40"/>
      <c r="C1060" s="40"/>
      <c r="D1060" s="2">
        <v>61013</v>
      </c>
      <c r="E1060" s="56" t="s">
        <v>759</v>
      </c>
      <c r="F1060" s="40" t="s">
        <v>347</v>
      </c>
      <c r="G1060" s="40" t="s">
        <v>374</v>
      </c>
      <c r="H1060" s="40" t="s">
        <v>359</v>
      </c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</row>
    <row r="1061" spans="1:26" ht="15.75" customHeight="1">
      <c r="A1061" s="40"/>
      <c r="B1061" s="40"/>
      <c r="C1061" s="40"/>
      <c r="D1061" s="2">
        <v>24002</v>
      </c>
      <c r="E1061" s="56" t="s">
        <v>760</v>
      </c>
      <c r="F1061" s="40" t="s">
        <v>347</v>
      </c>
      <c r="G1061" s="40" t="s">
        <v>374</v>
      </c>
      <c r="H1061" s="40" t="s">
        <v>359</v>
      </c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</row>
    <row r="1062" spans="1:26" ht="15.75" customHeight="1">
      <c r="A1062" s="40"/>
      <c r="B1062" s="40"/>
      <c r="C1062" s="40"/>
      <c r="D1062" s="2">
        <v>24003</v>
      </c>
      <c r="E1062" s="56" t="s">
        <v>761</v>
      </c>
      <c r="F1062" s="40" t="s">
        <v>347</v>
      </c>
      <c r="G1062" s="40" t="s">
        <v>374</v>
      </c>
      <c r="H1062" s="40" t="s">
        <v>359</v>
      </c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</row>
    <row r="1063" spans="1:26" ht="15.75" customHeight="1">
      <c r="A1063" s="40"/>
      <c r="B1063" s="40"/>
      <c r="C1063" s="40"/>
      <c r="D1063" s="2">
        <v>24004</v>
      </c>
      <c r="E1063" s="56" t="s">
        <v>762</v>
      </c>
      <c r="F1063" s="40" t="s">
        <v>347</v>
      </c>
      <c r="G1063" s="40" t="s">
        <v>374</v>
      </c>
      <c r="H1063" s="40" t="s">
        <v>359</v>
      </c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</row>
    <row r="1064" spans="1:26" ht="15.75" customHeight="1">
      <c r="A1064" s="40"/>
      <c r="B1064" s="40"/>
      <c r="C1064" s="40"/>
      <c r="D1064" s="2">
        <v>24005</v>
      </c>
      <c r="E1064" s="56" t="s">
        <v>763</v>
      </c>
      <c r="F1064" s="40" t="s">
        <v>347</v>
      </c>
      <c r="G1064" s="40" t="s">
        <v>374</v>
      </c>
      <c r="H1064" s="40" t="s">
        <v>359</v>
      </c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</row>
    <row r="1065" spans="1:26" ht="15.75" customHeight="1">
      <c r="A1065" s="40"/>
      <c r="B1065" s="40"/>
      <c r="C1065" s="40"/>
      <c r="D1065" s="2">
        <v>24006</v>
      </c>
      <c r="E1065" s="56" t="s">
        <v>764</v>
      </c>
      <c r="F1065" s="40" t="s">
        <v>347</v>
      </c>
      <c r="G1065" s="40" t="s">
        <v>374</v>
      </c>
      <c r="H1065" s="40" t="s">
        <v>359</v>
      </c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</row>
    <row r="1066" spans="1:26" ht="15.75" customHeight="1">
      <c r="A1066" s="40"/>
      <c r="B1066" s="40"/>
      <c r="C1066" s="40"/>
      <c r="D1066" s="2">
        <v>24007</v>
      </c>
      <c r="E1066" s="56" t="s">
        <v>765</v>
      </c>
      <c r="F1066" s="40" t="s">
        <v>347</v>
      </c>
      <c r="G1066" s="40" t="s">
        <v>374</v>
      </c>
      <c r="H1066" s="40" t="s">
        <v>359</v>
      </c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</row>
    <row r="1067" spans="1:26" ht="15.75" customHeight="1">
      <c r="A1067" s="40"/>
      <c r="B1067" s="40"/>
      <c r="C1067" s="40"/>
      <c r="D1067" s="2">
        <v>24008</v>
      </c>
      <c r="E1067" s="56" t="s">
        <v>766</v>
      </c>
      <c r="F1067" s="40" t="s">
        <v>347</v>
      </c>
      <c r="G1067" s="40" t="s">
        <v>374</v>
      </c>
      <c r="H1067" s="40" t="s">
        <v>359</v>
      </c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</row>
    <row r="1068" spans="1:26" ht="15.75" customHeight="1">
      <c r="A1068" s="40"/>
      <c r="B1068" s="40"/>
      <c r="C1068" s="40"/>
      <c r="D1068" s="2">
        <v>24009</v>
      </c>
      <c r="E1068" s="56" t="s">
        <v>767</v>
      </c>
      <c r="F1068" s="40" t="s">
        <v>347</v>
      </c>
      <c r="G1068" s="40" t="s">
        <v>374</v>
      </c>
      <c r="H1068" s="40" t="s">
        <v>359</v>
      </c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</row>
    <row r="1069" spans="1:26" ht="15.75" customHeight="1">
      <c r="A1069" s="40"/>
      <c r="B1069" s="40"/>
      <c r="C1069" s="40"/>
      <c r="D1069" s="2">
        <v>23005</v>
      </c>
      <c r="E1069" s="56" t="s">
        <v>768</v>
      </c>
      <c r="F1069" s="40" t="s">
        <v>347</v>
      </c>
      <c r="G1069" s="40" t="s">
        <v>374</v>
      </c>
      <c r="H1069" s="40" t="s">
        <v>469</v>
      </c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</row>
    <row r="1070" spans="1:26" ht="15.75" customHeight="1">
      <c r="A1070" s="40"/>
      <c r="B1070" s="40"/>
      <c r="C1070" s="40"/>
      <c r="D1070" s="2">
        <v>23035</v>
      </c>
      <c r="E1070" s="56" t="s">
        <v>769</v>
      </c>
      <c r="F1070" s="40" t="s">
        <v>347</v>
      </c>
      <c r="G1070" s="40" t="s">
        <v>374</v>
      </c>
      <c r="H1070" s="40" t="s">
        <v>469</v>
      </c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</row>
    <row r="1071" spans="1:26" ht="15.75" customHeight="1">
      <c r="A1071" s="40"/>
      <c r="B1071" s="40"/>
      <c r="C1071" s="40"/>
      <c r="D1071" s="2">
        <v>27001</v>
      </c>
      <c r="E1071" s="56" t="s">
        <v>770</v>
      </c>
      <c r="F1071" s="40" t="s">
        <v>347</v>
      </c>
      <c r="G1071" s="40" t="s">
        <v>406</v>
      </c>
      <c r="H1071" s="40" t="s">
        <v>359</v>
      </c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</row>
    <row r="1072" spans="1:26" ht="15.75" customHeight="1">
      <c r="A1072" s="40"/>
      <c r="B1072" s="40"/>
      <c r="C1072" s="40"/>
      <c r="D1072" s="2">
        <v>27002</v>
      </c>
      <c r="E1072" s="56" t="s">
        <v>771</v>
      </c>
      <c r="F1072" s="40" t="s">
        <v>347</v>
      </c>
      <c r="G1072" s="40" t="s">
        <v>406</v>
      </c>
      <c r="H1072" s="40" t="s">
        <v>359</v>
      </c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</row>
    <row r="1073" spans="1:26" ht="15.75" customHeight="1">
      <c r="A1073" s="40"/>
      <c r="B1073" s="40"/>
      <c r="C1073" s="40"/>
      <c r="D1073" s="2">
        <v>20072</v>
      </c>
      <c r="E1073" s="56" t="s">
        <v>772</v>
      </c>
      <c r="F1073" s="40" t="s">
        <v>347</v>
      </c>
      <c r="G1073" s="40" t="s">
        <v>406</v>
      </c>
      <c r="H1073" s="40" t="s">
        <v>469</v>
      </c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</row>
    <row r="1074" spans="1:26" ht="15.75" customHeight="1">
      <c r="A1074" s="40"/>
      <c r="B1074" s="40"/>
      <c r="C1074" s="40"/>
      <c r="D1074" s="2">
        <v>20039</v>
      </c>
      <c r="E1074" s="56" t="s">
        <v>16</v>
      </c>
      <c r="F1074" s="40" t="s">
        <v>347</v>
      </c>
      <c r="G1074" s="40" t="s">
        <v>406</v>
      </c>
      <c r="H1074" s="40" t="s">
        <v>450</v>
      </c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</row>
    <row r="1075" spans="1:26" ht="15.75" customHeight="1">
      <c r="A1075" s="40"/>
      <c r="B1075" s="40"/>
      <c r="C1075" s="40"/>
      <c r="D1075" s="2">
        <v>20075</v>
      </c>
      <c r="E1075" s="56" t="s">
        <v>773</v>
      </c>
      <c r="F1075" s="40" t="s">
        <v>347</v>
      </c>
      <c r="G1075" s="40" t="s">
        <v>406</v>
      </c>
      <c r="H1075" s="40" t="s">
        <v>450</v>
      </c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</row>
    <row r="1076" spans="1:26" ht="15.75" customHeight="1">
      <c r="A1076" s="40"/>
      <c r="B1076" s="40"/>
      <c r="C1076" s="40"/>
      <c r="D1076" s="2">
        <v>300018</v>
      </c>
      <c r="E1076" s="56" t="s">
        <v>774</v>
      </c>
      <c r="F1076" s="40" t="s">
        <v>53</v>
      </c>
      <c r="G1076" s="2" t="s">
        <v>120</v>
      </c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</row>
    <row r="1077" spans="1:26" ht="15.75" customHeight="1">
      <c r="A1077" s="40"/>
      <c r="B1077" s="40"/>
      <c r="C1077" s="40"/>
      <c r="D1077" s="2">
        <v>300020</v>
      </c>
      <c r="E1077" s="56" t="s">
        <v>775</v>
      </c>
      <c r="F1077" s="40" t="s">
        <v>53</v>
      </c>
      <c r="G1077" s="2" t="s">
        <v>120</v>
      </c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</row>
    <row r="1078" spans="1:26" ht="15.75" customHeight="1">
      <c r="A1078" s="40"/>
      <c r="B1078" s="40"/>
      <c r="C1078" s="40"/>
      <c r="D1078" s="2">
        <v>300026</v>
      </c>
      <c r="E1078" s="56" t="s">
        <v>776</v>
      </c>
      <c r="F1078" s="40" t="s">
        <v>53</v>
      </c>
      <c r="G1078" s="2" t="s">
        <v>120</v>
      </c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</row>
    <row r="1079" spans="1:26" ht="15.75" customHeight="1">
      <c r="A1079" s="40"/>
      <c r="B1079" s="40"/>
      <c r="C1079" s="40"/>
      <c r="D1079" s="2">
        <v>300027</v>
      </c>
      <c r="E1079" s="56" t="s">
        <v>777</v>
      </c>
      <c r="F1079" s="40" t="s">
        <v>53</v>
      </c>
      <c r="G1079" s="2" t="s">
        <v>120</v>
      </c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</row>
    <row r="1080" spans="1:26" ht="15.75" customHeight="1">
      <c r="A1080" s="40"/>
      <c r="B1080" s="40"/>
      <c r="C1080" s="40"/>
      <c r="D1080" s="2">
        <v>300043</v>
      </c>
      <c r="E1080" s="56" t="s">
        <v>778</v>
      </c>
      <c r="F1080" s="40" t="s">
        <v>53</v>
      </c>
      <c r="G1080" s="2" t="s">
        <v>120</v>
      </c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</row>
    <row r="1081" spans="1:26" ht="15.75" customHeight="1">
      <c r="A1081" s="40"/>
      <c r="B1081" s="40"/>
      <c r="C1081" s="40"/>
      <c r="D1081" s="2">
        <v>310006</v>
      </c>
      <c r="E1081" s="56" t="s">
        <v>779</v>
      </c>
      <c r="F1081" s="40" t="s">
        <v>53</v>
      </c>
      <c r="G1081" s="2" t="s">
        <v>120</v>
      </c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</row>
    <row r="1082" spans="1:26" ht="15.75" customHeight="1">
      <c r="A1082" s="40"/>
      <c r="B1082" s="40"/>
      <c r="C1082" s="40"/>
      <c r="D1082" s="2">
        <v>310010</v>
      </c>
      <c r="E1082" s="56" t="s">
        <v>780</v>
      </c>
      <c r="F1082" s="40" t="s">
        <v>53</v>
      </c>
      <c r="G1082" s="2" t="s">
        <v>71</v>
      </c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</row>
    <row r="1083" spans="1:26" ht="15.75" customHeight="1">
      <c r="A1083" s="40"/>
      <c r="B1083" s="40"/>
      <c r="C1083" s="40"/>
      <c r="D1083" s="2">
        <v>20074</v>
      </c>
      <c r="E1083" s="56" t="s">
        <v>781</v>
      </c>
      <c r="F1083" s="40" t="s">
        <v>347</v>
      </c>
      <c r="G1083" s="40" t="s">
        <v>406</v>
      </c>
      <c r="H1083" s="40" t="s">
        <v>450</v>
      </c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</row>
    <row r="1084" spans="1:26" ht="15.75" customHeight="1">
      <c r="A1084" s="40"/>
      <c r="B1084" s="40"/>
      <c r="C1084" s="40"/>
      <c r="D1084" s="2">
        <v>300232</v>
      </c>
      <c r="E1084" s="56" t="s">
        <v>782</v>
      </c>
      <c r="F1084" s="40" t="s">
        <v>53</v>
      </c>
      <c r="G1084" s="2" t="s">
        <v>120</v>
      </c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</row>
    <row r="1085" spans="1:26" ht="15.75" customHeight="1">
      <c r="A1085" s="40"/>
      <c r="B1085" s="40"/>
      <c r="C1085" s="40"/>
      <c r="D1085" s="2">
        <v>300275</v>
      </c>
      <c r="E1085" s="56" t="s">
        <v>783</v>
      </c>
      <c r="F1085" s="40" t="s">
        <v>53</v>
      </c>
      <c r="G1085" s="2" t="s">
        <v>120</v>
      </c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</row>
    <row r="1086" spans="1:26" ht="15.75" customHeight="1">
      <c r="A1086" s="40"/>
      <c r="B1086" s="40"/>
      <c r="C1086" s="40"/>
      <c r="D1086" s="2">
        <v>310058</v>
      </c>
      <c r="E1086" s="56" t="s">
        <v>784</v>
      </c>
      <c r="F1086" s="40" t="s">
        <v>53</v>
      </c>
      <c r="G1086" s="2" t="s">
        <v>120</v>
      </c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</row>
    <row r="1087" spans="1:26" ht="15.75" customHeight="1">
      <c r="A1087" s="40"/>
      <c r="B1087" s="40"/>
      <c r="C1087" s="40"/>
      <c r="D1087" s="2">
        <v>20076</v>
      </c>
      <c r="E1087" s="56" t="s">
        <v>785</v>
      </c>
      <c r="F1087" s="40" t="s">
        <v>347</v>
      </c>
      <c r="G1087" s="40" t="s">
        <v>374</v>
      </c>
      <c r="H1087" s="64" t="s">
        <v>409</v>
      </c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</row>
    <row r="1088" spans="1:26" ht="15.75" customHeight="1">
      <c r="A1088" s="40"/>
      <c r="B1088" s="40"/>
      <c r="C1088" s="40"/>
      <c r="D1088" s="2">
        <v>90033</v>
      </c>
      <c r="E1088" s="56" t="s">
        <v>786</v>
      </c>
      <c r="F1088" s="40" t="s">
        <v>53</v>
      </c>
      <c r="G1088" s="2" t="s">
        <v>120</v>
      </c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</row>
    <row r="1089" spans="1:26" ht="15.75" customHeight="1">
      <c r="A1089" s="40"/>
      <c r="B1089" s="40"/>
      <c r="C1089" s="40"/>
      <c r="D1089" s="2">
        <v>300282</v>
      </c>
      <c r="E1089" s="56" t="s">
        <v>787</v>
      </c>
      <c r="F1089" s="40" t="s">
        <v>53</v>
      </c>
      <c r="G1089" s="2" t="s">
        <v>120</v>
      </c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</row>
    <row r="1090" spans="1:26" ht="15.75" customHeight="1">
      <c r="A1090" s="40"/>
      <c r="B1090" s="40"/>
      <c r="C1090" s="40"/>
      <c r="D1090" s="2">
        <v>24016</v>
      </c>
      <c r="E1090" s="56" t="s">
        <v>788</v>
      </c>
      <c r="F1090" s="40" t="s">
        <v>347</v>
      </c>
      <c r="G1090" s="40" t="s">
        <v>358</v>
      </c>
      <c r="H1090" s="40" t="s">
        <v>359</v>
      </c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</row>
    <row r="1091" spans="1:26" ht="15.75" customHeight="1">
      <c r="A1091" s="40"/>
      <c r="B1091" s="40"/>
      <c r="C1091" s="40"/>
      <c r="D1091" s="2">
        <v>24010</v>
      </c>
      <c r="E1091" s="56" t="s">
        <v>789</v>
      </c>
      <c r="F1091" s="40" t="s">
        <v>347</v>
      </c>
      <c r="G1091" s="40" t="s">
        <v>374</v>
      </c>
      <c r="H1091" s="40" t="s">
        <v>359</v>
      </c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</row>
    <row r="1092" spans="1:26" ht="15.75" customHeight="1">
      <c r="A1092" s="40"/>
      <c r="B1092" s="40"/>
      <c r="C1092" s="40"/>
      <c r="D1092" s="2">
        <v>24011</v>
      </c>
      <c r="E1092" s="56" t="s">
        <v>790</v>
      </c>
      <c r="F1092" s="40" t="s">
        <v>347</v>
      </c>
      <c r="G1092" s="40" t="s">
        <v>374</v>
      </c>
      <c r="H1092" s="40" t="s">
        <v>359</v>
      </c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</row>
    <row r="1093" spans="1:26" ht="15.75" customHeight="1">
      <c r="A1093" s="40"/>
      <c r="B1093" s="40"/>
      <c r="C1093" s="40"/>
      <c r="D1093" s="2">
        <v>24012</v>
      </c>
      <c r="E1093" s="56" t="s">
        <v>791</v>
      </c>
      <c r="F1093" s="40" t="s">
        <v>347</v>
      </c>
      <c r="G1093" s="40" t="s">
        <v>374</v>
      </c>
      <c r="H1093" s="40" t="s">
        <v>359</v>
      </c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</row>
    <row r="1094" spans="1:26" ht="15.75" customHeight="1">
      <c r="A1094" s="40"/>
      <c r="B1094" s="40"/>
      <c r="C1094" s="40"/>
      <c r="D1094" s="2">
        <v>24015</v>
      </c>
      <c r="E1094" s="56" t="s">
        <v>792</v>
      </c>
      <c r="F1094" s="40" t="s">
        <v>347</v>
      </c>
      <c r="G1094" s="40" t="s">
        <v>374</v>
      </c>
      <c r="H1094" s="40" t="s">
        <v>359</v>
      </c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</row>
    <row r="1095" spans="1:26" ht="15.75" customHeight="1">
      <c r="A1095" s="40"/>
      <c r="B1095" s="40"/>
      <c r="C1095" s="40"/>
      <c r="D1095" s="2">
        <v>24019</v>
      </c>
      <c r="E1095" s="56" t="s">
        <v>793</v>
      </c>
      <c r="F1095" s="40" t="s">
        <v>347</v>
      </c>
      <c r="G1095" s="40" t="s">
        <v>374</v>
      </c>
      <c r="H1095" s="40" t="s">
        <v>359</v>
      </c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</row>
    <row r="1096" spans="1:26" ht="15.75" customHeight="1">
      <c r="A1096" s="40"/>
      <c r="B1096" s="40"/>
      <c r="C1096" s="40"/>
      <c r="D1096" s="2">
        <v>24017</v>
      </c>
      <c r="E1096" s="56" t="s">
        <v>794</v>
      </c>
      <c r="F1096" s="40" t="s">
        <v>347</v>
      </c>
      <c r="G1096" s="40" t="s">
        <v>364</v>
      </c>
      <c r="H1096" s="40" t="s">
        <v>359</v>
      </c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</row>
    <row r="1097" spans="1:26" ht="15.75" customHeight="1">
      <c r="A1097" s="40"/>
      <c r="B1097" s="40"/>
      <c r="C1097" s="40"/>
      <c r="D1097" s="2">
        <v>24018</v>
      </c>
      <c r="E1097" s="56" t="s">
        <v>795</v>
      </c>
      <c r="F1097" s="40" t="s">
        <v>347</v>
      </c>
      <c r="G1097" s="40" t="s">
        <v>364</v>
      </c>
      <c r="H1097" s="40" t="s">
        <v>359</v>
      </c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</row>
    <row r="1098" spans="1:26" ht="15.75" customHeight="1">
      <c r="A1098" s="40"/>
      <c r="B1098" s="40"/>
      <c r="C1098" s="40"/>
      <c r="D1098" s="2">
        <v>24013</v>
      </c>
      <c r="E1098" s="56" t="s">
        <v>796</v>
      </c>
      <c r="F1098" s="40" t="s">
        <v>347</v>
      </c>
      <c r="G1098" s="40" t="s">
        <v>406</v>
      </c>
      <c r="H1098" s="40" t="s">
        <v>359</v>
      </c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</row>
    <row r="1099" spans="1:26" ht="15.75" customHeight="1">
      <c r="A1099" s="40"/>
      <c r="B1099" s="40"/>
      <c r="C1099" s="40"/>
      <c r="D1099" s="2">
        <v>24014</v>
      </c>
      <c r="E1099" s="56" t="s">
        <v>797</v>
      </c>
      <c r="F1099" s="40" t="s">
        <v>347</v>
      </c>
      <c r="G1099" s="40" t="s">
        <v>406</v>
      </c>
      <c r="H1099" s="40" t="s">
        <v>359</v>
      </c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</row>
    <row r="1100" spans="1:26" ht="15.75" customHeight="1">
      <c r="A1100" s="40"/>
      <c r="B1100" s="40"/>
      <c r="C1100" s="40"/>
      <c r="D1100" s="2">
        <v>20077</v>
      </c>
      <c r="E1100" s="56" t="s">
        <v>798</v>
      </c>
      <c r="F1100" s="40" t="s">
        <v>347</v>
      </c>
      <c r="G1100" s="40" t="s">
        <v>406</v>
      </c>
      <c r="H1100" s="40" t="s">
        <v>428</v>
      </c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</row>
    <row r="1101" spans="1:26" ht="15.75" customHeight="1">
      <c r="A1101" s="40"/>
      <c r="B1101" s="40"/>
      <c r="C1101" s="40"/>
      <c r="D1101" s="2">
        <v>23038</v>
      </c>
      <c r="E1101" s="56" t="s">
        <v>799</v>
      </c>
      <c r="F1101" s="40" t="s">
        <v>347</v>
      </c>
      <c r="G1101" s="40" t="s">
        <v>358</v>
      </c>
      <c r="H1101" s="40" t="s">
        <v>359</v>
      </c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</row>
    <row r="1102" spans="1:26" ht="15.75" customHeight="1">
      <c r="A1102" s="40"/>
      <c r="B1102" s="40"/>
      <c r="C1102" s="40"/>
      <c r="D1102" s="2">
        <v>23040</v>
      </c>
      <c r="E1102" s="56" t="s">
        <v>800</v>
      </c>
      <c r="F1102" s="40" t="s">
        <v>347</v>
      </c>
      <c r="G1102" s="40" t="s">
        <v>374</v>
      </c>
      <c r="H1102" s="40" t="s">
        <v>359</v>
      </c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</row>
    <row r="1103" spans="1:26" ht="15.75" customHeight="1">
      <c r="A1103" s="40"/>
      <c r="B1103" s="40"/>
      <c r="C1103" s="40"/>
      <c r="D1103" s="2">
        <v>23039</v>
      </c>
      <c r="E1103" s="56" t="s">
        <v>801</v>
      </c>
      <c r="F1103" s="40" t="s">
        <v>347</v>
      </c>
      <c r="G1103" s="40" t="s">
        <v>406</v>
      </c>
      <c r="H1103" s="40" t="s">
        <v>359</v>
      </c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</row>
    <row r="1104" spans="1:26" ht="15.75" customHeight="1">
      <c r="A1104" s="40"/>
      <c r="B1104" s="40"/>
      <c r="C1104" s="40"/>
      <c r="D1104" s="2">
        <v>61014</v>
      </c>
      <c r="E1104" s="2" t="s">
        <v>802</v>
      </c>
      <c r="F1104" s="40" t="s">
        <v>347</v>
      </c>
      <c r="G1104" s="40" t="s">
        <v>374</v>
      </c>
      <c r="H1104" s="59" t="s">
        <v>521</v>
      </c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</row>
    <row r="1105" spans="1:26" ht="15.75" customHeight="1">
      <c r="A1105" s="40"/>
      <c r="B1105" s="40"/>
      <c r="C1105" s="40"/>
      <c r="D1105" s="2">
        <v>23041</v>
      </c>
      <c r="E1105" s="2" t="s">
        <v>803</v>
      </c>
      <c r="F1105" s="40" t="s">
        <v>347</v>
      </c>
      <c r="G1105" s="40" t="s">
        <v>358</v>
      </c>
      <c r="H1105" s="40" t="s">
        <v>359</v>
      </c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</row>
    <row r="1106" spans="1:26" ht="15.75" customHeight="1">
      <c r="A1106" s="40"/>
      <c r="B1106" s="40"/>
      <c r="C1106" s="40"/>
      <c r="D1106" s="2">
        <v>61016</v>
      </c>
      <c r="E1106" s="2" t="s">
        <v>804</v>
      </c>
      <c r="F1106" s="40" t="s">
        <v>347</v>
      </c>
      <c r="G1106" s="40" t="s">
        <v>358</v>
      </c>
      <c r="H1106" s="40" t="s">
        <v>359</v>
      </c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</row>
    <row r="1107" spans="1:26" ht="15.75" customHeight="1">
      <c r="A1107" s="40"/>
      <c r="B1107" s="40"/>
      <c r="C1107" s="40"/>
      <c r="D1107" s="2">
        <v>61015</v>
      </c>
      <c r="E1107" s="2" t="s">
        <v>805</v>
      </c>
      <c r="F1107" s="40" t="s">
        <v>347</v>
      </c>
      <c r="G1107" s="40" t="s">
        <v>374</v>
      </c>
      <c r="H1107" s="40" t="s">
        <v>359</v>
      </c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</row>
    <row r="1108" spans="1:26" ht="15.75" customHeight="1">
      <c r="A1108" s="40"/>
      <c r="B1108" s="40"/>
      <c r="C1108" s="40"/>
      <c r="D1108" s="2">
        <v>61019</v>
      </c>
      <c r="E1108" s="2" t="s">
        <v>806</v>
      </c>
      <c r="F1108" s="40" t="s">
        <v>347</v>
      </c>
      <c r="G1108" s="40" t="s">
        <v>374</v>
      </c>
      <c r="H1108" s="64" t="s">
        <v>428</v>
      </c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</row>
    <row r="1109" spans="1:26" ht="15.75" customHeight="1">
      <c r="A1109" s="40"/>
      <c r="B1109" s="40"/>
      <c r="C1109" s="40"/>
      <c r="D1109" s="2">
        <v>61018</v>
      </c>
      <c r="E1109" s="2" t="s">
        <v>807</v>
      </c>
      <c r="F1109" s="40" t="s">
        <v>347</v>
      </c>
      <c r="G1109" s="40" t="s">
        <v>364</v>
      </c>
      <c r="H1109" s="40" t="s">
        <v>359</v>
      </c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</row>
    <row r="1110" spans="1:26" ht="15.75" customHeight="1">
      <c r="A1110" s="40"/>
      <c r="B1110" s="40"/>
      <c r="C1110" s="40"/>
      <c r="D1110" s="2">
        <v>20078</v>
      </c>
      <c r="E1110" s="2" t="s">
        <v>808</v>
      </c>
      <c r="F1110" s="40" t="s">
        <v>809</v>
      </c>
      <c r="G1110" s="40" t="s">
        <v>84</v>
      </c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</row>
    <row r="1111" spans="1:26" ht="15.75" customHeight="1">
      <c r="A1111" s="40"/>
      <c r="B1111" s="40"/>
      <c r="C1111" s="40"/>
      <c r="D1111" s="2">
        <v>61017</v>
      </c>
      <c r="E1111" s="2" t="s">
        <v>810</v>
      </c>
      <c r="F1111" s="40" t="s">
        <v>347</v>
      </c>
      <c r="G1111" s="40" t="s">
        <v>406</v>
      </c>
      <c r="H1111" s="40" t="s">
        <v>359</v>
      </c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</row>
    <row r="1112" spans="1:26" ht="15.75" customHeight="1">
      <c r="A1112" s="40"/>
      <c r="B1112" s="40"/>
      <c r="C1112" s="40"/>
      <c r="D1112" s="2">
        <v>4107</v>
      </c>
      <c r="E1112" s="2" t="s">
        <v>811</v>
      </c>
      <c r="F1112" s="40" t="s">
        <v>347</v>
      </c>
      <c r="G1112" s="40" t="s">
        <v>348</v>
      </c>
      <c r="H1112" s="40" t="s">
        <v>348</v>
      </c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</row>
    <row r="1113" spans="1:26" ht="15.75" customHeight="1">
      <c r="A1113" s="40"/>
      <c r="B1113" s="40"/>
      <c r="C1113" s="40"/>
      <c r="D1113" s="2">
        <v>25000</v>
      </c>
      <c r="E1113" s="2" t="s">
        <v>812</v>
      </c>
      <c r="F1113" s="40" t="s">
        <v>347</v>
      </c>
      <c r="G1113" s="55" t="s">
        <v>813</v>
      </c>
      <c r="H1113" s="55" t="s">
        <v>813</v>
      </c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</row>
    <row r="1114" spans="1:26" ht="15.75" customHeight="1">
      <c r="A1114" s="40"/>
      <c r="B1114" s="40"/>
      <c r="C1114" s="40"/>
      <c r="D1114" s="2">
        <v>20091</v>
      </c>
      <c r="E1114" s="2" t="s">
        <v>814</v>
      </c>
      <c r="F1114" s="40" t="s">
        <v>347</v>
      </c>
      <c r="G1114" s="40" t="s">
        <v>406</v>
      </c>
      <c r="H1114" s="40" t="s">
        <v>815</v>
      </c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</row>
    <row r="1115" spans="1:26" ht="15.75" customHeight="1">
      <c r="A1115" s="40"/>
      <c r="B1115" s="40"/>
      <c r="C1115" s="40"/>
      <c r="D1115" s="2" t="s">
        <v>816</v>
      </c>
      <c r="E1115" s="2" t="s">
        <v>812</v>
      </c>
      <c r="F1115" s="40" t="s">
        <v>347</v>
      </c>
      <c r="G1115" s="55" t="s">
        <v>813</v>
      </c>
      <c r="H1115" s="40"/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</row>
    <row r="1116" spans="1:26" ht="15" customHeight="1">
      <c r="D1116" s="444" t="s">
        <v>1178</v>
      </c>
      <c r="E1116" s="2" t="s">
        <v>1180</v>
      </c>
      <c r="F1116" s="40" t="s">
        <v>53</v>
      </c>
      <c r="G1116" s="2" t="s">
        <v>1180</v>
      </c>
    </row>
    <row r="1117" spans="1:26" ht="15" customHeight="1">
      <c r="D1117" s="444" t="s">
        <v>1179</v>
      </c>
      <c r="E1117" s="444" t="s">
        <v>1181</v>
      </c>
      <c r="F1117" s="40" t="s">
        <v>53</v>
      </c>
      <c r="G1117" s="444" t="s">
        <v>1181</v>
      </c>
    </row>
    <row r="1118" spans="1:26" ht="15" customHeight="1">
      <c r="D1118" s="444" t="s">
        <v>1182</v>
      </c>
      <c r="E1118" s="444" t="s">
        <v>1183</v>
      </c>
      <c r="F1118" s="40" t="s">
        <v>347</v>
      </c>
      <c r="G1118" s="444" t="s">
        <v>406</v>
      </c>
      <c r="H1118" s="444" t="s">
        <v>461</v>
      </c>
    </row>
    <row r="1119" spans="1:26" ht="15" customHeight="1">
      <c r="D1119" s="444" t="s">
        <v>1184</v>
      </c>
      <c r="E1119" s="444" t="s">
        <v>1185</v>
      </c>
      <c r="F1119" s="40" t="s">
        <v>347</v>
      </c>
      <c r="G1119" s="444" t="s">
        <v>500</v>
      </c>
      <c r="H1119" s="494" t="s">
        <v>1186</v>
      </c>
    </row>
  </sheetData>
  <autoFilter ref="A1:J780" xr:uid="{00000000-0009-0000-0000-000001000000}"/>
  <phoneticPr fontId="59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CF1B-73D2-7F4A-AB37-798D5D8B37A7}">
  <sheetPr>
    <tabColor theme="9" tint="-0.249977111117893"/>
  </sheetPr>
  <dimension ref="A1:I64"/>
  <sheetViews>
    <sheetView topLeftCell="A28" zoomScale="160" zoomScaleNormal="160" workbookViewId="0">
      <selection activeCell="B37" sqref="B37"/>
    </sheetView>
  </sheetViews>
  <sheetFormatPr defaultColWidth="11.42578125" defaultRowHeight="12.75"/>
  <cols>
    <col min="1" max="1" width="8.85546875" customWidth="1"/>
    <col min="2" max="2" width="36.42578125" bestFit="1" customWidth="1"/>
    <col min="3" max="3" width="13.42578125" customWidth="1"/>
    <col min="5" max="5" width="1.85546875" style="565" customWidth="1"/>
    <col min="6" max="6" width="5.28515625" customWidth="1"/>
    <col min="7" max="7" width="33.7109375" customWidth="1"/>
    <col min="8" max="8" width="15.140625" bestFit="1" customWidth="1"/>
  </cols>
  <sheetData>
    <row r="1" spans="1:9">
      <c r="A1" s="424">
        <v>44561</v>
      </c>
    </row>
    <row r="2" spans="1:9">
      <c r="A2" s="426" t="s">
        <v>1212</v>
      </c>
    </row>
    <row r="3" spans="1:9">
      <c r="A3" s="426" t="s">
        <v>1066</v>
      </c>
    </row>
    <row r="4" spans="1:9">
      <c r="A4" s="426" t="s">
        <v>32</v>
      </c>
    </row>
    <row r="5" spans="1:9">
      <c r="A5" s="426"/>
    </row>
    <row r="6" spans="1:9" ht="13.5" thickBot="1">
      <c r="A6" s="426"/>
    </row>
    <row r="7" spans="1:9" ht="13.5" thickBot="1">
      <c r="A7" s="681" t="s">
        <v>53</v>
      </c>
      <c r="B7" s="682"/>
      <c r="C7" s="682"/>
      <c r="D7" s="683"/>
      <c r="F7" s="681" t="s">
        <v>347</v>
      </c>
      <c r="G7" s="682"/>
      <c r="H7" s="682"/>
      <c r="I7" s="683"/>
    </row>
    <row r="8" spans="1:9">
      <c r="A8" s="426"/>
    </row>
    <row r="9" spans="1:9">
      <c r="A9" s="426"/>
    </row>
    <row r="10" spans="1:9">
      <c r="A10" s="426"/>
      <c r="C10" s="411">
        <v>44561</v>
      </c>
      <c r="H10" s="411">
        <v>44561</v>
      </c>
    </row>
    <row r="11" spans="1:9" ht="15">
      <c r="A11" s="426"/>
      <c r="C11" s="412" t="s">
        <v>882</v>
      </c>
      <c r="H11" s="412" t="s">
        <v>882</v>
      </c>
    </row>
    <row r="12" spans="1:9">
      <c r="A12" s="426"/>
    </row>
    <row r="14" spans="1:9" ht="15">
      <c r="A14" s="75"/>
      <c r="B14" s="75" t="s">
        <v>884</v>
      </c>
      <c r="G14" s="76" t="s">
        <v>1260</v>
      </c>
      <c r="H14" s="571">
        <f>'P&amp;L USD CONS'!I7</f>
        <v>-163070.24040021293</v>
      </c>
    </row>
    <row r="15" spans="1:9" ht="15">
      <c r="A15" s="76"/>
      <c r="B15" s="76"/>
      <c r="G15" s="1"/>
      <c r="H15" s="571"/>
    </row>
    <row r="16" spans="1:9" ht="15">
      <c r="A16" s="54"/>
      <c r="B16" s="54" t="s">
        <v>54</v>
      </c>
      <c r="C16" s="450">
        <f>(SUMIF('BS LTD USD '!B:B,$B16,'BS LTD USD '!F:F)+SUMIF('BS &amp; P&amp;L INC '!D:D,$B16,'BS &amp; P&amp;L INC '!H:H))/1000</f>
        <v>48515.492079999996</v>
      </c>
      <c r="G16" s="54" t="s">
        <v>358</v>
      </c>
      <c r="H16" s="571">
        <f>'P&amp;L USD CONS'!I9</f>
        <v>12204.050762893636</v>
      </c>
    </row>
    <row r="17" spans="1:8" ht="15.75" thickBot="1">
      <c r="A17" s="54" t="s">
        <v>889</v>
      </c>
      <c r="B17" s="54" t="s">
        <v>1277</v>
      </c>
      <c r="C17" s="450">
        <f>(SUMIF('BS LTD USD '!B:B,$A17,'BS LTD USD '!F:F)+SUMIF('BS &amp; P&amp;L INC '!D:D,$A17,'BS &amp; P&amp;L INC '!H:H))/1000</f>
        <v>16.077169999999999</v>
      </c>
      <c r="G17" s="566" t="s">
        <v>898</v>
      </c>
      <c r="H17" s="109">
        <f>'P&amp;L USD CONS'!I10</f>
        <v>-150866.1896373193</v>
      </c>
    </row>
    <row r="18" spans="1:8" ht="15.75" thickTop="1">
      <c r="A18" s="54"/>
      <c r="B18" s="54" t="s">
        <v>62</v>
      </c>
      <c r="C18" s="450">
        <f>(SUMIF('BS LTD USD '!B:B,$B18,'BS LTD USD '!F:F)+SUMIF('BS &amp; P&amp;L INC '!D:D,$B18,'BS &amp; P&amp;L INC '!H:H))/1000</f>
        <v>1196.0119100000002</v>
      </c>
      <c r="G18" s="54"/>
      <c r="H18" s="572"/>
    </row>
    <row r="19" spans="1:8" ht="15">
      <c r="A19" s="54"/>
      <c r="B19" s="54" t="s">
        <v>290</v>
      </c>
      <c r="C19" s="450">
        <f>(SUMIF('BS LTD USD '!B:B,$B19,'BS LTD USD '!F:F)+SUMIF('BS &amp; P&amp;L INC '!D:D,$B19,'BS &amp; P&amp;L INC '!H:H))/1000</f>
        <v>0</v>
      </c>
      <c r="G19" s="1"/>
      <c r="H19" s="571"/>
    </row>
    <row r="20" spans="1:8" ht="15">
      <c r="A20" s="54" t="s">
        <v>71</v>
      </c>
      <c r="B20" s="54" t="s">
        <v>1276</v>
      </c>
      <c r="C20" s="449">
        <f>(SUMIF('BS LTD USD '!B:B,$A20,'BS LTD USD '!F:F)+SUMIF('BS &amp; P&amp;L INC '!D:D,$A20,'BS &amp; P&amp;L INC '!H:H))/1000+'BS USD CONS '!L16</f>
        <v>2484.7224700000002</v>
      </c>
      <c r="G20" s="54" t="s">
        <v>374</v>
      </c>
      <c r="H20" s="571">
        <f>'P&amp;L USD CONS'!I13</f>
        <v>11109.840780000002</v>
      </c>
    </row>
    <row r="21" spans="1:8" ht="15">
      <c r="A21" s="54"/>
      <c r="B21" s="54"/>
      <c r="C21" s="560">
        <f>SUM(C16:C20)</f>
        <v>52212.303629999995</v>
      </c>
      <c r="G21" s="54"/>
      <c r="H21" s="572"/>
    </row>
    <row r="22" spans="1:8" ht="15">
      <c r="A22" s="54"/>
      <c r="B22" s="54"/>
      <c r="G22" s="54"/>
      <c r="H22" s="571"/>
    </row>
    <row r="23" spans="1:8" ht="15">
      <c r="A23" s="54"/>
      <c r="B23" s="75" t="s">
        <v>890</v>
      </c>
      <c r="G23" s="54" t="s">
        <v>364</v>
      </c>
      <c r="H23" s="571">
        <f>'P&amp;L USD CONS'!I16</f>
        <v>124286.33304979846</v>
      </c>
    </row>
    <row r="24" spans="1:8" ht="15">
      <c r="A24" s="75"/>
      <c r="B24" s="75"/>
      <c r="G24" s="54"/>
      <c r="H24" s="572"/>
    </row>
    <row r="25" spans="1:8" ht="15">
      <c r="A25" s="1"/>
      <c r="B25" s="54" t="s">
        <v>1253</v>
      </c>
      <c r="C25" s="450">
        <f>(SUMIF('BS LTD USD '!B:B,$A26,'BS LTD USD '!F:F)+SUMIF('BS &amp; P&amp;L INC '!D:D,$A26,'BS &amp; P&amp;L INC '!H:H))/1000</f>
        <v>501.89529999999996</v>
      </c>
      <c r="G25" s="54"/>
      <c r="H25" s="571"/>
    </row>
    <row r="26" spans="1:8" ht="15">
      <c r="A26" s="54" t="s">
        <v>99</v>
      </c>
      <c r="B26" s="54" t="s">
        <v>1254</v>
      </c>
      <c r="C26" s="450">
        <f>'BS USD CONS '!L23</f>
        <v>409.12167068222897</v>
      </c>
      <c r="G26" s="54" t="s">
        <v>406</v>
      </c>
      <c r="H26" s="571">
        <f>'P&amp;L USD CONS'!I19</f>
        <v>3875.8446617899053</v>
      </c>
    </row>
    <row r="27" spans="1:8" ht="15">
      <c r="A27" s="54" t="s">
        <v>885</v>
      </c>
      <c r="B27" s="1" t="s">
        <v>1278</v>
      </c>
      <c r="C27" s="450">
        <f>+(SUMIF('BS LTD USD '!B:B,$A27,'BS LTD USD '!F:F)+SUMIF('BS &amp; P&amp;L INC '!D:D,$A27,'BS &amp; P&amp;L INC '!H:H))/1000</f>
        <v>199.999</v>
      </c>
      <c r="G27" s="54"/>
      <c r="H27" s="571"/>
    </row>
    <row r="28" spans="1:8" ht="15">
      <c r="A28" s="54"/>
      <c r="B28" s="54" t="s">
        <v>1255</v>
      </c>
      <c r="C28" s="449">
        <f>'BS USD CONS '!L24</f>
        <v>939.40895045432819</v>
      </c>
      <c r="G28" s="54"/>
      <c r="H28" s="572"/>
    </row>
    <row r="29" spans="1:8" ht="15">
      <c r="A29" s="83"/>
      <c r="B29" s="54"/>
      <c r="C29" s="560">
        <f>SUM(C25:C28)</f>
        <v>2050.4249211365573</v>
      </c>
      <c r="G29" s="54"/>
      <c r="H29" s="571"/>
    </row>
    <row r="30" spans="1:8" ht="15">
      <c r="A30" s="54"/>
      <c r="B30" s="54"/>
      <c r="G30" s="567" t="s">
        <v>899</v>
      </c>
      <c r="H30" s="116">
        <f>'P&amp;L USD CONS'!I23</f>
        <v>139272.01849158836</v>
      </c>
    </row>
    <row r="31" spans="1:8" ht="15.75" thickBot="1">
      <c r="A31" s="54"/>
      <c r="B31" s="83" t="s">
        <v>891</v>
      </c>
      <c r="C31" s="561">
        <f>C29+C21</f>
        <v>54262.728551136555</v>
      </c>
      <c r="G31" s="54"/>
      <c r="H31" s="571"/>
    </row>
    <row r="32" spans="1:8" ht="15.75" thickTop="1">
      <c r="A32" s="75"/>
      <c r="B32" s="54"/>
      <c r="G32" s="568" t="s">
        <v>1275</v>
      </c>
      <c r="H32" s="573">
        <f>'P&amp;L USD CONS'!I25</f>
        <v>-11594.171145730943</v>
      </c>
    </row>
    <row r="33" spans="1:8" ht="15">
      <c r="A33" s="54"/>
      <c r="B33" s="54"/>
      <c r="G33" s="76"/>
      <c r="H33" s="574"/>
    </row>
    <row r="34" spans="1:8" ht="15">
      <c r="A34" s="54"/>
      <c r="B34" s="75" t="s">
        <v>892</v>
      </c>
      <c r="G34" s="76" t="s">
        <v>500</v>
      </c>
      <c r="H34" s="571">
        <f>'P&amp;L USD CONS'!I27</f>
        <v>2096.0473214572999</v>
      </c>
    </row>
    <row r="35" spans="1:8" ht="15">
      <c r="A35" s="54"/>
      <c r="B35" s="54"/>
      <c r="G35" s="54"/>
      <c r="H35" s="571"/>
    </row>
    <row r="36" spans="1:8" ht="15">
      <c r="A36" s="54" t="s">
        <v>120</v>
      </c>
      <c r="B36" s="54" t="s">
        <v>1279</v>
      </c>
      <c r="C36" s="450">
        <f>(SUMIF('BS LTD USD '!B:B,$A36,'BS LTD USD '!F:F)+SUMIF('BS &amp; P&amp;L INC '!D:D,$A36,'BS &amp; P&amp;L INC '!H:H))/1000</f>
        <v>-13433.834719999999</v>
      </c>
      <c r="G36" s="54" t="s">
        <v>901</v>
      </c>
      <c r="H36" s="571">
        <f>'P&amp;L USD CONS'!I29</f>
        <v>0</v>
      </c>
    </row>
    <row r="37" spans="1:8" ht="15">
      <c r="A37" s="54" t="s">
        <v>544</v>
      </c>
      <c r="B37" s="54" t="s">
        <v>1281</v>
      </c>
      <c r="C37" s="450">
        <f>(SUMIF('BS LTD USD '!B:B,$A37,'BS LTD USD '!F:F)+SUMIF('BS &amp; P&amp;L INC '!D:D,$A37,'BS &amp; P&amp;L INC '!H:H))/1000</f>
        <v>-2033.3340000000001</v>
      </c>
      <c r="G37" s="54"/>
      <c r="H37" s="571"/>
    </row>
    <row r="38" spans="1:8" ht="15">
      <c r="A38" s="54"/>
      <c r="B38" s="54" t="s">
        <v>520</v>
      </c>
      <c r="C38" s="450">
        <f>(SUMIF('BS LTD USD '!B:B,$B38,'BS LTD USD '!F:F)+SUMIF('BS &amp; P&amp;L INC '!D:D,$B38,'BS &amp; P&amp;L INC '!H:H))/1000</f>
        <v>-4087.6570000000002</v>
      </c>
      <c r="G38" s="54" t="s">
        <v>813</v>
      </c>
      <c r="H38" s="571">
        <f>'P&amp;L USD CONS'!I31</f>
        <v>0</v>
      </c>
    </row>
    <row r="39" spans="1:8" ht="15">
      <c r="A39" s="54"/>
      <c r="B39" s="54" t="s">
        <v>887</v>
      </c>
      <c r="C39" s="450">
        <f>(SUMIF('BS LTD USD '!B:B,$B39,'BS LTD USD '!F:F)+SUMIF('BS &amp; P&amp;L INC '!D:D,$B39,'BS &amp; P&amp;L INC '!H:H))/1000</f>
        <v>0</v>
      </c>
      <c r="G39" s="54"/>
      <c r="H39" s="571"/>
    </row>
    <row r="40" spans="1:8" ht="15.75" thickBot="1">
      <c r="A40" s="54" t="s">
        <v>1151</v>
      </c>
      <c r="B40" s="54" t="s">
        <v>1207</v>
      </c>
      <c r="C40" s="450">
        <f>(SUMIF('BS LTD USD '!B:B,$B40,'BS LTD USD '!F:F)+SUMIF('BS &amp; P&amp;L INC '!D:D,$B40,'BS &amp; P&amp;L INC '!H:H))/1000</f>
        <v>-385.35968776446174</v>
      </c>
      <c r="G40" s="569" t="s">
        <v>902</v>
      </c>
      <c r="H40" s="122">
        <f>'P&amp;L USD CONS'!I33</f>
        <v>-9498.1238242736435</v>
      </c>
    </row>
    <row r="41" spans="1:8" ht="15.75" thickTop="1">
      <c r="A41" s="54" t="s">
        <v>84</v>
      </c>
      <c r="B41" s="54" t="s">
        <v>1280</v>
      </c>
      <c r="C41" s="450">
        <f>(SUMIF('BS LTD USD '!B:B,$A41,'BS LTD USD '!F:F)+SUMIF('BS &amp; P&amp;L INC '!D:D,$A41,'BS &amp; P&amp;L INC '!H:H))/1000+(SUMIF('BS LTD USD '!B:B,$A40,'BS LTD USD '!F:F)+SUMIF('BS &amp; P&amp;L INC '!D:D,$A40,'BS &amp; P&amp;L INC '!H:H))/1000+'BS USD CONS '!L38</f>
        <v>-20587.203390350383</v>
      </c>
      <c r="G41" s="54"/>
      <c r="H41" s="571"/>
    </row>
    <row r="42" spans="1:8" ht="15">
      <c r="A42" s="54"/>
      <c r="B42" s="54"/>
      <c r="C42" s="562">
        <f>SUM(C36:C41)</f>
        <v>-40527.388798114844</v>
      </c>
      <c r="G42" s="54" t="s">
        <v>549</v>
      </c>
      <c r="H42" s="571">
        <f>'P&amp;L USD CONS'!I35</f>
        <v>1430.6490997385979</v>
      </c>
    </row>
    <row r="43" spans="1:8" ht="15">
      <c r="A43" s="54"/>
      <c r="B43" s="54"/>
      <c r="G43" s="54"/>
      <c r="H43" s="571"/>
    </row>
    <row r="44" spans="1:8" ht="15.75" thickBot="1">
      <c r="A44" s="54" t="s">
        <v>893</v>
      </c>
      <c r="B44" s="54" t="s">
        <v>1282</v>
      </c>
      <c r="C44" s="450">
        <f>(SUMIF('BS LTD USD '!B:B,$A44,'BS LTD USD '!F:F)+SUMIF('BS &amp; P&amp;L INC '!D:D,$A44,'BS &amp; P&amp;L INC '!H:H))/1000</f>
        <v>-533.33271999999999</v>
      </c>
      <c r="G44" s="570" t="s">
        <v>903</v>
      </c>
      <c r="H44" s="126">
        <f>'P&amp;L USD CONS'!I37</f>
        <v>-8067.4747245350454</v>
      </c>
    </row>
    <row r="45" spans="1:8" ht="15.75" thickTop="1">
      <c r="A45" s="86"/>
      <c r="B45" s="54" t="s">
        <v>294</v>
      </c>
      <c r="C45" s="450">
        <f>(SUMIF('BS LTD USD '!B:B,$B45,'BS LTD USD '!F:F)+SUMIF('BS &amp; P&amp;L INC '!D:D,$B45,'BS &amp; P&amp;L INC '!H:H))/1000</f>
        <v>-500</v>
      </c>
    </row>
    <row r="46" spans="1:8" ht="15">
      <c r="A46" s="83"/>
      <c r="B46" s="54" t="s">
        <v>516</v>
      </c>
      <c r="C46" s="450">
        <f>(SUMIF('BS LTD USD '!B:B,$B46,'BS LTD USD '!F:F)+SUMIF('BS &amp; P&amp;L INC '!D:D,$B46,'BS &amp; P&amp;L INC '!H:H))/1000</f>
        <v>0</v>
      </c>
    </row>
    <row r="47" spans="1:8" ht="15">
      <c r="A47" s="54"/>
      <c r="B47" s="54"/>
      <c r="C47" s="562">
        <f>SUM(C44:C46)</f>
        <v>-1033.3327199999999</v>
      </c>
    </row>
    <row r="48" spans="1:8" ht="15">
      <c r="A48" s="75"/>
      <c r="B48" s="86"/>
    </row>
    <row r="49" spans="1:3" ht="15.75" thickBot="1">
      <c r="A49" s="90"/>
      <c r="B49" s="83" t="s">
        <v>894</v>
      </c>
      <c r="C49" s="561">
        <f>C47+C42</f>
        <v>-41560.721518114842</v>
      </c>
    </row>
    <row r="50" spans="1:3" ht="15.75" thickTop="1">
      <c r="A50" s="54"/>
      <c r="B50" s="54"/>
    </row>
    <row r="51" spans="1:3" ht="15">
      <c r="A51" s="148"/>
      <c r="B51" s="75" t="s">
        <v>895</v>
      </c>
    </row>
    <row r="52" spans="1:3" ht="15">
      <c r="A52" s="148"/>
      <c r="B52" s="90"/>
    </row>
    <row r="53" spans="1:3" ht="15">
      <c r="A53" s="149"/>
      <c r="B53" s="54" t="s">
        <v>303</v>
      </c>
      <c r="C53" s="450">
        <f>(SUMIF('BS LTD USD '!B:B,$B53,'BS LTD USD '!F:F)+SUMIF('BS &amp; P&amp;L INC '!D:D,$B53,'BS &amp; P&amp;L INC '!H:H))/1000</f>
        <v>-0.41891999999999996</v>
      </c>
    </row>
    <row r="54" spans="1:3">
      <c r="A54" s="149"/>
      <c r="B54" s="148" t="s">
        <v>333</v>
      </c>
      <c r="C54" s="450">
        <f>(SUMIF('BS LTD USD '!B:B,$B54,'BS LTD USD '!F:F)+SUMIF('BS &amp; P&amp;L INC '!D:D,$B54,'BS &amp; P&amp;L INC '!H:H))/1000</f>
        <v>-0.191</v>
      </c>
    </row>
    <row r="55" spans="1:3" ht="15">
      <c r="A55" s="54" t="s">
        <v>347</v>
      </c>
      <c r="B55" s="148" t="s">
        <v>336</v>
      </c>
      <c r="C55" s="450">
        <f>(SUMIF('BS LTD USD '!B:B,$B55,'BS LTD USD '!F:F)+SUMIF('BS &amp; P&amp;L INC '!D:D,$B55,'BS &amp; P&amp;L INC '!H:H))/1000</f>
        <v>-4.9239999999999999E-2</v>
      </c>
    </row>
    <row r="56" spans="1:3" ht="15">
      <c r="A56" s="54"/>
      <c r="B56" s="149" t="s">
        <v>305</v>
      </c>
      <c r="C56" s="450">
        <f>(SUMIF('BS LTD USD '!B:B,$B56,'BS LTD USD '!F:F)+SUMIF('BS &amp; P&amp;L INC '!D:D,$B56,'BS &amp; P&amp;L INC '!H:H))/1000</f>
        <v>-8614.908128486697</v>
      </c>
    </row>
    <row r="57" spans="1:3">
      <c r="B57" s="149" t="s">
        <v>342</v>
      </c>
      <c r="C57" s="450">
        <f>(SUMIF('BS LTD USD '!B:B,$B57,'BS LTD USD '!F:F)+SUMIF('BS &amp; P&amp;L INC '!D:D,$B57,'BS &amp; P&amp;L INC '!H:H))/1000</f>
        <v>0</v>
      </c>
    </row>
    <row r="58" spans="1:3" ht="15">
      <c r="A58" s="83"/>
      <c r="B58" s="54" t="s">
        <v>338</v>
      </c>
      <c r="C58" s="450">
        <f>(SUMIF('BS LTD USD '!B:B,$B58,'BS LTD USD '!F:F)+SUMIF('BS &amp; P&amp;L INC '!D:D,$B58,'BS &amp; P&amp;L INC '!H:H))/1000+(SUMIF('BS LTD USD '!B:B,$A55,'BS LTD USD '!F:F)+SUMIF('BS &amp; P&amp;L INC '!D:D,$A55,'BS &amp; P&amp;L INC '!H:H))/1000+('BS USD CONS '!H59+'BS USD CONS '!H60)/1000</f>
        <v>-4086.4395745350207</v>
      </c>
    </row>
    <row r="59" spans="1:3" ht="15">
      <c r="B59" s="54"/>
      <c r="C59" s="563">
        <f>SUM(C53:C58)</f>
        <v>-12702.006863021717</v>
      </c>
    </row>
    <row r="61" spans="1:3" ht="15">
      <c r="B61" s="83" t="s">
        <v>1214</v>
      </c>
      <c r="C61" s="473">
        <f>C59+C49</f>
        <v>-54262.728381136563</v>
      </c>
    </row>
    <row r="64" spans="1:3" ht="13.5" thickBot="1">
      <c r="B64" s="469" t="s">
        <v>1075</v>
      </c>
      <c r="C64" s="564">
        <f>C61+C31</f>
        <v>1.6999999206745997E-4</v>
      </c>
    </row>
  </sheetData>
  <mergeCells count="2">
    <mergeCell ref="A7:D7"/>
    <mergeCell ref="F7:I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7094-4BAA-3B48-9CCB-73E16A83CB53}">
  <sheetPr>
    <tabColor theme="9" tint="-0.249977111117893"/>
  </sheetPr>
  <dimension ref="A1:O62"/>
  <sheetViews>
    <sheetView topLeftCell="B1" zoomScale="170" zoomScaleNormal="170" workbookViewId="0">
      <selection activeCell="G12" sqref="G12"/>
    </sheetView>
  </sheetViews>
  <sheetFormatPr defaultColWidth="11.42578125" defaultRowHeight="12.75"/>
  <cols>
    <col min="2" max="2" width="31.85546875" bestFit="1" customWidth="1"/>
    <col min="3" max="3" width="1.85546875" customWidth="1"/>
    <col min="4" max="4" width="12.140625" customWidth="1"/>
    <col min="5" max="5" width="2.28515625" customWidth="1"/>
  </cols>
  <sheetData>
    <row r="1" spans="1:6">
      <c r="A1" s="424">
        <v>44561</v>
      </c>
    </row>
    <row r="2" spans="1:6">
      <c r="A2" s="426" t="s">
        <v>1139</v>
      </c>
    </row>
    <row r="3" spans="1:6">
      <c r="A3" s="426" t="s">
        <v>1066</v>
      </c>
    </row>
    <row r="4" spans="1:6">
      <c r="A4" s="426" t="s">
        <v>32</v>
      </c>
    </row>
    <row r="7" spans="1:6">
      <c r="B7" s="426" t="s">
        <v>1140</v>
      </c>
    </row>
    <row r="8" spans="1:6">
      <c r="F8" s="475" t="s">
        <v>1174</v>
      </c>
    </row>
    <row r="9" spans="1:6">
      <c r="B9" s="447" t="s">
        <v>1141</v>
      </c>
      <c r="C9" s="447"/>
      <c r="D9" s="448">
        <v>44561</v>
      </c>
      <c r="E9" s="447"/>
      <c r="F9" s="448">
        <v>44196</v>
      </c>
    </row>
    <row r="10" spans="1:6">
      <c r="B10" s="446" t="s">
        <v>1142</v>
      </c>
      <c r="D10" s="450">
        <f>'TB LTD 12.21'!G33/1000</f>
        <v>367.91899999999998</v>
      </c>
      <c r="F10" s="450">
        <v>96</v>
      </c>
    </row>
    <row r="11" spans="1:6">
      <c r="B11" s="446" t="s">
        <v>1143</v>
      </c>
      <c r="D11" s="450">
        <f>'TB LTD 12.21'!G31/1000</f>
        <v>2.80932</v>
      </c>
      <c r="F11" s="450">
        <v>3</v>
      </c>
    </row>
    <row r="12" spans="1:6">
      <c r="B12" s="446" t="s">
        <v>1144</v>
      </c>
      <c r="D12" s="450">
        <f>('TB LTD 12.21'!G35+'TB LTD 12.21'!G40)/1000</f>
        <v>204.18</v>
      </c>
      <c r="F12" s="450">
        <v>10</v>
      </c>
    </row>
    <row r="13" spans="1:6">
      <c r="B13" s="446" t="s">
        <v>1145</v>
      </c>
      <c r="D13" s="449">
        <f>'TB LTD 12.21'!G36/1000</f>
        <v>36.289000000000001</v>
      </c>
      <c r="F13" s="449">
        <v>3</v>
      </c>
    </row>
    <row r="14" spans="1:6">
      <c r="D14" s="450">
        <f>SUM(D10:D13)</f>
        <v>611.19731999999999</v>
      </c>
      <c r="F14" s="450">
        <f>SUM(F10:F13)</f>
        <v>112</v>
      </c>
    </row>
    <row r="15" spans="1:6">
      <c r="B15" s="446" t="s">
        <v>1146</v>
      </c>
      <c r="D15" s="449">
        <f>SUM('TB LTD 12.21'!G32,'TB LTD 12.21'!G34,'TB LTD 12.21'!G37,'TB LTD 12.21'!G38,'TB LTD 12.21'!G39)/1000-'AJE 2021'!H75/1000</f>
        <v>-169.28041999999999</v>
      </c>
      <c r="F15" s="449">
        <v>-31</v>
      </c>
    </row>
    <row r="16" spans="1:6">
      <c r="B16" s="446" t="s">
        <v>1147</v>
      </c>
      <c r="D16" s="450">
        <f>SUM(D14:D15)</f>
        <v>441.9169</v>
      </c>
      <c r="F16" s="450">
        <f>SUM(F14:F15)</f>
        <v>81</v>
      </c>
    </row>
    <row r="20" spans="2:15">
      <c r="B20" s="426" t="s">
        <v>1148</v>
      </c>
    </row>
    <row r="21" spans="2:15">
      <c r="F21" s="475" t="s">
        <v>1174</v>
      </c>
    </row>
    <row r="22" spans="2:15" ht="13.5" thickBot="1">
      <c r="B22" s="447" t="s">
        <v>1141</v>
      </c>
      <c r="C22" s="447"/>
      <c r="D22" s="448">
        <v>44561</v>
      </c>
      <c r="E22" s="447"/>
      <c r="F22" s="448">
        <v>44196</v>
      </c>
      <c r="I22" s="469" t="s">
        <v>1159</v>
      </c>
    </row>
    <row r="23" spans="2:15" ht="15.75">
      <c r="B23" s="446" t="s">
        <v>1151</v>
      </c>
      <c r="D23" s="450">
        <f>-'TB LTD 12.21'!G105/1000-(O25+O24+O26)/1000</f>
        <v>11178.13521</v>
      </c>
      <c r="E23" s="450"/>
      <c r="F23" s="450">
        <v>622</v>
      </c>
      <c r="I23" s="464" t="s">
        <v>1156</v>
      </c>
      <c r="J23" s="465"/>
      <c r="K23" s="465" t="s">
        <v>1157</v>
      </c>
      <c r="L23" s="466"/>
      <c r="M23" s="467">
        <v>44196</v>
      </c>
      <c r="N23" s="468"/>
      <c r="O23" s="467">
        <v>44561</v>
      </c>
    </row>
    <row r="24" spans="2:15" ht="15">
      <c r="B24" s="446" t="s">
        <v>1150</v>
      </c>
      <c r="D24" s="450">
        <f>-SUM('TB LTD 12.21'!G19:G28)/1000</f>
        <v>787.95071000000007</v>
      </c>
      <c r="E24" s="450"/>
      <c r="F24" s="450">
        <v>372</v>
      </c>
      <c r="I24" s="74" t="s">
        <v>881</v>
      </c>
      <c r="J24" s="1"/>
      <c r="K24" s="452" t="s">
        <v>1153</v>
      </c>
      <c r="L24" s="453"/>
      <c r="M24" s="454">
        <v>-125276.67</v>
      </c>
      <c r="O24" s="455">
        <v>-518442.74</v>
      </c>
    </row>
    <row r="25" spans="2:15" ht="15">
      <c r="B25" s="445" t="s">
        <v>1158</v>
      </c>
      <c r="D25" s="450">
        <f>-'TB LTD 12.21'!G9/1000</f>
        <v>123.88292999999999</v>
      </c>
      <c r="E25" s="450"/>
      <c r="F25" s="450">
        <v>0</v>
      </c>
      <c r="I25" s="74" t="s">
        <v>881</v>
      </c>
      <c r="J25" s="1"/>
      <c r="K25" s="452" t="s">
        <v>1154</v>
      </c>
      <c r="L25" s="453"/>
      <c r="M25" s="456">
        <v>0</v>
      </c>
      <c r="O25" s="455">
        <v>-35916.019999999997</v>
      </c>
    </row>
    <row r="26" spans="2:15" ht="15">
      <c r="B26" s="445" t="s">
        <v>934</v>
      </c>
      <c r="D26" s="450">
        <f>-O27/1000</f>
        <v>101.4614</v>
      </c>
      <c r="E26" s="450"/>
      <c r="F26" s="450">
        <v>0</v>
      </c>
      <c r="I26" s="74" t="s">
        <v>881</v>
      </c>
      <c r="J26" s="1"/>
      <c r="K26" s="452" t="s">
        <v>1155</v>
      </c>
      <c r="L26" s="453"/>
      <c r="M26" s="456">
        <v>0</v>
      </c>
      <c r="O26" s="455">
        <v>-8333.33</v>
      </c>
    </row>
    <row r="27" spans="2:15" ht="15">
      <c r="B27" s="445" t="s">
        <v>1217</v>
      </c>
      <c r="D27" s="450">
        <f>'AJE 2021'!H80/1000</f>
        <v>4903.7543897870892</v>
      </c>
      <c r="F27" s="450">
        <v>0</v>
      </c>
      <c r="I27" s="457" t="s">
        <v>881</v>
      </c>
      <c r="J27" s="458"/>
      <c r="K27" s="459" t="s">
        <v>934</v>
      </c>
      <c r="L27" s="460"/>
      <c r="M27" s="461">
        <v>714</v>
      </c>
      <c r="N27" s="462"/>
      <c r="O27" s="463">
        <v>-101461.4</v>
      </c>
    </row>
    <row r="28" spans="2:15" ht="13.5" thickBot="1">
      <c r="D28" s="451">
        <f>SUM(D23:D27)</f>
        <v>17095.18463978709</v>
      </c>
      <c r="E28" s="450"/>
      <c r="F28" s="451">
        <f>SUM(F23:F27)</f>
        <v>994</v>
      </c>
    </row>
    <row r="29" spans="2:15" ht="13.5" thickTop="1"/>
    <row r="31" spans="2:15">
      <c r="B31" s="426" t="s">
        <v>1160</v>
      </c>
    </row>
    <row r="32" spans="2:15">
      <c r="F32" s="475" t="s">
        <v>1174</v>
      </c>
    </row>
    <row r="33" spans="2:6">
      <c r="B33" s="447" t="s">
        <v>1169</v>
      </c>
      <c r="C33" s="447"/>
      <c r="D33" s="448">
        <v>44561</v>
      </c>
      <c r="E33" s="447"/>
      <c r="F33" s="448">
        <v>44196</v>
      </c>
    </row>
    <row r="34" spans="2:6">
      <c r="B34" s="446" t="s">
        <v>1150</v>
      </c>
      <c r="D34" s="450">
        <f>SUM('TB LTD 12.21'!G173,'TB LTD 12.21'!G187:G232,'TB LTD 12.21'!G249,'TB LTD 12.21'!G251,'TB LTD 12.21'!G253)/1000</f>
        <v>7099.737900000001</v>
      </c>
      <c r="F34" s="450">
        <v>1089</v>
      </c>
    </row>
    <row r="35" spans="2:6">
      <c r="B35" s="446" t="s">
        <v>1161</v>
      </c>
      <c r="D35" s="450">
        <f>('TB LTD 12.21'!G350)/1000</f>
        <v>85.344239999999999</v>
      </c>
      <c r="F35" s="450">
        <v>159</v>
      </c>
    </row>
    <row r="36" spans="2:6">
      <c r="B36" s="445" t="s">
        <v>1165</v>
      </c>
      <c r="D36" s="450">
        <f>SUM('TB LTD 12.21'!G238,'TB LTD 12.21'!G241,'TB LTD 12.21'!G243:G244,'TB LTD 12.21'!G247,'TB LTD 12.21'!G250)/1000</f>
        <v>928.35153999999989</v>
      </c>
      <c r="F36" s="450">
        <v>0</v>
      </c>
    </row>
    <row r="37" spans="2:6">
      <c r="B37" s="446" t="s">
        <v>1162</v>
      </c>
      <c r="D37" s="450">
        <f>SUM('TB LTD 12.21'!G239+'TB LTD 12.21'!G240+'TB LTD 12.21'!G254+'TB LTD 12.21'!G236)/1000</f>
        <v>325.46562</v>
      </c>
      <c r="F37" s="450">
        <v>535</v>
      </c>
    </row>
    <row r="38" spans="2:6">
      <c r="B38" s="446" t="s">
        <v>1163</v>
      </c>
      <c r="D38" s="450">
        <f>'TB LTD 12.21'!G245/1000+'P&amp;L LTD  USD'!E30/1000</f>
        <v>1013.82</v>
      </c>
      <c r="F38" s="450">
        <v>370</v>
      </c>
    </row>
    <row r="39" spans="2:6">
      <c r="B39" s="446" t="s">
        <v>1164</v>
      </c>
      <c r="D39" s="450">
        <f>'TB LTD 12.21'!G252/1000</f>
        <v>683.88139999999999</v>
      </c>
      <c r="F39" s="450">
        <v>0</v>
      </c>
    </row>
    <row r="40" spans="2:6">
      <c r="B40" s="446" t="s">
        <v>1152</v>
      </c>
      <c r="D40" s="450">
        <f>SUM('TB LTD 12.21'!G233,'TB LTD 12.21'!G234,'TB LTD 12.21'!G237,'TB LTD 12.21'!G242,'TB LTD 12.21'!G246,'TB LTD 12.21'!G248)/1000</f>
        <v>973.24007999999992</v>
      </c>
      <c r="F40" s="450">
        <v>144</v>
      </c>
    </row>
    <row r="41" spans="2:6">
      <c r="D41" s="471">
        <f>SUM(D34:D40)</f>
        <v>11109.84078</v>
      </c>
      <c r="F41" s="471">
        <f>SUM(F34:F40)</f>
        <v>2297</v>
      </c>
    </row>
    <row r="42" spans="2:6">
      <c r="D42" s="476"/>
      <c r="F42" s="476"/>
    </row>
    <row r="43" spans="2:6">
      <c r="F43" s="475" t="s">
        <v>1174</v>
      </c>
    </row>
    <row r="44" spans="2:6">
      <c r="B44" s="447" t="s">
        <v>1166</v>
      </c>
      <c r="C44" s="447"/>
      <c r="D44" s="448">
        <v>44561</v>
      </c>
      <c r="E44" s="447"/>
      <c r="F44" s="448">
        <v>44196</v>
      </c>
    </row>
    <row r="45" spans="2:6">
      <c r="B45" s="446" t="s">
        <v>1150</v>
      </c>
      <c r="D45" s="450">
        <f>SUM('TB LTD 12.21'!G255:G260,'TB LTD 12.21'!G262:G269,'TB LTD 12.21'!G279)/1000</f>
        <v>993.65178000000003</v>
      </c>
      <c r="F45" s="472">
        <v>314</v>
      </c>
    </row>
    <row r="46" spans="2:6">
      <c r="B46" s="446" t="s">
        <v>1167</v>
      </c>
      <c r="D46" s="450">
        <f>SUM('TB LTD 12.21'!G270,'TB LTD 12.21'!G273,'TB LTD 12.21'!G275:G277,'TB LTD 12.21'!G329)/1000</f>
        <v>122701.85388999998</v>
      </c>
      <c r="F46" s="472">
        <v>12695</v>
      </c>
    </row>
    <row r="47" spans="2:6">
      <c r="B47" s="445" t="s">
        <v>1165</v>
      </c>
      <c r="D47" s="450">
        <f>SUM('TB LTD 12.21'!G271:G272,'TB LTD 12.21'!G280)/1000</f>
        <v>419.27489000000003</v>
      </c>
      <c r="F47" s="472">
        <v>0</v>
      </c>
    </row>
    <row r="48" spans="2:6">
      <c r="B48" s="446" t="s">
        <v>1163</v>
      </c>
      <c r="D48" s="450">
        <f>'TB LTD 12.21'!G281/1000+'P&amp;L LTD  USD'!E41/1000</f>
        <v>4.8493897984578886</v>
      </c>
      <c r="F48" s="472">
        <v>0</v>
      </c>
    </row>
    <row r="49" spans="2:7">
      <c r="B49" s="446" t="s">
        <v>1152</v>
      </c>
      <c r="D49" s="450">
        <f>SUM('TB LTD 12.21'!G274,,'TB LTD 12.21'!G282)/1000</f>
        <v>166.70310000000001</v>
      </c>
      <c r="F49" s="472">
        <v>36</v>
      </c>
    </row>
    <row r="50" spans="2:7">
      <c r="D50" s="471">
        <f>SUM(D45:D49)</f>
        <v>124286.33304979844</v>
      </c>
      <c r="F50" s="471">
        <f>SUM(F45:F49)</f>
        <v>13045</v>
      </c>
    </row>
    <row r="51" spans="2:7">
      <c r="D51" s="476"/>
      <c r="F51" s="476"/>
    </row>
    <row r="52" spans="2:7">
      <c r="F52" s="475" t="s">
        <v>1174</v>
      </c>
    </row>
    <row r="53" spans="2:7">
      <c r="B53" s="447" t="s">
        <v>1168</v>
      </c>
      <c r="C53" s="447"/>
      <c r="D53" s="448">
        <v>44561</v>
      </c>
      <c r="E53" s="447"/>
      <c r="F53" s="448">
        <v>44196</v>
      </c>
    </row>
    <row r="54" spans="2:7">
      <c r="B54" s="446" t="s">
        <v>1150</v>
      </c>
      <c r="D54" s="450">
        <f>SUM('TB LTD 12.21'!G283:G297,'TB LTD 12.21'!G337,'TB LTD 12.21'!G347)/1000</f>
        <v>1913.0526299999995</v>
      </c>
      <c r="F54" s="472">
        <v>168</v>
      </c>
    </row>
    <row r="55" spans="2:7">
      <c r="B55" s="446" t="s">
        <v>1170</v>
      </c>
      <c r="D55" s="450">
        <f>'TB LTD 12.21'!G340/1000</f>
        <v>413.17721</v>
      </c>
      <c r="F55" s="472">
        <v>297</v>
      </c>
    </row>
    <row r="56" spans="2:7">
      <c r="B56" s="446" t="s">
        <v>1171</v>
      </c>
      <c r="D56" s="450">
        <f>SUM('TB LTD 12.21'!G336,'TB LTD 12.21'!G338:G339,'TB LTD 12.21'!G341,'TB LTD 12.21'!G344)/1000</f>
        <v>538.87834000000009</v>
      </c>
      <c r="F56" s="472">
        <v>145</v>
      </c>
    </row>
    <row r="57" spans="2:7">
      <c r="B57" s="446" t="s">
        <v>1172</v>
      </c>
      <c r="D57" s="450">
        <f>SUM('TB LTD 12.21'!G298,'TB LTD 12.21'!G302:G305)/1000</f>
        <v>365.17832999999996</v>
      </c>
      <c r="F57" s="472">
        <v>12</v>
      </c>
    </row>
    <row r="58" spans="2:7">
      <c r="B58" s="446" t="s">
        <v>1080</v>
      </c>
      <c r="D58" s="450">
        <f>SUM('TB LTD 12.21'!G306:G310,'TB LTD 12.21'!G315)/1000</f>
        <v>83.930849999999978</v>
      </c>
      <c r="F58" s="472">
        <v>20</v>
      </c>
    </row>
    <row r="59" spans="2:7">
      <c r="B59" s="445" t="s">
        <v>1165</v>
      </c>
      <c r="D59" s="450">
        <f>SUM('TB LTD 12.21'!G342+'TB LTD 12.21'!G349+'TB LTD 12.21'!G351)/1000</f>
        <v>84.440260000000009</v>
      </c>
      <c r="F59" s="472">
        <v>0</v>
      </c>
    </row>
    <row r="60" spans="2:7">
      <c r="B60" s="446" t="s">
        <v>1163</v>
      </c>
      <c r="D60" s="450">
        <f>'TB LTD 12.21'!G332/1000</f>
        <v>152.45099999999999</v>
      </c>
      <c r="F60" s="472">
        <v>58</v>
      </c>
    </row>
    <row r="61" spans="2:7">
      <c r="B61" s="446" t="s">
        <v>1152</v>
      </c>
      <c r="D61" s="449">
        <f>SUM('TB LTD 12.21'!G235,'TB LTD 12.21'!G278,'TB LTD 12.21'!G299:G301,'TB LTD 12.21'!G311:G314,'TB LTD 12.21'!G316:G328,'TB LTD 12.21'!G330:G331,'TB LTD 12.21'!G333:G334,'TB LTD 12.21'!G343,'TB LTD 12.21'!G345:G346,'TB LTD 12.21'!G348)/1000</f>
        <v>-307.34969000000007</v>
      </c>
      <c r="F61" s="474">
        <v>19</v>
      </c>
      <c r="G61" s="444" t="s">
        <v>1173</v>
      </c>
    </row>
    <row r="62" spans="2:7">
      <c r="D62" s="473">
        <f>SUM(D54:D61)</f>
        <v>3243.75893</v>
      </c>
      <c r="F62" s="473">
        <f>SUM(F54:F61)</f>
        <v>719</v>
      </c>
    </row>
  </sheetData>
  <pageMargins left="0.7" right="0.7" top="0.75" bottom="0.75" header="0.3" footer="0.3"/>
  <pageSetup paperSize="9" orientation="portrait" horizontalDpi="0" verticalDpi="0"/>
  <ignoredErrors>
    <ignoredError sqref="D24 F37:F41 D41 F34:F35 F50 D50 F62 D6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C5E0B3"/>
  </sheetPr>
  <dimension ref="A1:R1000"/>
  <sheetViews>
    <sheetView zoomScale="160" zoomScaleNormal="160" workbookViewId="0">
      <pane xSplit="2" ySplit="4" topLeftCell="C5" activePane="bottomRight" state="frozen"/>
      <selection activeCell="F10" sqref="F10"/>
      <selection pane="topRight" activeCell="F10" sqref="F10"/>
      <selection pane="bottomLeft" activeCell="F10" sqref="F10"/>
      <selection pane="bottomRight" activeCell="D27" sqref="D27"/>
    </sheetView>
  </sheetViews>
  <sheetFormatPr defaultColWidth="12.7109375" defaultRowHeight="15" customHeight="1"/>
  <cols>
    <col min="1" max="1" width="7.85546875" hidden="1" customWidth="1"/>
    <col min="2" max="2" width="37.28515625" customWidth="1"/>
    <col min="3" max="3" width="4.140625" customWidth="1"/>
    <col min="4" max="4" width="17.85546875" customWidth="1"/>
    <col min="5" max="5" width="7.28515625" customWidth="1"/>
    <col min="6" max="6" width="17.85546875" customWidth="1"/>
    <col min="7" max="7" width="13.7109375" customWidth="1"/>
    <col min="8" max="8" width="4.28515625" customWidth="1"/>
    <col min="9" max="9" width="17.85546875" customWidth="1"/>
    <col min="10" max="10" width="14" hidden="1" customWidth="1"/>
    <col min="11" max="11" width="14.42578125" customWidth="1"/>
    <col min="12" max="12" width="17.85546875" customWidth="1"/>
    <col min="13" max="13" width="14.42578125" customWidth="1"/>
    <col min="14" max="15" width="14.42578125" hidden="1" customWidth="1"/>
    <col min="16" max="16" width="14.42578125" style="450" customWidth="1"/>
    <col min="17" max="18" width="14.42578125" customWidth="1"/>
  </cols>
  <sheetData>
    <row r="1" spans="1:18">
      <c r="A1" s="1"/>
      <c r="B1" s="1"/>
      <c r="C1" s="95"/>
      <c r="D1" s="19"/>
      <c r="E1" s="19"/>
      <c r="F1" s="19"/>
      <c r="G1" s="18"/>
      <c r="H1" s="18"/>
      <c r="I1" s="19"/>
      <c r="J1" s="95"/>
      <c r="K1" s="2"/>
      <c r="M1" s="2"/>
      <c r="N1" s="2"/>
      <c r="O1" s="2"/>
      <c r="P1" s="600"/>
      <c r="Q1" s="2"/>
      <c r="R1" s="2"/>
    </row>
    <row r="2" spans="1:18">
      <c r="A2" s="1"/>
      <c r="B2" s="1"/>
      <c r="C2" s="95"/>
      <c r="D2" s="19"/>
      <c r="E2" s="19"/>
      <c r="F2" s="19"/>
      <c r="G2" s="18"/>
      <c r="H2" s="18"/>
      <c r="I2" s="96"/>
      <c r="J2" s="95"/>
      <c r="K2" s="2"/>
      <c r="M2" s="2"/>
      <c r="N2" s="2"/>
      <c r="O2" s="2"/>
      <c r="P2" s="600"/>
      <c r="Q2" s="2"/>
      <c r="R2" s="2"/>
    </row>
    <row r="3" spans="1:18">
      <c r="A3" s="1"/>
      <c r="B3" s="1"/>
      <c r="C3" s="69"/>
      <c r="D3" s="68">
        <v>44561</v>
      </c>
      <c r="E3" s="97"/>
      <c r="F3" s="68">
        <v>44561</v>
      </c>
      <c r="G3" s="98" t="s">
        <v>896</v>
      </c>
      <c r="H3" s="98"/>
      <c r="I3" s="99">
        <v>44561</v>
      </c>
      <c r="J3" s="69"/>
      <c r="K3" s="2"/>
      <c r="M3" s="2"/>
      <c r="N3" s="2"/>
      <c r="O3" s="2"/>
      <c r="P3" s="600"/>
      <c r="Q3" s="2"/>
      <c r="R3" s="2"/>
    </row>
    <row r="4" spans="1:18" ht="18">
      <c r="A4" s="1"/>
      <c r="B4" s="1"/>
      <c r="C4" s="100"/>
      <c r="D4" s="101" t="s">
        <v>880</v>
      </c>
      <c r="E4" s="19"/>
      <c r="F4" s="101" t="s">
        <v>881</v>
      </c>
      <c r="G4" s="102"/>
      <c r="H4" s="102"/>
      <c r="I4" s="103" t="s">
        <v>882</v>
      </c>
      <c r="J4" s="100"/>
      <c r="K4" s="2"/>
      <c r="M4" s="2"/>
      <c r="N4" s="2"/>
      <c r="O4" s="2"/>
      <c r="P4" s="600"/>
      <c r="Q4" s="2"/>
      <c r="R4" s="2"/>
    </row>
    <row r="5" spans="1:18">
      <c r="A5" s="1"/>
      <c r="B5" s="1"/>
      <c r="C5" s="95"/>
      <c r="D5" s="19"/>
      <c r="E5" s="19"/>
      <c r="F5" s="19"/>
      <c r="G5" s="18"/>
      <c r="H5" s="18"/>
      <c r="I5" s="393" t="s">
        <v>1126</v>
      </c>
      <c r="J5" s="95"/>
      <c r="K5" s="2"/>
      <c r="M5" s="2"/>
      <c r="N5" s="2"/>
      <c r="O5" s="2"/>
      <c r="P5" s="600"/>
      <c r="Q5" s="2"/>
      <c r="R5" s="2"/>
    </row>
    <row r="6" spans="1:18" ht="15.75" customHeight="1">
      <c r="A6" s="1"/>
      <c r="B6" s="1"/>
      <c r="C6" s="1"/>
      <c r="D6" s="19"/>
      <c r="E6" s="19"/>
      <c r="F6" s="19"/>
      <c r="G6" s="19"/>
      <c r="H6" s="19"/>
      <c r="I6" s="96"/>
      <c r="J6" s="1"/>
      <c r="K6" s="2"/>
      <c r="M6" s="2"/>
      <c r="N6" s="2"/>
      <c r="O6" s="2"/>
      <c r="P6" s="600"/>
      <c r="Q6" s="2"/>
      <c r="R6" s="2"/>
    </row>
    <row r="7" spans="1:18" ht="15.75" customHeight="1">
      <c r="A7" s="91"/>
      <c r="B7" s="104" t="s">
        <v>897</v>
      </c>
      <c r="C7" s="105"/>
      <c r="D7" s="80">
        <f>SUMIF('P&amp;L LTD  USD'!C:C,B:B,'P&amp;L LTD  USD'!F:F)</f>
        <v>-163070240.40021291</v>
      </c>
      <c r="E7" s="19"/>
      <c r="F7" s="80">
        <f>-SUMIF('BS &amp; P&amp;L INC '!C:C,'P&amp;L USD CONS'!$B:$B,'BS &amp; P&amp;L INC '!H:H)</f>
        <v>-194823229.18381292</v>
      </c>
      <c r="G7" s="19">
        <f>-F7</f>
        <v>194823229.18381292</v>
      </c>
      <c r="H7" s="19"/>
      <c r="I7" s="106">
        <f>(+F7+D7+G7)/1000</f>
        <v>-163070.24040021293</v>
      </c>
      <c r="J7" s="105"/>
      <c r="K7" s="2"/>
      <c r="M7" s="2"/>
      <c r="N7" s="2"/>
      <c r="O7" s="2"/>
      <c r="P7" s="600"/>
      <c r="Q7" s="2"/>
      <c r="R7" s="2"/>
    </row>
    <row r="8" spans="1:18" ht="15.75" customHeight="1">
      <c r="A8" s="91"/>
      <c r="B8" s="1"/>
      <c r="C8" s="107"/>
      <c r="D8" s="80"/>
      <c r="E8" s="19"/>
      <c r="F8" s="80"/>
      <c r="G8" s="19"/>
      <c r="H8" s="19"/>
      <c r="I8" s="106"/>
      <c r="J8" s="107"/>
      <c r="K8" s="530"/>
      <c r="M8" s="2"/>
      <c r="N8" s="2"/>
      <c r="O8" s="2"/>
      <c r="P8" s="600"/>
      <c r="Q8" s="2"/>
      <c r="R8" s="2"/>
    </row>
    <row r="9" spans="1:18" ht="15.75" customHeight="1">
      <c r="A9" s="91"/>
      <c r="B9" s="55" t="s">
        <v>358</v>
      </c>
      <c r="C9" s="89"/>
      <c r="D9" s="80">
        <f>SUMIF('P&amp;L LTD  USD'!C:C,B:B,'P&amp;L LTD  USD'!F:F)</f>
        <v>12753462.808993638</v>
      </c>
      <c r="E9" s="19"/>
      <c r="F9" s="80">
        <f>SUMIF('BS &amp; P&amp;L INC '!C:C,'P&amp;L USD CONS'!$B:$B,'BS &amp; P&amp;L INC '!H:H)</f>
        <v>10174297.15</v>
      </c>
      <c r="G9" s="19">
        <f>-F9*1.054</f>
        <v>-10723709.1961</v>
      </c>
      <c r="H9" s="19"/>
      <c r="I9" s="106">
        <f>(+F9+D9+G9)/1000</f>
        <v>12204.050762893636</v>
      </c>
      <c r="J9" s="89">
        <f>-I9+12732</f>
        <v>527.94923710636431</v>
      </c>
      <c r="K9" s="2"/>
      <c r="M9" s="2"/>
      <c r="N9" s="2"/>
      <c r="O9" s="2"/>
      <c r="P9" s="600"/>
      <c r="Q9" s="2"/>
      <c r="R9" s="2"/>
    </row>
    <row r="10" spans="1:18" ht="15.75" customHeight="1" thickBot="1">
      <c r="A10" s="91"/>
      <c r="B10" s="108" t="s">
        <v>898</v>
      </c>
      <c r="C10" s="91"/>
      <c r="D10" s="109">
        <f>D9+D7</f>
        <v>-150316777.59121928</v>
      </c>
      <c r="E10" s="80"/>
      <c r="F10" s="109">
        <f>F9+F7</f>
        <v>-184648932.03381291</v>
      </c>
      <c r="G10" s="109">
        <f>G9+G7</f>
        <v>184099519.98771292</v>
      </c>
      <c r="H10" s="80"/>
      <c r="I10" s="110">
        <f>I9+I7</f>
        <v>-150866.1896373193</v>
      </c>
      <c r="J10" s="91"/>
      <c r="K10" s="111"/>
      <c r="M10" s="111"/>
      <c r="N10" s="111"/>
      <c r="O10" s="111"/>
      <c r="P10" s="470"/>
      <c r="Q10" s="111"/>
      <c r="R10" s="111"/>
    </row>
    <row r="11" spans="1:18" ht="15.75" customHeight="1" thickTop="1">
      <c r="A11" s="21"/>
      <c r="B11" s="55"/>
      <c r="C11" s="105"/>
      <c r="D11" s="19"/>
      <c r="E11" s="112"/>
      <c r="F11" s="19"/>
      <c r="G11" s="112"/>
      <c r="H11" s="112"/>
      <c r="I11" s="113">
        <f>-I9/I7</f>
        <v>7.4839227151085375E-2</v>
      </c>
      <c r="J11" s="105"/>
      <c r="K11" s="2"/>
      <c r="M11" s="2"/>
      <c r="N11" s="2"/>
      <c r="O11" s="2"/>
      <c r="P11" s="600"/>
      <c r="Q11" s="2"/>
      <c r="R11" s="2"/>
    </row>
    <row r="12" spans="1:18" ht="15.75" customHeight="1">
      <c r="A12" s="91"/>
      <c r="B12" s="1"/>
      <c r="C12" s="89"/>
      <c r="D12" s="80"/>
      <c r="E12" s="19"/>
      <c r="F12" s="80"/>
      <c r="G12" s="19"/>
      <c r="H12" s="19"/>
      <c r="I12" s="106"/>
      <c r="J12" s="89"/>
      <c r="K12" s="2"/>
      <c r="M12" s="2"/>
      <c r="N12" s="2"/>
      <c r="O12" s="2"/>
      <c r="P12" s="600"/>
      <c r="Q12" s="2"/>
      <c r="R12" s="2"/>
    </row>
    <row r="13" spans="1:18" ht="15.75" customHeight="1">
      <c r="A13" s="91"/>
      <c r="B13" s="55" t="s">
        <v>374</v>
      </c>
      <c r="C13" s="89"/>
      <c r="D13" s="80">
        <f>SUMIF('P&amp;L LTD  USD'!C:C,B:B,'P&amp;L LTD  USD'!F:F)</f>
        <v>11109840.780000003</v>
      </c>
      <c r="E13" s="19"/>
      <c r="F13" s="80">
        <f>SUMIF('BS &amp; P&amp;L INC '!C:C,'P&amp;L USD CONS'!$B:$B,'BS &amp; P&amp;L INC '!H:H)</f>
        <v>0</v>
      </c>
      <c r="G13" s="19"/>
      <c r="H13" s="19"/>
      <c r="I13" s="106">
        <f>(+F13+D13+G13)/1000</f>
        <v>11109.840780000002</v>
      </c>
      <c r="J13" s="89"/>
      <c r="K13" s="2"/>
      <c r="M13" s="2"/>
      <c r="N13" s="2"/>
      <c r="O13" s="2"/>
      <c r="P13" s="600"/>
      <c r="Q13" s="2"/>
      <c r="R13" s="2"/>
    </row>
    <row r="14" spans="1:18" ht="15.75" customHeight="1">
      <c r="A14" s="91"/>
      <c r="B14" s="55"/>
      <c r="C14" s="105"/>
      <c r="D14" s="80"/>
      <c r="E14" s="112"/>
      <c r="F14" s="80"/>
      <c r="G14" s="112"/>
      <c r="H14" s="112"/>
      <c r="I14" s="113">
        <f>-I13/I7</f>
        <v>6.8129173984988467E-2</v>
      </c>
      <c r="J14" s="105"/>
      <c r="K14" s="2"/>
      <c r="M14" s="2"/>
      <c r="N14" s="2"/>
      <c r="O14" s="2"/>
      <c r="P14" s="600"/>
      <c r="Q14" s="2"/>
      <c r="R14" s="2"/>
    </row>
    <row r="15" spans="1:18" ht="15.75" customHeight="1">
      <c r="A15" s="91"/>
      <c r="B15" s="55"/>
      <c r="C15" s="1"/>
      <c r="D15" s="80"/>
      <c r="E15" s="19"/>
      <c r="F15" s="80"/>
      <c r="G15" s="19"/>
      <c r="H15" s="19"/>
      <c r="I15" s="106"/>
      <c r="J15" s="1"/>
      <c r="K15" s="2"/>
      <c r="M15" s="2"/>
      <c r="N15" s="2"/>
      <c r="O15" s="2"/>
      <c r="P15" s="600"/>
      <c r="Q15" s="2"/>
      <c r="R15" s="2"/>
    </row>
    <row r="16" spans="1:18" ht="15.75" customHeight="1">
      <c r="A16" s="91"/>
      <c r="B16" s="55" t="s">
        <v>364</v>
      </c>
      <c r="C16" s="89"/>
      <c r="D16" s="80">
        <f>SUMIF('P&amp;L LTD  USD'!C:C,B:B,'P&amp;L LTD  USD'!F:F)</f>
        <v>124286333.04979846</v>
      </c>
      <c r="E16" s="19"/>
      <c r="F16" s="80">
        <f>SUMIF('BS &amp; P&amp;L INC '!C:C,'P&amp;L USD CONS'!$B:$B,'BS &amp; P&amp;L INC '!H:H)</f>
        <v>16152222.66</v>
      </c>
      <c r="G16" s="19">
        <f>-F16</f>
        <v>-16152222.66</v>
      </c>
      <c r="H16" s="19"/>
      <c r="I16" s="106">
        <f>(+F16+D16+G16)/1000</f>
        <v>124286.33304979846</v>
      </c>
      <c r="J16" s="89"/>
      <c r="K16" s="2"/>
      <c r="M16" s="2"/>
      <c r="N16" s="2"/>
      <c r="O16" s="2"/>
      <c r="P16" s="600"/>
      <c r="Q16" s="2"/>
      <c r="R16" s="2"/>
    </row>
    <row r="17" spans="1:18" ht="15.75" customHeight="1">
      <c r="A17" s="91"/>
      <c r="B17" s="55"/>
      <c r="C17" s="105"/>
      <c r="D17" s="80"/>
      <c r="E17" s="112"/>
      <c r="F17" s="80"/>
      <c r="G17" s="112"/>
      <c r="H17" s="112"/>
      <c r="I17" s="113">
        <f>-I16/I7</f>
        <v>0.76216440685173703</v>
      </c>
      <c r="J17" s="105"/>
      <c r="K17" s="2"/>
      <c r="M17" s="2"/>
      <c r="N17" s="2"/>
      <c r="O17" s="2"/>
      <c r="P17" s="600"/>
      <c r="Q17" s="2"/>
      <c r="R17" s="2"/>
    </row>
    <row r="18" spans="1:18" ht="15.75" customHeight="1">
      <c r="A18" s="91"/>
      <c r="B18" s="55"/>
      <c r="C18" s="1"/>
      <c r="D18" s="80"/>
      <c r="E18" s="19"/>
      <c r="F18" s="80"/>
      <c r="G18" s="19"/>
      <c r="H18" s="19"/>
      <c r="I18" s="106"/>
      <c r="J18" s="1"/>
      <c r="K18" s="2"/>
      <c r="M18" s="2"/>
      <c r="N18" s="2"/>
      <c r="O18" s="2"/>
      <c r="P18" s="600"/>
      <c r="Q18" s="2"/>
      <c r="R18" s="2"/>
    </row>
    <row r="19" spans="1:18" ht="15.75" customHeight="1">
      <c r="A19" s="91"/>
      <c r="B19" s="55" t="s">
        <v>406</v>
      </c>
      <c r="C19" s="89"/>
      <c r="D19" s="80">
        <f>SUMIF('P&amp;L LTD  USD'!C:C,B:B,'P&amp;L LTD  USD'!F:F)</f>
        <v>3877943.4392899051</v>
      </c>
      <c r="E19" s="19"/>
      <c r="F19" s="80">
        <f>SUMIF('BS &amp; P&amp;L INC '!C:C,'P&amp;L USD CONS'!$B:$B,'BS &amp; P&amp;L INC '!H:H)</f>
        <v>38866.250000000007</v>
      </c>
      <c r="G19" s="19">
        <f>-F19*1.054</f>
        <v>-40965.027500000011</v>
      </c>
      <c r="H19" s="19"/>
      <c r="I19" s="106">
        <f>(+F19+D19+G19)/1000</f>
        <v>3875.8446617899053</v>
      </c>
      <c r="J19" s="89">
        <f>-I19+3238</f>
        <v>-637.84466178990533</v>
      </c>
      <c r="K19" s="2"/>
      <c r="M19" s="2"/>
      <c r="N19" s="2"/>
      <c r="O19" s="2"/>
      <c r="P19" s="600"/>
      <c r="Q19" s="2"/>
      <c r="R19" s="2"/>
    </row>
    <row r="20" spans="1:18" ht="15.75" customHeight="1">
      <c r="A20" s="91"/>
      <c r="B20" s="55"/>
      <c r="C20" s="105"/>
      <c r="D20" s="80"/>
      <c r="E20" s="112"/>
      <c r="F20" s="80"/>
      <c r="G20" s="112"/>
      <c r="H20" s="112"/>
      <c r="I20" s="106"/>
      <c r="J20" s="105"/>
      <c r="K20" s="2"/>
      <c r="M20" s="2"/>
      <c r="N20" s="2"/>
      <c r="O20" s="2"/>
      <c r="P20" s="600"/>
      <c r="Q20" s="2"/>
      <c r="R20" s="2"/>
    </row>
    <row r="21" spans="1:18" ht="15.75" customHeight="1">
      <c r="A21" s="91"/>
      <c r="B21" s="55"/>
      <c r="C21" s="105"/>
      <c r="D21" s="80"/>
      <c r="E21" s="112"/>
      <c r="F21" s="80"/>
      <c r="G21" s="112"/>
      <c r="H21" s="112"/>
      <c r="I21" s="113">
        <f>-I19/I7</f>
        <v>2.3767945961676796E-2</v>
      </c>
      <c r="J21" s="105"/>
      <c r="K21" s="2"/>
      <c r="M21" s="2"/>
      <c r="N21" s="2"/>
      <c r="O21" s="2"/>
      <c r="P21" s="600"/>
      <c r="Q21" s="2"/>
      <c r="R21" s="2"/>
    </row>
    <row r="22" spans="1:18" ht="15.75" customHeight="1">
      <c r="A22" s="91"/>
      <c r="B22" s="55"/>
      <c r="C22" s="1"/>
      <c r="D22" s="80"/>
      <c r="E22" s="19"/>
      <c r="F22" s="80"/>
      <c r="G22" s="19"/>
      <c r="H22" s="19"/>
      <c r="I22" s="106"/>
      <c r="J22" s="1"/>
      <c r="K22" s="2"/>
      <c r="M22" s="2"/>
      <c r="N22" s="2"/>
      <c r="O22" s="2"/>
      <c r="P22" s="600"/>
      <c r="Q22" s="2"/>
      <c r="R22" s="2"/>
    </row>
    <row r="23" spans="1:18" ht="15.75" customHeight="1">
      <c r="A23" s="55"/>
      <c r="B23" s="114" t="s">
        <v>899</v>
      </c>
      <c r="C23" s="115"/>
      <c r="D23" s="116">
        <f>+D19+D16+D13</f>
        <v>139274117.26908836</v>
      </c>
      <c r="E23" s="115">
        <f t="shared" ref="E23:G23" si="0">+E19+E16+E13</f>
        <v>0</v>
      </c>
      <c r="F23" s="116">
        <f t="shared" si="0"/>
        <v>16191088.91</v>
      </c>
      <c r="G23" s="116">
        <f t="shared" si="0"/>
        <v>-16193187.6875</v>
      </c>
      <c r="H23" s="115"/>
      <c r="I23" s="117">
        <f>+I19+I16+I13</f>
        <v>139272.01849158836</v>
      </c>
      <c r="J23" s="115"/>
      <c r="K23" s="55"/>
      <c r="M23" s="55"/>
      <c r="N23" s="55"/>
      <c r="O23" s="55"/>
      <c r="P23" s="638"/>
      <c r="Q23" s="55"/>
      <c r="R23" s="55"/>
    </row>
    <row r="24" spans="1:18" ht="15.75" customHeight="1">
      <c r="A24" s="91"/>
      <c r="B24" s="55"/>
      <c r="C24" s="1"/>
      <c r="D24" s="80"/>
      <c r="E24" s="19"/>
      <c r="F24" s="80"/>
      <c r="G24" s="19"/>
      <c r="H24" s="19"/>
      <c r="I24" s="106"/>
      <c r="J24" s="1"/>
      <c r="K24" s="2"/>
      <c r="M24" s="2"/>
      <c r="N24" s="2"/>
      <c r="O24" s="2"/>
      <c r="P24" s="600"/>
      <c r="Q24" s="2"/>
      <c r="R24" s="2"/>
    </row>
    <row r="25" spans="1:18" ht="15.75" customHeight="1">
      <c r="A25" s="118"/>
      <c r="B25" s="392" t="s">
        <v>900</v>
      </c>
      <c r="C25" s="119"/>
      <c r="D25" s="390">
        <f>SUMIF('P&amp;L LTD  USD'!C:C,B:B,'P&amp;L LTD  USD'!F:F)</f>
        <v>-11042660.322130919</v>
      </c>
      <c r="E25" s="119"/>
      <c r="F25" s="390">
        <f>F10+F23</f>
        <v>-168457843.12381291</v>
      </c>
      <c r="G25" s="390">
        <f>G10+G23</f>
        <v>167906332.30021292</v>
      </c>
      <c r="H25" s="119"/>
      <c r="I25" s="391">
        <f>I23+I10</f>
        <v>-11594.171145730943</v>
      </c>
      <c r="J25" s="119"/>
      <c r="K25" s="119"/>
      <c r="M25" s="119"/>
      <c r="N25" s="119"/>
      <c r="O25" s="119"/>
      <c r="P25" s="639"/>
      <c r="Q25" s="119"/>
      <c r="R25" s="119"/>
    </row>
    <row r="26" spans="1:18" ht="15.75" customHeight="1">
      <c r="A26" s="104"/>
      <c r="B26" s="104"/>
      <c r="C26" s="104"/>
      <c r="D26" s="119"/>
      <c r="E26" s="119"/>
      <c r="F26" s="119"/>
      <c r="G26" s="119"/>
      <c r="H26" s="119"/>
      <c r="I26" s="120"/>
      <c r="J26" s="104"/>
      <c r="K26" s="104"/>
      <c r="M26" s="104"/>
      <c r="N26" s="104"/>
      <c r="O26" s="104"/>
      <c r="P26" s="639"/>
      <c r="Q26" s="104"/>
      <c r="R26" s="104"/>
    </row>
    <row r="27" spans="1:18" ht="15.75" customHeight="1">
      <c r="A27" s="91"/>
      <c r="B27" s="104" t="s">
        <v>500</v>
      </c>
      <c r="C27" s="89"/>
      <c r="D27" s="80">
        <f>SUMIF('P&amp;L LTD  USD'!C:C,B:B,'P&amp;L LTD  USD'!F:F)</f>
        <v>1934278.3114572999</v>
      </c>
      <c r="E27" s="19"/>
      <c r="F27" s="80">
        <f>SUMIF('BS &amp; P&amp;L INC '!C:C,'P&amp;L USD CONS'!$B:$B,'BS &amp; P&amp;L INC '!H:H)</f>
        <v>161769.01</v>
      </c>
      <c r="G27" s="19"/>
      <c r="H27" s="19"/>
      <c r="I27" s="106">
        <f>(+F27+D27+G27)/1000</f>
        <v>2096.0473214572999</v>
      </c>
      <c r="J27" s="89">
        <f>-I27+483</f>
        <v>-1613.0473214572999</v>
      </c>
      <c r="K27" s="2"/>
      <c r="M27" s="2"/>
      <c r="N27" s="2"/>
      <c r="O27" s="2"/>
      <c r="P27" s="600"/>
      <c r="Q27" s="2"/>
      <c r="R27" s="2"/>
    </row>
    <row r="28" spans="1:18" ht="15.75" customHeight="1">
      <c r="A28" s="91"/>
      <c r="B28" s="55"/>
      <c r="C28" s="1"/>
      <c r="D28" s="80"/>
      <c r="E28" s="19"/>
      <c r="F28" s="80"/>
      <c r="G28" s="19"/>
      <c r="H28" s="19"/>
      <c r="I28" s="106"/>
      <c r="J28" s="1"/>
      <c r="K28" s="2"/>
      <c r="M28" s="2"/>
      <c r="N28" s="2"/>
      <c r="O28" s="2"/>
      <c r="P28" s="600"/>
      <c r="Q28" s="2"/>
      <c r="R28" s="2"/>
    </row>
    <row r="29" spans="1:18" ht="15.75" customHeight="1">
      <c r="A29" s="91"/>
      <c r="B29" s="55" t="s">
        <v>901</v>
      </c>
      <c r="C29" s="89"/>
      <c r="D29" s="80">
        <f>SUMIF('P&amp;L LTD  USD'!C:C,B:B,'P&amp;L LTD  USD'!F:F)</f>
        <v>0</v>
      </c>
      <c r="E29" s="19"/>
      <c r="F29" s="80">
        <f>SUMIF('BS &amp; P&amp;L INC '!C:C,'P&amp;L USD CONS'!$B:$B,'BS &amp; P&amp;L INC '!H:H)</f>
        <v>167906332.30021292</v>
      </c>
      <c r="G29" s="19">
        <f>-F29</f>
        <v>-167906332.30021292</v>
      </c>
      <c r="H29" s="19"/>
      <c r="I29" s="106">
        <f>(+F29+D29+G29)/1000</f>
        <v>0</v>
      </c>
      <c r="J29" s="89"/>
      <c r="K29" s="2"/>
      <c r="M29" s="2"/>
      <c r="N29" s="2"/>
      <c r="O29" s="2"/>
      <c r="P29" s="600"/>
      <c r="Q29" s="2"/>
      <c r="R29" s="2"/>
    </row>
    <row r="30" spans="1:18" ht="15.75" customHeight="1">
      <c r="A30" s="91"/>
      <c r="B30" s="55"/>
      <c r="C30" s="1"/>
      <c r="D30" s="80"/>
      <c r="E30" s="19"/>
      <c r="F30" s="80"/>
      <c r="G30" s="19"/>
      <c r="H30" s="19"/>
      <c r="I30" s="106"/>
      <c r="J30" s="1"/>
      <c r="K30" s="2"/>
      <c r="M30" s="2"/>
      <c r="N30" s="2"/>
      <c r="O30" s="2"/>
      <c r="P30" s="600"/>
      <c r="Q30" s="2"/>
      <c r="R30" s="2"/>
    </row>
    <row r="31" spans="1:18" ht="15.75" customHeight="1">
      <c r="A31" s="91"/>
      <c r="B31" s="55" t="s">
        <v>813</v>
      </c>
      <c r="C31" s="89"/>
      <c r="D31" s="80">
        <f>SUMIF('P&amp;L LTD  USD'!C:C,B:B,'P&amp;L LTD  USD'!F:F)</f>
        <v>-258145.04360001447</v>
      </c>
      <c r="E31" s="19"/>
      <c r="F31" s="80">
        <f>-SUMIF('BS &amp; P&amp;L INC '!C:C,'P&amp;L USD CONS'!$B:$B,'BS &amp; P&amp;L INC '!F:F)</f>
        <v>0</v>
      </c>
      <c r="G31" s="19">
        <f>-D31</f>
        <v>258145.04360001447</v>
      </c>
      <c r="H31" s="19"/>
      <c r="I31" s="106">
        <f>(+F31+D31+G31)/1000</f>
        <v>0</v>
      </c>
      <c r="J31" s="89"/>
      <c r="K31" s="2"/>
      <c r="M31" s="2"/>
      <c r="N31" s="2"/>
      <c r="O31" s="2"/>
      <c r="P31" s="600"/>
      <c r="Q31" s="2"/>
      <c r="R31" s="2"/>
    </row>
    <row r="32" spans="1:18" ht="15.75" customHeight="1">
      <c r="A32" s="91"/>
      <c r="B32" s="55"/>
      <c r="C32" s="1"/>
      <c r="D32" s="80"/>
      <c r="E32" s="19"/>
      <c r="F32" s="80"/>
      <c r="G32" s="19"/>
      <c r="H32" s="19"/>
      <c r="I32" s="106"/>
      <c r="J32" s="1"/>
      <c r="K32" s="2"/>
      <c r="M32" s="2" t="s">
        <v>508</v>
      </c>
      <c r="N32" s="2">
        <v>-30318.74</v>
      </c>
      <c r="O32" s="2"/>
      <c r="P32" s="600">
        <v>-30318.74</v>
      </c>
      <c r="Q32" s="2"/>
      <c r="R32" s="2"/>
    </row>
    <row r="33" spans="1:18" ht="15.75" customHeight="1" thickBot="1">
      <c r="A33" s="91"/>
      <c r="B33" s="121" t="s">
        <v>902</v>
      </c>
      <c r="C33" s="91"/>
      <c r="D33" s="122">
        <f>SUM(D25:D31)</f>
        <v>-9366527.0542736333</v>
      </c>
      <c r="E33" s="19"/>
      <c r="F33" s="122">
        <f>SUM(F25:F31)</f>
        <v>-389741.81360000372</v>
      </c>
      <c r="G33" s="122">
        <f>SUM(G25:G31)</f>
        <v>258145.04360001447</v>
      </c>
      <c r="H33" s="80"/>
      <c r="I33" s="123">
        <f>SUM(I25:I31)</f>
        <v>-9498.1238242736435</v>
      </c>
      <c r="J33" s="91">
        <f>I33+17352</f>
        <v>7853.8761757263565</v>
      </c>
      <c r="K33" s="2"/>
      <c r="M33" s="2" t="s">
        <v>914</v>
      </c>
      <c r="N33" s="2">
        <v>0</v>
      </c>
      <c r="O33" s="2">
        <v>1286.65716013819</v>
      </c>
      <c r="P33" s="600">
        <v>1286.65716013819</v>
      </c>
      <c r="Q33" s="2"/>
      <c r="R33" s="2"/>
    </row>
    <row r="34" spans="1:18" ht="15.75" customHeight="1" thickTop="1">
      <c r="A34" s="91"/>
      <c r="B34" s="55"/>
      <c r="C34" s="1"/>
      <c r="D34" s="80"/>
      <c r="E34" s="19"/>
      <c r="F34" s="80"/>
      <c r="G34" s="19"/>
      <c r="H34" s="19"/>
      <c r="I34" s="106"/>
      <c r="J34" s="1"/>
      <c r="K34" s="2"/>
      <c r="M34" s="2"/>
      <c r="N34" s="2"/>
      <c r="O34" s="2"/>
      <c r="P34" s="600"/>
      <c r="Q34" s="2"/>
      <c r="R34" s="2"/>
    </row>
    <row r="35" spans="1:18" ht="15.75" customHeight="1">
      <c r="A35" s="91"/>
      <c r="B35" s="55" t="s">
        <v>549</v>
      </c>
      <c r="C35" s="89"/>
      <c r="D35" s="80">
        <f>SUMIF('P&amp;L LTD  USD'!C:C,B:B,'P&amp;L LTD  USD'!F:F)</f>
        <v>1299052.3297385979</v>
      </c>
      <c r="E35" s="19"/>
      <c r="F35" s="80">
        <f>SUMIF('BS &amp; P&amp;L INC '!C:C,'P&amp;L USD CONS'!$B:$B,'BS &amp; P&amp;L INC '!H:H)</f>
        <v>131596.76999999999</v>
      </c>
      <c r="G35" s="19"/>
      <c r="H35" s="19"/>
      <c r="I35" s="106">
        <f>(+F35+D35+G35)/1000</f>
        <v>1430.6490997385979</v>
      </c>
      <c r="J35" s="89">
        <f>-I35+2266</f>
        <v>835.3509002614021</v>
      </c>
      <c r="K35" s="2"/>
      <c r="M35" s="2" t="s">
        <v>967</v>
      </c>
      <c r="N35" s="2">
        <v>111676</v>
      </c>
      <c r="O35" s="2"/>
      <c r="P35" s="600">
        <v>111676</v>
      </c>
      <c r="Q35" s="2"/>
      <c r="R35" s="2"/>
    </row>
    <row r="36" spans="1:18" ht="15.75" customHeight="1">
      <c r="A36" s="91"/>
      <c r="B36" s="55"/>
      <c r="C36" s="1"/>
      <c r="D36" s="80"/>
      <c r="E36" s="19"/>
      <c r="F36" s="80"/>
      <c r="G36" s="19"/>
      <c r="H36" s="19"/>
      <c r="I36" s="106"/>
      <c r="J36" s="1"/>
      <c r="K36" s="2"/>
      <c r="M36" s="2" t="s">
        <v>968</v>
      </c>
      <c r="N36" s="2">
        <v>48647</v>
      </c>
      <c r="O36" s="2"/>
      <c r="P36" s="600">
        <v>48647</v>
      </c>
      <c r="Q36" s="2"/>
      <c r="R36" s="2"/>
    </row>
    <row r="37" spans="1:18" ht="15.75" customHeight="1" thickBot="1">
      <c r="A37" s="124"/>
      <c r="B37" s="125" t="s">
        <v>903</v>
      </c>
      <c r="C37" s="91"/>
      <c r="D37" s="126">
        <f>+D33+D35</f>
        <v>-8067474.724535035</v>
      </c>
      <c r="E37" s="102"/>
      <c r="F37" s="126">
        <f>+F35+F33</f>
        <v>-258145.04360000373</v>
      </c>
      <c r="G37" s="126">
        <f>+G35+G33</f>
        <v>258145.04360001447</v>
      </c>
      <c r="H37" s="80"/>
      <c r="I37" s="127">
        <f>+I33+I35</f>
        <v>-8067.4747245350454</v>
      </c>
      <c r="J37" s="91">
        <f>I37+15086</f>
        <v>7018.5252754649546</v>
      </c>
      <c r="K37" s="128"/>
      <c r="M37" s="128"/>
      <c r="N37" s="128"/>
      <c r="O37" s="128"/>
      <c r="P37" s="640"/>
      <c r="Q37" s="128"/>
      <c r="R37" s="128"/>
    </row>
    <row r="38" spans="1:18" ht="15.75" customHeight="1" thickTop="1" thickBot="1">
      <c r="A38" s="91"/>
      <c r="B38" s="1"/>
      <c r="C38" s="1"/>
      <c r="D38" s="80"/>
      <c r="E38" s="19"/>
      <c r="F38" s="80"/>
      <c r="G38" s="19"/>
      <c r="H38" s="19"/>
      <c r="I38" s="106"/>
      <c r="J38" s="1"/>
      <c r="K38" s="87">
        <f>I35+I27+I19+I16+I13+I9</f>
        <v>155002.76567567789</v>
      </c>
      <c r="M38" s="2"/>
      <c r="N38" s="2"/>
      <c r="O38" s="2"/>
      <c r="P38" s="600"/>
      <c r="Q38" s="2"/>
      <c r="R38" s="2"/>
    </row>
    <row r="39" spans="1:18" ht="15.75" customHeight="1" thickBot="1">
      <c r="A39" s="91"/>
      <c r="B39" s="1"/>
      <c r="C39" s="1"/>
      <c r="D39" s="80">
        <f>'P&amp;L LTD  USD'!AD83</f>
        <v>0</v>
      </c>
      <c r="E39" s="19"/>
      <c r="F39" s="80"/>
      <c r="G39" s="536" t="s">
        <v>1203</v>
      </c>
      <c r="H39" s="537"/>
      <c r="I39" s="538">
        <v>-14564.3241196296</v>
      </c>
      <c r="J39" s="1"/>
      <c r="K39" s="2"/>
      <c r="M39" s="2"/>
      <c r="N39" s="2"/>
      <c r="O39" s="2"/>
      <c r="P39" s="600"/>
      <c r="Q39" s="2"/>
      <c r="R39" s="2"/>
    </row>
    <row r="40" spans="1:18" ht="15.75" customHeight="1">
      <c r="A40" s="1"/>
      <c r="B40" s="1"/>
      <c r="C40" s="1"/>
      <c r="D40" s="19"/>
      <c r="E40" s="19"/>
      <c r="F40" s="19"/>
      <c r="G40" s="19"/>
      <c r="H40" s="19"/>
      <c r="I40" s="19"/>
      <c r="J40" s="1"/>
      <c r="K40" s="2"/>
      <c r="M40" s="2"/>
      <c r="N40" s="2"/>
      <c r="O40" s="2"/>
      <c r="P40" s="600"/>
      <c r="Q40" s="2"/>
      <c r="R40" s="2"/>
    </row>
    <row r="41" spans="1:18" ht="15.75" customHeight="1">
      <c r="A41" s="1"/>
      <c r="B41" s="1"/>
      <c r="C41" s="1"/>
      <c r="D41" s="19"/>
      <c r="E41" s="19"/>
      <c r="F41" s="19"/>
      <c r="G41" s="19" t="s">
        <v>1204</v>
      </c>
      <c r="H41" s="19"/>
      <c r="I41" s="19">
        <f>I37-I39</f>
        <v>6496.8493950945549</v>
      </c>
      <c r="J41" s="1"/>
      <c r="K41" s="2"/>
      <c r="M41" s="2"/>
      <c r="N41" s="2"/>
      <c r="O41" s="2"/>
      <c r="P41" s="600"/>
      <c r="Q41" s="2"/>
      <c r="R41" s="2"/>
    </row>
    <row r="42" spans="1:18" ht="15.75" customHeight="1">
      <c r="A42" s="1"/>
      <c r="B42" s="1"/>
      <c r="C42" s="1"/>
      <c r="D42" s="19"/>
      <c r="E42" s="19"/>
      <c r="F42" s="19"/>
      <c r="G42" s="19"/>
      <c r="H42" s="19"/>
      <c r="I42" s="19"/>
      <c r="J42" s="1"/>
      <c r="K42" s="2"/>
      <c r="M42" s="2"/>
      <c r="N42" s="2"/>
      <c r="O42" s="2"/>
      <c r="P42" s="600"/>
      <c r="Q42" s="2"/>
      <c r="R42" s="2"/>
    </row>
    <row r="43" spans="1:18" ht="15.75" customHeight="1">
      <c r="A43" s="1"/>
      <c r="B43" s="1"/>
      <c r="C43" s="1"/>
      <c r="D43" s="19">
        <f>('P&amp;L USD CONS'!I9+'P&amp;L USD CONS'!I13+'P&amp;L USD CONS'!I16+'P&amp;L USD CONS'!I19+'P&amp;L USD CONS'!I27+'P&amp;L USD CONS'!I35)*1000</f>
        <v>155002765.67567793</v>
      </c>
      <c r="E43" s="19"/>
      <c r="F43" s="19"/>
      <c r="G43" s="19"/>
      <c r="H43" s="19"/>
      <c r="I43" s="19">
        <f>'BS &amp; P&amp;L INC '!H45/1000</f>
        <v>-4903.7543897870892</v>
      </c>
      <c r="J43" s="1"/>
      <c r="K43" s="2" t="s">
        <v>1200</v>
      </c>
      <c r="M43" s="2"/>
      <c r="N43" s="2"/>
      <c r="O43" s="2"/>
      <c r="P43" s="600"/>
      <c r="Q43" s="2"/>
      <c r="R43" s="2"/>
    </row>
    <row r="44" spans="1:18" ht="15.75" customHeight="1">
      <c r="A44" s="1"/>
      <c r="B44" s="1"/>
      <c r="C44" s="1"/>
      <c r="D44" s="19"/>
      <c r="E44" s="19"/>
      <c r="F44" s="19"/>
      <c r="G44" s="19"/>
      <c r="H44" s="19"/>
      <c r="I44" s="19">
        <f>-'AJE 2021'!G48/1000</f>
        <v>-225.333</v>
      </c>
      <c r="J44" s="1"/>
      <c r="K44" s="2" t="s">
        <v>1201</v>
      </c>
      <c r="M44" s="2"/>
      <c r="N44" s="2"/>
      <c r="O44" s="2"/>
      <c r="P44" s="600"/>
      <c r="Q44" s="2"/>
      <c r="R44" s="2"/>
    </row>
    <row r="45" spans="1:18" ht="15.75" customHeight="1">
      <c r="A45" s="1"/>
      <c r="B45" s="1"/>
      <c r="C45" s="1"/>
      <c r="D45" s="19"/>
      <c r="E45" s="19"/>
      <c r="F45" s="19"/>
      <c r="G45" s="19"/>
      <c r="H45" s="19"/>
      <c r="I45" s="19">
        <v>-156</v>
      </c>
      <c r="J45" s="1"/>
      <c r="K45" s="2" t="s">
        <v>1199</v>
      </c>
      <c r="M45" s="2"/>
      <c r="N45" s="2"/>
      <c r="O45" s="2"/>
      <c r="P45" s="600"/>
      <c r="Q45" s="2"/>
      <c r="R45" s="2"/>
    </row>
    <row r="46" spans="1:18" ht="15.75" customHeight="1">
      <c r="A46" s="1"/>
      <c r="B46" s="1"/>
      <c r="C46" s="1"/>
      <c r="D46" s="19"/>
      <c r="E46" s="19"/>
      <c r="F46" s="19"/>
      <c r="I46" s="450">
        <f>'AJE 2021'!H89/1000</f>
        <v>0</v>
      </c>
      <c r="J46" s="1"/>
      <c r="K46" s="2" t="s">
        <v>1234</v>
      </c>
      <c r="M46" s="2"/>
      <c r="N46" s="2"/>
      <c r="O46" s="2"/>
      <c r="P46" s="600"/>
      <c r="Q46" s="2"/>
      <c r="R46" s="2"/>
    </row>
    <row r="47" spans="1:18" ht="15.75" customHeight="1">
      <c r="A47" s="1"/>
      <c r="B47" s="1"/>
      <c r="C47" s="1"/>
      <c r="D47" s="19"/>
      <c r="E47" s="19"/>
      <c r="F47" s="19"/>
      <c r="G47" s="19" t="s">
        <v>1205</v>
      </c>
      <c r="H47" s="19"/>
      <c r="I47" s="19">
        <f>SUM(I43:I46)+I41</f>
        <v>1211.7620053074661</v>
      </c>
      <c r="J47" s="1"/>
      <c r="K47" s="2"/>
      <c r="M47" s="2"/>
      <c r="N47" s="2"/>
      <c r="O47" s="2"/>
      <c r="P47" s="600"/>
      <c r="Q47" s="2"/>
      <c r="R47" s="2"/>
    </row>
    <row r="48" spans="1:18" ht="15.75" customHeight="1">
      <c r="A48" s="1"/>
      <c r="B48" s="1"/>
      <c r="C48" s="1"/>
      <c r="D48" s="19"/>
      <c r="E48" s="19"/>
      <c r="F48" s="19"/>
      <c r="G48" s="19"/>
      <c r="H48" s="19"/>
      <c r="J48" s="1"/>
      <c r="K48" s="2"/>
      <c r="M48" s="2"/>
      <c r="N48" s="2"/>
      <c r="O48" s="2"/>
      <c r="P48" s="600"/>
      <c r="Q48" s="2"/>
      <c r="R48" s="2"/>
    </row>
    <row r="49" spans="1:18" ht="15.75" customHeight="1">
      <c r="A49" s="1"/>
      <c r="B49" s="1"/>
      <c r="C49" s="1"/>
      <c r="D49" s="19"/>
      <c r="E49" s="19"/>
      <c r="F49" s="19"/>
      <c r="G49" s="19"/>
      <c r="H49" s="19"/>
      <c r="I49" s="19"/>
      <c r="J49" s="1"/>
      <c r="K49" s="2"/>
      <c r="M49" s="2"/>
      <c r="N49" s="2"/>
      <c r="O49" s="2"/>
      <c r="P49" s="600"/>
      <c r="Q49" s="2"/>
      <c r="R49" s="2"/>
    </row>
    <row r="50" spans="1:18" ht="15.75" customHeight="1">
      <c r="A50" s="1"/>
      <c r="B50" s="1"/>
      <c r="C50" s="1"/>
      <c r="D50" s="19"/>
      <c r="E50" s="19"/>
      <c r="F50" s="19"/>
      <c r="G50" s="19"/>
      <c r="H50" s="19"/>
      <c r="I50" s="19"/>
      <c r="J50" s="1"/>
      <c r="K50" s="2"/>
      <c r="M50" s="2"/>
      <c r="N50" s="2"/>
      <c r="O50" s="2"/>
      <c r="P50" s="600"/>
      <c r="Q50" s="2"/>
      <c r="R50" s="2"/>
    </row>
    <row r="51" spans="1:18" ht="15.75" customHeight="1">
      <c r="A51" s="1"/>
      <c r="B51" s="1"/>
      <c r="C51" s="1"/>
      <c r="D51" s="19"/>
      <c r="E51" s="19"/>
      <c r="F51" s="19"/>
      <c r="G51" s="19"/>
      <c r="H51" s="19"/>
      <c r="I51" s="19"/>
      <c r="J51" s="1"/>
      <c r="K51" s="2"/>
      <c r="M51" s="2"/>
      <c r="N51" s="2"/>
      <c r="O51" s="2"/>
      <c r="P51" s="600"/>
      <c r="Q51" s="2"/>
      <c r="R51" s="2"/>
    </row>
    <row r="52" spans="1:18" ht="15.75" customHeight="1">
      <c r="A52" s="1"/>
      <c r="B52" s="1"/>
      <c r="C52" s="1"/>
      <c r="D52" s="19"/>
      <c r="E52" s="19"/>
      <c r="F52" s="19"/>
      <c r="G52" s="19"/>
      <c r="H52" s="19"/>
      <c r="I52" s="19"/>
      <c r="J52" s="1"/>
      <c r="K52" s="2"/>
      <c r="M52" s="2"/>
      <c r="N52" s="2"/>
      <c r="O52" s="2"/>
      <c r="P52" s="600"/>
      <c r="Q52" s="2"/>
      <c r="R52" s="2"/>
    </row>
    <row r="53" spans="1:18" ht="15.75" customHeight="1">
      <c r="A53" s="1"/>
      <c r="B53" s="1"/>
      <c r="C53" s="1"/>
      <c r="D53" s="19"/>
      <c r="E53" s="19"/>
      <c r="F53" s="19"/>
      <c r="G53" s="19"/>
      <c r="H53" s="19"/>
      <c r="I53" s="19"/>
      <c r="J53" s="1"/>
      <c r="K53" s="2"/>
      <c r="M53" s="2"/>
      <c r="N53" s="2"/>
      <c r="O53" s="2"/>
      <c r="P53" s="600"/>
      <c r="Q53" s="2"/>
      <c r="R53" s="2"/>
    </row>
    <row r="54" spans="1:18" ht="15.75" customHeight="1">
      <c r="A54" s="1"/>
      <c r="B54" s="1"/>
      <c r="C54" s="1"/>
      <c r="D54" s="19"/>
      <c r="E54" s="19"/>
      <c r="F54" s="19"/>
      <c r="G54" s="19"/>
      <c r="H54" s="19"/>
      <c r="I54" s="19"/>
      <c r="J54" s="1"/>
      <c r="K54" s="2"/>
      <c r="M54" s="2"/>
      <c r="N54" s="2"/>
      <c r="O54" s="2"/>
      <c r="P54" s="600"/>
      <c r="Q54" s="2"/>
      <c r="R54" s="2"/>
    </row>
    <row r="55" spans="1:18" ht="15.75" customHeight="1">
      <c r="A55" s="1"/>
      <c r="B55" s="1"/>
      <c r="C55" s="1"/>
      <c r="D55" s="19"/>
      <c r="E55" s="19"/>
      <c r="F55" s="19"/>
      <c r="G55" s="19"/>
      <c r="H55" s="19"/>
      <c r="I55" s="19"/>
      <c r="J55" s="1"/>
      <c r="K55" s="2"/>
      <c r="M55" s="2"/>
      <c r="N55" s="2"/>
      <c r="O55" s="2"/>
      <c r="P55" s="600"/>
      <c r="Q55" s="2"/>
      <c r="R55" s="2"/>
    </row>
    <row r="56" spans="1:18" ht="15.75" customHeight="1">
      <c r="A56" s="1"/>
      <c r="B56" s="1"/>
      <c r="C56" s="1"/>
      <c r="D56" s="19"/>
      <c r="E56" s="19"/>
      <c r="F56" s="19"/>
      <c r="G56" s="19"/>
      <c r="H56" s="19"/>
      <c r="I56" s="19"/>
      <c r="J56" s="1"/>
      <c r="K56" s="2"/>
      <c r="M56" s="2"/>
      <c r="N56" s="2"/>
      <c r="O56" s="2"/>
      <c r="P56" s="600"/>
      <c r="Q56" s="2"/>
      <c r="R56" s="2"/>
    </row>
    <row r="57" spans="1:18" ht="15.75" customHeight="1">
      <c r="A57" s="1"/>
      <c r="B57" s="1"/>
      <c r="C57" s="1"/>
      <c r="D57" s="19"/>
      <c r="E57" s="19"/>
      <c r="F57" s="19"/>
      <c r="G57" s="19"/>
      <c r="H57" s="19"/>
      <c r="I57" s="19"/>
      <c r="J57" s="1"/>
      <c r="K57" s="2"/>
      <c r="M57" s="2"/>
      <c r="N57" s="2"/>
      <c r="O57" s="2"/>
      <c r="P57" s="600"/>
      <c r="Q57" s="2"/>
      <c r="R57" s="2"/>
    </row>
    <row r="58" spans="1:18" ht="15.75" customHeight="1">
      <c r="A58" s="1"/>
      <c r="B58" s="1"/>
      <c r="C58" s="1"/>
      <c r="D58" s="19"/>
      <c r="E58" s="19"/>
      <c r="F58" s="19"/>
      <c r="G58" s="19"/>
      <c r="H58" s="19"/>
      <c r="I58" s="19"/>
      <c r="J58" s="1"/>
      <c r="K58" s="2"/>
      <c r="M58" s="2"/>
      <c r="N58" s="2"/>
      <c r="O58" s="2"/>
      <c r="P58" s="600"/>
      <c r="Q58" s="2"/>
      <c r="R58" s="2"/>
    </row>
    <row r="59" spans="1:18" ht="15.75" customHeight="1">
      <c r="A59" s="1"/>
      <c r="B59" s="1"/>
      <c r="C59" s="1"/>
      <c r="D59" s="19"/>
      <c r="E59" s="19"/>
      <c r="F59" s="19"/>
      <c r="G59" s="19"/>
      <c r="H59" s="19"/>
      <c r="I59" s="19"/>
      <c r="J59" s="1"/>
      <c r="K59" s="2"/>
      <c r="M59" s="2"/>
      <c r="N59" s="2"/>
      <c r="O59" s="2"/>
      <c r="P59" s="600"/>
      <c r="Q59" s="2"/>
      <c r="R59" s="2"/>
    </row>
    <row r="60" spans="1:18" ht="15.75" customHeight="1">
      <c r="A60" s="1"/>
      <c r="B60" s="1"/>
      <c r="C60" s="1"/>
      <c r="D60" s="19"/>
      <c r="E60" s="19"/>
      <c r="F60" s="19"/>
      <c r="G60" s="19"/>
      <c r="H60" s="19"/>
      <c r="I60" s="19"/>
      <c r="J60" s="1"/>
      <c r="K60" s="2"/>
      <c r="M60" s="2"/>
      <c r="N60" s="2"/>
      <c r="O60" s="2"/>
      <c r="P60" s="600"/>
      <c r="Q60" s="2"/>
      <c r="R60" s="2"/>
    </row>
    <row r="61" spans="1:18" ht="15.75" customHeight="1">
      <c r="A61" s="1"/>
      <c r="B61" s="1"/>
      <c r="C61" s="1"/>
      <c r="D61" s="19"/>
      <c r="E61" s="19"/>
      <c r="F61" s="19"/>
      <c r="G61" s="19"/>
      <c r="H61" s="19"/>
      <c r="I61" s="19"/>
      <c r="J61" s="1"/>
      <c r="K61" s="2"/>
      <c r="M61" s="2"/>
      <c r="N61" s="2"/>
      <c r="O61" s="2"/>
      <c r="P61" s="600"/>
      <c r="Q61" s="2"/>
      <c r="R61" s="2"/>
    </row>
    <row r="62" spans="1:18" ht="15.75" customHeight="1">
      <c r="A62" s="1"/>
      <c r="B62" s="1"/>
      <c r="C62" s="1"/>
      <c r="D62" s="19"/>
      <c r="E62" s="19"/>
      <c r="F62" s="19"/>
      <c r="G62" s="19"/>
      <c r="H62" s="19"/>
      <c r="I62" s="19"/>
      <c r="J62" s="1"/>
      <c r="K62" s="2"/>
      <c r="M62" s="2"/>
      <c r="N62" s="2"/>
      <c r="O62" s="2"/>
      <c r="P62" s="600"/>
      <c r="Q62" s="2"/>
      <c r="R62" s="2"/>
    </row>
    <row r="63" spans="1:18" ht="15.75" customHeight="1">
      <c r="A63" s="1"/>
      <c r="B63" s="1"/>
      <c r="C63" s="1"/>
      <c r="D63" s="19"/>
      <c r="E63" s="19"/>
      <c r="F63" s="19"/>
      <c r="G63" s="19"/>
      <c r="H63" s="19"/>
      <c r="I63" s="19"/>
      <c r="J63" s="1"/>
      <c r="K63" s="2"/>
      <c r="M63" s="2"/>
      <c r="N63" s="2"/>
      <c r="O63" s="2"/>
      <c r="P63" s="600"/>
      <c r="Q63" s="2"/>
      <c r="R63" s="2"/>
    </row>
    <row r="64" spans="1:18" ht="15.75" customHeight="1">
      <c r="A64" s="1"/>
      <c r="B64" s="1"/>
      <c r="C64" s="1"/>
      <c r="D64" s="19"/>
      <c r="E64" s="19"/>
      <c r="F64" s="19"/>
      <c r="G64" s="19"/>
      <c r="H64" s="19"/>
      <c r="I64" s="19"/>
      <c r="J64" s="1"/>
      <c r="K64" s="2"/>
      <c r="M64" s="2"/>
      <c r="N64" s="2"/>
      <c r="O64" s="2"/>
      <c r="P64" s="600"/>
      <c r="Q64" s="2"/>
      <c r="R64" s="2"/>
    </row>
    <row r="65" spans="1:18" ht="15.75" customHeight="1">
      <c r="A65" s="1"/>
      <c r="B65" s="1"/>
      <c r="C65" s="1"/>
      <c r="D65" s="19"/>
      <c r="E65" s="19"/>
      <c r="F65" s="19"/>
      <c r="G65" s="19"/>
      <c r="H65" s="19"/>
      <c r="I65" s="19"/>
      <c r="J65" s="1"/>
      <c r="K65" s="2"/>
      <c r="M65" s="2"/>
      <c r="N65" s="2"/>
      <c r="O65" s="2"/>
      <c r="P65" s="600"/>
      <c r="Q65" s="2"/>
      <c r="R65" s="2"/>
    </row>
    <row r="66" spans="1:18" ht="15.75" customHeight="1">
      <c r="A66" s="1"/>
      <c r="B66" s="1"/>
      <c r="C66" s="1"/>
      <c r="D66" s="19"/>
      <c r="E66" s="19"/>
      <c r="F66" s="19"/>
      <c r="G66" s="19"/>
      <c r="H66" s="19"/>
      <c r="I66" s="19"/>
      <c r="J66" s="1"/>
      <c r="K66" s="2"/>
      <c r="M66" s="2"/>
      <c r="N66" s="2"/>
      <c r="O66" s="2"/>
      <c r="P66" s="600"/>
      <c r="Q66" s="2"/>
      <c r="R66" s="2"/>
    </row>
    <row r="67" spans="1:18" ht="15.75" customHeight="1">
      <c r="A67" s="1"/>
      <c r="B67" s="1"/>
      <c r="C67" s="1"/>
      <c r="D67" s="19"/>
      <c r="E67" s="19"/>
      <c r="F67" s="19"/>
      <c r="G67" s="19"/>
      <c r="H67" s="19"/>
      <c r="I67" s="19"/>
      <c r="J67" s="1"/>
      <c r="K67" s="2"/>
      <c r="M67" s="2"/>
      <c r="N67" s="2"/>
      <c r="O67" s="2"/>
      <c r="P67" s="600"/>
      <c r="Q67" s="2"/>
      <c r="R67" s="2"/>
    </row>
    <row r="68" spans="1:18" ht="15.75" customHeight="1">
      <c r="A68" s="1"/>
      <c r="B68" s="1"/>
      <c r="C68" s="1"/>
      <c r="D68" s="19"/>
      <c r="E68" s="19"/>
      <c r="F68" s="19"/>
      <c r="G68" s="19"/>
      <c r="H68" s="19"/>
      <c r="I68" s="19"/>
      <c r="J68" s="1"/>
      <c r="K68" s="2"/>
      <c r="M68" s="2"/>
      <c r="N68" s="2"/>
      <c r="O68" s="2"/>
      <c r="P68" s="600"/>
      <c r="Q68" s="2"/>
      <c r="R68" s="2"/>
    </row>
    <row r="69" spans="1:18" ht="15.75" customHeight="1">
      <c r="A69" s="1"/>
      <c r="B69" s="1"/>
      <c r="C69" s="1"/>
      <c r="D69" s="19"/>
      <c r="E69" s="19"/>
      <c r="F69" s="19"/>
      <c r="G69" s="19"/>
      <c r="H69" s="19"/>
      <c r="I69" s="19"/>
      <c r="J69" s="1"/>
      <c r="K69" s="2"/>
      <c r="M69" s="2"/>
      <c r="N69" s="2"/>
      <c r="O69" s="2"/>
      <c r="P69" s="600"/>
      <c r="Q69" s="2"/>
      <c r="R69" s="2"/>
    </row>
    <row r="70" spans="1:18" ht="15.75" customHeight="1">
      <c r="A70" s="1"/>
      <c r="B70" s="1"/>
      <c r="C70" s="1"/>
      <c r="D70" s="19"/>
      <c r="E70" s="19"/>
      <c r="F70" s="19"/>
      <c r="G70" s="19"/>
      <c r="H70" s="19"/>
      <c r="I70" s="19"/>
      <c r="J70" s="1"/>
      <c r="K70" s="2"/>
      <c r="M70" s="2"/>
      <c r="N70" s="2"/>
      <c r="O70" s="2"/>
      <c r="P70" s="600"/>
      <c r="Q70" s="2"/>
      <c r="R70" s="2"/>
    </row>
    <row r="71" spans="1:18" ht="15.75" customHeight="1">
      <c r="A71" s="1"/>
      <c r="B71" s="1"/>
      <c r="C71" s="1"/>
      <c r="D71" s="19"/>
      <c r="E71" s="19"/>
      <c r="F71" s="19"/>
      <c r="G71" s="19"/>
      <c r="H71" s="19"/>
      <c r="I71" s="19"/>
      <c r="J71" s="1"/>
      <c r="K71" s="2"/>
      <c r="M71" s="2"/>
      <c r="N71" s="2"/>
      <c r="O71" s="2"/>
      <c r="P71" s="600"/>
      <c r="Q71" s="2"/>
      <c r="R71" s="2"/>
    </row>
    <row r="72" spans="1:18" ht="15.75" customHeight="1">
      <c r="A72" s="1"/>
      <c r="B72" s="1"/>
      <c r="C72" s="1"/>
      <c r="D72" s="19"/>
      <c r="E72" s="19"/>
      <c r="F72" s="19"/>
      <c r="G72" s="19"/>
      <c r="H72" s="19"/>
      <c r="I72" s="19"/>
      <c r="J72" s="1"/>
      <c r="K72" s="2"/>
      <c r="M72" s="2"/>
      <c r="N72" s="2"/>
      <c r="O72" s="2"/>
      <c r="P72" s="600"/>
      <c r="Q72" s="2"/>
      <c r="R72" s="2"/>
    </row>
    <row r="73" spans="1:18" ht="15.75" customHeight="1">
      <c r="A73" s="1"/>
      <c r="B73" s="1"/>
      <c r="C73" s="1"/>
      <c r="D73" s="19"/>
      <c r="E73" s="19"/>
      <c r="F73" s="19"/>
      <c r="G73" s="19"/>
      <c r="H73" s="19"/>
      <c r="I73" s="19"/>
      <c r="J73" s="1"/>
      <c r="K73" s="2"/>
      <c r="M73" s="2"/>
      <c r="N73" s="2"/>
      <c r="O73" s="2"/>
      <c r="P73" s="600"/>
      <c r="Q73" s="2"/>
      <c r="R73" s="2"/>
    </row>
    <row r="74" spans="1:18" ht="15.75" customHeight="1">
      <c r="A74" s="1"/>
      <c r="B74" s="1"/>
      <c r="C74" s="1"/>
      <c r="D74" s="19"/>
      <c r="E74" s="19"/>
      <c r="F74" s="19"/>
      <c r="G74" s="19"/>
      <c r="H74" s="19"/>
      <c r="I74" s="19"/>
      <c r="J74" s="1"/>
      <c r="K74" s="2"/>
      <c r="M74" s="2"/>
      <c r="N74" s="2"/>
      <c r="O74" s="2"/>
      <c r="P74" s="600"/>
      <c r="Q74" s="2"/>
      <c r="R74" s="2"/>
    </row>
    <row r="75" spans="1:18" ht="15.75" customHeight="1">
      <c r="A75" s="1"/>
      <c r="B75" s="1"/>
      <c r="C75" s="1"/>
      <c r="D75" s="19"/>
      <c r="E75" s="19"/>
      <c r="F75" s="19"/>
      <c r="G75" s="19"/>
      <c r="H75" s="19"/>
      <c r="I75" s="19"/>
      <c r="J75" s="1"/>
      <c r="K75" s="2"/>
      <c r="M75" s="2"/>
      <c r="N75" s="2"/>
      <c r="O75" s="2"/>
      <c r="P75" s="600"/>
      <c r="Q75" s="2"/>
      <c r="R75" s="2"/>
    </row>
    <row r="76" spans="1:18" ht="15.75" customHeight="1">
      <c r="A76" s="1"/>
      <c r="B76" s="1"/>
      <c r="C76" s="1"/>
      <c r="D76" s="19"/>
      <c r="E76" s="19"/>
      <c r="F76" s="19"/>
      <c r="G76" s="19"/>
      <c r="H76" s="19"/>
      <c r="I76" s="19"/>
      <c r="J76" s="1"/>
      <c r="K76" s="2"/>
      <c r="M76" s="2"/>
      <c r="N76" s="2"/>
      <c r="O76" s="2"/>
      <c r="P76" s="600"/>
      <c r="Q76" s="2"/>
      <c r="R76" s="2"/>
    </row>
    <row r="77" spans="1:18" ht="15.75" customHeight="1">
      <c r="A77" s="1"/>
      <c r="B77" s="1"/>
      <c r="C77" s="1"/>
      <c r="D77" s="19"/>
      <c r="E77" s="19"/>
      <c r="F77" s="19"/>
      <c r="G77" s="19"/>
      <c r="H77" s="19"/>
      <c r="I77" s="19"/>
      <c r="J77" s="1"/>
      <c r="K77" s="2"/>
      <c r="M77" s="2"/>
      <c r="N77" s="2"/>
      <c r="O77" s="2"/>
      <c r="P77" s="600"/>
      <c r="Q77" s="2"/>
      <c r="R77" s="2"/>
    </row>
    <row r="78" spans="1:18" ht="15.75" customHeight="1">
      <c r="A78" s="1"/>
      <c r="B78" s="1"/>
      <c r="C78" s="1"/>
      <c r="D78" s="19"/>
      <c r="E78" s="19"/>
      <c r="F78" s="19"/>
      <c r="G78" s="19"/>
      <c r="H78" s="19"/>
      <c r="I78" s="19"/>
      <c r="J78" s="1"/>
      <c r="K78" s="2"/>
      <c r="M78" s="2"/>
      <c r="N78" s="2"/>
      <c r="O78" s="2"/>
      <c r="P78" s="600"/>
      <c r="Q78" s="2"/>
      <c r="R78" s="2"/>
    </row>
    <row r="79" spans="1:18" ht="15.75" customHeight="1">
      <c r="A79" s="1"/>
      <c r="B79" s="1"/>
      <c r="C79" s="1"/>
      <c r="D79" s="19"/>
      <c r="E79" s="19"/>
      <c r="F79" s="19"/>
      <c r="G79" s="19"/>
      <c r="H79" s="19"/>
      <c r="I79" s="19"/>
      <c r="J79" s="1"/>
      <c r="K79" s="2"/>
      <c r="M79" s="2"/>
      <c r="N79" s="2"/>
      <c r="O79" s="2"/>
      <c r="P79" s="600"/>
      <c r="Q79" s="2"/>
      <c r="R79" s="2"/>
    </row>
    <row r="80" spans="1:18" ht="15.75" customHeight="1">
      <c r="A80" s="1"/>
      <c r="B80" s="1"/>
      <c r="C80" s="1"/>
      <c r="D80" s="19"/>
      <c r="E80" s="19"/>
      <c r="F80" s="19"/>
      <c r="G80" s="19"/>
      <c r="H80" s="19"/>
      <c r="I80" s="19"/>
      <c r="J80" s="1"/>
      <c r="K80" s="2"/>
      <c r="M80" s="2"/>
      <c r="N80" s="2"/>
      <c r="O80" s="2"/>
      <c r="P80" s="600"/>
      <c r="Q80" s="2"/>
      <c r="R80" s="2"/>
    </row>
    <row r="81" spans="1:18" ht="15.75" customHeight="1">
      <c r="A81" s="1"/>
      <c r="B81" s="1"/>
      <c r="C81" s="1"/>
      <c r="D81" s="19"/>
      <c r="E81" s="19"/>
      <c r="F81" s="19"/>
      <c r="G81" s="19"/>
      <c r="H81" s="19"/>
      <c r="I81" s="19"/>
      <c r="J81" s="1"/>
      <c r="K81" s="2"/>
      <c r="M81" s="2"/>
      <c r="N81" s="2"/>
      <c r="O81" s="2"/>
      <c r="P81" s="600"/>
      <c r="Q81" s="2"/>
      <c r="R81" s="2"/>
    </row>
    <row r="82" spans="1:18" ht="15.75" customHeight="1">
      <c r="A82" s="1"/>
      <c r="B82" s="1"/>
      <c r="C82" s="1"/>
      <c r="D82" s="19"/>
      <c r="E82" s="19"/>
      <c r="F82" s="19"/>
      <c r="G82" s="19"/>
      <c r="H82" s="19"/>
      <c r="I82" s="19"/>
      <c r="J82" s="1"/>
      <c r="K82" s="2"/>
      <c r="M82" s="2"/>
      <c r="N82" s="2"/>
      <c r="O82" s="2"/>
      <c r="P82" s="600"/>
      <c r="Q82" s="2"/>
      <c r="R82" s="2"/>
    </row>
    <row r="83" spans="1:18" ht="15.75" customHeight="1">
      <c r="A83" s="1"/>
      <c r="B83" s="1"/>
      <c r="C83" s="1"/>
      <c r="D83" s="19"/>
      <c r="E83" s="19"/>
      <c r="F83" s="19"/>
      <c r="G83" s="19"/>
      <c r="H83" s="19"/>
      <c r="I83" s="19"/>
      <c r="J83" s="1"/>
      <c r="K83" s="2"/>
      <c r="M83" s="2"/>
      <c r="N83" s="2"/>
      <c r="O83" s="2"/>
      <c r="P83" s="600"/>
      <c r="Q83" s="2"/>
      <c r="R83" s="2"/>
    </row>
    <row r="84" spans="1:18" ht="15.75" customHeight="1">
      <c r="A84" s="1"/>
      <c r="B84" s="1"/>
      <c r="C84" s="1"/>
      <c r="D84" s="19"/>
      <c r="E84" s="19"/>
      <c r="F84" s="19"/>
      <c r="G84" s="19"/>
      <c r="H84" s="19"/>
      <c r="I84" s="19"/>
      <c r="J84" s="1"/>
      <c r="K84" s="2"/>
      <c r="M84" s="2"/>
      <c r="N84" s="2"/>
      <c r="O84" s="2"/>
      <c r="P84" s="600"/>
      <c r="Q84" s="2"/>
      <c r="R84" s="2"/>
    </row>
    <row r="85" spans="1:18" ht="15.75" customHeight="1">
      <c r="A85" s="1"/>
      <c r="B85" s="1"/>
      <c r="C85" s="1"/>
      <c r="D85" s="19"/>
      <c r="E85" s="19"/>
      <c r="F85" s="19"/>
      <c r="G85" s="19"/>
      <c r="H85" s="19"/>
      <c r="I85" s="19"/>
      <c r="J85" s="1"/>
      <c r="K85" s="2"/>
      <c r="M85" s="2"/>
      <c r="N85" s="2"/>
      <c r="O85" s="2"/>
      <c r="P85" s="600"/>
      <c r="Q85" s="2"/>
      <c r="R85" s="2"/>
    </row>
    <row r="86" spans="1:18" ht="15.75" customHeight="1">
      <c r="A86" s="1"/>
      <c r="B86" s="1"/>
      <c r="C86" s="1"/>
      <c r="D86" s="19"/>
      <c r="E86" s="19"/>
      <c r="F86" s="19"/>
      <c r="G86" s="19"/>
      <c r="H86" s="19"/>
      <c r="I86" s="19"/>
      <c r="J86" s="1"/>
      <c r="K86" s="2"/>
      <c r="M86" s="2"/>
      <c r="N86" s="2"/>
      <c r="O86" s="2"/>
      <c r="P86" s="600"/>
      <c r="Q86" s="2"/>
      <c r="R86" s="2"/>
    </row>
    <row r="87" spans="1:18" ht="15.75" customHeight="1">
      <c r="A87" s="1"/>
      <c r="B87" s="1"/>
      <c r="C87" s="1"/>
      <c r="D87" s="19"/>
      <c r="E87" s="19"/>
      <c r="F87" s="19"/>
      <c r="G87" s="19"/>
      <c r="H87" s="19"/>
      <c r="I87" s="19"/>
      <c r="J87" s="1"/>
      <c r="K87" s="2"/>
      <c r="M87" s="2"/>
      <c r="N87" s="2"/>
      <c r="O87" s="2"/>
      <c r="P87" s="600"/>
      <c r="Q87" s="2"/>
      <c r="R87" s="2"/>
    </row>
    <row r="88" spans="1:18" ht="15.75" customHeight="1">
      <c r="A88" s="1"/>
      <c r="B88" s="1"/>
      <c r="C88" s="1"/>
      <c r="D88" s="19"/>
      <c r="E88" s="19"/>
      <c r="F88" s="19"/>
      <c r="G88" s="19"/>
      <c r="H88" s="19"/>
      <c r="I88" s="19"/>
      <c r="J88" s="1"/>
      <c r="K88" s="2"/>
      <c r="M88" s="2"/>
      <c r="N88" s="2"/>
      <c r="O88" s="2"/>
      <c r="P88" s="600"/>
      <c r="Q88" s="2"/>
      <c r="R88" s="2"/>
    </row>
    <row r="89" spans="1:18" ht="15.75" customHeight="1">
      <c r="A89" s="1"/>
      <c r="B89" s="1"/>
      <c r="C89" s="1"/>
      <c r="D89" s="19"/>
      <c r="E89" s="19"/>
      <c r="F89" s="19"/>
      <c r="G89" s="19"/>
      <c r="H89" s="19"/>
      <c r="I89" s="19"/>
      <c r="J89" s="1"/>
      <c r="K89" s="2"/>
      <c r="M89" s="2"/>
      <c r="N89" s="2"/>
      <c r="O89" s="2"/>
      <c r="P89" s="600"/>
      <c r="Q89" s="2"/>
      <c r="R89" s="2"/>
    </row>
    <row r="90" spans="1:18" ht="15.75" customHeight="1">
      <c r="A90" s="1"/>
      <c r="B90" s="1"/>
      <c r="C90" s="1"/>
      <c r="D90" s="19"/>
      <c r="E90" s="19"/>
      <c r="F90" s="19"/>
      <c r="G90" s="19"/>
      <c r="H90" s="19"/>
      <c r="I90" s="19"/>
      <c r="J90" s="1"/>
      <c r="K90" s="2"/>
      <c r="M90" s="2"/>
      <c r="N90" s="2"/>
      <c r="O90" s="2"/>
      <c r="P90" s="600"/>
      <c r="Q90" s="2"/>
      <c r="R90" s="2"/>
    </row>
    <row r="91" spans="1:18" ht="15.75" customHeight="1">
      <c r="A91" s="1"/>
      <c r="B91" s="1"/>
      <c r="C91" s="1"/>
      <c r="D91" s="19"/>
      <c r="E91" s="19"/>
      <c r="F91" s="19"/>
      <c r="G91" s="19"/>
      <c r="H91" s="19"/>
      <c r="I91" s="19"/>
      <c r="J91" s="1"/>
      <c r="K91" s="2"/>
      <c r="M91" s="2"/>
      <c r="N91" s="2"/>
      <c r="O91" s="2"/>
      <c r="P91" s="600"/>
      <c r="Q91" s="2"/>
      <c r="R91" s="2"/>
    </row>
    <row r="92" spans="1:18" ht="15.75" customHeight="1">
      <c r="A92" s="1"/>
      <c r="B92" s="1"/>
      <c r="C92" s="1"/>
      <c r="D92" s="19"/>
      <c r="E92" s="19"/>
      <c r="F92" s="19"/>
      <c r="G92" s="19"/>
      <c r="H92" s="19"/>
      <c r="I92" s="19"/>
      <c r="J92" s="1"/>
      <c r="K92" s="2"/>
      <c r="M92" s="2"/>
      <c r="N92" s="2"/>
      <c r="O92" s="2"/>
      <c r="P92" s="600"/>
      <c r="Q92" s="2"/>
      <c r="R92" s="2"/>
    </row>
    <row r="93" spans="1:18" ht="15.75" customHeight="1">
      <c r="A93" s="1"/>
      <c r="B93" s="1"/>
      <c r="C93" s="1"/>
      <c r="D93" s="19"/>
      <c r="E93" s="19"/>
      <c r="F93" s="19"/>
      <c r="G93" s="19"/>
      <c r="H93" s="19"/>
      <c r="I93" s="19"/>
      <c r="J93" s="1"/>
      <c r="K93" s="2"/>
      <c r="M93" s="2"/>
      <c r="N93" s="2"/>
      <c r="O93" s="2"/>
      <c r="P93" s="600"/>
      <c r="Q93" s="2"/>
      <c r="R93" s="2"/>
    </row>
    <row r="94" spans="1:18" ht="15.75" customHeight="1">
      <c r="A94" s="1"/>
      <c r="B94" s="1"/>
      <c r="C94" s="1"/>
      <c r="D94" s="19"/>
      <c r="E94" s="19"/>
      <c r="F94" s="19"/>
      <c r="G94" s="19"/>
      <c r="H94" s="19"/>
      <c r="I94" s="19"/>
      <c r="J94" s="1"/>
      <c r="K94" s="2"/>
      <c r="M94" s="2"/>
      <c r="N94" s="2"/>
      <c r="O94" s="2"/>
      <c r="P94" s="600"/>
      <c r="Q94" s="2"/>
      <c r="R94" s="2"/>
    </row>
    <row r="95" spans="1:18" ht="15.75" customHeight="1">
      <c r="A95" s="1"/>
      <c r="B95" s="1"/>
      <c r="C95" s="1"/>
      <c r="D95" s="19"/>
      <c r="E95" s="19"/>
      <c r="F95" s="19"/>
      <c r="G95" s="19"/>
      <c r="H95" s="19"/>
      <c r="I95" s="19"/>
      <c r="J95" s="1"/>
      <c r="K95" s="2"/>
      <c r="M95" s="2"/>
      <c r="N95" s="2"/>
      <c r="O95" s="2"/>
      <c r="P95" s="600"/>
      <c r="Q95" s="2"/>
      <c r="R95" s="2"/>
    </row>
    <row r="96" spans="1:18" ht="15.75" customHeight="1">
      <c r="A96" s="1"/>
      <c r="B96" s="1"/>
      <c r="C96" s="1"/>
      <c r="D96" s="19"/>
      <c r="E96" s="19"/>
      <c r="F96" s="19"/>
      <c r="G96" s="19"/>
      <c r="H96" s="19"/>
      <c r="I96" s="19"/>
      <c r="J96" s="1"/>
      <c r="K96" s="2"/>
      <c r="M96" s="2"/>
      <c r="N96" s="2"/>
      <c r="O96" s="2"/>
      <c r="P96" s="600"/>
      <c r="Q96" s="2"/>
      <c r="R96" s="2"/>
    </row>
    <row r="97" spans="1:18" ht="15.75" customHeight="1">
      <c r="A97" s="1"/>
      <c r="B97" s="1"/>
      <c r="C97" s="1"/>
      <c r="D97" s="19"/>
      <c r="E97" s="19"/>
      <c r="F97" s="19"/>
      <c r="G97" s="19"/>
      <c r="H97" s="19"/>
      <c r="I97" s="19"/>
      <c r="J97" s="1"/>
      <c r="K97" s="2"/>
      <c r="M97" s="2"/>
      <c r="N97" s="2"/>
      <c r="O97" s="2"/>
      <c r="P97" s="600"/>
      <c r="Q97" s="2"/>
      <c r="R97" s="2"/>
    </row>
    <row r="98" spans="1:18" ht="15.75" customHeight="1">
      <c r="A98" s="1"/>
      <c r="B98" s="1"/>
      <c r="C98" s="1"/>
      <c r="D98" s="19"/>
      <c r="E98" s="19"/>
      <c r="F98" s="19"/>
      <c r="G98" s="19"/>
      <c r="H98" s="19"/>
      <c r="I98" s="19"/>
      <c r="J98" s="1"/>
      <c r="K98" s="2"/>
      <c r="M98" s="2"/>
      <c r="N98" s="2"/>
      <c r="O98" s="2"/>
      <c r="P98" s="600"/>
      <c r="Q98" s="2"/>
      <c r="R98" s="2"/>
    </row>
    <row r="99" spans="1:18" ht="15.75" customHeight="1">
      <c r="A99" s="1"/>
      <c r="B99" s="1"/>
      <c r="C99" s="1"/>
      <c r="D99" s="19"/>
      <c r="E99" s="19"/>
      <c r="F99" s="19"/>
      <c r="G99" s="19"/>
      <c r="H99" s="19"/>
      <c r="I99" s="19"/>
      <c r="J99" s="1"/>
      <c r="K99" s="2"/>
      <c r="M99" s="2"/>
      <c r="N99" s="2"/>
      <c r="O99" s="2"/>
      <c r="P99" s="600"/>
      <c r="Q99" s="2"/>
      <c r="R99" s="2"/>
    </row>
    <row r="100" spans="1:18" ht="15.75" customHeight="1">
      <c r="A100" s="1"/>
      <c r="B100" s="1"/>
      <c r="C100" s="1"/>
      <c r="D100" s="19"/>
      <c r="E100" s="19"/>
      <c r="F100" s="19"/>
      <c r="G100" s="19"/>
      <c r="H100" s="19"/>
      <c r="I100" s="19"/>
      <c r="J100" s="1"/>
      <c r="K100" s="2"/>
      <c r="M100" s="2"/>
      <c r="N100" s="2"/>
      <c r="O100" s="2"/>
      <c r="P100" s="600"/>
      <c r="Q100" s="2"/>
      <c r="R100" s="2"/>
    </row>
    <row r="101" spans="1:18" ht="15.75" customHeight="1">
      <c r="A101" s="1"/>
      <c r="B101" s="1"/>
      <c r="C101" s="1"/>
      <c r="D101" s="19"/>
      <c r="E101" s="19"/>
      <c r="F101" s="19"/>
      <c r="G101" s="19"/>
      <c r="H101" s="19"/>
      <c r="I101" s="19"/>
      <c r="J101" s="1"/>
      <c r="K101" s="2"/>
      <c r="M101" s="2"/>
      <c r="N101" s="2"/>
      <c r="O101" s="2"/>
      <c r="P101" s="600"/>
      <c r="Q101" s="2"/>
      <c r="R101" s="2"/>
    </row>
    <row r="102" spans="1:18" ht="15.75" customHeight="1">
      <c r="A102" s="1"/>
      <c r="B102" s="1"/>
      <c r="C102" s="1"/>
      <c r="D102" s="19"/>
      <c r="E102" s="19"/>
      <c r="F102" s="19"/>
      <c r="G102" s="19"/>
      <c r="H102" s="19"/>
      <c r="I102" s="19"/>
      <c r="J102" s="1"/>
      <c r="K102" s="2"/>
      <c r="M102" s="2"/>
      <c r="N102" s="2"/>
      <c r="O102" s="2"/>
      <c r="P102" s="600"/>
      <c r="Q102" s="2"/>
      <c r="R102" s="2"/>
    </row>
    <row r="103" spans="1:18" ht="15.75" customHeight="1">
      <c r="A103" s="1"/>
      <c r="B103" s="1"/>
      <c r="C103" s="1"/>
      <c r="D103" s="19"/>
      <c r="E103" s="19"/>
      <c r="F103" s="19"/>
      <c r="G103" s="19"/>
      <c r="H103" s="19"/>
      <c r="I103" s="19"/>
      <c r="J103" s="1"/>
      <c r="K103" s="2"/>
      <c r="M103" s="2"/>
      <c r="N103" s="2"/>
      <c r="O103" s="2"/>
      <c r="P103" s="600"/>
      <c r="Q103" s="2"/>
      <c r="R103" s="2"/>
    </row>
    <row r="104" spans="1:18" ht="15.75" customHeight="1">
      <c r="A104" s="1"/>
      <c r="B104" s="1"/>
      <c r="C104" s="1"/>
      <c r="D104" s="19"/>
      <c r="E104" s="19"/>
      <c r="F104" s="19"/>
      <c r="G104" s="19"/>
      <c r="H104" s="19"/>
      <c r="I104" s="19"/>
      <c r="J104" s="1"/>
      <c r="K104" s="2"/>
      <c r="M104" s="2"/>
      <c r="N104" s="2"/>
      <c r="O104" s="2"/>
      <c r="P104" s="600"/>
      <c r="Q104" s="2"/>
      <c r="R104" s="2"/>
    </row>
    <row r="105" spans="1:18" ht="15.75" customHeight="1">
      <c r="A105" s="1"/>
      <c r="B105" s="1"/>
      <c r="C105" s="1"/>
      <c r="D105" s="19"/>
      <c r="E105" s="19"/>
      <c r="F105" s="19"/>
      <c r="G105" s="19"/>
      <c r="H105" s="19"/>
      <c r="I105" s="19"/>
      <c r="J105" s="1"/>
      <c r="K105" s="2"/>
      <c r="M105" s="2"/>
      <c r="N105" s="2"/>
      <c r="O105" s="2"/>
      <c r="P105" s="600"/>
      <c r="Q105" s="2"/>
      <c r="R105" s="2"/>
    </row>
    <row r="106" spans="1:18" ht="15.75" customHeight="1">
      <c r="A106" s="1"/>
      <c r="B106" s="1"/>
      <c r="C106" s="1"/>
      <c r="D106" s="19"/>
      <c r="E106" s="19"/>
      <c r="F106" s="19"/>
      <c r="G106" s="19"/>
      <c r="H106" s="19"/>
      <c r="I106" s="19"/>
      <c r="J106" s="1"/>
      <c r="K106" s="2"/>
      <c r="M106" s="2"/>
      <c r="N106" s="2"/>
      <c r="O106" s="2"/>
      <c r="P106" s="600"/>
      <c r="Q106" s="2"/>
      <c r="R106" s="2"/>
    </row>
    <row r="107" spans="1:18" ht="15.75" customHeight="1">
      <c r="A107" s="1"/>
      <c r="B107" s="1"/>
      <c r="C107" s="1"/>
      <c r="D107" s="19"/>
      <c r="E107" s="19"/>
      <c r="F107" s="19"/>
      <c r="G107" s="19"/>
      <c r="H107" s="19"/>
      <c r="I107" s="19"/>
      <c r="J107" s="1"/>
      <c r="K107" s="2"/>
      <c r="M107" s="2"/>
      <c r="N107" s="2"/>
      <c r="O107" s="2"/>
      <c r="P107" s="600"/>
      <c r="Q107" s="2"/>
      <c r="R107" s="2"/>
    </row>
    <row r="108" spans="1:18" ht="15.75" customHeight="1">
      <c r="A108" s="1"/>
      <c r="B108" s="1"/>
      <c r="C108" s="1"/>
      <c r="D108" s="19"/>
      <c r="E108" s="19"/>
      <c r="F108" s="19"/>
      <c r="G108" s="19"/>
      <c r="H108" s="19"/>
      <c r="I108" s="19"/>
      <c r="J108" s="1"/>
      <c r="K108" s="2"/>
      <c r="M108" s="2"/>
      <c r="N108" s="2"/>
      <c r="O108" s="2"/>
      <c r="P108" s="600"/>
      <c r="Q108" s="2"/>
      <c r="R108" s="2"/>
    </row>
    <row r="109" spans="1:18" ht="15.75" customHeight="1">
      <c r="A109" s="1"/>
      <c r="B109" s="1"/>
      <c r="C109" s="1"/>
      <c r="D109" s="19"/>
      <c r="E109" s="19"/>
      <c r="F109" s="19"/>
      <c r="G109" s="19"/>
      <c r="H109" s="19"/>
      <c r="I109" s="19"/>
      <c r="J109" s="1"/>
      <c r="K109" s="2"/>
      <c r="M109" s="2"/>
      <c r="N109" s="2"/>
      <c r="O109" s="2"/>
      <c r="P109" s="600"/>
      <c r="Q109" s="2"/>
      <c r="R109" s="2"/>
    </row>
    <row r="110" spans="1:18" ht="15.75" customHeight="1">
      <c r="A110" s="1"/>
      <c r="B110" s="1"/>
      <c r="C110" s="1"/>
      <c r="D110" s="19"/>
      <c r="E110" s="19"/>
      <c r="F110" s="19"/>
      <c r="G110" s="19"/>
      <c r="H110" s="19"/>
      <c r="I110" s="19"/>
      <c r="J110" s="1"/>
      <c r="K110" s="2"/>
      <c r="M110" s="2"/>
      <c r="N110" s="2"/>
      <c r="O110" s="2"/>
      <c r="P110" s="600"/>
      <c r="Q110" s="2"/>
      <c r="R110" s="2"/>
    </row>
    <row r="111" spans="1:18" ht="15.75" customHeight="1">
      <c r="A111" s="1"/>
      <c r="B111" s="1"/>
      <c r="C111" s="1"/>
      <c r="D111" s="19"/>
      <c r="E111" s="19"/>
      <c r="F111" s="19"/>
      <c r="G111" s="19"/>
      <c r="H111" s="19"/>
      <c r="I111" s="19"/>
      <c r="J111" s="1"/>
      <c r="K111" s="2"/>
      <c r="M111" s="2"/>
      <c r="N111" s="2"/>
      <c r="O111" s="2"/>
      <c r="P111" s="600"/>
      <c r="Q111" s="2"/>
      <c r="R111" s="2"/>
    </row>
    <row r="112" spans="1:18" ht="15.75" customHeight="1">
      <c r="A112" s="1"/>
      <c r="B112" s="1"/>
      <c r="C112" s="1"/>
      <c r="D112" s="19"/>
      <c r="E112" s="19"/>
      <c r="F112" s="19"/>
      <c r="G112" s="19"/>
      <c r="H112" s="19"/>
      <c r="I112" s="19"/>
      <c r="J112" s="1"/>
      <c r="K112" s="2"/>
      <c r="M112" s="2"/>
      <c r="N112" s="2"/>
      <c r="O112" s="2"/>
      <c r="P112" s="600"/>
      <c r="Q112" s="2"/>
      <c r="R112" s="2"/>
    </row>
    <row r="113" spans="1:18" ht="15.75" customHeight="1">
      <c r="A113" s="1"/>
      <c r="B113" s="1"/>
      <c r="C113" s="1"/>
      <c r="D113" s="19"/>
      <c r="E113" s="19"/>
      <c r="F113" s="19"/>
      <c r="G113" s="19"/>
      <c r="H113" s="19"/>
      <c r="I113" s="19"/>
      <c r="J113" s="1"/>
      <c r="K113" s="2"/>
      <c r="M113" s="2"/>
      <c r="N113" s="2"/>
      <c r="O113" s="2"/>
      <c r="P113" s="600"/>
      <c r="Q113" s="2"/>
      <c r="R113" s="2"/>
    </row>
    <row r="114" spans="1:18" ht="15.75" customHeight="1">
      <c r="A114" s="1"/>
      <c r="B114" s="1"/>
      <c r="C114" s="1"/>
      <c r="D114" s="19"/>
      <c r="E114" s="19"/>
      <c r="F114" s="19"/>
      <c r="G114" s="19"/>
      <c r="H114" s="19"/>
      <c r="I114" s="19"/>
      <c r="J114" s="1"/>
      <c r="K114" s="2"/>
      <c r="M114" s="2"/>
      <c r="N114" s="2"/>
      <c r="O114" s="2"/>
      <c r="P114" s="600"/>
      <c r="Q114" s="2"/>
      <c r="R114" s="2"/>
    </row>
    <row r="115" spans="1:18" ht="15.75" customHeight="1">
      <c r="A115" s="1"/>
      <c r="B115" s="1"/>
      <c r="C115" s="1"/>
      <c r="D115" s="19"/>
      <c r="E115" s="19"/>
      <c r="F115" s="19"/>
      <c r="G115" s="19"/>
      <c r="H115" s="19"/>
      <c r="I115" s="19"/>
      <c r="J115" s="1"/>
      <c r="K115" s="2"/>
      <c r="M115" s="2"/>
      <c r="N115" s="2"/>
      <c r="O115" s="2"/>
      <c r="P115" s="600"/>
      <c r="Q115" s="2"/>
      <c r="R115" s="2"/>
    </row>
    <row r="116" spans="1:18" ht="15.75" customHeight="1">
      <c r="A116" s="1"/>
      <c r="B116" s="1"/>
      <c r="C116" s="1"/>
      <c r="D116" s="19"/>
      <c r="E116" s="19"/>
      <c r="F116" s="19"/>
      <c r="G116" s="19"/>
      <c r="H116" s="19"/>
      <c r="I116" s="19"/>
      <c r="J116" s="1"/>
      <c r="K116" s="2"/>
      <c r="M116" s="2"/>
      <c r="N116" s="2"/>
      <c r="O116" s="2"/>
      <c r="P116" s="600"/>
      <c r="Q116" s="2"/>
      <c r="R116" s="2"/>
    </row>
    <row r="117" spans="1:18" ht="15.75" customHeight="1">
      <c r="A117" s="1"/>
      <c r="B117" s="1"/>
      <c r="C117" s="1"/>
      <c r="D117" s="19"/>
      <c r="E117" s="19"/>
      <c r="F117" s="19"/>
      <c r="G117" s="19"/>
      <c r="H117" s="19"/>
      <c r="I117" s="19"/>
      <c r="J117" s="1"/>
      <c r="K117" s="2"/>
      <c r="M117" s="2"/>
      <c r="N117" s="2"/>
      <c r="O117" s="2"/>
      <c r="P117" s="600"/>
      <c r="Q117" s="2"/>
      <c r="R117" s="2"/>
    </row>
    <row r="118" spans="1:18" ht="15.75" customHeight="1">
      <c r="A118" s="1"/>
      <c r="B118" s="1"/>
      <c r="C118" s="1"/>
      <c r="D118" s="19"/>
      <c r="E118" s="19"/>
      <c r="F118" s="19"/>
      <c r="G118" s="19"/>
      <c r="H118" s="19"/>
      <c r="I118" s="19"/>
      <c r="J118" s="1"/>
      <c r="K118" s="2"/>
      <c r="M118" s="2"/>
      <c r="N118" s="2"/>
      <c r="O118" s="2"/>
      <c r="P118" s="600"/>
      <c r="Q118" s="2"/>
      <c r="R118" s="2"/>
    </row>
    <row r="119" spans="1:18" ht="15.75" customHeight="1">
      <c r="A119" s="1"/>
      <c r="B119" s="1"/>
      <c r="C119" s="1"/>
      <c r="D119" s="19"/>
      <c r="E119" s="19"/>
      <c r="F119" s="19"/>
      <c r="G119" s="19"/>
      <c r="H119" s="19"/>
      <c r="I119" s="19"/>
      <c r="J119" s="1"/>
      <c r="K119" s="2"/>
      <c r="M119" s="2"/>
      <c r="N119" s="2"/>
      <c r="O119" s="2"/>
      <c r="P119" s="600"/>
      <c r="Q119" s="2"/>
      <c r="R119" s="2"/>
    </row>
    <row r="120" spans="1:18" ht="15.75" customHeight="1">
      <c r="A120" s="1"/>
      <c r="B120" s="1"/>
      <c r="C120" s="1"/>
      <c r="D120" s="19"/>
      <c r="E120" s="19"/>
      <c r="F120" s="19"/>
      <c r="G120" s="19"/>
      <c r="H120" s="19"/>
      <c r="I120" s="19"/>
      <c r="J120" s="1"/>
      <c r="K120" s="2"/>
      <c r="M120" s="2"/>
      <c r="N120" s="2"/>
      <c r="O120" s="2"/>
      <c r="P120" s="600"/>
      <c r="Q120" s="2"/>
      <c r="R120" s="2"/>
    </row>
    <row r="121" spans="1:18" ht="15.75" customHeight="1">
      <c r="A121" s="1"/>
      <c r="B121" s="1"/>
      <c r="C121" s="1"/>
      <c r="D121" s="19"/>
      <c r="E121" s="19"/>
      <c r="F121" s="19"/>
      <c r="G121" s="19"/>
      <c r="H121" s="19"/>
      <c r="I121" s="19"/>
      <c r="J121" s="1"/>
      <c r="K121" s="2"/>
      <c r="M121" s="2"/>
      <c r="N121" s="2"/>
      <c r="O121" s="2"/>
      <c r="P121" s="600"/>
      <c r="Q121" s="2"/>
      <c r="R121" s="2"/>
    </row>
    <row r="122" spans="1:18" ht="15.75" customHeight="1">
      <c r="A122" s="1"/>
      <c r="B122" s="1"/>
      <c r="C122" s="1"/>
      <c r="D122" s="19"/>
      <c r="E122" s="19"/>
      <c r="F122" s="19"/>
      <c r="G122" s="19"/>
      <c r="H122" s="19"/>
      <c r="I122" s="19"/>
      <c r="J122" s="1"/>
      <c r="K122" s="2"/>
      <c r="M122" s="2"/>
      <c r="N122" s="2"/>
      <c r="O122" s="2"/>
      <c r="P122" s="600"/>
      <c r="Q122" s="2"/>
      <c r="R122" s="2"/>
    </row>
    <row r="123" spans="1:18" ht="15.75" customHeight="1">
      <c r="A123" s="1"/>
      <c r="B123" s="1"/>
      <c r="C123" s="1"/>
      <c r="D123" s="19"/>
      <c r="E123" s="19"/>
      <c r="F123" s="19"/>
      <c r="G123" s="19"/>
      <c r="H123" s="19"/>
      <c r="I123" s="19"/>
      <c r="J123" s="1"/>
      <c r="K123" s="2"/>
      <c r="M123" s="2"/>
      <c r="N123" s="2"/>
      <c r="O123" s="2"/>
      <c r="P123" s="600"/>
      <c r="Q123" s="2"/>
      <c r="R123" s="2"/>
    </row>
    <row r="124" spans="1:18" ht="15.75" customHeight="1">
      <c r="A124" s="1"/>
      <c r="B124" s="1"/>
      <c r="C124" s="1"/>
      <c r="D124" s="19"/>
      <c r="E124" s="19"/>
      <c r="F124" s="19"/>
      <c r="G124" s="19"/>
      <c r="H124" s="19"/>
      <c r="I124" s="19"/>
      <c r="J124" s="1"/>
      <c r="K124" s="2"/>
      <c r="M124" s="2"/>
      <c r="N124" s="2"/>
      <c r="O124" s="2"/>
      <c r="P124" s="600"/>
      <c r="Q124" s="2"/>
      <c r="R124" s="2"/>
    </row>
    <row r="125" spans="1:18" ht="15.75" customHeight="1">
      <c r="A125" s="1"/>
      <c r="B125" s="1"/>
      <c r="C125" s="1"/>
      <c r="D125" s="19"/>
      <c r="E125" s="19"/>
      <c r="F125" s="19"/>
      <c r="G125" s="19"/>
      <c r="H125" s="19"/>
      <c r="I125" s="19"/>
      <c r="J125" s="1"/>
      <c r="K125" s="2"/>
      <c r="M125" s="2"/>
      <c r="N125" s="2"/>
      <c r="O125" s="2"/>
      <c r="P125" s="600"/>
      <c r="Q125" s="2"/>
      <c r="R125" s="2"/>
    </row>
    <row r="126" spans="1:18" ht="15.75" customHeight="1">
      <c r="A126" s="1"/>
      <c r="B126" s="1"/>
      <c r="C126" s="1"/>
      <c r="D126" s="19"/>
      <c r="E126" s="19"/>
      <c r="F126" s="19"/>
      <c r="G126" s="19"/>
      <c r="H126" s="19"/>
      <c r="I126" s="19"/>
      <c r="J126" s="1"/>
      <c r="K126" s="2"/>
      <c r="M126" s="2"/>
      <c r="N126" s="2"/>
      <c r="O126" s="2"/>
      <c r="P126" s="600"/>
      <c r="Q126" s="2"/>
      <c r="R126" s="2"/>
    </row>
    <row r="127" spans="1:18" ht="15.75" customHeight="1">
      <c r="A127" s="1"/>
      <c r="B127" s="1"/>
      <c r="C127" s="1"/>
      <c r="D127" s="19"/>
      <c r="E127" s="19"/>
      <c r="F127" s="19"/>
      <c r="G127" s="19"/>
      <c r="H127" s="19"/>
      <c r="I127" s="19"/>
      <c r="J127" s="1"/>
      <c r="K127" s="2"/>
      <c r="M127" s="2"/>
      <c r="N127" s="2"/>
      <c r="O127" s="2"/>
      <c r="P127" s="600"/>
      <c r="Q127" s="2"/>
      <c r="R127" s="2"/>
    </row>
    <row r="128" spans="1:18" ht="15.75" customHeight="1">
      <c r="A128" s="1"/>
      <c r="B128" s="1"/>
      <c r="C128" s="1"/>
      <c r="D128" s="19"/>
      <c r="E128" s="19"/>
      <c r="F128" s="19"/>
      <c r="G128" s="19"/>
      <c r="H128" s="19"/>
      <c r="I128" s="19"/>
      <c r="J128" s="1"/>
      <c r="K128" s="2"/>
      <c r="M128" s="2"/>
      <c r="N128" s="2"/>
      <c r="O128" s="2"/>
      <c r="P128" s="600"/>
      <c r="Q128" s="2"/>
      <c r="R128" s="2"/>
    </row>
    <row r="129" spans="1:18" ht="15.75" customHeight="1">
      <c r="A129" s="1"/>
      <c r="B129" s="1"/>
      <c r="C129" s="1"/>
      <c r="D129" s="19"/>
      <c r="E129" s="19"/>
      <c r="F129" s="19"/>
      <c r="G129" s="19"/>
      <c r="H129" s="19"/>
      <c r="I129" s="19"/>
      <c r="J129" s="1"/>
      <c r="K129" s="2"/>
      <c r="M129" s="2"/>
      <c r="N129" s="2"/>
      <c r="O129" s="2"/>
      <c r="P129" s="600"/>
      <c r="Q129" s="2"/>
      <c r="R129" s="2"/>
    </row>
    <row r="130" spans="1:18" ht="15.75" customHeight="1">
      <c r="A130" s="1"/>
      <c r="B130" s="1"/>
      <c r="C130" s="1"/>
      <c r="D130" s="19"/>
      <c r="E130" s="19"/>
      <c r="F130" s="19"/>
      <c r="G130" s="19"/>
      <c r="H130" s="19"/>
      <c r="I130" s="19"/>
      <c r="J130" s="1"/>
      <c r="K130" s="2"/>
      <c r="M130" s="2"/>
      <c r="N130" s="2"/>
      <c r="O130" s="2"/>
      <c r="P130" s="600"/>
      <c r="Q130" s="2"/>
      <c r="R130" s="2"/>
    </row>
    <row r="131" spans="1:18" ht="15.75" customHeight="1">
      <c r="A131" s="1"/>
      <c r="B131" s="1"/>
      <c r="C131" s="1"/>
      <c r="D131" s="19"/>
      <c r="E131" s="19"/>
      <c r="F131" s="19"/>
      <c r="G131" s="19"/>
      <c r="H131" s="19"/>
      <c r="I131" s="19"/>
      <c r="J131" s="1"/>
      <c r="K131" s="2"/>
      <c r="M131" s="2"/>
      <c r="N131" s="2"/>
      <c r="O131" s="2"/>
      <c r="P131" s="600"/>
      <c r="Q131" s="2"/>
      <c r="R131" s="2"/>
    </row>
    <row r="132" spans="1:18" ht="15.75" customHeight="1">
      <c r="A132" s="1"/>
      <c r="B132" s="1"/>
      <c r="C132" s="1"/>
      <c r="D132" s="19"/>
      <c r="E132" s="19"/>
      <c r="F132" s="19"/>
      <c r="G132" s="19"/>
      <c r="H132" s="19"/>
      <c r="I132" s="19"/>
      <c r="J132" s="1"/>
      <c r="K132" s="2"/>
      <c r="M132" s="2"/>
      <c r="N132" s="2"/>
      <c r="O132" s="2"/>
      <c r="P132" s="600"/>
      <c r="Q132" s="2"/>
      <c r="R132" s="2"/>
    </row>
    <row r="133" spans="1:18" ht="15.75" customHeight="1">
      <c r="A133" s="1"/>
      <c r="B133" s="1"/>
      <c r="C133" s="1"/>
      <c r="D133" s="19"/>
      <c r="E133" s="19"/>
      <c r="F133" s="19"/>
      <c r="G133" s="19"/>
      <c r="H133" s="19"/>
      <c r="I133" s="19"/>
      <c r="J133" s="1"/>
      <c r="K133" s="2"/>
      <c r="M133" s="2"/>
      <c r="N133" s="2"/>
      <c r="O133" s="2"/>
      <c r="P133" s="600"/>
      <c r="Q133" s="2"/>
      <c r="R133" s="2"/>
    </row>
    <row r="134" spans="1:18" ht="15.75" customHeight="1">
      <c r="A134" s="1"/>
      <c r="B134" s="1"/>
      <c r="C134" s="1"/>
      <c r="D134" s="19"/>
      <c r="E134" s="19"/>
      <c r="F134" s="19"/>
      <c r="G134" s="19"/>
      <c r="H134" s="19"/>
      <c r="I134" s="19"/>
      <c r="J134" s="1"/>
      <c r="K134" s="2"/>
      <c r="M134" s="2"/>
      <c r="N134" s="2"/>
      <c r="O134" s="2"/>
      <c r="P134" s="600"/>
      <c r="Q134" s="2"/>
      <c r="R134" s="2"/>
    </row>
    <row r="135" spans="1:18" ht="15.75" customHeight="1">
      <c r="A135" s="1"/>
      <c r="B135" s="1"/>
      <c r="C135" s="1"/>
      <c r="D135" s="19"/>
      <c r="E135" s="19"/>
      <c r="F135" s="19"/>
      <c r="G135" s="19"/>
      <c r="H135" s="19"/>
      <c r="I135" s="19"/>
      <c r="J135" s="1"/>
      <c r="K135" s="2"/>
      <c r="M135" s="2"/>
      <c r="N135" s="2"/>
      <c r="O135" s="2"/>
      <c r="P135" s="600"/>
      <c r="Q135" s="2"/>
      <c r="R135" s="2"/>
    </row>
    <row r="136" spans="1:18" ht="15.75" customHeight="1">
      <c r="A136" s="1"/>
      <c r="B136" s="1"/>
      <c r="C136" s="1"/>
      <c r="D136" s="19"/>
      <c r="E136" s="19"/>
      <c r="F136" s="19"/>
      <c r="G136" s="19"/>
      <c r="H136" s="19"/>
      <c r="I136" s="19"/>
      <c r="J136" s="1"/>
      <c r="K136" s="2"/>
      <c r="M136" s="2"/>
      <c r="N136" s="2"/>
      <c r="O136" s="2"/>
      <c r="P136" s="600"/>
      <c r="Q136" s="2"/>
      <c r="R136" s="2"/>
    </row>
    <row r="137" spans="1:18" ht="15.75" customHeight="1">
      <c r="A137" s="1"/>
      <c r="B137" s="1"/>
      <c r="C137" s="1"/>
      <c r="D137" s="19"/>
      <c r="E137" s="19"/>
      <c r="F137" s="19"/>
      <c r="G137" s="19"/>
      <c r="H137" s="19"/>
      <c r="I137" s="19"/>
      <c r="J137" s="1"/>
      <c r="K137" s="2"/>
      <c r="M137" s="2"/>
      <c r="N137" s="2"/>
      <c r="O137" s="2"/>
      <c r="P137" s="600"/>
      <c r="Q137" s="2"/>
      <c r="R137" s="2"/>
    </row>
    <row r="138" spans="1:18" ht="15.75" customHeight="1">
      <c r="A138" s="1"/>
      <c r="B138" s="1"/>
      <c r="C138" s="1"/>
      <c r="D138" s="19"/>
      <c r="E138" s="19"/>
      <c r="F138" s="19"/>
      <c r="G138" s="19"/>
      <c r="H138" s="19"/>
      <c r="I138" s="19"/>
      <c r="J138" s="1"/>
      <c r="K138" s="2"/>
      <c r="M138" s="2"/>
      <c r="N138" s="2"/>
      <c r="O138" s="2"/>
      <c r="P138" s="600"/>
      <c r="Q138" s="2"/>
      <c r="R138" s="2"/>
    </row>
    <row r="139" spans="1:18" ht="15.75" customHeight="1">
      <c r="A139" s="1"/>
      <c r="B139" s="1"/>
      <c r="C139" s="1"/>
      <c r="D139" s="19"/>
      <c r="E139" s="19"/>
      <c r="F139" s="19"/>
      <c r="G139" s="19"/>
      <c r="H139" s="19"/>
      <c r="I139" s="19"/>
      <c r="J139" s="1"/>
      <c r="K139" s="2"/>
      <c r="M139" s="2"/>
      <c r="N139" s="2"/>
      <c r="O139" s="2"/>
      <c r="P139" s="600"/>
      <c r="Q139" s="2"/>
      <c r="R139" s="2"/>
    </row>
    <row r="140" spans="1:18" ht="15.75" customHeight="1">
      <c r="A140" s="1"/>
      <c r="B140" s="1"/>
      <c r="C140" s="1"/>
      <c r="D140" s="19"/>
      <c r="E140" s="19"/>
      <c r="F140" s="19"/>
      <c r="G140" s="19"/>
      <c r="H140" s="19"/>
      <c r="I140" s="19"/>
      <c r="J140" s="1"/>
      <c r="K140" s="2"/>
      <c r="M140" s="2"/>
      <c r="N140" s="2"/>
      <c r="O140" s="2"/>
      <c r="P140" s="600"/>
      <c r="Q140" s="2"/>
      <c r="R140" s="2"/>
    </row>
    <row r="141" spans="1:18" ht="15.75" customHeight="1">
      <c r="A141" s="1"/>
      <c r="B141" s="1"/>
      <c r="C141" s="1"/>
      <c r="D141" s="19"/>
      <c r="E141" s="19"/>
      <c r="F141" s="19"/>
      <c r="G141" s="19"/>
      <c r="H141" s="19"/>
      <c r="I141" s="19"/>
      <c r="J141" s="1"/>
      <c r="K141" s="2"/>
      <c r="M141" s="2"/>
      <c r="N141" s="2"/>
      <c r="O141" s="2"/>
      <c r="P141" s="600"/>
      <c r="Q141" s="2"/>
      <c r="R141" s="2"/>
    </row>
    <row r="142" spans="1:18" ht="15.75" customHeight="1">
      <c r="A142" s="1"/>
      <c r="B142" s="1"/>
      <c r="C142" s="1"/>
      <c r="D142" s="19"/>
      <c r="E142" s="19"/>
      <c r="F142" s="19"/>
      <c r="G142" s="19"/>
      <c r="H142" s="19"/>
      <c r="I142" s="19"/>
      <c r="J142" s="1"/>
      <c r="K142" s="2"/>
      <c r="M142" s="2"/>
      <c r="N142" s="2"/>
      <c r="O142" s="2"/>
      <c r="P142" s="600"/>
      <c r="Q142" s="2"/>
      <c r="R142" s="2"/>
    </row>
    <row r="143" spans="1:18" ht="15.75" customHeight="1">
      <c r="A143" s="1"/>
      <c r="B143" s="1"/>
      <c r="C143" s="1"/>
      <c r="D143" s="19"/>
      <c r="E143" s="19"/>
      <c r="F143" s="19"/>
      <c r="G143" s="19"/>
      <c r="H143" s="19"/>
      <c r="I143" s="19"/>
      <c r="J143" s="1"/>
      <c r="K143" s="2"/>
      <c r="M143" s="2"/>
      <c r="N143" s="2"/>
      <c r="O143" s="2"/>
      <c r="P143" s="600"/>
      <c r="Q143" s="2"/>
      <c r="R143" s="2"/>
    </row>
    <row r="144" spans="1:18" ht="15.75" customHeight="1">
      <c r="A144" s="1"/>
      <c r="B144" s="1"/>
      <c r="C144" s="1"/>
      <c r="D144" s="19"/>
      <c r="E144" s="19"/>
      <c r="F144" s="19"/>
      <c r="G144" s="19"/>
      <c r="H144" s="19"/>
      <c r="I144" s="19"/>
      <c r="J144" s="1"/>
      <c r="K144" s="2"/>
      <c r="M144" s="2"/>
      <c r="N144" s="2"/>
      <c r="O144" s="2"/>
      <c r="P144" s="600"/>
      <c r="Q144" s="2"/>
      <c r="R144" s="2"/>
    </row>
    <row r="145" spans="1:18" ht="15.75" customHeight="1">
      <c r="A145" s="1"/>
      <c r="B145" s="1"/>
      <c r="C145" s="1"/>
      <c r="D145" s="19"/>
      <c r="E145" s="19"/>
      <c r="F145" s="19"/>
      <c r="G145" s="19"/>
      <c r="H145" s="19"/>
      <c r="I145" s="19"/>
      <c r="J145" s="1"/>
      <c r="K145" s="2"/>
      <c r="M145" s="2"/>
      <c r="N145" s="2"/>
      <c r="O145" s="2"/>
      <c r="P145" s="600"/>
      <c r="Q145" s="2"/>
      <c r="R145" s="2"/>
    </row>
    <row r="146" spans="1:18" ht="15.75" customHeight="1">
      <c r="A146" s="1"/>
      <c r="B146" s="1"/>
      <c r="C146" s="1"/>
      <c r="D146" s="19"/>
      <c r="E146" s="19"/>
      <c r="F146" s="19"/>
      <c r="G146" s="19"/>
      <c r="H146" s="19"/>
      <c r="I146" s="19"/>
      <c r="J146" s="1"/>
      <c r="K146" s="2"/>
      <c r="M146" s="2"/>
      <c r="N146" s="2"/>
      <c r="O146" s="2"/>
      <c r="P146" s="600"/>
      <c r="Q146" s="2"/>
      <c r="R146" s="2"/>
    </row>
    <row r="147" spans="1:18" ht="15.75" customHeight="1">
      <c r="A147" s="1"/>
      <c r="B147" s="1"/>
      <c r="C147" s="1"/>
      <c r="D147" s="19"/>
      <c r="E147" s="19"/>
      <c r="F147" s="19"/>
      <c r="G147" s="19"/>
      <c r="H147" s="19"/>
      <c r="I147" s="19"/>
      <c r="J147" s="1"/>
      <c r="K147" s="2"/>
      <c r="M147" s="2"/>
      <c r="N147" s="2"/>
      <c r="O147" s="2"/>
      <c r="P147" s="600"/>
      <c r="Q147" s="2"/>
      <c r="R147" s="2"/>
    </row>
    <row r="148" spans="1:18" ht="15.75" customHeight="1">
      <c r="A148" s="1"/>
      <c r="B148" s="1"/>
      <c r="C148" s="1"/>
      <c r="D148" s="19"/>
      <c r="E148" s="19"/>
      <c r="F148" s="19"/>
      <c r="G148" s="19"/>
      <c r="H148" s="19"/>
      <c r="I148" s="19"/>
      <c r="J148" s="1"/>
      <c r="K148" s="2"/>
      <c r="M148" s="2"/>
      <c r="N148" s="2"/>
      <c r="O148" s="2"/>
      <c r="P148" s="600"/>
      <c r="Q148" s="2"/>
      <c r="R148" s="2"/>
    </row>
    <row r="149" spans="1:18" ht="15.75" customHeight="1">
      <c r="A149" s="1"/>
      <c r="B149" s="1"/>
      <c r="C149" s="1"/>
      <c r="D149" s="19"/>
      <c r="E149" s="19"/>
      <c r="F149" s="19"/>
      <c r="G149" s="19"/>
      <c r="H149" s="19"/>
      <c r="I149" s="19"/>
      <c r="J149" s="1"/>
      <c r="K149" s="2"/>
      <c r="M149" s="2"/>
      <c r="N149" s="2"/>
      <c r="O149" s="2"/>
      <c r="P149" s="600"/>
      <c r="Q149" s="2"/>
      <c r="R149" s="2"/>
    </row>
    <row r="150" spans="1:18" ht="15.75" customHeight="1">
      <c r="A150" s="1"/>
      <c r="B150" s="1"/>
      <c r="C150" s="1"/>
      <c r="D150" s="19"/>
      <c r="E150" s="19"/>
      <c r="F150" s="19"/>
      <c r="G150" s="19"/>
      <c r="H150" s="19"/>
      <c r="I150" s="19"/>
      <c r="J150" s="1"/>
      <c r="K150" s="2"/>
      <c r="M150" s="2"/>
      <c r="N150" s="2"/>
      <c r="O150" s="2"/>
      <c r="P150" s="600"/>
      <c r="Q150" s="2"/>
      <c r="R150" s="2"/>
    </row>
    <row r="151" spans="1:18" ht="15.75" customHeight="1">
      <c r="A151" s="1"/>
      <c r="B151" s="1"/>
      <c r="C151" s="1"/>
      <c r="D151" s="19"/>
      <c r="E151" s="19"/>
      <c r="F151" s="19"/>
      <c r="G151" s="19"/>
      <c r="H151" s="19"/>
      <c r="I151" s="19"/>
      <c r="J151" s="1"/>
      <c r="K151" s="2"/>
      <c r="M151" s="2"/>
      <c r="N151" s="2"/>
      <c r="O151" s="2"/>
      <c r="P151" s="600"/>
      <c r="Q151" s="2"/>
      <c r="R151" s="2"/>
    </row>
    <row r="152" spans="1:18" ht="15.75" customHeight="1">
      <c r="A152" s="1"/>
      <c r="B152" s="1"/>
      <c r="C152" s="1"/>
      <c r="D152" s="19"/>
      <c r="E152" s="19"/>
      <c r="F152" s="19"/>
      <c r="G152" s="19"/>
      <c r="H152" s="19"/>
      <c r="I152" s="19"/>
      <c r="J152" s="1"/>
      <c r="K152" s="2"/>
      <c r="M152" s="2"/>
      <c r="N152" s="2"/>
      <c r="O152" s="2"/>
      <c r="P152" s="600"/>
      <c r="Q152" s="2"/>
      <c r="R152" s="2"/>
    </row>
    <row r="153" spans="1:18" ht="15.75" customHeight="1">
      <c r="A153" s="1"/>
      <c r="B153" s="1"/>
      <c r="C153" s="1"/>
      <c r="D153" s="19"/>
      <c r="E153" s="19"/>
      <c r="F153" s="19"/>
      <c r="G153" s="19"/>
      <c r="H153" s="19"/>
      <c r="I153" s="19"/>
      <c r="J153" s="1"/>
      <c r="K153" s="2"/>
      <c r="M153" s="2"/>
      <c r="N153" s="2"/>
      <c r="O153" s="2"/>
      <c r="P153" s="600"/>
      <c r="Q153" s="2"/>
      <c r="R153" s="2"/>
    </row>
    <row r="154" spans="1:18" ht="15.75" customHeight="1">
      <c r="A154" s="1"/>
      <c r="B154" s="1"/>
      <c r="C154" s="1"/>
      <c r="D154" s="19"/>
      <c r="E154" s="19"/>
      <c r="F154" s="19"/>
      <c r="G154" s="19"/>
      <c r="H154" s="19"/>
      <c r="I154" s="19"/>
      <c r="J154" s="1"/>
      <c r="K154" s="2"/>
      <c r="M154" s="2"/>
      <c r="N154" s="2"/>
      <c r="O154" s="2"/>
      <c r="P154" s="600"/>
      <c r="Q154" s="2"/>
      <c r="R154" s="2"/>
    </row>
    <row r="155" spans="1:18" ht="15.75" customHeight="1">
      <c r="A155" s="1"/>
      <c r="B155" s="1"/>
      <c r="C155" s="1"/>
      <c r="D155" s="19"/>
      <c r="E155" s="19"/>
      <c r="F155" s="19"/>
      <c r="G155" s="19"/>
      <c r="H155" s="19"/>
      <c r="I155" s="19"/>
      <c r="J155" s="1"/>
      <c r="K155" s="2"/>
      <c r="M155" s="2"/>
      <c r="N155" s="2"/>
      <c r="O155" s="2"/>
      <c r="P155" s="600"/>
      <c r="Q155" s="2"/>
      <c r="R155" s="2"/>
    </row>
    <row r="156" spans="1:18" ht="15.75" customHeight="1">
      <c r="A156" s="1"/>
      <c r="B156" s="1"/>
      <c r="C156" s="1"/>
      <c r="D156" s="19"/>
      <c r="E156" s="19"/>
      <c r="F156" s="19"/>
      <c r="G156" s="19"/>
      <c r="H156" s="19"/>
      <c r="I156" s="19"/>
      <c r="J156" s="1"/>
      <c r="K156" s="2"/>
      <c r="M156" s="2"/>
      <c r="N156" s="2"/>
      <c r="O156" s="2"/>
      <c r="P156" s="600"/>
      <c r="Q156" s="2"/>
      <c r="R156" s="2"/>
    </row>
    <row r="157" spans="1:18" ht="15.75" customHeight="1">
      <c r="A157" s="1"/>
      <c r="B157" s="1"/>
      <c r="C157" s="1"/>
      <c r="D157" s="19"/>
      <c r="E157" s="19"/>
      <c r="F157" s="19"/>
      <c r="G157" s="19"/>
      <c r="H157" s="19"/>
      <c r="I157" s="19"/>
      <c r="J157" s="1"/>
      <c r="K157" s="2"/>
      <c r="M157" s="2"/>
      <c r="N157" s="2"/>
      <c r="O157" s="2"/>
      <c r="P157" s="600"/>
      <c r="Q157" s="2"/>
      <c r="R157" s="2"/>
    </row>
    <row r="158" spans="1:18" ht="15.75" customHeight="1">
      <c r="A158" s="1"/>
      <c r="B158" s="1"/>
      <c r="C158" s="1"/>
      <c r="D158" s="19"/>
      <c r="E158" s="19"/>
      <c r="F158" s="19"/>
      <c r="G158" s="19"/>
      <c r="H158" s="19"/>
      <c r="I158" s="19"/>
      <c r="J158" s="1"/>
      <c r="K158" s="2"/>
      <c r="M158" s="2"/>
      <c r="N158" s="2"/>
      <c r="O158" s="2"/>
      <c r="P158" s="600"/>
      <c r="Q158" s="2"/>
      <c r="R158" s="2"/>
    </row>
    <row r="159" spans="1:18" ht="15.75" customHeight="1">
      <c r="A159" s="1"/>
      <c r="B159" s="1"/>
      <c r="C159" s="1"/>
      <c r="D159" s="19"/>
      <c r="E159" s="19"/>
      <c r="F159" s="19"/>
      <c r="G159" s="19"/>
      <c r="H159" s="19"/>
      <c r="I159" s="19"/>
      <c r="J159" s="1"/>
      <c r="K159" s="2"/>
      <c r="M159" s="2"/>
      <c r="N159" s="2"/>
      <c r="O159" s="2"/>
      <c r="P159" s="600"/>
      <c r="Q159" s="2"/>
      <c r="R159" s="2"/>
    </row>
    <row r="160" spans="1:18" ht="15.75" customHeight="1">
      <c r="A160" s="1"/>
      <c r="B160" s="1"/>
      <c r="C160" s="1"/>
      <c r="D160" s="19"/>
      <c r="E160" s="19"/>
      <c r="F160" s="19"/>
      <c r="G160" s="19"/>
      <c r="H160" s="19"/>
      <c r="I160" s="19"/>
      <c r="J160" s="1"/>
      <c r="K160" s="2"/>
      <c r="M160" s="2"/>
      <c r="N160" s="2"/>
      <c r="O160" s="2"/>
      <c r="P160" s="600"/>
      <c r="Q160" s="2"/>
      <c r="R160" s="2"/>
    </row>
    <row r="161" spans="1:18" ht="15.75" customHeight="1">
      <c r="A161" s="1"/>
      <c r="B161" s="1"/>
      <c r="C161" s="1"/>
      <c r="D161" s="19"/>
      <c r="E161" s="19"/>
      <c r="F161" s="19"/>
      <c r="G161" s="19"/>
      <c r="H161" s="19"/>
      <c r="I161" s="19"/>
      <c r="J161" s="1"/>
      <c r="K161" s="2"/>
      <c r="M161" s="2"/>
      <c r="N161" s="2"/>
      <c r="O161" s="2"/>
      <c r="P161" s="600"/>
      <c r="Q161" s="2"/>
      <c r="R161" s="2"/>
    </row>
    <row r="162" spans="1:18" ht="15.75" customHeight="1">
      <c r="A162" s="1"/>
      <c r="B162" s="1"/>
      <c r="C162" s="1"/>
      <c r="D162" s="19"/>
      <c r="E162" s="19"/>
      <c r="F162" s="19"/>
      <c r="G162" s="19"/>
      <c r="H162" s="19"/>
      <c r="I162" s="19"/>
      <c r="J162" s="1"/>
      <c r="K162" s="2"/>
      <c r="M162" s="2"/>
      <c r="N162" s="2"/>
      <c r="O162" s="2"/>
      <c r="P162" s="600"/>
      <c r="Q162" s="2"/>
      <c r="R162" s="2"/>
    </row>
    <row r="163" spans="1:18" ht="15.75" customHeight="1">
      <c r="A163" s="1"/>
      <c r="B163" s="1"/>
      <c r="C163" s="1"/>
      <c r="D163" s="19"/>
      <c r="E163" s="19"/>
      <c r="F163" s="19"/>
      <c r="G163" s="19"/>
      <c r="H163" s="19"/>
      <c r="I163" s="19"/>
      <c r="J163" s="1"/>
      <c r="K163" s="2"/>
      <c r="M163" s="2"/>
      <c r="N163" s="2"/>
      <c r="O163" s="2"/>
      <c r="P163" s="600"/>
      <c r="Q163" s="2"/>
      <c r="R163" s="2"/>
    </row>
    <row r="164" spans="1:18" ht="15.75" customHeight="1">
      <c r="A164" s="1"/>
      <c r="B164" s="1"/>
      <c r="C164" s="1"/>
      <c r="D164" s="19"/>
      <c r="E164" s="19"/>
      <c r="F164" s="19"/>
      <c r="G164" s="19"/>
      <c r="H164" s="19"/>
      <c r="I164" s="19"/>
      <c r="J164" s="1"/>
      <c r="K164" s="2"/>
      <c r="M164" s="2"/>
      <c r="N164" s="2"/>
      <c r="O164" s="2"/>
      <c r="P164" s="600"/>
      <c r="Q164" s="2"/>
      <c r="R164" s="2"/>
    </row>
    <row r="165" spans="1:18" ht="15.75" customHeight="1">
      <c r="A165" s="1"/>
      <c r="B165" s="1"/>
      <c r="C165" s="1"/>
      <c r="D165" s="19"/>
      <c r="E165" s="19"/>
      <c r="F165" s="19"/>
      <c r="G165" s="19"/>
      <c r="H165" s="19"/>
      <c r="I165" s="19"/>
      <c r="J165" s="1"/>
      <c r="K165" s="2"/>
      <c r="M165" s="2"/>
      <c r="N165" s="2"/>
      <c r="O165" s="2"/>
      <c r="P165" s="600"/>
      <c r="Q165" s="2"/>
      <c r="R165" s="2"/>
    </row>
    <row r="166" spans="1:18" ht="15.75" customHeight="1">
      <c r="A166" s="1"/>
      <c r="B166" s="1"/>
      <c r="C166" s="1"/>
      <c r="D166" s="19"/>
      <c r="E166" s="19"/>
      <c r="F166" s="19"/>
      <c r="G166" s="19"/>
      <c r="H166" s="19"/>
      <c r="I166" s="19"/>
      <c r="J166" s="1"/>
      <c r="K166" s="2"/>
      <c r="M166" s="2"/>
      <c r="N166" s="2"/>
      <c r="O166" s="2"/>
      <c r="P166" s="600"/>
      <c r="Q166" s="2"/>
      <c r="R166" s="2"/>
    </row>
    <row r="167" spans="1:18" ht="15.75" customHeight="1">
      <c r="A167" s="1"/>
      <c r="B167" s="1"/>
      <c r="C167" s="1"/>
      <c r="D167" s="19"/>
      <c r="E167" s="19"/>
      <c r="F167" s="19"/>
      <c r="G167" s="19"/>
      <c r="H167" s="19"/>
      <c r="I167" s="19"/>
      <c r="J167" s="1"/>
      <c r="K167" s="2"/>
      <c r="M167" s="2"/>
      <c r="N167" s="2"/>
      <c r="O167" s="2"/>
      <c r="P167" s="600"/>
      <c r="Q167" s="2"/>
      <c r="R167" s="2"/>
    </row>
    <row r="168" spans="1:18" ht="15.75" customHeight="1">
      <c r="A168" s="1"/>
      <c r="B168" s="1"/>
      <c r="C168" s="1"/>
      <c r="D168" s="19"/>
      <c r="E168" s="19"/>
      <c r="F168" s="19"/>
      <c r="G168" s="19"/>
      <c r="H168" s="19"/>
      <c r="I168" s="19"/>
      <c r="J168" s="1"/>
      <c r="K168" s="2"/>
      <c r="M168" s="2"/>
      <c r="N168" s="2"/>
      <c r="O168" s="2"/>
      <c r="P168" s="600"/>
      <c r="Q168" s="2"/>
      <c r="R168" s="2"/>
    </row>
    <row r="169" spans="1:18" ht="15.75" customHeight="1">
      <c r="A169" s="1"/>
      <c r="B169" s="1"/>
      <c r="C169" s="1"/>
      <c r="D169" s="19"/>
      <c r="E169" s="19"/>
      <c r="F169" s="19"/>
      <c r="G169" s="19"/>
      <c r="H169" s="19"/>
      <c r="I169" s="19"/>
      <c r="J169" s="1"/>
      <c r="K169" s="2"/>
      <c r="M169" s="2"/>
      <c r="N169" s="2"/>
      <c r="O169" s="2"/>
      <c r="P169" s="600"/>
      <c r="Q169" s="2"/>
      <c r="R169" s="2"/>
    </row>
    <row r="170" spans="1:18" ht="15.75" customHeight="1">
      <c r="A170" s="1"/>
      <c r="B170" s="1"/>
      <c r="C170" s="1"/>
      <c r="D170" s="19"/>
      <c r="E170" s="19"/>
      <c r="F170" s="19"/>
      <c r="G170" s="19"/>
      <c r="H170" s="19"/>
      <c r="I170" s="19"/>
      <c r="J170" s="1"/>
      <c r="K170" s="2"/>
      <c r="M170" s="2"/>
      <c r="N170" s="2"/>
      <c r="O170" s="2"/>
      <c r="P170" s="600"/>
      <c r="Q170" s="2"/>
      <c r="R170" s="2"/>
    </row>
    <row r="171" spans="1:18" ht="15.75" customHeight="1">
      <c r="A171" s="1"/>
      <c r="B171" s="1"/>
      <c r="C171" s="1"/>
      <c r="D171" s="19"/>
      <c r="E171" s="19"/>
      <c r="F171" s="19"/>
      <c r="G171" s="19"/>
      <c r="H171" s="19"/>
      <c r="I171" s="19"/>
      <c r="J171" s="1"/>
      <c r="K171" s="2"/>
      <c r="M171" s="2"/>
      <c r="N171" s="2"/>
      <c r="O171" s="2"/>
      <c r="P171" s="600"/>
      <c r="Q171" s="2"/>
      <c r="R171" s="2"/>
    </row>
    <row r="172" spans="1:18" ht="15.75" customHeight="1">
      <c r="A172" s="1"/>
      <c r="B172" s="1"/>
      <c r="C172" s="1"/>
      <c r="D172" s="19"/>
      <c r="E172" s="19"/>
      <c r="F172" s="19"/>
      <c r="G172" s="19"/>
      <c r="H172" s="19"/>
      <c r="I172" s="19"/>
      <c r="J172" s="1"/>
      <c r="K172" s="2"/>
      <c r="M172" s="2"/>
      <c r="N172" s="2"/>
      <c r="O172" s="2"/>
      <c r="P172" s="600"/>
      <c r="Q172" s="2"/>
      <c r="R172" s="2"/>
    </row>
    <row r="173" spans="1:18" ht="15.75" customHeight="1">
      <c r="A173" s="1"/>
      <c r="B173" s="1"/>
      <c r="C173" s="1"/>
      <c r="D173" s="19"/>
      <c r="E173" s="19"/>
      <c r="F173" s="19"/>
      <c r="G173" s="19"/>
      <c r="H173" s="19"/>
      <c r="I173" s="19"/>
      <c r="J173" s="1"/>
      <c r="K173" s="2"/>
      <c r="M173" s="2"/>
      <c r="N173" s="2"/>
      <c r="O173" s="2"/>
      <c r="P173" s="600"/>
      <c r="Q173" s="2"/>
      <c r="R173" s="2"/>
    </row>
    <row r="174" spans="1:18" ht="15.75" customHeight="1">
      <c r="A174" s="1"/>
      <c r="B174" s="1"/>
      <c r="C174" s="1"/>
      <c r="D174" s="19"/>
      <c r="E174" s="19"/>
      <c r="F174" s="19"/>
      <c r="G174" s="19"/>
      <c r="H174" s="19"/>
      <c r="I174" s="19"/>
      <c r="J174" s="1"/>
      <c r="K174" s="2"/>
      <c r="M174" s="2"/>
      <c r="N174" s="2"/>
      <c r="O174" s="2"/>
      <c r="P174" s="600"/>
      <c r="Q174" s="2"/>
      <c r="R174" s="2"/>
    </row>
    <row r="175" spans="1:18" ht="15.75" customHeight="1">
      <c r="A175" s="1"/>
      <c r="B175" s="1"/>
      <c r="C175" s="1"/>
      <c r="D175" s="19"/>
      <c r="E175" s="19"/>
      <c r="F175" s="19"/>
      <c r="G175" s="19"/>
      <c r="H175" s="19"/>
      <c r="I175" s="19"/>
      <c r="J175" s="1"/>
      <c r="K175" s="2"/>
      <c r="M175" s="2"/>
      <c r="N175" s="2"/>
      <c r="O175" s="2"/>
      <c r="P175" s="600"/>
      <c r="Q175" s="2"/>
      <c r="R175" s="2"/>
    </row>
    <row r="176" spans="1:18" ht="15.75" customHeight="1">
      <c r="A176" s="1"/>
      <c r="B176" s="1"/>
      <c r="C176" s="1"/>
      <c r="D176" s="19"/>
      <c r="E176" s="19"/>
      <c r="F176" s="19"/>
      <c r="G176" s="19"/>
      <c r="H176" s="19"/>
      <c r="I176" s="19"/>
      <c r="J176" s="1"/>
      <c r="K176" s="2"/>
      <c r="M176" s="2"/>
      <c r="N176" s="2"/>
      <c r="O176" s="2"/>
      <c r="P176" s="600"/>
      <c r="Q176" s="2"/>
      <c r="R176" s="2"/>
    </row>
    <row r="177" spans="1:18" ht="15.75" customHeight="1">
      <c r="A177" s="1"/>
      <c r="B177" s="1"/>
      <c r="C177" s="1"/>
      <c r="D177" s="19"/>
      <c r="E177" s="19"/>
      <c r="F177" s="19"/>
      <c r="G177" s="19"/>
      <c r="H177" s="19"/>
      <c r="I177" s="19"/>
      <c r="J177" s="1"/>
      <c r="K177" s="2"/>
      <c r="M177" s="2"/>
      <c r="N177" s="2"/>
      <c r="O177" s="2"/>
      <c r="P177" s="600"/>
      <c r="Q177" s="2"/>
      <c r="R177" s="2"/>
    </row>
    <row r="178" spans="1:18" ht="15.75" customHeight="1">
      <c r="A178" s="1"/>
      <c r="B178" s="1"/>
      <c r="C178" s="1"/>
      <c r="D178" s="19"/>
      <c r="E178" s="19"/>
      <c r="F178" s="19"/>
      <c r="G178" s="19"/>
      <c r="H178" s="19"/>
      <c r="I178" s="19"/>
      <c r="J178" s="1"/>
      <c r="K178" s="2"/>
      <c r="M178" s="2"/>
      <c r="N178" s="2"/>
      <c r="O178" s="2"/>
      <c r="P178" s="600"/>
      <c r="Q178" s="2"/>
      <c r="R178" s="2"/>
    </row>
    <row r="179" spans="1:18" ht="15.75" customHeight="1">
      <c r="A179" s="1"/>
      <c r="B179" s="1"/>
      <c r="C179" s="1"/>
      <c r="D179" s="19"/>
      <c r="E179" s="19"/>
      <c r="F179" s="19"/>
      <c r="G179" s="19"/>
      <c r="H179" s="19"/>
      <c r="I179" s="19"/>
      <c r="J179" s="1"/>
      <c r="K179" s="2"/>
      <c r="M179" s="2"/>
      <c r="N179" s="2"/>
      <c r="O179" s="2"/>
      <c r="P179" s="600"/>
      <c r="Q179" s="2"/>
      <c r="R179" s="2"/>
    </row>
    <row r="180" spans="1:18" ht="15.75" customHeight="1">
      <c r="A180" s="1"/>
      <c r="B180" s="1"/>
      <c r="C180" s="1"/>
      <c r="D180" s="19"/>
      <c r="E180" s="19"/>
      <c r="F180" s="19"/>
      <c r="G180" s="19"/>
      <c r="H180" s="19"/>
      <c r="I180" s="19"/>
      <c r="J180" s="1"/>
      <c r="K180" s="2"/>
      <c r="M180" s="2"/>
      <c r="N180" s="2"/>
      <c r="O180" s="2"/>
      <c r="P180" s="600"/>
      <c r="Q180" s="2"/>
      <c r="R180" s="2"/>
    </row>
    <row r="181" spans="1:18" ht="15.75" customHeight="1">
      <c r="A181" s="1"/>
      <c r="B181" s="1"/>
      <c r="C181" s="1"/>
      <c r="D181" s="19"/>
      <c r="E181" s="19"/>
      <c r="F181" s="19"/>
      <c r="G181" s="19"/>
      <c r="H181" s="19"/>
      <c r="I181" s="19"/>
      <c r="J181" s="1"/>
      <c r="K181" s="2"/>
      <c r="M181" s="2"/>
      <c r="N181" s="2"/>
      <c r="O181" s="2"/>
      <c r="P181" s="600"/>
      <c r="Q181" s="2"/>
      <c r="R181" s="2"/>
    </row>
    <row r="182" spans="1:18" ht="15.75" customHeight="1">
      <c r="A182" s="1"/>
      <c r="B182" s="1"/>
      <c r="C182" s="1"/>
      <c r="D182" s="19"/>
      <c r="E182" s="19"/>
      <c r="F182" s="19"/>
      <c r="G182" s="19"/>
      <c r="H182" s="19"/>
      <c r="I182" s="19"/>
      <c r="J182" s="1"/>
      <c r="K182" s="2"/>
      <c r="M182" s="2"/>
      <c r="N182" s="2"/>
      <c r="O182" s="2"/>
      <c r="P182" s="600"/>
      <c r="Q182" s="2"/>
      <c r="R182" s="2"/>
    </row>
    <row r="183" spans="1:18" ht="15.75" customHeight="1">
      <c r="A183" s="1"/>
      <c r="B183" s="1"/>
      <c r="C183" s="1"/>
      <c r="D183" s="19"/>
      <c r="E183" s="19"/>
      <c r="F183" s="19"/>
      <c r="G183" s="19"/>
      <c r="H183" s="19"/>
      <c r="I183" s="19"/>
      <c r="J183" s="1"/>
      <c r="K183" s="2"/>
      <c r="M183" s="2"/>
      <c r="N183" s="2"/>
      <c r="O183" s="2"/>
      <c r="P183" s="600"/>
      <c r="Q183" s="2"/>
      <c r="R183" s="2"/>
    </row>
    <row r="184" spans="1:18" ht="15.75" customHeight="1">
      <c r="A184" s="1"/>
      <c r="B184" s="1"/>
      <c r="C184" s="1"/>
      <c r="D184" s="19"/>
      <c r="E184" s="19"/>
      <c r="F184" s="19"/>
      <c r="G184" s="19"/>
      <c r="H184" s="19"/>
      <c r="I184" s="19"/>
      <c r="J184" s="1"/>
      <c r="K184" s="2"/>
      <c r="M184" s="2"/>
      <c r="N184" s="2"/>
      <c r="O184" s="2"/>
      <c r="P184" s="600"/>
      <c r="Q184" s="2"/>
      <c r="R184" s="2"/>
    </row>
    <row r="185" spans="1:18" ht="15.75" customHeight="1">
      <c r="A185" s="1"/>
      <c r="B185" s="1"/>
      <c r="C185" s="1"/>
      <c r="D185" s="19"/>
      <c r="E185" s="19"/>
      <c r="F185" s="19"/>
      <c r="G185" s="19"/>
      <c r="H185" s="19"/>
      <c r="I185" s="19"/>
      <c r="J185" s="1"/>
      <c r="K185" s="2"/>
      <c r="M185" s="2"/>
      <c r="N185" s="2"/>
      <c r="O185" s="2"/>
      <c r="P185" s="600"/>
      <c r="Q185" s="2"/>
      <c r="R185" s="2"/>
    </row>
    <row r="186" spans="1:18" ht="15.75" customHeight="1">
      <c r="A186" s="1"/>
      <c r="B186" s="1"/>
      <c r="C186" s="1"/>
      <c r="D186" s="19"/>
      <c r="E186" s="19"/>
      <c r="F186" s="19"/>
      <c r="G186" s="19"/>
      <c r="H186" s="19"/>
      <c r="I186" s="19"/>
      <c r="J186" s="1"/>
      <c r="K186" s="2"/>
      <c r="M186" s="2"/>
      <c r="N186" s="2"/>
      <c r="O186" s="2"/>
      <c r="P186" s="600"/>
      <c r="Q186" s="2"/>
      <c r="R186" s="2"/>
    </row>
    <row r="187" spans="1:18" ht="15.75" customHeight="1">
      <c r="A187" s="1"/>
      <c r="B187" s="1"/>
      <c r="C187" s="1"/>
      <c r="D187" s="19"/>
      <c r="E187" s="19"/>
      <c r="F187" s="19"/>
      <c r="G187" s="19"/>
      <c r="H187" s="19"/>
      <c r="I187" s="19"/>
      <c r="J187" s="1"/>
      <c r="K187" s="2"/>
      <c r="M187" s="2"/>
      <c r="N187" s="2"/>
      <c r="O187" s="2"/>
      <c r="P187" s="600"/>
      <c r="Q187" s="2"/>
      <c r="R187" s="2"/>
    </row>
    <row r="188" spans="1:18" ht="15.75" customHeight="1">
      <c r="A188" s="1"/>
      <c r="B188" s="1"/>
      <c r="C188" s="1"/>
      <c r="D188" s="19"/>
      <c r="E188" s="19"/>
      <c r="F188" s="19"/>
      <c r="G188" s="19"/>
      <c r="H188" s="19"/>
      <c r="I188" s="19"/>
      <c r="J188" s="1"/>
      <c r="K188" s="2"/>
      <c r="M188" s="2"/>
      <c r="N188" s="2"/>
      <c r="O188" s="2"/>
      <c r="P188" s="600"/>
      <c r="Q188" s="2"/>
      <c r="R188" s="2"/>
    </row>
    <row r="189" spans="1:18" ht="15.75" customHeight="1">
      <c r="A189" s="1"/>
      <c r="B189" s="1"/>
      <c r="C189" s="1"/>
      <c r="D189" s="19"/>
      <c r="E189" s="19"/>
      <c r="F189" s="19"/>
      <c r="G189" s="19"/>
      <c r="H189" s="19"/>
      <c r="I189" s="19"/>
      <c r="J189" s="1"/>
      <c r="K189" s="2"/>
      <c r="M189" s="2"/>
      <c r="N189" s="2"/>
      <c r="O189" s="2"/>
      <c r="P189" s="600"/>
      <c r="Q189" s="2"/>
      <c r="R189" s="2"/>
    </row>
    <row r="190" spans="1:18" ht="15.75" customHeight="1">
      <c r="A190" s="1"/>
      <c r="B190" s="1"/>
      <c r="C190" s="1"/>
      <c r="D190" s="19"/>
      <c r="E190" s="19"/>
      <c r="F190" s="19"/>
      <c r="G190" s="19"/>
      <c r="H190" s="19"/>
      <c r="I190" s="19"/>
      <c r="J190" s="1"/>
      <c r="K190" s="2"/>
      <c r="M190" s="2"/>
      <c r="N190" s="2"/>
      <c r="O190" s="2"/>
      <c r="P190" s="600"/>
      <c r="Q190" s="2"/>
      <c r="R190" s="2"/>
    </row>
    <row r="191" spans="1:18" ht="15.75" customHeight="1">
      <c r="A191" s="1"/>
      <c r="B191" s="1"/>
      <c r="C191" s="1"/>
      <c r="D191" s="19"/>
      <c r="E191" s="19"/>
      <c r="F191" s="19"/>
      <c r="G191" s="19"/>
      <c r="H191" s="19"/>
      <c r="I191" s="19"/>
      <c r="J191" s="1"/>
      <c r="K191" s="2"/>
      <c r="M191" s="2"/>
      <c r="N191" s="2"/>
      <c r="O191" s="2"/>
      <c r="P191" s="600"/>
      <c r="Q191" s="2"/>
      <c r="R191" s="2"/>
    </row>
    <row r="192" spans="1:18" ht="15.75" customHeight="1">
      <c r="A192" s="1"/>
      <c r="B192" s="1"/>
      <c r="C192" s="1"/>
      <c r="D192" s="19"/>
      <c r="E192" s="19"/>
      <c r="F192" s="19"/>
      <c r="G192" s="19"/>
      <c r="H192" s="19"/>
      <c r="I192" s="19"/>
      <c r="J192" s="1"/>
      <c r="K192" s="2"/>
      <c r="M192" s="2"/>
      <c r="N192" s="2"/>
      <c r="O192" s="2"/>
      <c r="P192" s="600"/>
      <c r="Q192" s="2"/>
      <c r="R192" s="2"/>
    </row>
    <row r="193" spans="1:18" ht="15.75" customHeight="1">
      <c r="A193" s="1"/>
      <c r="B193" s="1"/>
      <c r="C193" s="1"/>
      <c r="D193" s="19"/>
      <c r="E193" s="19"/>
      <c r="F193" s="19"/>
      <c r="G193" s="19"/>
      <c r="H193" s="19"/>
      <c r="I193" s="19"/>
      <c r="J193" s="1"/>
      <c r="K193" s="2"/>
      <c r="M193" s="2"/>
      <c r="N193" s="2"/>
      <c r="O193" s="2"/>
      <c r="P193" s="600"/>
      <c r="Q193" s="2"/>
      <c r="R193" s="2"/>
    </row>
    <row r="194" spans="1:18" ht="15.75" customHeight="1">
      <c r="A194" s="1"/>
      <c r="B194" s="1"/>
      <c r="C194" s="1"/>
      <c r="D194" s="19"/>
      <c r="E194" s="19"/>
      <c r="F194" s="19"/>
      <c r="G194" s="19"/>
      <c r="H194" s="19"/>
      <c r="I194" s="19"/>
      <c r="J194" s="1"/>
      <c r="K194" s="2"/>
      <c r="M194" s="2"/>
      <c r="N194" s="2"/>
      <c r="O194" s="2"/>
      <c r="P194" s="600"/>
      <c r="Q194" s="2"/>
      <c r="R194" s="2"/>
    </row>
    <row r="195" spans="1:18" ht="15.75" customHeight="1">
      <c r="A195" s="1"/>
      <c r="B195" s="1"/>
      <c r="C195" s="1"/>
      <c r="D195" s="19"/>
      <c r="E195" s="19"/>
      <c r="F195" s="19"/>
      <c r="G195" s="19"/>
      <c r="H195" s="19"/>
      <c r="I195" s="19"/>
      <c r="J195" s="1"/>
      <c r="K195" s="2"/>
      <c r="M195" s="2"/>
      <c r="N195" s="2"/>
      <c r="O195" s="2"/>
      <c r="P195" s="600"/>
      <c r="Q195" s="2"/>
      <c r="R195" s="2"/>
    </row>
    <row r="196" spans="1:18" ht="15.75" customHeight="1">
      <c r="A196" s="1"/>
      <c r="B196" s="1"/>
      <c r="C196" s="1"/>
      <c r="D196" s="19"/>
      <c r="E196" s="19"/>
      <c r="F196" s="19"/>
      <c r="G196" s="19"/>
      <c r="H196" s="19"/>
      <c r="I196" s="19"/>
      <c r="J196" s="1"/>
      <c r="K196" s="2"/>
      <c r="M196" s="2"/>
      <c r="N196" s="2"/>
      <c r="O196" s="2"/>
      <c r="P196" s="600"/>
      <c r="Q196" s="2"/>
      <c r="R196" s="2"/>
    </row>
    <row r="197" spans="1:18" ht="15.75" customHeight="1">
      <c r="A197" s="1"/>
      <c r="B197" s="1"/>
      <c r="C197" s="1"/>
      <c r="D197" s="19"/>
      <c r="E197" s="19"/>
      <c r="F197" s="19"/>
      <c r="G197" s="19"/>
      <c r="H197" s="19"/>
      <c r="I197" s="19"/>
      <c r="J197" s="1"/>
      <c r="K197" s="2"/>
      <c r="M197" s="2"/>
      <c r="N197" s="2"/>
      <c r="O197" s="2"/>
      <c r="P197" s="600"/>
      <c r="Q197" s="2"/>
      <c r="R197" s="2"/>
    </row>
    <row r="198" spans="1:18" ht="15.75" customHeight="1">
      <c r="A198" s="1"/>
      <c r="B198" s="1"/>
      <c r="C198" s="1"/>
      <c r="D198" s="19"/>
      <c r="E198" s="19"/>
      <c r="F198" s="19"/>
      <c r="G198" s="19"/>
      <c r="H198" s="19"/>
      <c r="I198" s="19"/>
      <c r="J198" s="1"/>
      <c r="K198" s="2"/>
      <c r="M198" s="2"/>
      <c r="N198" s="2"/>
      <c r="O198" s="2"/>
      <c r="P198" s="600"/>
      <c r="Q198" s="2"/>
      <c r="R198" s="2"/>
    </row>
    <row r="199" spans="1:18" ht="15.75" customHeight="1">
      <c r="A199" s="1"/>
      <c r="B199" s="1"/>
      <c r="C199" s="1"/>
      <c r="D199" s="19"/>
      <c r="E199" s="19"/>
      <c r="F199" s="19"/>
      <c r="G199" s="19"/>
      <c r="H199" s="19"/>
      <c r="I199" s="19"/>
      <c r="J199" s="1"/>
      <c r="K199" s="2"/>
      <c r="M199" s="2"/>
      <c r="N199" s="2"/>
      <c r="O199" s="2"/>
      <c r="P199" s="600"/>
      <c r="Q199" s="2"/>
      <c r="R199" s="2"/>
    </row>
    <row r="200" spans="1:18" ht="15.75" customHeight="1">
      <c r="A200" s="1"/>
      <c r="B200" s="1"/>
      <c r="C200" s="1"/>
      <c r="D200" s="19"/>
      <c r="E200" s="19"/>
      <c r="F200" s="19"/>
      <c r="G200" s="19"/>
      <c r="H200" s="19"/>
      <c r="I200" s="19"/>
      <c r="J200" s="1"/>
      <c r="K200" s="2"/>
      <c r="M200" s="2"/>
      <c r="N200" s="2"/>
      <c r="O200" s="2"/>
      <c r="P200" s="600"/>
      <c r="Q200" s="2"/>
      <c r="R200" s="2"/>
    </row>
    <row r="201" spans="1:18" ht="15.75" customHeight="1">
      <c r="A201" s="1"/>
      <c r="B201" s="1"/>
      <c r="C201" s="1"/>
      <c r="D201" s="19"/>
      <c r="E201" s="19"/>
      <c r="F201" s="19"/>
      <c r="G201" s="19"/>
      <c r="H201" s="19"/>
      <c r="I201" s="19"/>
      <c r="J201" s="1"/>
      <c r="K201" s="2"/>
      <c r="M201" s="2"/>
      <c r="N201" s="2"/>
      <c r="O201" s="2"/>
      <c r="P201" s="600"/>
      <c r="Q201" s="2"/>
      <c r="R201" s="2"/>
    </row>
    <row r="202" spans="1:18" ht="15.75" customHeight="1">
      <c r="A202" s="1"/>
      <c r="B202" s="1"/>
      <c r="C202" s="1"/>
      <c r="D202" s="19"/>
      <c r="E202" s="19"/>
      <c r="F202" s="19"/>
      <c r="G202" s="19"/>
      <c r="H202" s="19"/>
      <c r="I202" s="19"/>
      <c r="J202" s="1"/>
      <c r="K202" s="2"/>
      <c r="M202" s="2"/>
      <c r="N202" s="2"/>
      <c r="O202" s="2"/>
      <c r="P202" s="600"/>
      <c r="Q202" s="2"/>
      <c r="R202" s="2"/>
    </row>
    <row r="203" spans="1:18" ht="15.75" customHeight="1">
      <c r="A203" s="1"/>
      <c r="B203" s="1"/>
      <c r="C203" s="1"/>
      <c r="D203" s="19"/>
      <c r="E203" s="19"/>
      <c r="F203" s="19"/>
      <c r="G203" s="19"/>
      <c r="H203" s="19"/>
      <c r="I203" s="19"/>
      <c r="J203" s="1"/>
      <c r="K203" s="2"/>
      <c r="M203" s="2"/>
      <c r="N203" s="2"/>
      <c r="O203" s="2"/>
      <c r="P203" s="600"/>
      <c r="Q203" s="2"/>
      <c r="R203" s="2"/>
    </row>
    <row r="204" spans="1:18" ht="15.75" customHeight="1">
      <c r="A204" s="1"/>
      <c r="B204" s="1"/>
      <c r="C204" s="1"/>
      <c r="D204" s="19"/>
      <c r="E204" s="19"/>
      <c r="F204" s="19"/>
      <c r="G204" s="19"/>
      <c r="H204" s="19"/>
      <c r="I204" s="19"/>
      <c r="J204" s="1"/>
      <c r="K204" s="2"/>
      <c r="M204" s="2"/>
      <c r="N204" s="2"/>
      <c r="O204" s="2"/>
      <c r="P204" s="600"/>
      <c r="Q204" s="2"/>
      <c r="R204" s="2"/>
    </row>
    <row r="205" spans="1:18" ht="15.75" customHeight="1">
      <c r="A205" s="1"/>
      <c r="B205" s="1"/>
      <c r="C205" s="1"/>
      <c r="D205" s="19"/>
      <c r="E205" s="19"/>
      <c r="F205" s="19"/>
      <c r="G205" s="19"/>
      <c r="H205" s="19"/>
      <c r="I205" s="19"/>
      <c r="J205" s="1"/>
      <c r="K205" s="2"/>
      <c r="M205" s="2"/>
      <c r="N205" s="2"/>
      <c r="O205" s="2"/>
      <c r="P205" s="600"/>
      <c r="Q205" s="2"/>
      <c r="R205" s="2"/>
    </row>
    <row r="206" spans="1:18" ht="15.75" customHeight="1">
      <c r="A206" s="1"/>
      <c r="B206" s="1"/>
      <c r="C206" s="1"/>
      <c r="D206" s="19"/>
      <c r="E206" s="19"/>
      <c r="F206" s="19"/>
      <c r="G206" s="19"/>
      <c r="H206" s="19"/>
      <c r="I206" s="19"/>
      <c r="J206" s="1"/>
      <c r="K206" s="2"/>
      <c r="M206" s="2"/>
      <c r="N206" s="2"/>
      <c r="O206" s="2"/>
      <c r="P206" s="600"/>
      <c r="Q206" s="2"/>
      <c r="R206" s="2"/>
    </row>
    <row r="207" spans="1:18" ht="15.75" customHeight="1">
      <c r="A207" s="1"/>
      <c r="B207" s="1"/>
      <c r="C207" s="1"/>
      <c r="D207" s="19"/>
      <c r="E207" s="19"/>
      <c r="F207" s="19"/>
      <c r="G207" s="19"/>
      <c r="H207" s="19"/>
      <c r="I207" s="19"/>
      <c r="J207" s="1"/>
      <c r="K207" s="2"/>
      <c r="M207" s="2"/>
      <c r="N207" s="2"/>
      <c r="O207" s="2"/>
      <c r="P207" s="600"/>
      <c r="Q207" s="2"/>
      <c r="R207" s="2"/>
    </row>
    <row r="208" spans="1:18" ht="15.75" customHeight="1">
      <c r="A208" s="1"/>
      <c r="B208" s="1"/>
      <c r="C208" s="1"/>
      <c r="D208" s="19"/>
      <c r="E208" s="19"/>
      <c r="F208" s="19"/>
      <c r="G208" s="19"/>
      <c r="H208" s="19"/>
      <c r="I208" s="19"/>
      <c r="J208" s="1"/>
      <c r="K208" s="2"/>
      <c r="M208" s="2"/>
      <c r="N208" s="2"/>
      <c r="O208" s="2"/>
      <c r="P208" s="600"/>
      <c r="Q208" s="2"/>
      <c r="R208" s="2"/>
    </row>
    <row r="209" spans="1:18" ht="15.75" customHeight="1">
      <c r="A209" s="1"/>
      <c r="B209" s="1"/>
      <c r="C209" s="1"/>
      <c r="D209" s="19"/>
      <c r="E209" s="19"/>
      <c r="F209" s="19"/>
      <c r="G209" s="19"/>
      <c r="H209" s="19"/>
      <c r="I209" s="19"/>
      <c r="J209" s="1"/>
      <c r="K209" s="2"/>
      <c r="M209" s="2"/>
      <c r="N209" s="2"/>
      <c r="O209" s="2"/>
      <c r="P209" s="600"/>
      <c r="Q209" s="2"/>
      <c r="R209" s="2"/>
    </row>
    <row r="210" spans="1:18" ht="15.75" customHeight="1">
      <c r="A210" s="1"/>
      <c r="B210" s="1"/>
      <c r="C210" s="1"/>
      <c r="D210" s="19"/>
      <c r="E210" s="19"/>
      <c r="F210" s="19"/>
      <c r="G210" s="19"/>
      <c r="H210" s="19"/>
      <c r="I210" s="19"/>
      <c r="J210" s="1"/>
      <c r="K210" s="2"/>
      <c r="M210" s="2"/>
      <c r="N210" s="2"/>
      <c r="O210" s="2"/>
      <c r="P210" s="600"/>
      <c r="Q210" s="2"/>
      <c r="R210" s="2"/>
    </row>
    <row r="211" spans="1:18" ht="15.75" customHeight="1">
      <c r="A211" s="1"/>
      <c r="B211" s="1"/>
      <c r="C211" s="1"/>
      <c r="D211" s="19"/>
      <c r="E211" s="19"/>
      <c r="F211" s="19"/>
      <c r="G211" s="19"/>
      <c r="H211" s="19"/>
      <c r="I211" s="19"/>
      <c r="J211" s="1"/>
      <c r="K211" s="2"/>
      <c r="M211" s="2"/>
      <c r="N211" s="2"/>
      <c r="O211" s="2"/>
      <c r="P211" s="600"/>
      <c r="Q211" s="2"/>
      <c r="R211" s="2"/>
    </row>
    <row r="212" spans="1:18" ht="15.75" customHeight="1">
      <c r="A212" s="1"/>
      <c r="B212" s="1"/>
      <c r="C212" s="1"/>
      <c r="D212" s="19"/>
      <c r="E212" s="19"/>
      <c r="F212" s="19"/>
      <c r="G212" s="19"/>
      <c r="H212" s="19"/>
      <c r="I212" s="19"/>
      <c r="J212" s="1"/>
      <c r="K212" s="2"/>
      <c r="M212" s="2"/>
      <c r="N212" s="2"/>
      <c r="O212" s="2"/>
      <c r="P212" s="600"/>
      <c r="Q212" s="2"/>
      <c r="R212" s="2"/>
    </row>
    <row r="213" spans="1:18" ht="15.75" customHeight="1">
      <c r="A213" s="1"/>
      <c r="B213" s="1"/>
      <c r="C213" s="1"/>
      <c r="D213" s="19"/>
      <c r="E213" s="19"/>
      <c r="F213" s="19"/>
      <c r="G213" s="19"/>
      <c r="H213" s="19"/>
      <c r="I213" s="19"/>
      <c r="J213" s="1"/>
      <c r="K213" s="2"/>
      <c r="M213" s="2"/>
      <c r="N213" s="2"/>
      <c r="O213" s="2"/>
      <c r="P213" s="600"/>
      <c r="Q213" s="2"/>
      <c r="R213" s="2"/>
    </row>
    <row r="214" spans="1:18" ht="15.75" customHeight="1">
      <c r="A214" s="1"/>
      <c r="B214" s="1"/>
      <c r="C214" s="1"/>
      <c r="D214" s="19"/>
      <c r="E214" s="19"/>
      <c r="F214" s="19"/>
      <c r="G214" s="19"/>
      <c r="H214" s="19"/>
      <c r="I214" s="19"/>
      <c r="J214" s="1"/>
      <c r="K214" s="2"/>
      <c r="M214" s="2"/>
      <c r="N214" s="2"/>
      <c r="O214" s="2"/>
      <c r="P214" s="600"/>
      <c r="Q214" s="2"/>
      <c r="R214" s="2"/>
    </row>
    <row r="215" spans="1:18" ht="15.75" customHeight="1">
      <c r="A215" s="1"/>
      <c r="B215" s="1"/>
      <c r="C215" s="1"/>
      <c r="D215" s="19"/>
      <c r="E215" s="19"/>
      <c r="F215" s="19"/>
      <c r="G215" s="19"/>
      <c r="H215" s="19"/>
      <c r="I215" s="19"/>
      <c r="J215" s="1"/>
      <c r="K215" s="2"/>
      <c r="M215" s="2"/>
      <c r="N215" s="2"/>
      <c r="O215" s="2"/>
      <c r="P215" s="600"/>
      <c r="Q215" s="2"/>
      <c r="R215" s="2"/>
    </row>
    <row r="216" spans="1:18" ht="15.75" customHeight="1">
      <c r="A216" s="1"/>
      <c r="B216" s="1"/>
      <c r="C216" s="1"/>
      <c r="D216" s="19"/>
      <c r="E216" s="19"/>
      <c r="F216" s="19"/>
      <c r="G216" s="19"/>
      <c r="H216" s="19"/>
      <c r="I216" s="19"/>
      <c r="J216" s="1"/>
      <c r="K216" s="2"/>
      <c r="M216" s="2"/>
      <c r="N216" s="2"/>
      <c r="O216" s="2"/>
      <c r="P216" s="600"/>
      <c r="Q216" s="2"/>
      <c r="R216" s="2"/>
    </row>
    <row r="217" spans="1:18" ht="15.75" customHeight="1">
      <c r="A217" s="1"/>
      <c r="B217" s="1"/>
      <c r="C217" s="1"/>
      <c r="D217" s="19"/>
      <c r="E217" s="19"/>
      <c r="F217" s="19"/>
      <c r="G217" s="19"/>
      <c r="H217" s="19"/>
      <c r="I217" s="19"/>
      <c r="J217" s="1"/>
      <c r="K217" s="2"/>
      <c r="M217" s="2"/>
      <c r="N217" s="2"/>
      <c r="O217" s="2"/>
      <c r="P217" s="600"/>
      <c r="Q217" s="2"/>
      <c r="R217" s="2"/>
    </row>
    <row r="218" spans="1:18" ht="15.75" customHeight="1">
      <c r="A218" s="1"/>
      <c r="B218" s="1"/>
      <c r="C218" s="1"/>
      <c r="D218" s="19"/>
      <c r="E218" s="19"/>
      <c r="F218" s="19"/>
      <c r="G218" s="19"/>
      <c r="H218" s="19"/>
      <c r="I218" s="19"/>
      <c r="J218" s="1"/>
      <c r="K218" s="2"/>
      <c r="M218" s="2"/>
      <c r="N218" s="2"/>
      <c r="O218" s="2"/>
      <c r="P218" s="600"/>
      <c r="Q218" s="2"/>
      <c r="R218" s="2"/>
    </row>
    <row r="219" spans="1:18" ht="15.75" customHeight="1">
      <c r="A219" s="1"/>
      <c r="B219" s="1"/>
      <c r="C219" s="1"/>
      <c r="D219" s="19"/>
      <c r="E219" s="19"/>
      <c r="F219" s="19"/>
      <c r="G219" s="19"/>
      <c r="H219" s="19"/>
      <c r="I219" s="19"/>
      <c r="J219" s="1"/>
      <c r="K219" s="2"/>
      <c r="M219" s="2"/>
      <c r="N219" s="2"/>
      <c r="O219" s="2"/>
      <c r="P219" s="600"/>
      <c r="Q219" s="2"/>
      <c r="R219" s="2"/>
    </row>
    <row r="220" spans="1:18" ht="15.75" customHeight="1">
      <c r="A220" s="1"/>
      <c r="B220" s="1"/>
      <c r="C220" s="1"/>
      <c r="D220" s="19"/>
      <c r="E220" s="19"/>
      <c r="F220" s="19"/>
      <c r="G220" s="19"/>
      <c r="H220" s="19"/>
      <c r="I220" s="19"/>
      <c r="J220" s="1"/>
      <c r="K220" s="2"/>
      <c r="M220" s="2"/>
      <c r="N220" s="2"/>
      <c r="O220" s="2"/>
      <c r="P220" s="600"/>
      <c r="Q220" s="2"/>
      <c r="R220" s="2"/>
    </row>
    <row r="221" spans="1:18" ht="15.75" customHeight="1">
      <c r="A221" s="1"/>
      <c r="B221" s="1"/>
      <c r="C221" s="1"/>
      <c r="D221" s="19"/>
      <c r="E221" s="19"/>
      <c r="F221" s="19"/>
      <c r="G221" s="19"/>
      <c r="H221" s="19"/>
      <c r="I221" s="19"/>
      <c r="J221" s="1"/>
      <c r="K221" s="2"/>
      <c r="M221" s="2"/>
      <c r="N221" s="2"/>
      <c r="O221" s="2"/>
      <c r="P221" s="600"/>
      <c r="Q221" s="2"/>
      <c r="R221" s="2"/>
    </row>
    <row r="222" spans="1:18" ht="15.75" customHeight="1">
      <c r="A222" s="1"/>
      <c r="B222" s="1"/>
      <c r="C222" s="1"/>
      <c r="D222" s="19"/>
      <c r="E222" s="19"/>
      <c r="F222" s="19"/>
      <c r="G222" s="19"/>
      <c r="H222" s="19"/>
      <c r="I222" s="19"/>
      <c r="J222" s="1"/>
      <c r="K222" s="2"/>
      <c r="M222" s="2"/>
      <c r="N222" s="2"/>
      <c r="O222" s="2"/>
      <c r="P222" s="600"/>
      <c r="Q222" s="2"/>
      <c r="R222" s="2"/>
    </row>
    <row r="223" spans="1:18" ht="15.75" customHeight="1">
      <c r="A223" s="1"/>
      <c r="B223" s="1"/>
      <c r="C223" s="1"/>
      <c r="D223" s="19"/>
      <c r="E223" s="19"/>
      <c r="F223" s="19"/>
      <c r="G223" s="19"/>
      <c r="H223" s="19"/>
      <c r="I223" s="19"/>
      <c r="J223" s="1"/>
      <c r="K223" s="2"/>
      <c r="M223" s="2"/>
      <c r="N223" s="2"/>
      <c r="O223" s="2"/>
      <c r="P223" s="600"/>
      <c r="Q223" s="2"/>
      <c r="R223" s="2"/>
    </row>
    <row r="224" spans="1:18" ht="15.75" customHeight="1">
      <c r="A224" s="1"/>
      <c r="B224" s="1"/>
      <c r="C224" s="1"/>
      <c r="D224" s="19"/>
      <c r="E224" s="19"/>
      <c r="F224" s="19"/>
      <c r="G224" s="19"/>
      <c r="H224" s="19"/>
      <c r="I224" s="19"/>
      <c r="J224" s="1"/>
      <c r="K224" s="2"/>
      <c r="M224" s="2"/>
      <c r="N224" s="2"/>
      <c r="O224" s="2"/>
      <c r="P224" s="600"/>
      <c r="Q224" s="2"/>
      <c r="R224" s="2"/>
    </row>
    <row r="225" spans="1:18" ht="15.75" customHeight="1">
      <c r="A225" s="1"/>
      <c r="B225" s="1"/>
      <c r="C225" s="1"/>
      <c r="D225" s="19"/>
      <c r="E225" s="19"/>
      <c r="F225" s="19"/>
      <c r="G225" s="19"/>
      <c r="H225" s="19"/>
      <c r="I225" s="19"/>
      <c r="J225" s="1"/>
      <c r="K225" s="2"/>
      <c r="M225" s="2"/>
      <c r="N225" s="2"/>
      <c r="O225" s="2"/>
      <c r="P225" s="600"/>
      <c r="Q225" s="2"/>
      <c r="R225" s="2"/>
    </row>
    <row r="226" spans="1:18" ht="15.75" customHeight="1">
      <c r="A226" s="1"/>
      <c r="B226" s="1"/>
      <c r="C226" s="1"/>
      <c r="D226" s="19"/>
      <c r="E226" s="19"/>
      <c r="F226" s="19"/>
      <c r="G226" s="19"/>
      <c r="H226" s="19"/>
      <c r="I226" s="19"/>
      <c r="J226" s="1"/>
      <c r="K226" s="2"/>
      <c r="M226" s="2"/>
      <c r="N226" s="2"/>
      <c r="O226" s="2"/>
      <c r="P226" s="600"/>
      <c r="Q226" s="2"/>
      <c r="R226" s="2"/>
    </row>
    <row r="227" spans="1:18" ht="15.75" customHeight="1">
      <c r="A227" s="1"/>
      <c r="B227" s="1"/>
      <c r="C227" s="1"/>
      <c r="D227" s="19"/>
      <c r="E227" s="19"/>
      <c r="F227" s="19"/>
      <c r="G227" s="19"/>
      <c r="H227" s="19"/>
      <c r="I227" s="19"/>
      <c r="J227" s="1"/>
      <c r="K227" s="2"/>
      <c r="M227" s="2"/>
      <c r="N227" s="2"/>
      <c r="O227" s="2"/>
      <c r="P227" s="600"/>
      <c r="Q227" s="2"/>
      <c r="R227" s="2"/>
    </row>
    <row r="228" spans="1:18" ht="15.75" customHeight="1">
      <c r="A228" s="1"/>
      <c r="B228" s="1"/>
      <c r="C228" s="1"/>
      <c r="D228" s="19"/>
      <c r="E228" s="19"/>
      <c r="F228" s="19"/>
      <c r="G228" s="19"/>
      <c r="H228" s="19"/>
      <c r="I228" s="19"/>
      <c r="J228" s="1"/>
      <c r="K228" s="2"/>
      <c r="M228" s="2"/>
      <c r="N228" s="2"/>
      <c r="O228" s="2"/>
      <c r="P228" s="600"/>
      <c r="Q228" s="2"/>
      <c r="R228" s="2"/>
    </row>
    <row r="229" spans="1:18" ht="15.75" customHeight="1">
      <c r="A229" s="1"/>
      <c r="B229" s="1"/>
      <c r="C229" s="1"/>
      <c r="D229" s="19"/>
      <c r="E229" s="19"/>
      <c r="F229" s="19"/>
      <c r="G229" s="19"/>
      <c r="H229" s="19"/>
      <c r="I229" s="19"/>
      <c r="J229" s="1"/>
      <c r="K229" s="2"/>
      <c r="M229" s="2"/>
      <c r="N229" s="2"/>
      <c r="O229" s="2"/>
      <c r="P229" s="600"/>
      <c r="Q229" s="2"/>
      <c r="R229" s="2"/>
    </row>
    <row r="230" spans="1:18" ht="15.75" customHeight="1">
      <c r="A230" s="1"/>
      <c r="B230" s="1"/>
      <c r="C230" s="1"/>
      <c r="D230" s="19"/>
      <c r="E230" s="19"/>
      <c r="F230" s="19"/>
      <c r="G230" s="19"/>
      <c r="H230" s="19"/>
      <c r="I230" s="19"/>
      <c r="J230" s="1"/>
      <c r="K230" s="2"/>
      <c r="M230" s="2"/>
      <c r="N230" s="2"/>
      <c r="O230" s="2"/>
      <c r="P230" s="600"/>
      <c r="Q230" s="2"/>
      <c r="R230" s="2"/>
    </row>
    <row r="231" spans="1:18" ht="15.75" customHeight="1">
      <c r="A231" s="1"/>
      <c r="B231" s="1"/>
      <c r="C231" s="1"/>
      <c r="D231" s="19"/>
      <c r="E231" s="19"/>
      <c r="F231" s="19"/>
      <c r="G231" s="19"/>
      <c r="H231" s="19"/>
      <c r="I231" s="19"/>
      <c r="J231" s="1"/>
      <c r="K231" s="2"/>
      <c r="M231" s="2"/>
      <c r="N231" s="2"/>
      <c r="O231" s="2"/>
      <c r="P231" s="600"/>
      <c r="Q231" s="2"/>
      <c r="R231" s="2"/>
    </row>
    <row r="232" spans="1:18" ht="15.75" customHeight="1">
      <c r="A232" s="1"/>
      <c r="B232" s="1"/>
      <c r="C232" s="1"/>
      <c r="D232" s="19"/>
      <c r="E232" s="19"/>
      <c r="F232" s="19"/>
      <c r="G232" s="19"/>
      <c r="H232" s="19"/>
      <c r="I232" s="19"/>
      <c r="J232" s="1"/>
      <c r="K232" s="2"/>
      <c r="M232" s="2"/>
      <c r="N232" s="2"/>
      <c r="O232" s="2"/>
      <c r="P232" s="600"/>
      <c r="Q232" s="2"/>
      <c r="R232" s="2"/>
    </row>
    <row r="233" spans="1:18" ht="15.75" customHeight="1">
      <c r="A233" s="1"/>
      <c r="B233" s="1"/>
      <c r="C233" s="1"/>
      <c r="D233" s="19"/>
      <c r="E233" s="19"/>
      <c r="F233" s="19"/>
      <c r="G233" s="19"/>
      <c r="H233" s="19"/>
      <c r="I233" s="19"/>
      <c r="J233" s="1"/>
      <c r="K233" s="2"/>
      <c r="M233" s="2"/>
      <c r="N233" s="2"/>
      <c r="O233" s="2"/>
      <c r="P233" s="600"/>
      <c r="Q233" s="2"/>
      <c r="R233" s="2"/>
    </row>
    <row r="234" spans="1:18" ht="15.75" customHeight="1">
      <c r="A234" s="1"/>
      <c r="B234" s="1"/>
      <c r="C234" s="1"/>
      <c r="D234" s="19"/>
      <c r="E234" s="19"/>
      <c r="F234" s="19"/>
      <c r="G234" s="19"/>
      <c r="H234" s="19"/>
      <c r="I234" s="19"/>
      <c r="J234" s="1"/>
      <c r="K234" s="2"/>
      <c r="M234" s="2"/>
      <c r="N234" s="2"/>
      <c r="O234" s="2"/>
      <c r="P234" s="600"/>
      <c r="Q234" s="2"/>
      <c r="R234" s="2"/>
    </row>
    <row r="235" spans="1:18" ht="15.75" customHeight="1">
      <c r="A235" s="1"/>
      <c r="B235" s="1"/>
      <c r="C235" s="1"/>
      <c r="D235" s="19"/>
      <c r="E235" s="19"/>
      <c r="F235" s="19"/>
      <c r="G235" s="19"/>
      <c r="H235" s="19"/>
      <c r="I235" s="19"/>
      <c r="J235" s="1"/>
      <c r="K235" s="2"/>
      <c r="M235" s="2"/>
      <c r="N235" s="2"/>
      <c r="O235" s="2"/>
      <c r="P235" s="600"/>
      <c r="Q235" s="2"/>
      <c r="R235" s="2"/>
    </row>
    <row r="236" spans="1:18" ht="15.75" customHeight="1">
      <c r="A236" s="1"/>
      <c r="B236" s="1"/>
      <c r="C236" s="1"/>
      <c r="D236" s="19"/>
      <c r="E236" s="19"/>
      <c r="F236" s="19"/>
      <c r="G236" s="19"/>
      <c r="H236" s="19"/>
      <c r="I236" s="19"/>
      <c r="J236" s="1"/>
      <c r="K236" s="2"/>
      <c r="M236" s="2"/>
      <c r="N236" s="2"/>
      <c r="O236" s="2"/>
      <c r="P236" s="600"/>
      <c r="Q236" s="2"/>
      <c r="R236" s="2"/>
    </row>
    <row r="237" spans="1:18" ht="15.75" customHeight="1">
      <c r="A237" s="1"/>
      <c r="B237" s="1"/>
      <c r="C237" s="1"/>
      <c r="D237" s="19"/>
      <c r="E237" s="19"/>
      <c r="F237" s="19"/>
      <c r="G237" s="19"/>
      <c r="H237" s="19"/>
      <c r="I237" s="19"/>
      <c r="J237" s="1"/>
      <c r="K237" s="2"/>
      <c r="M237" s="2"/>
      <c r="N237" s="2"/>
      <c r="O237" s="2"/>
      <c r="P237" s="600"/>
      <c r="Q237" s="2"/>
      <c r="R237" s="2"/>
    </row>
    <row r="238" spans="1:18" ht="15.75" customHeight="1">
      <c r="A238" s="1"/>
      <c r="B238" s="1"/>
      <c r="C238" s="1"/>
      <c r="D238" s="19"/>
      <c r="E238" s="19"/>
      <c r="F238" s="19"/>
      <c r="G238" s="19"/>
      <c r="H238" s="19"/>
      <c r="I238" s="19"/>
      <c r="J238" s="1"/>
      <c r="K238" s="2"/>
      <c r="M238" s="2"/>
      <c r="N238" s="2"/>
      <c r="O238" s="2"/>
      <c r="P238" s="600"/>
      <c r="Q238" s="2"/>
      <c r="R238" s="2"/>
    </row>
    <row r="239" spans="1:18" ht="15.75" customHeight="1">
      <c r="A239" s="1"/>
      <c r="B239" s="1"/>
      <c r="C239" s="1"/>
      <c r="D239" s="19"/>
      <c r="E239" s="19"/>
      <c r="F239" s="19"/>
      <c r="G239" s="19"/>
      <c r="H239" s="19"/>
      <c r="I239" s="19"/>
      <c r="J239" s="1"/>
      <c r="K239" s="2"/>
      <c r="M239" s="2"/>
      <c r="N239" s="2"/>
      <c r="O239" s="2"/>
      <c r="P239" s="600"/>
      <c r="Q239" s="2"/>
      <c r="R239" s="2"/>
    </row>
    <row r="240" spans="1:18" ht="15.75" customHeight="1">
      <c r="A240" s="2"/>
      <c r="B240" s="2"/>
      <c r="C240" s="2"/>
      <c r="D240" s="87"/>
      <c r="E240" s="87"/>
      <c r="F240" s="87"/>
      <c r="G240" s="87"/>
      <c r="H240" s="87"/>
      <c r="I240" s="87"/>
      <c r="J240" s="2"/>
      <c r="K240" s="2"/>
      <c r="M240" s="2"/>
      <c r="N240" s="2"/>
      <c r="O240" s="2"/>
      <c r="P240" s="600"/>
      <c r="Q240" s="2"/>
      <c r="R240" s="2"/>
    </row>
    <row r="241" spans="1:18" ht="15.75" customHeight="1">
      <c r="A241" s="2"/>
      <c r="B241" s="2"/>
      <c r="C241" s="2"/>
      <c r="D241" s="87"/>
      <c r="E241" s="87"/>
      <c r="F241" s="87"/>
      <c r="G241" s="87"/>
      <c r="H241" s="87"/>
      <c r="I241" s="87"/>
      <c r="J241" s="2"/>
      <c r="K241" s="2"/>
      <c r="M241" s="2"/>
      <c r="N241" s="2"/>
      <c r="O241" s="2"/>
      <c r="P241" s="600"/>
      <c r="Q241" s="2"/>
      <c r="R241" s="2"/>
    </row>
    <row r="242" spans="1:18" ht="15.75" customHeight="1">
      <c r="A242" s="2"/>
      <c r="B242" s="2"/>
      <c r="C242" s="2"/>
      <c r="D242" s="87"/>
      <c r="E242" s="87"/>
      <c r="F242" s="87"/>
      <c r="G242" s="87"/>
      <c r="H242" s="87"/>
      <c r="I242" s="87"/>
      <c r="J242" s="2"/>
      <c r="K242" s="2"/>
      <c r="M242" s="2"/>
      <c r="N242" s="2"/>
      <c r="O242" s="2"/>
      <c r="P242" s="600"/>
      <c r="Q242" s="2"/>
      <c r="R242" s="2"/>
    </row>
    <row r="243" spans="1:18" ht="15.75" customHeight="1">
      <c r="A243" s="2"/>
      <c r="B243" s="2"/>
      <c r="C243" s="2"/>
      <c r="D243" s="87"/>
      <c r="E243" s="87"/>
      <c r="F243" s="87"/>
      <c r="G243" s="87"/>
      <c r="H243" s="87"/>
      <c r="I243" s="87"/>
      <c r="J243" s="2"/>
      <c r="K243" s="2"/>
      <c r="M243" s="2"/>
      <c r="N243" s="2"/>
      <c r="O243" s="2"/>
      <c r="P243" s="600"/>
      <c r="Q243" s="2"/>
      <c r="R243" s="2"/>
    </row>
    <row r="244" spans="1:18" ht="15.75" customHeight="1">
      <c r="A244" s="2"/>
      <c r="B244" s="2"/>
      <c r="C244" s="2"/>
      <c r="D244" s="87"/>
      <c r="E244" s="87"/>
      <c r="F244" s="87"/>
      <c r="G244" s="87"/>
      <c r="H244" s="87"/>
      <c r="I244" s="87"/>
      <c r="J244" s="2"/>
      <c r="K244" s="2"/>
      <c r="M244" s="2"/>
      <c r="N244" s="2"/>
      <c r="O244" s="2"/>
      <c r="P244" s="600"/>
      <c r="Q244" s="2"/>
      <c r="R244" s="2"/>
    </row>
    <row r="245" spans="1:18" ht="15.75" customHeight="1">
      <c r="A245" s="2"/>
      <c r="B245" s="2"/>
      <c r="C245" s="2"/>
      <c r="D245" s="87"/>
      <c r="E245" s="87"/>
      <c r="F245" s="87"/>
      <c r="G245" s="87"/>
      <c r="H245" s="87"/>
      <c r="I245" s="87"/>
      <c r="J245" s="2"/>
      <c r="K245" s="2"/>
      <c r="M245" s="2"/>
      <c r="N245" s="2"/>
      <c r="O245" s="2"/>
      <c r="P245" s="600"/>
      <c r="Q245" s="2"/>
      <c r="R245" s="2"/>
    </row>
    <row r="246" spans="1:18" ht="15.75" customHeight="1">
      <c r="A246" s="2"/>
      <c r="B246" s="2"/>
      <c r="C246" s="2"/>
      <c r="D246" s="87"/>
      <c r="E246" s="87"/>
      <c r="F246" s="87"/>
      <c r="G246" s="87"/>
      <c r="H246" s="87"/>
      <c r="I246" s="87"/>
      <c r="J246" s="2"/>
      <c r="K246" s="2"/>
      <c r="M246" s="2"/>
      <c r="N246" s="2"/>
      <c r="O246" s="2"/>
      <c r="P246" s="600"/>
      <c r="Q246" s="2"/>
      <c r="R246" s="2"/>
    </row>
    <row r="247" spans="1:18" ht="15.75" customHeight="1">
      <c r="A247" s="2"/>
      <c r="B247" s="2"/>
      <c r="C247" s="2"/>
      <c r="D247" s="87"/>
      <c r="E247" s="87"/>
      <c r="F247" s="87"/>
      <c r="G247" s="87"/>
      <c r="H247" s="87"/>
      <c r="I247" s="87"/>
      <c r="J247" s="2"/>
      <c r="K247" s="2"/>
      <c r="M247" s="2"/>
      <c r="N247" s="2"/>
      <c r="O247" s="2"/>
      <c r="P247" s="600"/>
      <c r="Q247" s="2"/>
      <c r="R247" s="2"/>
    </row>
    <row r="248" spans="1:18" ht="15.75" customHeight="1">
      <c r="A248" s="2"/>
      <c r="B248" s="2"/>
      <c r="C248" s="2"/>
      <c r="D248" s="87"/>
      <c r="E248" s="87"/>
      <c r="F248" s="87"/>
      <c r="G248" s="87"/>
      <c r="H248" s="87"/>
      <c r="I248" s="87"/>
      <c r="J248" s="2"/>
      <c r="K248" s="2"/>
      <c r="M248" s="2"/>
      <c r="N248" s="2"/>
      <c r="O248" s="2"/>
      <c r="P248" s="600"/>
      <c r="Q248" s="2"/>
      <c r="R248" s="2"/>
    </row>
    <row r="249" spans="1:18" ht="15.75" customHeight="1">
      <c r="A249" s="2"/>
      <c r="B249" s="2"/>
      <c r="C249" s="2"/>
      <c r="D249" s="87"/>
      <c r="E249" s="87"/>
      <c r="F249" s="87"/>
      <c r="G249" s="87"/>
      <c r="H249" s="87"/>
      <c r="I249" s="87"/>
      <c r="J249" s="2"/>
      <c r="K249" s="2"/>
      <c r="M249" s="2"/>
      <c r="N249" s="2"/>
      <c r="O249" s="2"/>
      <c r="P249" s="600"/>
      <c r="Q249" s="2"/>
      <c r="R249" s="2"/>
    </row>
    <row r="250" spans="1:18" ht="15.75" customHeight="1">
      <c r="A250" s="2"/>
      <c r="B250" s="2"/>
      <c r="C250" s="2"/>
      <c r="D250" s="87"/>
      <c r="E250" s="87"/>
      <c r="F250" s="87"/>
      <c r="G250" s="87"/>
      <c r="H250" s="87"/>
      <c r="I250" s="87"/>
      <c r="J250" s="2"/>
      <c r="K250" s="2"/>
      <c r="M250" s="2"/>
      <c r="N250" s="2"/>
      <c r="O250" s="2"/>
      <c r="P250" s="600"/>
      <c r="Q250" s="2"/>
      <c r="R250" s="2"/>
    </row>
    <row r="251" spans="1:18" ht="15.75" customHeight="1">
      <c r="A251" s="2"/>
      <c r="B251" s="2"/>
      <c r="C251" s="2"/>
      <c r="D251" s="87"/>
      <c r="E251" s="87"/>
      <c r="F251" s="87"/>
      <c r="G251" s="87"/>
      <c r="H251" s="87"/>
      <c r="I251" s="87"/>
      <c r="J251" s="2"/>
      <c r="K251" s="2"/>
      <c r="M251" s="2"/>
      <c r="N251" s="2"/>
      <c r="O251" s="2"/>
      <c r="P251" s="600"/>
      <c r="Q251" s="2"/>
      <c r="R251" s="2"/>
    </row>
    <row r="252" spans="1:18" ht="15.75" customHeight="1">
      <c r="A252" s="2"/>
      <c r="B252" s="2"/>
      <c r="C252" s="2"/>
      <c r="D252" s="87"/>
      <c r="E252" s="87"/>
      <c r="F252" s="87"/>
      <c r="G252" s="87"/>
      <c r="H252" s="87"/>
      <c r="I252" s="87"/>
      <c r="J252" s="2"/>
      <c r="K252" s="2"/>
      <c r="M252" s="2"/>
      <c r="N252" s="2"/>
      <c r="O252" s="2"/>
      <c r="P252" s="600"/>
      <c r="Q252" s="2"/>
      <c r="R252" s="2"/>
    </row>
    <row r="253" spans="1:18" ht="15.75" customHeight="1">
      <c r="A253" s="2"/>
      <c r="B253" s="2"/>
      <c r="C253" s="2"/>
      <c r="D253" s="87"/>
      <c r="E253" s="87"/>
      <c r="F253" s="87"/>
      <c r="G253" s="87"/>
      <c r="H253" s="87"/>
      <c r="I253" s="87"/>
      <c r="J253" s="2"/>
      <c r="K253" s="2"/>
      <c r="M253" s="2"/>
      <c r="N253" s="2"/>
      <c r="O253" s="2"/>
      <c r="P253" s="600"/>
      <c r="Q253" s="2"/>
      <c r="R253" s="2"/>
    </row>
    <row r="254" spans="1:18" ht="15.75" customHeight="1">
      <c r="A254" s="2"/>
      <c r="B254" s="2"/>
      <c r="C254" s="2"/>
      <c r="D254" s="87"/>
      <c r="E254" s="87"/>
      <c r="F254" s="87"/>
      <c r="G254" s="87"/>
      <c r="H254" s="87"/>
      <c r="I254" s="87"/>
      <c r="J254" s="2"/>
      <c r="K254" s="2"/>
      <c r="M254" s="2"/>
      <c r="N254" s="2"/>
      <c r="O254" s="2"/>
      <c r="P254" s="600"/>
      <c r="Q254" s="2"/>
      <c r="R254" s="2"/>
    </row>
    <row r="255" spans="1:18" ht="15.75" customHeight="1">
      <c r="A255" s="2"/>
      <c r="B255" s="2"/>
      <c r="C255" s="2"/>
      <c r="D255" s="87"/>
      <c r="E255" s="87"/>
      <c r="F255" s="87"/>
      <c r="G255" s="87"/>
      <c r="H255" s="87"/>
      <c r="I255" s="87"/>
      <c r="J255" s="2"/>
      <c r="K255" s="2"/>
      <c r="M255" s="2"/>
      <c r="N255" s="2"/>
      <c r="O255" s="2"/>
      <c r="P255" s="600"/>
      <c r="Q255" s="2"/>
      <c r="R255" s="2"/>
    </row>
    <row r="256" spans="1:18" ht="15.75" customHeight="1">
      <c r="A256" s="2"/>
      <c r="B256" s="2"/>
      <c r="C256" s="2"/>
      <c r="D256" s="87"/>
      <c r="E256" s="87"/>
      <c r="F256" s="87"/>
      <c r="G256" s="87"/>
      <c r="H256" s="87"/>
      <c r="I256" s="87"/>
      <c r="J256" s="2"/>
      <c r="K256" s="2"/>
      <c r="M256" s="2"/>
      <c r="N256" s="2"/>
      <c r="O256" s="2"/>
      <c r="P256" s="600"/>
      <c r="Q256" s="2"/>
      <c r="R256" s="2"/>
    </row>
    <row r="257" spans="1:18" ht="15.75" customHeight="1">
      <c r="A257" s="2"/>
      <c r="B257" s="2"/>
      <c r="C257" s="2"/>
      <c r="D257" s="87"/>
      <c r="E257" s="87"/>
      <c r="F257" s="87"/>
      <c r="G257" s="87"/>
      <c r="H257" s="87"/>
      <c r="I257" s="87"/>
      <c r="J257" s="2"/>
      <c r="K257" s="2"/>
      <c r="M257" s="2"/>
      <c r="N257" s="2"/>
      <c r="O257" s="2"/>
      <c r="P257" s="600"/>
      <c r="Q257" s="2"/>
      <c r="R257" s="2"/>
    </row>
    <row r="258" spans="1:18" ht="15.75" customHeight="1">
      <c r="A258" s="2"/>
      <c r="B258" s="2"/>
      <c r="C258" s="2"/>
      <c r="D258" s="87"/>
      <c r="E258" s="87"/>
      <c r="F258" s="87"/>
      <c r="G258" s="87"/>
      <c r="H258" s="87"/>
      <c r="I258" s="87"/>
      <c r="J258" s="2"/>
      <c r="K258" s="2"/>
      <c r="M258" s="2"/>
      <c r="N258" s="2"/>
      <c r="O258" s="2"/>
      <c r="P258" s="600"/>
      <c r="Q258" s="2"/>
      <c r="R258" s="2"/>
    </row>
    <row r="259" spans="1:18" ht="15.75" customHeight="1">
      <c r="A259" s="2"/>
      <c r="B259" s="2"/>
      <c r="C259" s="2"/>
      <c r="D259" s="87"/>
      <c r="E259" s="87"/>
      <c r="F259" s="87"/>
      <c r="G259" s="87"/>
      <c r="H259" s="87"/>
      <c r="I259" s="87"/>
      <c r="J259" s="2"/>
      <c r="K259" s="2"/>
      <c r="M259" s="2"/>
      <c r="N259" s="2"/>
      <c r="O259" s="2"/>
      <c r="P259" s="600"/>
      <c r="Q259" s="2"/>
      <c r="R259" s="2"/>
    </row>
    <row r="260" spans="1:18" ht="15.75" customHeight="1">
      <c r="A260" s="2"/>
      <c r="B260" s="2"/>
      <c r="C260" s="2"/>
      <c r="D260" s="87"/>
      <c r="E260" s="87"/>
      <c r="F260" s="87"/>
      <c r="G260" s="87"/>
      <c r="H260" s="87"/>
      <c r="I260" s="87"/>
      <c r="J260" s="2"/>
      <c r="K260" s="2"/>
      <c r="M260" s="2"/>
      <c r="N260" s="2"/>
      <c r="O260" s="2"/>
      <c r="P260" s="600"/>
      <c r="Q260" s="2"/>
      <c r="R260" s="2"/>
    </row>
    <row r="261" spans="1:18" ht="15.75" customHeight="1">
      <c r="A261" s="2"/>
      <c r="B261" s="2"/>
      <c r="C261" s="2"/>
      <c r="D261" s="87"/>
      <c r="E261" s="87"/>
      <c r="F261" s="87"/>
      <c r="G261" s="87"/>
      <c r="H261" s="87"/>
      <c r="I261" s="87"/>
      <c r="J261" s="2"/>
      <c r="K261" s="2"/>
      <c r="M261" s="2"/>
      <c r="N261" s="2"/>
      <c r="O261" s="2"/>
      <c r="P261" s="600"/>
      <c r="Q261" s="2"/>
      <c r="R261" s="2"/>
    </row>
    <row r="262" spans="1:18" ht="15.75" customHeight="1">
      <c r="A262" s="2"/>
      <c r="B262" s="2"/>
      <c r="C262" s="2"/>
      <c r="D262" s="87"/>
      <c r="E262" s="87"/>
      <c r="F262" s="87"/>
      <c r="G262" s="87"/>
      <c r="H262" s="87"/>
      <c r="I262" s="87"/>
      <c r="J262" s="2"/>
      <c r="K262" s="2"/>
      <c r="M262" s="2"/>
      <c r="N262" s="2"/>
      <c r="O262" s="2"/>
      <c r="P262" s="600"/>
      <c r="Q262" s="2"/>
      <c r="R262" s="2"/>
    </row>
    <row r="263" spans="1:18" ht="15.75" customHeight="1">
      <c r="A263" s="2"/>
      <c r="B263" s="2"/>
      <c r="C263" s="2"/>
      <c r="D263" s="87"/>
      <c r="E263" s="87"/>
      <c r="F263" s="87"/>
      <c r="G263" s="87"/>
      <c r="H263" s="87"/>
      <c r="I263" s="87"/>
      <c r="J263" s="2"/>
      <c r="K263" s="2"/>
      <c r="M263" s="2"/>
      <c r="N263" s="2"/>
      <c r="O263" s="2"/>
      <c r="P263" s="600"/>
      <c r="Q263" s="2"/>
      <c r="R263" s="2"/>
    </row>
    <row r="264" spans="1:18" ht="15.75" customHeight="1">
      <c r="A264" s="2"/>
      <c r="B264" s="2"/>
      <c r="C264" s="2"/>
      <c r="D264" s="87"/>
      <c r="E264" s="87"/>
      <c r="F264" s="87"/>
      <c r="G264" s="87"/>
      <c r="H264" s="87"/>
      <c r="I264" s="87"/>
      <c r="J264" s="2"/>
      <c r="K264" s="2"/>
      <c r="M264" s="2"/>
      <c r="N264" s="2"/>
      <c r="O264" s="2"/>
      <c r="P264" s="600"/>
      <c r="Q264" s="2"/>
      <c r="R264" s="2"/>
    </row>
    <row r="265" spans="1:18" ht="15.75" customHeight="1">
      <c r="A265" s="2"/>
      <c r="B265" s="2"/>
      <c r="C265" s="2"/>
      <c r="D265" s="87"/>
      <c r="E265" s="87"/>
      <c r="F265" s="87"/>
      <c r="G265" s="87"/>
      <c r="H265" s="87"/>
      <c r="I265" s="87"/>
      <c r="J265" s="2"/>
      <c r="K265" s="2"/>
      <c r="M265" s="2"/>
      <c r="N265" s="2"/>
      <c r="O265" s="2"/>
      <c r="P265" s="600"/>
      <c r="Q265" s="2"/>
      <c r="R265" s="2"/>
    </row>
    <row r="266" spans="1:18" ht="15.75" customHeight="1">
      <c r="A266" s="2"/>
      <c r="B266" s="2"/>
      <c r="C266" s="2"/>
      <c r="D266" s="87"/>
      <c r="E266" s="87"/>
      <c r="F266" s="87"/>
      <c r="G266" s="87"/>
      <c r="H266" s="87"/>
      <c r="I266" s="87"/>
      <c r="J266" s="2"/>
      <c r="K266" s="2"/>
      <c r="M266" s="2"/>
      <c r="N266" s="2"/>
      <c r="O266" s="2"/>
      <c r="P266" s="600"/>
      <c r="Q266" s="2"/>
      <c r="R266" s="2"/>
    </row>
    <row r="267" spans="1:18" ht="15.75" customHeight="1">
      <c r="A267" s="2"/>
      <c r="B267" s="2"/>
      <c r="C267" s="2"/>
      <c r="D267" s="87"/>
      <c r="E267" s="87"/>
      <c r="F267" s="87"/>
      <c r="G267" s="87"/>
      <c r="H267" s="87"/>
      <c r="I267" s="87"/>
      <c r="J267" s="2"/>
      <c r="K267" s="2"/>
      <c r="M267" s="2"/>
      <c r="N267" s="2"/>
      <c r="O267" s="2"/>
      <c r="P267" s="600"/>
      <c r="Q267" s="2"/>
      <c r="R267" s="2"/>
    </row>
    <row r="268" spans="1:18" ht="15.75" customHeight="1">
      <c r="A268" s="2"/>
      <c r="B268" s="2"/>
      <c r="C268" s="2"/>
      <c r="D268" s="87"/>
      <c r="E268" s="87"/>
      <c r="F268" s="87"/>
      <c r="G268" s="87"/>
      <c r="H268" s="87"/>
      <c r="I268" s="87"/>
      <c r="J268" s="2"/>
      <c r="K268" s="2"/>
      <c r="M268" s="2"/>
      <c r="N268" s="2"/>
      <c r="O268" s="2"/>
      <c r="P268" s="600"/>
      <c r="Q268" s="2"/>
      <c r="R268" s="2"/>
    </row>
    <row r="269" spans="1:18" ht="15.75" customHeight="1">
      <c r="A269" s="2"/>
      <c r="B269" s="2"/>
      <c r="C269" s="2"/>
      <c r="D269" s="87"/>
      <c r="E269" s="87"/>
      <c r="F269" s="87"/>
      <c r="G269" s="87"/>
      <c r="H269" s="87"/>
      <c r="I269" s="87"/>
      <c r="J269" s="2"/>
      <c r="K269" s="2"/>
      <c r="M269" s="2"/>
      <c r="N269" s="2"/>
      <c r="O269" s="2"/>
      <c r="P269" s="600"/>
      <c r="Q269" s="2"/>
      <c r="R269" s="2"/>
    </row>
    <row r="270" spans="1:18" ht="15.75" customHeight="1">
      <c r="A270" s="2"/>
      <c r="B270" s="2"/>
      <c r="C270" s="2"/>
      <c r="D270" s="87"/>
      <c r="E270" s="87"/>
      <c r="F270" s="87"/>
      <c r="G270" s="87"/>
      <c r="H270" s="87"/>
      <c r="I270" s="87"/>
      <c r="J270" s="2"/>
      <c r="K270" s="2"/>
      <c r="M270" s="2"/>
      <c r="N270" s="2"/>
      <c r="O270" s="2"/>
      <c r="P270" s="600"/>
      <c r="Q270" s="2"/>
      <c r="R270" s="2"/>
    </row>
    <row r="271" spans="1:18" ht="15.75" customHeight="1">
      <c r="A271" s="2"/>
      <c r="B271" s="2"/>
      <c r="C271" s="2"/>
      <c r="D271" s="87"/>
      <c r="E271" s="87"/>
      <c r="F271" s="87"/>
      <c r="G271" s="87"/>
      <c r="H271" s="87"/>
      <c r="I271" s="87"/>
      <c r="J271" s="2"/>
      <c r="K271" s="2"/>
      <c r="M271" s="2"/>
      <c r="N271" s="2"/>
      <c r="O271" s="2"/>
      <c r="P271" s="600"/>
      <c r="Q271" s="2"/>
      <c r="R271" s="2"/>
    </row>
    <row r="272" spans="1:18" ht="15.75" customHeight="1">
      <c r="A272" s="2"/>
      <c r="B272" s="2"/>
      <c r="C272" s="2"/>
      <c r="D272" s="87"/>
      <c r="E272" s="87"/>
      <c r="F272" s="87"/>
      <c r="G272" s="87"/>
      <c r="H272" s="87"/>
      <c r="I272" s="87"/>
      <c r="J272" s="2"/>
      <c r="K272" s="2"/>
      <c r="M272" s="2"/>
      <c r="N272" s="2"/>
      <c r="O272" s="2"/>
      <c r="P272" s="600"/>
      <c r="Q272" s="2"/>
      <c r="R272" s="2"/>
    </row>
    <row r="273" spans="1:18" ht="15.75" customHeight="1">
      <c r="A273" s="2"/>
      <c r="B273" s="2"/>
      <c r="C273" s="2"/>
      <c r="D273" s="87"/>
      <c r="E273" s="87"/>
      <c r="F273" s="87"/>
      <c r="G273" s="87"/>
      <c r="H273" s="87"/>
      <c r="I273" s="87"/>
      <c r="J273" s="2"/>
      <c r="K273" s="2"/>
      <c r="M273" s="2"/>
      <c r="N273" s="2"/>
      <c r="O273" s="2"/>
      <c r="P273" s="600"/>
      <c r="Q273" s="2"/>
      <c r="R273" s="2"/>
    </row>
    <row r="274" spans="1:18" ht="15.75" customHeight="1">
      <c r="A274" s="2"/>
      <c r="B274" s="2"/>
      <c r="C274" s="2"/>
      <c r="D274" s="87"/>
      <c r="E274" s="87"/>
      <c r="F274" s="87"/>
      <c r="G274" s="87"/>
      <c r="H274" s="87"/>
      <c r="I274" s="87"/>
      <c r="J274" s="2"/>
      <c r="K274" s="2"/>
      <c r="M274" s="2"/>
      <c r="N274" s="2"/>
      <c r="O274" s="2"/>
      <c r="P274" s="600"/>
      <c r="Q274" s="2"/>
      <c r="R274" s="2"/>
    </row>
    <row r="275" spans="1:18" ht="15.75" customHeight="1">
      <c r="A275" s="2"/>
      <c r="B275" s="2"/>
      <c r="C275" s="2"/>
      <c r="D275" s="87"/>
      <c r="E275" s="87"/>
      <c r="F275" s="87"/>
      <c r="G275" s="87"/>
      <c r="H275" s="87"/>
      <c r="I275" s="87"/>
      <c r="J275" s="2"/>
      <c r="K275" s="2"/>
      <c r="M275" s="2"/>
      <c r="N275" s="2"/>
      <c r="O275" s="2"/>
      <c r="P275" s="600"/>
      <c r="Q275" s="2"/>
      <c r="R275" s="2"/>
    </row>
    <row r="276" spans="1:18" ht="15.75" customHeight="1">
      <c r="A276" s="2"/>
      <c r="B276" s="2"/>
      <c r="C276" s="2"/>
      <c r="D276" s="87"/>
      <c r="E276" s="87"/>
      <c r="F276" s="87"/>
      <c r="G276" s="87"/>
      <c r="H276" s="87"/>
      <c r="I276" s="87"/>
      <c r="J276" s="2"/>
      <c r="K276" s="2"/>
      <c r="M276" s="2"/>
      <c r="N276" s="2"/>
      <c r="O276" s="2"/>
      <c r="P276" s="600"/>
      <c r="Q276" s="2"/>
      <c r="R276" s="2"/>
    </row>
    <row r="277" spans="1:18" ht="15.75" customHeight="1">
      <c r="A277" s="2"/>
      <c r="B277" s="2"/>
      <c r="C277" s="2"/>
      <c r="D277" s="87"/>
      <c r="E277" s="87"/>
      <c r="F277" s="87"/>
      <c r="G277" s="87"/>
      <c r="H277" s="87"/>
      <c r="I277" s="87"/>
      <c r="J277" s="2"/>
      <c r="K277" s="2"/>
      <c r="M277" s="2"/>
      <c r="N277" s="2"/>
      <c r="O277" s="2"/>
      <c r="P277" s="600"/>
      <c r="Q277" s="2"/>
      <c r="R277" s="2"/>
    </row>
    <row r="278" spans="1:18" ht="15.75" customHeight="1">
      <c r="A278" s="2"/>
      <c r="B278" s="2"/>
      <c r="C278" s="2"/>
      <c r="D278" s="87"/>
      <c r="E278" s="87"/>
      <c r="F278" s="87"/>
      <c r="G278" s="87"/>
      <c r="H278" s="87"/>
      <c r="I278" s="87"/>
      <c r="J278" s="2"/>
      <c r="K278" s="2"/>
      <c r="M278" s="2"/>
      <c r="N278" s="2"/>
      <c r="O278" s="2"/>
      <c r="P278" s="600"/>
      <c r="Q278" s="2"/>
      <c r="R278" s="2"/>
    </row>
    <row r="279" spans="1:18" ht="15.75" customHeight="1">
      <c r="A279" s="2"/>
      <c r="B279" s="2"/>
      <c r="C279" s="2"/>
      <c r="D279" s="87"/>
      <c r="E279" s="87"/>
      <c r="F279" s="87"/>
      <c r="G279" s="87"/>
      <c r="H279" s="87"/>
      <c r="I279" s="87"/>
      <c r="J279" s="2"/>
      <c r="K279" s="2"/>
      <c r="M279" s="2"/>
      <c r="N279" s="2"/>
      <c r="O279" s="2"/>
      <c r="P279" s="600"/>
      <c r="Q279" s="2"/>
      <c r="R279" s="2"/>
    </row>
    <row r="280" spans="1:18" ht="15.75" customHeight="1">
      <c r="A280" s="2"/>
      <c r="B280" s="2"/>
      <c r="C280" s="2"/>
      <c r="D280" s="87"/>
      <c r="E280" s="87"/>
      <c r="F280" s="87"/>
      <c r="G280" s="87"/>
      <c r="H280" s="87"/>
      <c r="I280" s="87"/>
      <c r="J280" s="2"/>
      <c r="K280" s="2"/>
      <c r="M280" s="2"/>
      <c r="N280" s="2"/>
      <c r="O280" s="2"/>
      <c r="P280" s="600"/>
      <c r="Q280" s="2"/>
      <c r="R280" s="2"/>
    </row>
    <row r="281" spans="1:18" ht="15.75" customHeight="1">
      <c r="A281" s="2"/>
      <c r="B281" s="2"/>
      <c r="C281" s="2"/>
      <c r="D281" s="87"/>
      <c r="E281" s="87"/>
      <c r="F281" s="87"/>
      <c r="G281" s="87"/>
      <c r="H281" s="87"/>
      <c r="I281" s="87"/>
      <c r="J281" s="2"/>
      <c r="K281" s="2"/>
      <c r="M281" s="2"/>
      <c r="N281" s="2"/>
      <c r="O281" s="2"/>
      <c r="P281" s="600"/>
      <c r="Q281" s="2"/>
      <c r="R281" s="2"/>
    </row>
    <row r="282" spans="1:18" ht="15.75" customHeight="1">
      <c r="A282" s="2"/>
      <c r="B282" s="2"/>
      <c r="C282" s="2"/>
      <c r="D282" s="87"/>
      <c r="E282" s="87"/>
      <c r="F282" s="87"/>
      <c r="G282" s="87"/>
      <c r="H282" s="87"/>
      <c r="I282" s="87"/>
      <c r="J282" s="2"/>
      <c r="K282" s="2"/>
      <c r="M282" s="2"/>
      <c r="N282" s="2"/>
      <c r="O282" s="2"/>
      <c r="P282" s="600"/>
      <c r="Q282" s="2"/>
      <c r="R282" s="2"/>
    </row>
    <row r="283" spans="1:18" ht="15.75" customHeight="1">
      <c r="A283" s="2"/>
      <c r="B283" s="2"/>
      <c r="C283" s="2"/>
      <c r="D283" s="87"/>
      <c r="E283" s="87"/>
      <c r="F283" s="87"/>
      <c r="G283" s="87"/>
      <c r="H283" s="87"/>
      <c r="I283" s="87"/>
      <c r="J283" s="2"/>
      <c r="K283" s="2"/>
      <c r="M283" s="2"/>
      <c r="N283" s="2"/>
      <c r="O283" s="2"/>
      <c r="P283" s="600"/>
      <c r="Q283" s="2"/>
      <c r="R283" s="2"/>
    </row>
    <row r="284" spans="1:18" ht="15.75" customHeight="1">
      <c r="A284" s="2"/>
      <c r="B284" s="2"/>
      <c r="C284" s="2"/>
      <c r="D284" s="87"/>
      <c r="E284" s="87"/>
      <c r="F284" s="87"/>
      <c r="G284" s="87"/>
      <c r="H284" s="87"/>
      <c r="I284" s="87"/>
      <c r="J284" s="2"/>
      <c r="K284" s="2"/>
      <c r="M284" s="2"/>
      <c r="N284" s="2"/>
      <c r="O284" s="2"/>
      <c r="P284" s="600"/>
      <c r="Q284" s="2"/>
      <c r="R284" s="2"/>
    </row>
    <row r="285" spans="1:18" ht="15.75" customHeight="1">
      <c r="A285" s="2"/>
      <c r="B285" s="2"/>
      <c r="C285" s="2"/>
      <c r="D285" s="87"/>
      <c r="E285" s="87"/>
      <c r="F285" s="87"/>
      <c r="G285" s="87"/>
      <c r="H285" s="87"/>
      <c r="I285" s="87"/>
      <c r="J285" s="2"/>
      <c r="K285" s="2"/>
      <c r="M285" s="2"/>
      <c r="N285" s="2"/>
      <c r="O285" s="2"/>
      <c r="P285" s="600"/>
      <c r="Q285" s="2"/>
      <c r="R285" s="2"/>
    </row>
    <row r="286" spans="1:18" ht="15.75" customHeight="1">
      <c r="A286" s="2"/>
      <c r="B286" s="2"/>
      <c r="C286" s="2"/>
      <c r="D286" s="87"/>
      <c r="E286" s="87"/>
      <c r="F286" s="87"/>
      <c r="G286" s="87"/>
      <c r="H286" s="87"/>
      <c r="I286" s="87"/>
      <c r="J286" s="2"/>
      <c r="K286" s="2"/>
      <c r="M286" s="2"/>
      <c r="N286" s="2"/>
      <c r="O286" s="2"/>
      <c r="P286" s="600"/>
      <c r="Q286" s="2"/>
      <c r="R286" s="2"/>
    </row>
    <row r="287" spans="1:18" ht="15.75" customHeight="1">
      <c r="A287" s="2"/>
      <c r="B287" s="2"/>
      <c r="C287" s="2"/>
      <c r="D287" s="87"/>
      <c r="E287" s="87"/>
      <c r="F287" s="87"/>
      <c r="G287" s="87"/>
      <c r="H287" s="87"/>
      <c r="I287" s="87"/>
      <c r="J287" s="2"/>
      <c r="K287" s="2"/>
      <c r="M287" s="2"/>
      <c r="N287" s="2"/>
      <c r="O287" s="2"/>
      <c r="P287" s="600"/>
      <c r="Q287" s="2"/>
      <c r="R287" s="2"/>
    </row>
    <row r="288" spans="1:18" ht="15.75" customHeight="1">
      <c r="A288" s="2"/>
      <c r="B288" s="2"/>
      <c r="C288" s="2"/>
      <c r="D288" s="87"/>
      <c r="E288" s="87"/>
      <c r="F288" s="87"/>
      <c r="G288" s="87"/>
      <c r="H288" s="87"/>
      <c r="I288" s="87"/>
      <c r="J288" s="2"/>
      <c r="K288" s="2"/>
      <c r="M288" s="2"/>
      <c r="N288" s="2"/>
      <c r="O288" s="2"/>
      <c r="P288" s="600"/>
      <c r="Q288" s="2"/>
      <c r="R288" s="2"/>
    </row>
    <row r="289" spans="1:18" ht="15.75" customHeight="1">
      <c r="A289" s="2"/>
      <c r="B289" s="2"/>
      <c r="C289" s="2"/>
      <c r="D289" s="87"/>
      <c r="E289" s="87"/>
      <c r="F289" s="87"/>
      <c r="G289" s="87"/>
      <c r="H289" s="87"/>
      <c r="I289" s="87"/>
      <c r="J289" s="2"/>
      <c r="K289" s="2"/>
      <c r="M289" s="2"/>
      <c r="N289" s="2"/>
      <c r="O289" s="2"/>
      <c r="P289" s="600"/>
      <c r="Q289" s="2"/>
      <c r="R289" s="2"/>
    </row>
    <row r="290" spans="1:18" ht="15.75" customHeight="1">
      <c r="A290" s="2"/>
      <c r="B290" s="2"/>
      <c r="C290" s="2"/>
      <c r="D290" s="87"/>
      <c r="E290" s="87"/>
      <c r="F290" s="87"/>
      <c r="G290" s="87"/>
      <c r="H290" s="87"/>
      <c r="I290" s="87"/>
      <c r="J290" s="2"/>
      <c r="K290" s="2"/>
      <c r="M290" s="2"/>
      <c r="N290" s="2"/>
      <c r="O290" s="2"/>
      <c r="P290" s="600"/>
      <c r="Q290" s="2"/>
      <c r="R290" s="2"/>
    </row>
    <row r="291" spans="1:18" ht="15.75" customHeight="1">
      <c r="A291" s="2"/>
      <c r="B291" s="2"/>
      <c r="C291" s="2"/>
      <c r="D291" s="87"/>
      <c r="E291" s="87"/>
      <c r="F291" s="87"/>
      <c r="G291" s="87"/>
      <c r="H291" s="87"/>
      <c r="I291" s="87"/>
      <c r="J291" s="2"/>
      <c r="K291" s="2"/>
      <c r="M291" s="2"/>
      <c r="N291" s="2"/>
      <c r="O291" s="2"/>
      <c r="P291" s="600"/>
      <c r="Q291" s="2"/>
      <c r="R291" s="2"/>
    </row>
    <row r="292" spans="1:18" ht="15.75" customHeight="1">
      <c r="A292" s="2"/>
      <c r="B292" s="2"/>
      <c r="C292" s="2"/>
      <c r="D292" s="87"/>
      <c r="E292" s="87"/>
      <c r="F292" s="87"/>
      <c r="G292" s="87"/>
      <c r="H292" s="87"/>
      <c r="I292" s="87"/>
      <c r="J292" s="2"/>
      <c r="K292" s="2"/>
      <c r="M292" s="2"/>
      <c r="N292" s="2"/>
      <c r="O292" s="2"/>
      <c r="P292" s="600"/>
      <c r="Q292" s="2"/>
      <c r="R292" s="2"/>
    </row>
    <row r="293" spans="1:18" ht="15.75" customHeight="1">
      <c r="A293" s="2"/>
      <c r="B293" s="2"/>
      <c r="C293" s="2"/>
      <c r="D293" s="87"/>
      <c r="E293" s="87"/>
      <c r="F293" s="87"/>
      <c r="G293" s="87"/>
      <c r="H293" s="87"/>
      <c r="I293" s="87"/>
      <c r="J293" s="2"/>
      <c r="K293" s="2"/>
      <c r="M293" s="2"/>
      <c r="N293" s="2"/>
      <c r="O293" s="2"/>
      <c r="P293" s="600"/>
      <c r="Q293" s="2"/>
      <c r="R293" s="2"/>
    </row>
    <row r="294" spans="1:18" ht="15.75" customHeight="1">
      <c r="A294" s="2"/>
      <c r="B294" s="2"/>
      <c r="C294" s="2"/>
      <c r="D294" s="87"/>
      <c r="E294" s="87"/>
      <c r="F294" s="87"/>
      <c r="G294" s="87"/>
      <c r="H294" s="87"/>
      <c r="I294" s="87"/>
      <c r="J294" s="2"/>
      <c r="K294" s="2"/>
      <c r="M294" s="2"/>
      <c r="N294" s="2"/>
      <c r="O294" s="2"/>
      <c r="P294" s="600"/>
      <c r="Q294" s="2"/>
      <c r="R294" s="2"/>
    </row>
    <row r="295" spans="1:18" ht="15.75" customHeight="1">
      <c r="A295" s="2"/>
      <c r="B295" s="2"/>
      <c r="C295" s="2"/>
      <c r="D295" s="87"/>
      <c r="E295" s="87"/>
      <c r="F295" s="87"/>
      <c r="G295" s="87"/>
      <c r="H295" s="87"/>
      <c r="I295" s="87"/>
      <c r="J295" s="2"/>
      <c r="K295" s="2"/>
      <c r="M295" s="2"/>
      <c r="N295" s="2"/>
      <c r="O295" s="2"/>
      <c r="P295" s="600"/>
      <c r="Q295" s="2"/>
      <c r="R295" s="2"/>
    </row>
    <row r="296" spans="1:18" ht="15.75" customHeight="1">
      <c r="A296" s="2"/>
      <c r="B296" s="2"/>
      <c r="C296" s="2"/>
      <c r="D296" s="87"/>
      <c r="E296" s="87"/>
      <c r="F296" s="87"/>
      <c r="G296" s="87"/>
      <c r="H296" s="87"/>
      <c r="I296" s="87"/>
      <c r="J296" s="2"/>
      <c r="K296" s="2"/>
      <c r="M296" s="2"/>
      <c r="N296" s="2"/>
      <c r="O296" s="2"/>
      <c r="P296" s="600"/>
      <c r="Q296" s="2"/>
      <c r="R296" s="2"/>
    </row>
    <row r="297" spans="1:18" ht="15.75" customHeight="1">
      <c r="A297" s="2"/>
      <c r="B297" s="2"/>
      <c r="C297" s="2"/>
      <c r="D297" s="87"/>
      <c r="E297" s="87"/>
      <c r="F297" s="87"/>
      <c r="G297" s="87"/>
      <c r="H297" s="87"/>
      <c r="I297" s="87"/>
      <c r="J297" s="2"/>
      <c r="K297" s="2"/>
      <c r="M297" s="2"/>
      <c r="N297" s="2"/>
      <c r="O297" s="2"/>
      <c r="P297" s="600"/>
      <c r="Q297" s="2"/>
      <c r="R297" s="2"/>
    </row>
    <row r="298" spans="1:18" ht="15.75" customHeight="1">
      <c r="A298" s="2"/>
      <c r="B298" s="2"/>
      <c r="C298" s="2"/>
      <c r="D298" s="87"/>
      <c r="E298" s="87"/>
      <c r="F298" s="87"/>
      <c r="G298" s="87"/>
      <c r="H298" s="87"/>
      <c r="I298" s="87"/>
      <c r="J298" s="2"/>
      <c r="K298" s="2"/>
      <c r="M298" s="2"/>
      <c r="N298" s="2"/>
      <c r="O298" s="2"/>
      <c r="P298" s="600"/>
      <c r="Q298" s="2"/>
      <c r="R298" s="2"/>
    </row>
    <row r="299" spans="1:18" ht="15.75" customHeight="1">
      <c r="A299" s="2"/>
      <c r="B299" s="2"/>
      <c r="C299" s="2"/>
      <c r="D299" s="87"/>
      <c r="E299" s="87"/>
      <c r="F299" s="87"/>
      <c r="G299" s="87"/>
      <c r="H299" s="87"/>
      <c r="I299" s="87"/>
      <c r="J299" s="2"/>
      <c r="K299" s="2"/>
      <c r="M299" s="2"/>
      <c r="N299" s="2"/>
      <c r="O299" s="2"/>
      <c r="P299" s="600"/>
      <c r="Q299" s="2"/>
      <c r="R299" s="2"/>
    </row>
    <row r="300" spans="1:18" ht="15.75" customHeight="1">
      <c r="A300" s="2"/>
      <c r="B300" s="2"/>
      <c r="C300" s="2"/>
      <c r="D300" s="87"/>
      <c r="E300" s="87"/>
      <c r="F300" s="87"/>
      <c r="G300" s="87"/>
      <c r="H300" s="87"/>
      <c r="I300" s="87"/>
      <c r="J300" s="2"/>
      <c r="K300" s="2"/>
      <c r="M300" s="2"/>
      <c r="N300" s="2"/>
      <c r="O300" s="2"/>
      <c r="P300" s="600"/>
      <c r="Q300" s="2"/>
      <c r="R300" s="2"/>
    </row>
    <row r="301" spans="1:18" ht="15.75" customHeight="1">
      <c r="A301" s="2"/>
      <c r="B301" s="2"/>
      <c r="C301" s="2"/>
      <c r="D301" s="87"/>
      <c r="E301" s="87"/>
      <c r="F301" s="87"/>
      <c r="G301" s="87"/>
      <c r="H301" s="87"/>
      <c r="I301" s="87"/>
      <c r="J301" s="2"/>
      <c r="K301" s="2"/>
      <c r="M301" s="2"/>
      <c r="N301" s="2"/>
      <c r="O301" s="2"/>
      <c r="P301" s="600"/>
      <c r="Q301" s="2"/>
      <c r="R301" s="2"/>
    </row>
    <row r="302" spans="1:18" ht="15.75" customHeight="1">
      <c r="A302" s="2"/>
      <c r="B302" s="2"/>
      <c r="C302" s="2"/>
      <c r="D302" s="87"/>
      <c r="E302" s="87"/>
      <c r="F302" s="87"/>
      <c r="G302" s="87"/>
      <c r="H302" s="87"/>
      <c r="I302" s="87"/>
      <c r="J302" s="2"/>
      <c r="K302" s="2"/>
      <c r="M302" s="2"/>
      <c r="N302" s="2"/>
      <c r="O302" s="2"/>
      <c r="P302" s="600"/>
      <c r="Q302" s="2"/>
      <c r="R302" s="2"/>
    </row>
    <row r="303" spans="1:18" ht="15.75" customHeight="1">
      <c r="A303" s="2"/>
      <c r="B303" s="2"/>
      <c r="C303" s="2"/>
      <c r="D303" s="87"/>
      <c r="E303" s="87"/>
      <c r="F303" s="87"/>
      <c r="G303" s="87"/>
      <c r="H303" s="87"/>
      <c r="I303" s="87"/>
      <c r="J303" s="2"/>
      <c r="K303" s="2"/>
      <c r="M303" s="2"/>
      <c r="N303" s="2"/>
      <c r="O303" s="2"/>
      <c r="P303" s="600"/>
      <c r="Q303" s="2"/>
      <c r="R303" s="2"/>
    </row>
    <row r="304" spans="1:18" ht="15.75" customHeight="1">
      <c r="A304" s="2"/>
      <c r="B304" s="2"/>
      <c r="C304" s="2"/>
      <c r="D304" s="87"/>
      <c r="E304" s="87"/>
      <c r="F304" s="87"/>
      <c r="G304" s="87"/>
      <c r="H304" s="87"/>
      <c r="I304" s="87"/>
      <c r="J304" s="2"/>
      <c r="K304" s="2"/>
      <c r="M304" s="2"/>
      <c r="N304" s="2"/>
      <c r="O304" s="2"/>
      <c r="P304" s="600"/>
      <c r="Q304" s="2"/>
      <c r="R304" s="2"/>
    </row>
    <row r="305" spans="1:18" ht="15.75" customHeight="1">
      <c r="A305" s="2"/>
      <c r="B305" s="2"/>
      <c r="C305" s="2"/>
      <c r="D305" s="87"/>
      <c r="E305" s="87"/>
      <c r="F305" s="87"/>
      <c r="G305" s="87"/>
      <c r="H305" s="87"/>
      <c r="I305" s="87"/>
      <c r="J305" s="2"/>
      <c r="K305" s="2"/>
      <c r="M305" s="2"/>
      <c r="N305" s="2"/>
      <c r="O305" s="2"/>
      <c r="P305" s="600"/>
      <c r="Q305" s="2"/>
      <c r="R305" s="2"/>
    </row>
    <row r="306" spans="1:18" ht="15.75" customHeight="1">
      <c r="A306" s="2"/>
      <c r="B306" s="2"/>
      <c r="C306" s="2"/>
      <c r="D306" s="87"/>
      <c r="E306" s="87"/>
      <c r="F306" s="87"/>
      <c r="G306" s="87"/>
      <c r="H306" s="87"/>
      <c r="I306" s="87"/>
      <c r="J306" s="2"/>
      <c r="K306" s="2"/>
      <c r="M306" s="2"/>
      <c r="N306" s="2"/>
      <c r="O306" s="2"/>
      <c r="P306" s="600"/>
      <c r="Q306" s="2"/>
      <c r="R306" s="2"/>
    </row>
    <row r="307" spans="1:18" ht="15.75" customHeight="1">
      <c r="A307" s="2"/>
      <c r="B307" s="2"/>
      <c r="C307" s="2"/>
      <c r="D307" s="87"/>
      <c r="E307" s="87"/>
      <c r="F307" s="87"/>
      <c r="G307" s="87"/>
      <c r="H307" s="87"/>
      <c r="I307" s="87"/>
      <c r="J307" s="2"/>
      <c r="K307" s="2"/>
      <c r="M307" s="2"/>
      <c r="N307" s="2"/>
      <c r="O307" s="2"/>
      <c r="P307" s="600"/>
      <c r="Q307" s="2"/>
      <c r="R307" s="2"/>
    </row>
    <row r="308" spans="1:18" ht="15.75" customHeight="1">
      <c r="A308" s="2"/>
      <c r="B308" s="2"/>
      <c r="C308" s="2"/>
      <c r="D308" s="87"/>
      <c r="E308" s="87"/>
      <c r="F308" s="87"/>
      <c r="G308" s="87"/>
      <c r="H308" s="87"/>
      <c r="I308" s="87"/>
      <c r="J308" s="2"/>
      <c r="K308" s="2"/>
      <c r="M308" s="2"/>
      <c r="N308" s="2"/>
      <c r="O308" s="2"/>
      <c r="P308" s="600"/>
      <c r="Q308" s="2"/>
      <c r="R308" s="2"/>
    </row>
    <row r="309" spans="1:18" ht="15.75" customHeight="1">
      <c r="A309" s="2"/>
      <c r="B309" s="2"/>
      <c r="C309" s="2"/>
      <c r="D309" s="87"/>
      <c r="E309" s="87"/>
      <c r="F309" s="87"/>
      <c r="G309" s="87"/>
      <c r="H309" s="87"/>
      <c r="I309" s="87"/>
      <c r="J309" s="2"/>
      <c r="K309" s="2"/>
      <c r="M309" s="2"/>
      <c r="N309" s="2"/>
      <c r="O309" s="2"/>
      <c r="P309" s="600"/>
      <c r="Q309" s="2"/>
      <c r="R309" s="2"/>
    </row>
    <row r="310" spans="1:18" ht="15.75" customHeight="1">
      <c r="A310" s="2"/>
      <c r="B310" s="2"/>
      <c r="C310" s="2"/>
      <c r="D310" s="87"/>
      <c r="E310" s="87"/>
      <c r="F310" s="87"/>
      <c r="G310" s="87"/>
      <c r="H310" s="87"/>
      <c r="I310" s="87"/>
      <c r="J310" s="2"/>
      <c r="K310" s="2"/>
      <c r="M310" s="2"/>
      <c r="N310" s="2"/>
      <c r="O310" s="2"/>
      <c r="P310" s="600"/>
      <c r="Q310" s="2"/>
      <c r="R310" s="2"/>
    </row>
    <row r="311" spans="1:18" ht="15.75" customHeight="1">
      <c r="A311" s="2"/>
      <c r="B311" s="2"/>
      <c r="C311" s="2"/>
      <c r="D311" s="87"/>
      <c r="E311" s="87"/>
      <c r="F311" s="87"/>
      <c r="G311" s="87"/>
      <c r="H311" s="87"/>
      <c r="I311" s="87"/>
      <c r="J311" s="2"/>
      <c r="K311" s="2"/>
      <c r="M311" s="2"/>
      <c r="N311" s="2"/>
      <c r="O311" s="2"/>
      <c r="P311" s="600"/>
      <c r="Q311" s="2"/>
      <c r="R311" s="2"/>
    </row>
    <row r="312" spans="1:18" ht="15.75" customHeight="1">
      <c r="A312" s="2"/>
      <c r="B312" s="2"/>
      <c r="C312" s="2"/>
      <c r="D312" s="87"/>
      <c r="E312" s="87"/>
      <c r="F312" s="87"/>
      <c r="G312" s="87"/>
      <c r="H312" s="87"/>
      <c r="I312" s="87"/>
      <c r="J312" s="2"/>
      <c r="K312" s="2"/>
      <c r="M312" s="2"/>
      <c r="N312" s="2"/>
      <c r="O312" s="2"/>
      <c r="P312" s="600"/>
      <c r="Q312" s="2"/>
      <c r="R312" s="2"/>
    </row>
    <row r="313" spans="1:18" ht="15.75" customHeight="1">
      <c r="A313" s="2"/>
      <c r="B313" s="2"/>
      <c r="C313" s="2"/>
      <c r="D313" s="87"/>
      <c r="E313" s="87"/>
      <c r="F313" s="87"/>
      <c r="G313" s="87"/>
      <c r="H313" s="87"/>
      <c r="I313" s="87"/>
      <c r="J313" s="2"/>
      <c r="K313" s="2"/>
      <c r="M313" s="2"/>
      <c r="N313" s="2"/>
      <c r="O313" s="2"/>
      <c r="P313" s="600"/>
      <c r="Q313" s="2"/>
      <c r="R313" s="2"/>
    </row>
    <row r="314" spans="1:18" ht="15.75" customHeight="1">
      <c r="A314" s="2"/>
      <c r="B314" s="2"/>
      <c r="C314" s="2"/>
      <c r="D314" s="87"/>
      <c r="E314" s="87"/>
      <c r="F314" s="87"/>
      <c r="G314" s="87"/>
      <c r="H314" s="87"/>
      <c r="I314" s="87"/>
      <c r="J314" s="2"/>
      <c r="K314" s="2"/>
      <c r="M314" s="2"/>
      <c r="N314" s="2"/>
      <c r="O314" s="2"/>
      <c r="P314" s="600"/>
      <c r="Q314" s="2"/>
      <c r="R314" s="2"/>
    </row>
    <row r="315" spans="1:18" ht="15.75" customHeight="1">
      <c r="A315" s="2"/>
      <c r="B315" s="2"/>
      <c r="C315" s="2"/>
      <c r="D315" s="87"/>
      <c r="E315" s="87"/>
      <c r="F315" s="87"/>
      <c r="G315" s="87"/>
      <c r="H315" s="87"/>
      <c r="I315" s="87"/>
      <c r="J315" s="2"/>
      <c r="K315" s="2"/>
      <c r="M315" s="2"/>
      <c r="N315" s="2"/>
      <c r="O315" s="2"/>
      <c r="P315" s="600"/>
      <c r="Q315" s="2"/>
      <c r="R315" s="2"/>
    </row>
    <row r="316" spans="1:18" ht="15.75" customHeight="1">
      <c r="A316" s="2"/>
      <c r="B316" s="2"/>
      <c r="C316" s="2"/>
      <c r="D316" s="87"/>
      <c r="E316" s="87"/>
      <c r="F316" s="87"/>
      <c r="G316" s="87"/>
      <c r="H316" s="87"/>
      <c r="I316" s="87"/>
      <c r="J316" s="2"/>
      <c r="K316" s="2"/>
      <c r="M316" s="2"/>
      <c r="N316" s="2"/>
      <c r="O316" s="2"/>
      <c r="P316" s="600"/>
      <c r="Q316" s="2"/>
      <c r="R316" s="2"/>
    </row>
    <row r="317" spans="1:18" ht="15.75" customHeight="1">
      <c r="A317" s="2"/>
      <c r="B317" s="2"/>
      <c r="C317" s="2"/>
      <c r="D317" s="87"/>
      <c r="E317" s="87"/>
      <c r="F317" s="87"/>
      <c r="G317" s="87"/>
      <c r="H317" s="87"/>
      <c r="I317" s="87"/>
      <c r="J317" s="2"/>
      <c r="K317" s="2"/>
      <c r="M317" s="2"/>
      <c r="N317" s="2"/>
      <c r="O317" s="2"/>
      <c r="P317" s="600"/>
      <c r="Q317" s="2"/>
      <c r="R317" s="2"/>
    </row>
    <row r="318" spans="1:18" ht="15.75" customHeight="1">
      <c r="A318" s="2"/>
      <c r="B318" s="2"/>
      <c r="C318" s="2"/>
      <c r="D318" s="87"/>
      <c r="E318" s="87"/>
      <c r="F318" s="87"/>
      <c r="G318" s="87"/>
      <c r="H318" s="87"/>
      <c r="I318" s="87"/>
      <c r="J318" s="2"/>
      <c r="K318" s="2"/>
      <c r="M318" s="2"/>
      <c r="N318" s="2"/>
      <c r="O318" s="2"/>
      <c r="P318" s="600"/>
      <c r="Q318" s="2"/>
      <c r="R318" s="2"/>
    </row>
    <row r="319" spans="1:18" ht="15.75" customHeight="1">
      <c r="A319" s="2"/>
      <c r="B319" s="2"/>
      <c r="C319" s="2"/>
      <c r="D319" s="87"/>
      <c r="E319" s="87"/>
      <c r="F319" s="87"/>
      <c r="G319" s="87"/>
      <c r="H319" s="87"/>
      <c r="I319" s="87"/>
      <c r="J319" s="2"/>
      <c r="K319" s="2"/>
      <c r="M319" s="2"/>
      <c r="N319" s="2"/>
      <c r="O319" s="2"/>
      <c r="P319" s="600"/>
      <c r="Q319" s="2"/>
      <c r="R319" s="2"/>
    </row>
    <row r="320" spans="1:18" ht="15.75" customHeight="1">
      <c r="A320" s="2"/>
      <c r="B320" s="2"/>
      <c r="C320" s="2"/>
      <c r="D320" s="87"/>
      <c r="E320" s="87"/>
      <c r="F320" s="87"/>
      <c r="G320" s="87"/>
      <c r="H320" s="87"/>
      <c r="I320" s="87"/>
      <c r="J320" s="2"/>
      <c r="K320" s="2"/>
      <c r="M320" s="2"/>
      <c r="N320" s="2"/>
      <c r="O320" s="2"/>
      <c r="P320" s="600"/>
      <c r="Q320" s="2"/>
      <c r="R320" s="2"/>
    </row>
    <row r="321" spans="1:18" ht="15.75" customHeight="1">
      <c r="A321" s="2"/>
      <c r="B321" s="2"/>
      <c r="C321" s="2"/>
      <c r="D321" s="87"/>
      <c r="E321" s="87"/>
      <c r="F321" s="87"/>
      <c r="G321" s="87"/>
      <c r="H321" s="87"/>
      <c r="I321" s="87"/>
      <c r="J321" s="2"/>
      <c r="K321" s="2"/>
      <c r="M321" s="2"/>
      <c r="N321" s="2"/>
      <c r="O321" s="2"/>
      <c r="P321" s="600"/>
      <c r="Q321" s="2"/>
      <c r="R321" s="2"/>
    </row>
    <row r="322" spans="1:18" ht="15.75" customHeight="1">
      <c r="A322" s="2"/>
      <c r="B322" s="2"/>
      <c r="C322" s="2"/>
      <c r="D322" s="87"/>
      <c r="E322" s="87"/>
      <c r="F322" s="87"/>
      <c r="G322" s="87"/>
      <c r="H322" s="87"/>
      <c r="I322" s="87"/>
      <c r="J322" s="2"/>
      <c r="K322" s="2"/>
      <c r="M322" s="2"/>
      <c r="N322" s="2"/>
      <c r="O322" s="2"/>
      <c r="P322" s="600"/>
      <c r="Q322" s="2"/>
      <c r="R322" s="2"/>
    </row>
    <row r="323" spans="1:18" ht="15.75" customHeight="1">
      <c r="A323" s="2"/>
      <c r="B323" s="2"/>
      <c r="C323" s="2"/>
      <c r="D323" s="87"/>
      <c r="E323" s="87"/>
      <c r="F323" s="87"/>
      <c r="G323" s="87"/>
      <c r="H323" s="87"/>
      <c r="I323" s="87"/>
      <c r="J323" s="2"/>
      <c r="K323" s="2"/>
      <c r="M323" s="2"/>
      <c r="N323" s="2"/>
      <c r="O323" s="2"/>
      <c r="P323" s="600"/>
      <c r="Q323" s="2"/>
      <c r="R323" s="2"/>
    </row>
    <row r="324" spans="1:18" ht="15.75" customHeight="1">
      <c r="A324" s="2"/>
      <c r="B324" s="2"/>
      <c r="C324" s="2"/>
      <c r="D324" s="87"/>
      <c r="E324" s="87"/>
      <c r="F324" s="87"/>
      <c r="G324" s="87"/>
      <c r="H324" s="87"/>
      <c r="I324" s="87"/>
      <c r="J324" s="2"/>
      <c r="K324" s="2"/>
      <c r="M324" s="2"/>
      <c r="N324" s="2"/>
      <c r="O324" s="2"/>
      <c r="P324" s="600"/>
      <c r="Q324" s="2"/>
      <c r="R324" s="2"/>
    </row>
    <row r="325" spans="1:18" ht="15.75" customHeight="1">
      <c r="A325" s="2"/>
      <c r="B325" s="2"/>
      <c r="C325" s="2"/>
      <c r="D325" s="87"/>
      <c r="E325" s="87"/>
      <c r="F325" s="87"/>
      <c r="G325" s="87"/>
      <c r="H325" s="87"/>
      <c r="I325" s="87"/>
      <c r="J325" s="2"/>
      <c r="K325" s="2"/>
      <c r="M325" s="2"/>
      <c r="N325" s="2"/>
      <c r="O325" s="2"/>
      <c r="P325" s="600"/>
      <c r="Q325" s="2"/>
      <c r="R325" s="2"/>
    </row>
    <row r="326" spans="1:18" ht="15.75" customHeight="1">
      <c r="A326" s="2"/>
      <c r="B326" s="2"/>
      <c r="C326" s="2"/>
      <c r="D326" s="87"/>
      <c r="E326" s="87"/>
      <c r="F326" s="87"/>
      <c r="G326" s="87"/>
      <c r="H326" s="87"/>
      <c r="I326" s="87"/>
      <c r="J326" s="2"/>
      <c r="K326" s="2"/>
      <c r="M326" s="2"/>
      <c r="N326" s="2"/>
      <c r="O326" s="2"/>
      <c r="P326" s="600"/>
      <c r="Q326" s="2"/>
      <c r="R326" s="2"/>
    </row>
    <row r="327" spans="1:18" ht="15.75" customHeight="1">
      <c r="A327" s="2"/>
      <c r="B327" s="2"/>
      <c r="C327" s="2"/>
      <c r="D327" s="87"/>
      <c r="E327" s="87"/>
      <c r="F327" s="87"/>
      <c r="G327" s="87"/>
      <c r="H327" s="87"/>
      <c r="I327" s="87"/>
      <c r="J327" s="2"/>
      <c r="K327" s="2"/>
      <c r="M327" s="2"/>
      <c r="N327" s="2"/>
      <c r="O327" s="2"/>
      <c r="P327" s="600"/>
      <c r="Q327" s="2"/>
      <c r="R327" s="2"/>
    </row>
    <row r="328" spans="1:18" ht="15.75" customHeight="1">
      <c r="A328" s="2"/>
      <c r="B328" s="2"/>
      <c r="C328" s="2"/>
      <c r="D328" s="87"/>
      <c r="E328" s="87"/>
      <c r="F328" s="87"/>
      <c r="G328" s="87"/>
      <c r="H328" s="87"/>
      <c r="I328" s="87"/>
      <c r="J328" s="2"/>
      <c r="K328" s="2"/>
      <c r="M328" s="2"/>
      <c r="N328" s="2"/>
      <c r="O328" s="2"/>
      <c r="P328" s="600"/>
      <c r="Q328" s="2"/>
      <c r="R328" s="2"/>
    </row>
    <row r="329" spans="1:18" ht="15.75" customHeight="1">
      <c r="A329" s="2"/>
      <c r="B329" s="2"/>
      <c r="C329" s="2"/>
      <c r="D329" s="87"/>
      <c r="E329" s="87"/>
      <c r="F329" s="87"/>
      <c r="G329" s="87"/>
      <c r="H329" s="87"/>
      <c r="I329" s="87"/>
      <c r="J329" s="2"/>
      <c r="K329" s="2"/>
      <c r="M329" s="2"/>
      <c r="N329" s="2"/>
      <c r="O329" s="2"/>
      <c r="P329" s="600"/>
      <c r="Q329" s="2"/>
      <c r="R329" s="2"/>
    </row>
    <row r="330" spans="1:18" ht="15.75" customHeight="1">
      <c r="A330" s="2"/>
      <c r="B330" s="2"/>
      <c r="C330" s="2"/>
      <c r="D330" s="87"/>
      <c r="E330" s="87"/>
      <c r="F330" s="87"/>
      <c r="G330" s="87"/>
      <c r="H330" s="87"/>
      <c r="I330" s="87"/>
      <c r="J330" s="2"/>
      <c r="K330" s="2"/>
      <c r="M330" s="2"/>
      <c r="N330" s="2"/>
      <c r="O330" s="2"/>
      <c r="P330" s="600"/>
      <c r="Q330" s="2"/>
      <c r="R330" s="2"/>
    </row>
    <row r="331" spans="1:18" ht="15.75" customHeight="1">
      <c r="A331" s="2"/>
      <c r="B331" s="2"/>
      <c r="C331" s="2"/>
      <c r="D331" s="87"/>
      <c r="E331" s="87"/>
      <c r="F331" s="87"/>
      <c r="G331" s="87"/>
      <c r="H331" s="87"/>
      <c r="I331" s="87"/>
      <c r="J331" s="2"/>
      <c r="K331" s="2"/>
      <c r="M331" s="2"/>
      <c r="N331" s="2"/>
      <c r="O331" s="2"/>
      <c r="P331" s="600"/>
      <c r="Q331" s="2"/>
      <c r="R331" s="2"/>
    </row>
    <row r="332" spans="1:18" ht="15.75" customHeight="1">
      <c r="A332" s="2"/>
      <c r="B332" s="2"/>
      <c r="C332" s="2"/>
      <c r="D332" s="87"/>
      <c r="E332" s="87"/>
      <c r="F332" s="87"/>
      <c r="G332" s="87"/>
      <c r="H332" s="87"/>
      <c r="I332" s="87"/>
      <c r="J332" s="2"/>
      <c r="K332" s="2"/>
      <c r="M332" s="2"/>
      <c r="N332" s="2"/>
      <c r="O332" s="2"/>
      <c r="P332" s="600"/>
      <c r="Q332" s="2"/>
      <c r="R332" s="2"/>
    </row>
    <row r="333" spans="1:18" ht="15.75" customHeight="1">
      <c r="A333" s="2"/>
      <c r="B333" s="2"/>
      <c r="C333" s="2"/>
      <c r="D333" s="87"/>
      <c r="E333" s="87"/>
      <c r="F333" s="87"/>
      <c r="G333" s="87"/>
      <c r="H333" s="87"/>
      <c r="I333" s="87"/>
      <c r="J333" s="2"/>
      <c r="K333" s="2"/>
      <c r="M333" s="2"/>
      <c r="N333" s="2"/>
      <c r="O333" s="2"/>
      <c r="P333" s="600"/>
      <c r="Q333" s="2"/>
      <c r="R333" s="2"/>
    </row>
    <row r="334" spans="1:18" ht="15.75" customHeight="1">
      <c r="A334" s="2"/>
      <c r="B334" s="2"/>
      <c r="C334" s="2"/>
      <c r="D334" s="87"/>
      <c r="E334" s="87"/>
      <c r="F334" s="87"/>
      <c r="G334" s="87"/>
      <c r="H334" s="87"/>
      <c r="I334" s="87"/>
      <c r="J334" s="2"/>
      <c r="K334" s="2"/>
      <c r="M334" s="2"/>
      <c r="N334" s="2"/>
      <c r="O334" s="2"/>
      <c r="P334" s="600"/>
      <c r="Q334" s="2"/>
      <c r="R334" s="2"/>
    </row>
    <row r="335" spans="1:18" ht="15.75" customHeight="1">
      <c r="A335" s="2"/>
      <c r="B335" s="2"/>
      <c r="C335" s="2"/>
      <c r="D335" s="87"/>
      <c r="E335" s="87"/>
      <c r="F335" s="87"/>
      <c r="G335" s="87"/>
      <c r="H335" s="87"/>
      <c r="I335" s="87"/>
      <c r="J335" s="2"/>
      <c r="K335" s="2"/>
      <c r="M335" s="2"/>
      <c r="N335" s="2"/>
      <c r="O335" s="2"/>
      <c r="P335" s="600"/>
      <c r="Q335" s="2"/>
      <c r="R335" s="2"/>
    </row>
    <row r="336" spans="1:18" ht="15.75" customHeight="1">
      <c r="A336" s="2"/>
      <c r="B336" s="2"/>
      <c r="C336" s="2"/>
      <c r="D336" s="87"/>
      <c r="E336" s="87"/>
      <c r="F336" s="87"/>
      <c r="G336" s="87"/>
      <c r="H336" s="87"/>
      <c r="I336" s="87"/>
      <c r="J336" s="2"/>
      <c r="K336" s="2"/>
      <c r="M336" s="2"/>
      <c r="N336" s="2"/>
      <c r="O336" s="2"/>
      <c r="P336" s="600"/>
      <c r="Q336" s="2"/>
      <c r="R336" s="2"/>
    </row>
    <row r="337" spans="1:18" ht="15.75" customHeight="1">
      <c r="A337" s="2"/>
      <c r="B337" s="2"/>
      <c r="C337" s="2"/>
      <c r="D337" s="87"/>
      <c r="E337" s="87"/>
      <c r="F337" s="87"/>
      <c r="G337" s="87"/>
      <c r="H337" s="87"/>
      <c r="I337" s="87"/>
      <c r="J337" s="2"/>
      <c r="K337" s="2"/>
      <c r="M337" s="2"/>
      <c r="N337" s="2"/>
      <c r="O337" s="2"/>
      <c r="P337" s="600"/>
      <c r="Q337" s="2"/>
      <c r="R337" s="2"/>
    </row>
    <row r="338" spans="1:18" ht="15.75" customHeight="1">
      <c r="A338" s="2"/>
      <c r="B338" s="2"/>
      <c r="C338" s="2"/>
      <c r="D338" s="87"/>
      <c r="E338" s="87"/>
      <c r="F338" s="87"/>
      <c r="G338" s="87"/>
      <c r="H338" s="87"/>
      <c r="I338" s="87"/>
      <c r="J338" s="2"/>
      <c r="K338" s="2"/>
      <c r="M338" s="2"/>
      <c r="N338" s="2"/>
      <c r="O338" s="2"/>
      <c r="P338" s="600"/>
      <c r="Q338" s="2"/>
      <c r="R338" s="2"/>
    </row>
    <row r="339" spans="1:18" ht="15.75" customHeight="1">
      <c r="A339" s="2"/>
      <c r="B339" s="2"/>
      <c r="C339" s="2"/>
      <c r="D339" s="87"/>
      <c r="E339" s="87"/>
      <c r="F339" s="87"/>
      <c r="G339" s="87"/>
      <c r="H339" s="87"/>
      <c r="I339" s="87"/>
      <c r="J339" s="2"/>
      <c r="K339" s="2"/>
      <c r="M339" s="2"/>
      <c r="N339" s="2"/>
      <c r="O339" s="2"/>
      <c r="P339" s="600"/>
      <c r="Q339" s="2"/>
      <c r="R339" s="2"/>
    </row>
    <row r="340" spans="1:18" ht="15.75" customHeight="1">
      <c r="A340" s="2"/>
      <c r="B340" s="2"/>
      <c r="C340" s="2"/>
      <c r="D340" s="87"/>
      <c r="E340" s="87"/>
      <c r="F340" s="87"/>
      <c r="G340" s="87"/>
      <c r="H340" s="87"/>
      <c r="I340" s="87"/>
      <c r="J340" s="2"/>
      <c r="K340" s="2"/>
      <c r="M340" s="2"/>
      <c r="N340" s="2"/>
      <c r="O340" s="2"/>
      <c r="P340" s="600"/>
      <c r="Q340" s="2"/>
      <c r="R340" s="2"/>
    </row>
    <row r="341" spans="1:18" ht="15.75" customHeight="1">
      <c r="A341" s="2"/>
      <c r="B341" s="2"/>
      <c r="C341" s="2"/>
      <c r="D341" s="87"/>
      <c r="E341" s="87"/>
      <c r="F341" s="87"/>
      <c r="G341" s="87"/>
      <c r="H341" s="87"/>
      <c r="I341" s="87"/>
      <c r="J341" s="2"/>
      <c r="K341" s="2"/>
      <c r="M341" s="2"/>
      <c r="N341" s="2"/>
      <c r="O341" s="2"/>
      <c r="P341" s="600"/>
      <c r="Q341" s="2"/>
      <c r="R341" s="2"/>
    </row>
    <row r="342" spans="1:18" ht="15.75" customHeight="1">
      <c r="A342" s="2"/>
      <c r="B342" s="2"/>
      <c r="C342" s="2"/>
      <c r="D342" s="87"/>
      <c r="E342" s="87"/>
      <c r="F342" s="87"/>
      <c r="G342" s="87"/>
      <c r="H342" s="87"/>
      <c r="I342" s="87"/>
      <c r="J342" s="2"/>
      <c r="K342" s="2"/>
      <c r="M342" s="2"/>
      <c r="N342" s="2"/>
      <c r="O342" s="2"/>
      <c r="P342" s="600"/>
      <c r="Q342" s="2"/>
      <c r="R342" s="2"/>
    </row>
    <row r="343" spans="1:18" ht="15.75" customHeight="1">
      <c r="A343" s="2"/>
      <c r="B343" s="2"/>
      <c r="C343" s="2"/>
      <c r="D343" s="87"/>
      <c r="E343" s="87"/>
      <c r="F343" s="87"/>
      <c r="G343" s="87"/>
      <c r="H343" s="87"/>
      <c r="I343" s="87"/>
      <c r="J343" s="2"/>
      <c r="K343" s="2"/>
      <c r="M343" s="2"/>
      <c r="N343" s="2"/>
      <c r="O343" s="2"/>
      <c r="P343" s="600"/>
      <c r="Q343" s="2"/>
      <c r="R343" s="2"/>
    </row>
    <row r="344" spans="1:18" ht="15.75" customHeight="1">
      <c r="A344" s="2"/>
      <c r="B344" s="2"/>
      <c r="C344" s="2"/>
      <c r="D344" s="87"/>
      <c r="E344" s="87"/>
      <c r="F344" s="87"/>
      <c r="G344" s="87"/>
      <c r="H344" s="87"/>
      <c r="I344" s="87"/>
      <c r="J344" s="2"/>
      <c r="K344" s="2"/>
      <c r="M344" s="2"/>
      <c r="N344" s="2"/>
      <c r="O344" s="2"/>
      <c r="P344" s="600"/>
      <c r="Q344" s="2"/>
      <c r="R344" s="2"/>
    </row>
    <row r="345" spans="1:18" ht="15.75" customHeight="1">
      <c r="A345" s="2"/>
      <c r="B345" s="2"/>
      <c r="C345" s="2"/>
      <c r="D345" s="87"/>
      <c r="E345" s="87"/>
      <c r="F345" s="87"/>
      <c r="G345" s="87"/>
      <c r="H345" s="87"/>
      <c r="I345" s="87"/>
      <c r="J345" s="2"/>
      <c r="K345" s="2"/>
      <c r="M345" s="2"/>
      <c r="N345" s="2"/>
      <c r="O345" s="2"/>
      <c r="P345" s="600"/>
      <c r="Q345" s="2"/>
      <c r="R345" s="2"/>
    </row>
    <row r="346" spans="1:18" ht="15.75" customHeight="1">
      <c r="A346" s="2"/>
      <c r="B346" s="2"/>
      <c r="C346" s="2"/>
      <c r="D346" s="87"/>
      <c r="E346" s="87"/>
      <c r="F346" s="87"/>
      <c r="G346" s="87"/>
      <c r="H346" s="87"/>
      <c r="I346" s="87"/>
      <c r="J346" s="2"/>
      <c r="K346" s="2"/>
      <c r="M346" s="2"/>
      <c r="N346" s="2"/>
      <c r="O346" s="2"/>
      <c r="P346" s="600"/>
      <c r="Q346" s="2"/>
      <c r="R346" s="2"/>
    </row>
    <row r="347" spans="1:18" ht="15.75" customHeight="1">
      <c r="A347" s="2"/>
      <c r="B347" s="2"/>
      <c r="C347" s="2"/>
      <c r="D347" s="87"/>
      <c r="E347" s="87"/>
      <c r="F347" s="87"/>
      <c r="G347" s="87"/>
      <c r="H347" s="87"/>
      <c r="I347" s="87"/>
      <c r="J347" s="2"/>
      <c r="K347" s="2"/>
      <c r="M347" s="2"/>
      <c r="N347" s="2"/>
      <c r="O347" s="2"/>
      <c r="P347" s="600"/>
      <c r="Q347" s="2"/>
      <c r="R347" s="2"/>
    </row>
    <row r="348" spans="1:18" ht="15.75" customHeight="1">
      <c r="A348" s="2"/>
      <c r="B348" s="2"/>
      <c r="C348" s="2"/>
      <c r="D348" s="87"/>
      <c r="E348" s="87"/>
      <c r="F348" s="87"/>
      <c r="G348" s="87"/>
      <c r="H348" s="87"/>
      <c r="I348" s="87"/>
      <c r="J348" s="2"/>
      <c r="K348" s="2"/>
      <c r="M348" s="2"/>
      <c r="N348" s="2"/>
      <c r="O348" s="2"/>
      <c r="P348" s="600"/>
      <c r="Q348" s="2"/>
      <c r="R348" s="2"/>
    </row>
    <row r="349" spans="1:18" ht="15.75" customHeight="1">
      <c r="A349" s="2"/>
      <c r="B349" s="2"/>
      <c r="C349" s="2"/>
      <c r="D349" s="87"/>
      <c r="E349" s="87"/>
      <c r="F349" s="87"/>
      <c r="G349" s="87"/>
      <c r="H349" s="87"/>
      <c r="I349" s="87"/>
      <c r="J349" s="2"/>
      <c r="K349" s="2"/>
      <c r="M349" s="2"/>
      <c r="N349" s="2"/>
      <c r="O349" s="2"/>
      <c r="P349" s="600"/>
      <c r="Q349" s="2"/>
      <c r="R349" s="2"/>
    </row>
    <row r="350" spans="1:18" ht="15.75" customHeight="1">
      <c r="A350" s="2"/>
      <c r="B350" s="2"/>
      <c r="C350" s="2"/>
      <c r="D350" s="87"/>
      <c r="E350" s="87"/>
      <c r="F350" s="87"/>
      <c r="G350" s="87"/>
      <c r="H350" s="87"/>
      <c r="I350" s="87"/>
      <c r="J350" s="2"/>
      <c r="K350" s="2"/>
      <c r="M350" s="2"/>
      <c r="N350" s="2"/>
      <c r="O350" s="2"/>
      <c r="P350" s="600"/>
      <c r="Q350" s="2"/>
      <c r="R350" s="2"/>
    </row>
    <row r="351" spans="1:18" ht="15.75" customHeight="1">
      <c r="A351" s="2"/>
      <c r="B351" s="2"/>
      <c r="C351" s="2"/>
      <c r="D351" s="87"/>
      <c r="E351" s="87"/>
      <c r="F351" s="87"/>
      <c r="G351" s="87"/>
      <c r="H351" s="87"/>
      <c r="I351" s="87"/>
      <c r="J351" s="2"/>
      <c r="K351" s="2"/>
      <c r="M351" s="2"/>
      <c r="N351" s="2"/>
      <c r="O351" s="2"/>
      <c r="P351" s="600"/>
      <c r="Q351" s="2"/>
      <c r="R351" s="2"/>
    </row>
    <row r="352" spans="1:18" ht="15.75" customHeight="1">
      <c r="A352" s="2"/>
      <c r="B352" s="2"/>
      <c r="C352" s="2"/>
      <c r="D352" s="87"/>
      <c r="E352" s="87"/>
      <c r="F352" s="87"/>
      <c r="G352" s="87"/>
      <c r="H352" s="87"/>
      <c r="I352" s="87"/>
      <c r="J352" s="2"/>
      <c r="K352" s="2"/>
      <c r="M352" s="2"/>
      <c r="N352" s="2"/>
      <c r="O352" s="2"/>
      <c r="P352" s="600"/>
      <c r="Q352" s="2"/>
      <c r="R352" s="2"/>
    </row>
    <row r="353" spans="1:18" ht="15.75" customHeight="1">
      <c r="A353" s="2"/>
      <c r="B353" s="2"/>
      <c r="C353" s="2"/>
      <c r="D353" s="87"/>
      <c r="E353" s="87"/>
      <c r="F353" s="87"/>
      <c r="G353" s="87"/>
      <c r="H353" s="87"/>
      <c r="I353" s="87"/>
      <c r="J353" s="2"/>
      <c r="K353" s="2"/>
      <c r="M353" s="2"/>
      <c r="N353" s="2"/>
      <c r="O353" s="2"/>
      <c r="P353" s="600"/>
      <c r="Q353" s="2"/>
      <c r="R353" s="2"/>
    </row>
    <row r="354" spans="1:18" ht="15.75" customHeight="1">
      <c r="A354" s="2"/>
      <c r="B354" s="2"/>
      <c r="C354" s="2"/>
      <c r="D354" s="87"/>
      <c r="E354" s="87"/>
      <c r="F354" s="87"/>
      <c r="G354" s="87"/>
      <c r="H354" s="87"/>
      <c r="I354" s="87"/>
      <c r="J354" s="2"/>
      <c r="K354" s="2"/>
      <c r="M354" s="2"/>
      <c r="N354" s="2"/>
      <c r="O354" s="2"/>
      <c r="P354" s="600"/>
      <c r="Q354" s="2"/>
      <c r="R354" s="2"/>
    </row>
    <row r="355" spans="1:18" ht="15.75" customHeight="1">
      <c r="A355" s="2"/>
      <c r="B355" s="2"/>
      <c r="C355" s="2"/>
      <c r="D355" s="87"/>
      <c r="E355" s="87"/>
      <c r="F355" s="87"/>
      <c r="G355" s="87"/>
      <c r="H355" s="87"/>
      <c r="I355" s="87"/>
      <c r="J355" s="2"/>
      <c r="K355" s="2"/>
      <c r="M355" s="2"/>
      <c r="N355" s="2"/>
      <c r="O355" s="2"/>
      <c r="P355" s="600"/>
      <c r="Q355" s="2"/>
      <c r="R355" s="2"/>
    </row>
    <row r="356" spans="1:18" ht="15.75" customHeight="1">
      <c r="A356" s="2"/>
      <c r="B356" s="2"/>
      <c r="C356" s="2"/>
      <c r="D356" s="87"/>
      <c r="E356" s="87"/>
      <c r="F356" s="87"/>
      <c r="G356" s="87"/>
      <c r="H356" s="87"/>
      <c r="I356" s="87"/>
      <c r="J356" s="2"/>
      <c r="K356" s="2"/>
      <c r="M356" s="2"/>
      <c r="N356" s="2"/>
      <c r="O356" s="2"/>
      <c r="P356" s="600"/>
      <c r="Q356" s="2"/>
      <c r="R356" s="2"/>
    </row>
    <row r="357" spans="1:18" ht="15.75" customHeight="1">
      <c r="A357" s="2"/>
      <c r="B357" s="2"/>
      <c r="C357" s="2"/>
      <c r="D357" s="87"/>
      <c r="E357" s="87"/>
      <c r="F357" s="87"/>
      <c r="G357" s="87"/>
      <c r="H357" s="87"/>
      <c r="I357" s="87"/>
      <c r="J357" s="2"/>
      <c r="K357" s="2"/>
      <c r="M357" s="2"/>
      <c r="N357" s="2"/>
      <c r="O357" s="2"/>
      <c r="P357" s="600"/>
      <c r="Q357" s="2"/>
      <c r="R357" s="2"/>
    </row>
    <row r="358" spans="1:18" ht="15.75" customHeight="1">
      <c r="A358" s="2"/>
      <c r="B358" s="2"/>
      <c r="C358" s="2"/>
      <c r="D358" s="87"/>
      <c r="E358" s="87"/>
      <c r="F358" s="87"/>
      <c r="G358" s="87"/>
      <c r="H358" s="87"/>
      <c r="I358" s="87"/>
      <c r="J358" s="2"/>
      <c r="K358" s="2"/>
      <c r="M358" s="2"/>
      <c r="N358" s="2"/>
      <c r="O358" s="2"/>
      <c r="P358" s="600"/>
      <c r="Q358" s="2"/>
      <c r="R358" s="2"/>
    </row>
    <row r="359" spans="1:18" ht="15.75" customHeight="1">
      <c r="A359" s="2"/>
      <c r="B359" s="2"/>
      <c r="C359" s="2"/>
      <c r="D359" s="87"/>
      <c r="E359" s="87"/>
      <c r="F359" s="87"/>
      <c r="G359" s="87"/>
      <c r="H359" s="87"/>
      <c r="I359" s="87"/>
      <c r="J359" s="2"/>
      <c r="K359" s="2"/>
      <c r="M359" s="2"/>
      <c r="N359" s="2"/>
      <c r="O359" s="2"/>
      <c r="P359" s="600"/>
      <c r="Q359" s="2"/>
      <c r="R359" s="2"/>
    </row>
    <row r="360" spans="1:18" ht="15.75" customHeight="1">
      <c r="A360" s="2"/>
      <c r="B360" s="2"/>
      <c r="C360" s="2"/>
      <c r="D360" s="87"/>
      <c r="E360" s="87"/>
      <c r="F360" s="87"/>
      <c r="G360" s="87"/>
      <c r="H360" s="87"/>
      <c r="I360" s="87"/>
      <c r="J360" s="2"/>
      <c r="K360" s="2"/>
      <c r="M360" s="2"/>
      <c r="N360" s="2"/>
      <c r="O360" s="2"/>
      <c r="P360" s="600"/>
      <c r="Q360" s="2"/>
      <c r="R360" s="2"/>
    </row>
    <row r="361" spans="1:18" ht="15.75" customHeight="1">
      <c r="A361" s="2"/>
      <c r="B361" s="2"/>
      <c r="C361" s="2"/>
      <c r="D361" s="87"/>
      <c r="E361" s="87"/>
      <c r="F361" s="87"/>
      <c r="G361" s="87"/>
      <c r="H361" s="87"/>
      <c r="I361" s="87"/>
      <c r="J361" s="2"/>
      <c r="K361" s="2"/>
      <c r="M361" s="2"/>
      <c r="N361" s="2"/>
      <c r="O361" s="2"/>
      <c r="P361" s="600"/>
      <c r="Q361" s="2"/>
      <c r="R361" s="2"/>
    </row>
    <row r="362" spans="1:18" ht="15.75" customHeight="1">
      <c r="A362" s="2"/>
      <c r="B362" s="2"/>
      <c r="C362" s="2"/>
      <c r="D362" s="87"/>
      <c r="E362" s="87"/>
      <c r="F362" s="87"/>
      <c r="G362" s="87"/>
      <c r="H362" s="87"/>
      <c r="I362" s="87"/>
      <c r="J362" s="2"/>
      <c r="K362" s="2"/>
      <c r="M362" s="2"/>
      <c r="N362" s="2"/>
      <c r="O362" s="2"/>
      <c r="P362" s="600"/>
      <c r="Q362" s="2"/>
      <c r="R362" s="2"/>
    </row>
    <row r="363" spans="1:18" ht="15.75" customHeight="1">
      <c r="A363" s="2"/>
      <c r="B363" s="2"/>
      <c r="C363" s="2"/>
      <c r="D363" s="87"/>
      <c r="E363" s="87"/>
      <c r="F363" s="87"/>
      <c r="G363" s="87"/>
      <c r="H363" s="87"/>
      <c r="I363" s="87"/>
      <c r="J363" s="2"/>
      <c r="K363" s="2"/>
      <c r="M363" s="2"/>
      <c r="N363" s="2"/>
      <c r="O363" s="2"/>
      <c r="P363" s="600"/>
      <c r="Q363" s="2"/>
      <c r="R363" s="2"/>
    </row>
    <row r="364" spans="1:18" ht="15.75" customHeight="1">
      <c r="A364" s="2"/>
      <c r="B364" s="2"/>
      <c r="C364" s="2"/>
      <c r="D364" s="87"/>
      <c r="E364" s="87"/>
      <c r="F364" s="87"/>
      <c r="G364" s="87"/>
      <c r="H364" s="87"/>
      <c r="I364" s="87"/>
      <c r="J364" s="2"/>
      <c r="K364" s="2"/>
      <c r="M364" s="2"/>
      <c r="N364" s="2"/>
      <c r="O364" s="2"/>
      <c r="P364" s="600"/>
      <c r="Q364" s="2"/>
      <c r="R364" s="2"/>
    </row>
    <row r="365" spans="1:18" ht="15.75" customHeight="1">
      <c r="A365" s="2"/>
      <c r="B365" s="2"/>
      <c r="C365" s="2"/>
      <c r="D365" s="87"/>
      <c r="E365" s="87"/>
      <c r="F365" s="87"/>
      <c r="G365" s="87"/>
      <c r="H365" s="87"/>
      <c r="I365" s="87"/>
      <c r="J365" s="2"/>
      <c r="K365" s="2"/>
      <c r="M365" s="2"/>
      <c r="N365" s="2"/>
      <c r="O365" s="2"/>
      <c r="P365" s="600"/>
      <c r="Q365" s="2"/>
      <c r="R365" s="2"/>
    </row>
    <row r="366" spans="1:18" ht="15.75" customHeight="1">
      <c r="A366" s="2"/>
      <c r="B366" s="2"/>
      <c r="C366" s="2"/>
      <c r="D366" s="87"/>
      <c r="E366" s="87"/>
      <c r="F366" s="87"/>
      <c r="G366" s="87"/>
      <c r="H366" s="87"/>
      <c r="I366" s="87"/>
      <c r="J366" s="2"/>
      <c r="K366" s="2"/>
      <c r="M366" s="2"/>
      <c r="N366" s="2"/>
      <c r="O366" s="2"/>
      <c r="P366" s="600"/>
      <c r="Q366" s="2"/>
      <c r="R366" s="2"/>
    </row>
    <row r="367" spans="1:18" ht="15.75" customHeight="1">
      <c r="A367" s="2"/>
      <c r="B367" s="2"/>
      <c r="C367" s="2"/>
      <c r="D367" s="87"/>
      <c r="E367" s="87"/>
      <c r="F367" s="87"/>
      <c r="G367" s="87"/>
      <c r="H367" s="87"/>
      <c r="I367" s="87"/>
      <c r="J367" s="2"/>
      <c r="K367" s="2"/>
      <c r="M367" s="2"/>
      <c r="N367" s="2"/>
      <c r="O367" s="2"/>
      <c r="P367" s="600"/>
      <c r="Q367" s="2"/>
      <c r="R367" s="2"/>
    </row>
    <row r="368" spans="1:18" ht="15.75" customHeight="1">
      <c r="A368" s="2"/>
      <c r="B368" s="2"/>
      <c r="C368" s="2"/>
      <c r="D368" s="87"/>
      <c r="E368" s="87"/>
      <c r="F368" s="87"/>
      <c r="G368" s="87"/>
      <c r="H368" s="87"/>
      <c r="I368" s="87"/>
      <c r="J368" s="2"/>
      <c r="K368" s="2"/>
      <c r="M368" s="2"/>
      <c r="N368" s="2"/>
      <c r="O368" s="2"/>
      <c r="P368" s="600"/>
      <c r="Q368" s="2"/>
      <c r="R368" s="2"/>
    </row>
    <row r="369" spans="1:18" ht="15.75" customHeight="1">
      <c r="A369" s="2"/>
      <c r="B369" s="2"/>
      <c r="C369" s="2"/>
      <c r="D369" s="87"/>
      <c r="E369" s="87"/>
      <c r="F369" s="87"/>
      <c r="G369" s="87"/>
      <c r="H369" s="87"/>
      <c r="I369" s="87"/>
      <c r="J369" s="2"/>
      <c r="K369" s="2"/>
      <c r="M369" s="2"/>
      <c r="N369" s="2"/>
      <c r="O369" s="2"/>
      <c r="P369" s="600"/>
      <c r="Q369" s="2"/>
      <c r="R369" s="2"/>
    </row>
    <row r="370" spans="1:18" ht="15.75" customHeight="1">
      <c r="A370" s="2"/>
      <c r="B370" s="2"/>
      <c r="C370" s="2"/>
      <c r="D370" s="87"/>
      <c r="E370" s="87"/>
      <c r="F370" s="87"/>
      <c r="G370" s="87"/>
      <c r="H370" s="87"/>
      <c r="I370" s="87"/>
      <c r="J370" s="2"/>
      <c r="K370" s="2"/>
      <c r="M370" s="2"/>
      <c r="N370" s="2"/>
      <c r="O370" s="2"/>
      <c r="P370" s="600"/>
      <c r="Q370" s="2"/>
      <c r="R370" s="2"/>
    </row>
    <row r="371" spans="1:18" ht="15.75" customHeight="1">
      <c r="A371" s="2"/>
      <c r="B371" s="2"/>
      <c r="C371" s="2"/>
      <c r="D371" s="87"/>
      <c r="E371" s="87"/>
      <c r="F371" s="87"/>
      <c r="G371" s="87"/>
      <c r="H371" s="87"/>
      <c r="I371" s="87"/>
      <c r="J371" s="2"/>
      <c r="K371" s="2"/>
      <c r="M371" s="2"/>
      <c r="N371" s="2"/>
      <c r="O371" s="2"/>
      <c r="P371" s="600"/>
      <c r="Q371" s="2"/>
      <c r="R371" s="2"/>
    </row>
    <row r="372" spans="1:18" ht="15.75" customHeight="1">
      <c r="A372" s="2"/>
      <c r="B372" s="2"/>
      <c r="C372" s="2"/>
      <c r="D372" s="87"/>
      <c r="E372" s="87"/>
      <c r="F372" s="87"/>
      <c r="G372" s="87"/>
      <c r="H372" s="87"/>
      <c r="I372" s="87"/>
      <c r="J372" s="2"/>
      <c r="K372" s="2"/>
      <c r="M372" s="2"/>
      <c r="N372" s="2"/>
      <c r="O372" s="2"/>
      <c r="P372" s="600"/>
      <c r="Q372" s="2"/>
      <c r="R372" s="2"/>
    </row>
    <row r="373" spans="1:18" ht="15.75" customHeight="1">
      <c r="A373" s="2"/>
      <c r="B373" s="2"/>
      <c r="C373" s="2"/>
      <c r="D373" s="87"/>
      <c r="E373" s="87"/>
      <c r="F373" s="87"/>
      <c r="G373" s="87"/>
      <c r="H373" s="87"/>
      <c r="I373" s="87"/>
      <c r="J373" s="2"/>
      <c r="K373" s="2"/>
      <c r="M373" s="2"/>
      <c r="N373" s="2"/>
      <c r="O373" s="2"/>
      <c r="P373" s="600"/>
      <c r="Q373" s="2"/>
      <c r="R373" s="2"/>
    </row>
    <row r="374" spans="1:18" ht="15.75" customHeight="1">
      <c r="A374" s="2"/>
      <c r="B374" s="2"/>
      <c r="C374" s="2"/>
      <c r="D374" s="87"/>
      <c r="E374" s="87"/>
      <c r="F374" s="87"/>
      <c r="G374" s="87"/>
      <c r="H374" s="87"/>
      <c r="I374" s="87"/>
      <c r="J374" s="2"/>
      <c r="K374" s="2"/>
      <c r="M374" s="2"/>
      <c r="N374" s="2"/>
      <c r="O374" s="2"/>
      <c r="P374" s="600"/>
      <c r="Q374" s="2"/>
      <c r="R374" s="2"/>
    </row>
    <row r="375" spans="1:18" ht="15.75" customHeight="1">
      <c r="A375" s="2"/>
      <c r="B375" s="2"/>
      <c r="C375" s="2"/>
      <c r="D375" s="87"/>
      <c r="E375" s="87"/>
      <c r="F375" s="87"/>
      <c r="G375" s="87"/>
      <c r="H375" s="87"/>
      <c r="I375" s="87"/>
      <c r="J375" s="2"/>
      <c r="K375" s="2"/>
      <c r="M375" s="2"/>
      <c r="N375" s="2"/>
      <c r="O375" s="2"/>
      <c r="P375" s="600"/>
      <c r="Q375" s="2"/>
      <c r="R375" s="2"/>
    </row>
    <row r="376" spans="1:18" ht="15.75" customHeight="1">
      <c r="A376" s="2"/>
      <c r="B376" s="2"/>
      <c r="C376" s="2"/>
      <c r="D376" s="87"/>
      <c r="E376" s="87"/>
      <c r="F376" s="87"/>
      <c r="G376" s="87"/>
      <c r="H376" s="87"/>
      <c r="I376" s="87"/>
      <c r="J376" s="2"/>
      <c r="K376" s="2"/>
      <c r="M376" s="2"/>
      <c r="N376" s="2"/>
      <c r="O376" s="2"/>
      <c r="P376" s="600"/>
      <c r="Q376" s="2"/>
      <c r="R376" s="2"/>
    </row>
    <row r="377" spans="1:18" ht="15.75" customHeight="1">
      <c r="A377" s="2"/>
      <c r="B377" s="2"/>
      <c r="C377" s="2"/>
      <c r="D377" s="87"/>
      <c r="E377" s="87"/>
      <c r="F377" s="87"/>
      <c r="G377" s="87"/>
      <c r="H377" s="87"/>
      <c r="I377" s="87"/>
      <c r="J377" s="2"/>
      <c r="K377" s="2"/>
      <c r="M377" s="2"/>
      <c r="N377" s="2"/>
      <c r="O377" s="2"/>
      <c r="P377" s="600"/>
      <c r="Q377" s="2"/>
      <c r="R377" s="2"/>
    </row>
    <row r="378" spans="1:18" ht="15.75" customHeight="1">
      <c r="A378" s="2"/>
      <c r="B378" s="2"/>
      <c r="C378" s="2"/>
      <c r="D378" s="87"/>
      <c r="E378" s="87"/>
      <c r="F378" s="87"/>
      <c r="G378" s="87"/>
      <c r="H378" s="87"/>
      <c r="I378" s="87"/>
      <c r="J378" s="2"/>
      <c r="K378" s="2"/>
      <c r="M378" s="2"/>
      <c r="N378" s="2"/>
      <c r="O378" s="2"/>
      <c r="P378" s="600"/>
      <c r="Q378" s="2"/>
      <c r="R378" s="2"/>
    </row>
    <row r="379" spans="1:18" ht="15.75" customHeight="1">
      <c r="A379" s="2"/>
      <c r="B379" s="2"/>
      <c r="C379" s="2"/>
      <c r="D379" s="87"/>
      <c r="E379" s="87"/>
      <c r="F379" s="87"/>
      <c r="G379" s="87"/>
      <c r="H379" s="87"/>
      <c r="I379" s="87"/>
      <c r="J379" s="2"/>
      <c r="K379" s="2"/>
      <c r="M379" s="2"/>
      <c r="N379" s="2"/>
      <c r="O379" s="2"/>
      <c r="P379" s="600"/>
      <c r="Q379" s="2"/>
      <c r="R379" s="2"/>
    </row>
    <row r="380" spans="1:18" ht="15.75" customHeight="1">
      <c r="A380" s="2"/>
      <c r="B380" s="2"/>
      <c r="C380" s="2"/>
      <c r="D380" s="87"/>
      <c r="E380" s="87"/>
      <c r="F380" s="87"/>
      <c r="G380" s="87"/>
      <c r="H380" s="87"/>
      <c r="I380" s="87"/>
      <c r="J380" s="2"/>
      <c r="K380" s="2"/>
      <c r="M380" s="2"/>
      <c r="N380" s="2"/>
      <c r="O380" s="2"/>
      <c r="P380" s="600"/>
      <c r="Q380" s="2"/>
      <c r="R380" s="2"/>
    </row>
    <row r="381" spans="1:18" ht="15.75" customHeight="1">
      <c r="A381" s="2"/>
      <c r="B381" s="2"/>
      <c r="C381" s="2"/>
      <c r="D381" s="87"/>
      <c r="E381" s="87"/>
      <c r="F381" s="87"/>
      <c r="G381" s="87"/>
      <c r="H381" s="87"/>
      <c r="I381" s="87"/>
      <c r="J381" s="2"/>
      <c r="K381" s="2"/>
      <c r="M381" s="2"/>
      <c r="N381" s="2"/>
      <c r="O381" s="2"/>
      <c r="P381" s="600"/>
      <c r="Q381" s="2"/>
      <c r="R381" s="2"/>
    </row>
    <row r="382" spans="1:18" ht="15.75" customHeight="1">
      <c r="A382" s="2"/>
      <c r="B382" s="2"/>
      <c r="C382" s="2"/>
      <c r="D382" s="87"/>
      <c r="E382" s="87"/>
      <c r="F382" s="87"/>
      <c r="G382" s="87"/>
      <c r="H382" s="87"/>
      <c r="I382" s="87"/>
      <c r="J382" s="2"/>
      <c r="K382" s="2"/>
      <c r="M382" s="2"/>
      <c r="N382" s="2"/>
      <c r="O382" s="2"/>
      <c r="P382" s="600"/>
      <c r="Q382" s="2"/>
      <c r="R382" s="2"/>
    </row>
    <row r="383" spans="1:18" ht="15.75" customHeight="1">
      <c r="A383" s="2"/>
      <c r="B383" s="2"/>
      <c r="C383" s="2"/>
      <c r="D383" s="87"/>
      <c r="E383" s="87"/>
      <c r="F383" s="87"/>
      <c r="G383" s="87"/>
      <c r="H383" s="87"/>
      <c r="I383" s="87"/>
      <c r="J383" s="2"/>
      <c r="K383" s="2"/>
      <c r="M383" s="2"/>
      <c r="N383" s="2"/>
      <c r="O383" s="2"/>
      <c r="P383" s="600"/>
      <c r="Q383" s="2"/>
      <c r="R383" s="2"/>
    </row>
    <row r="384" spans="1:18" ht="15.75" customHeight="1">
      <c r="A384" s="2"/>
      <c r="B384" s="2"/>
      <c r="C384" s="2"/>
      <c r="D384" s="87"/>
      <c r="E384" s="87"/>
      <c r="F384" s="87"/>
      <c r="G384" s="87"/>
      <c r="H384" s="87"/>
      <c r="I384" s="87"/>
      <c r="J384" s="2"/>
      <c r="K384" s="2"/>
      <c r="M384" s="2"/>
      <c r="N384" s="2"/>
      <c r="O384" s="2"/>
      <c r="P384" s="600"/>
      <c r="Q384" s="2"/>
      <c r="R384" s="2"/>
    </row>
    <row r="385" spans="1:18" ht="15.75" customHeight="1">
      <c r="A385" s="2"/>
      <c r="B385" s="2"/>
      <c r="C385" s="2"/>
      <c r="D385" s="87"/>
      <c r="E385" s="87"/>
      <c r="F385" s="87"/>
      <c r="G385" s="87"/>
      <c r="H385" s="87"/>
      <c r="I385" s="87"/>
      <c r="J385" s="2"/>
      <c r="K385" s="2"/>
      <c r="M385" s="2"/>
      <c r="N385" s="2"/>
      <c r="O385" s="2"/>
      <c r="P385" s="600"/>
      <c r="Q385" s="2"/>
      <c r="R385" s="2"/>
    </row>
    <row r="386" spans="1:18" ht="15.75" customHeight="1">
      <c r="A386" s="2"/>
      <c r="B386" s="2"/>
      <c r="C386" s="2"/>
      <c r="D386" s="87"/>
      <c r="E386" s="87"/>
      <c r="F386" s="87"/>
      <c r="G386" s="87"/>
      <c r="H386" s="87"/>
      <c r="I386" s="87"/>
      <c r="J386" s="2"/>
      <c r="K386" s="2"/>
      <c r="M386" s="2"/>
      <c r="N386" s="2"/>
      <c r="O386" s="2"/>
      <c r="P386" s="600"/>
      <c r="Q386" s="2"/>
      <c r="R386" s="2"/>
    </row>
    <row r="387" spans="1:18" ht="15.75" customHeight="1">
      <c r="A387" s="2"/>
      <c r="B387" s="2"/>
      <c r="C387" s="2"/>
      <c r="D387" s="87"/>
      <c r="E387" s="87"/>
      <c r="F387" s="87"/>
      <c r="G387" s="87"/>
      <c r="H387" s="87"/>
      <c r="I387" s="87"/>
      <c r="J387" s="2"/>
      <c r="K387" s="2"/>
      <c r="M387" s="2"/>
      <c r="N387" s="2"/>
      <c r="O387" s="2"/>
      <c r="P387" s="600"/>
      <c r="Q387" s="2"/>
      <c r="R387" s="2"/>
    </row>
    <row r="388" spans="1:18" ht="15.75" customHeight="1">
      <c r="A388" s="2"/>
      <c r="B388" s="2"/>
      <c r="C388" s="2"/>
      <c r="D388" s="87"/>
      <c r="E388" s="87"/>
      <c r="F388" s="87"/>
      <c r="G388" s="87"/>
      <c r="H388" s="87"/>
      <c r="I388" s="87"/>
      <c r="J388" s="2"/>
      <c r="K388" s="2"/>
      <c r="M388" s="2"/>
      <c r="N388" s="2"/>
      <c r="O388" s="2"/>
      <c r="P388" s="600"/>
      <c r="Q388" s="2"/>
      <c r="R388" s="2"/>
    </row>
    <row r="389" spans="1:18" ht="15.75" customHeight="1">
      <c r="A389" s="2"/>
      <c r="B389" s="2"/>
      <c r="C389" s="2"/>
      <c r="D389" s="87"/>
      <c r="E389" s="87"/>
      <c r="F389" s="87"/>
      <c r="G389" s="87"/>
      <c r="H389" s="87"/>
      <c r="I389" s="87"/>
      <c r="J389" s="2"/>
      <c r="K389" s="2"/>
      <c r="M389" s="2"/>
      <c r="N389" s="2"/>
      <c r="O389" s="2"/>
      <c r="P389" s="600"/>
      <c r="Q389" s="2"/>
      <c r="R389" s="2"/>
    </row>
    <row r="390" spans="1:18" ht="15.75" customHeight="1">
      <c r="A390" s="2"/>
      <c r="B390" s="2"/>
      <c r="C390" s="2"/>
      <c r="D390" s="87"/>
      <c r="E390" s="87"/>
      <c r="F390" s="87"/>
      <c r="G390" s="87"/>
      <c r="H390" s="87"/>
      <c r="I390" s="87"/>
      <c r="J390" s="2"/>
      <c r="K390" s="2"/>
      <c r="M390" s="2"/>
      <c r="N390" s="2"/>
      <c r="O390" s="2"/>
      <c r="P390" s="600"/>
      <c r="Q390" s="2"/>
      <c r="R390" s="2"/>
    </row>
    <row r="391" spans="1:18" ht="15.75" customHeight="1">
      <c r="A391" s="2"/>
      <c r="B391" s="2"/>
      <c r="C391" s="2"/>
      <c r="D391" s="87"/>
      <c r="E391" s="87"/>
      <c r="F391" s="87"/>
      <c r="G391" s="87"/>
      <c r="H391" s="87"/>
      <c r="I391" s="87"/>
      <c r="J391" s="2"/>
      <c r="K391" s="2"/>
      <c r="M391" s="2"/>
      <c r="N391" s="2"/>
      <c r="O391" s="2"/>
      <c r="P391" s="600"/>
      <c r="Q391" s="2"/>
      <c r="R391" s="2"/>
    </row>
    <row r="392" spans="1:18" ht="15.75" customHeight="1">
      <c r="A392" s="2"/>
      <c r="B392" s="2"/>
      <c r="C392" s="2"/>
      <c r="D392" s="87"/>
      <c r="E392" s="87"/>
      <c r="F392" s="87"/>
      <c r="G392" s="87"/>
      <c r="H392" s="87"/>
      <c r="I392" s="87"/>
      <c r="J392" s="2"/>
      <c r="K392" s="2"/>
      <c r="M392" s="2"/>
      <c r="N392" s="2"/>
      <c r="O392" s="2"/>
      <c r="P392" s="600"/>
      <c r="Q392" s="2"/>
      <c r="R392" s="2"/>
    </row>
    <row r="393" spans="1:18" ht="15.75" customHeight="1">
      <c r="A393" s="2"/>
      <c r="B393" s="2"/>
      <c r="C393" s="2"/>
      <c r="D393" s="87"/>
      <c r="E393" s="87"/>
      <c r="F393" s="87"/>
      <c r="G393" s="87"/>
      <c r="H393" s="87"/>
      <c r="I393" s="87"/>
      <c r="J393" s="2"/>
      <c r="K393" s="2"/>
      <c r="M393" s="2"/>
      <c r="N393" s="2"/>
      <c r="O393" s="2"/>
      <c r="P393" s="600"/>
      <c r="Q393" s="2"/>
      <c r="R393" s="2"/>
    </row>
    <row r="394" spans="1:18" ht="15.75" customHeight="1">
      <c r="A394" s="2"/>
      <c r="B394" s="2"/>
      <c r="C394" s="2"/>
      <c r="D394" s="87"/>
      <c r="E394" s="87"/>
      <c r="F394" s="87"/>
      <c r="G394" s="87"/>
      <c r="H394" s="87"/>
      <c r="I394" s="87"/>
      <c r="J394" s="2"/>
      <c r="K394" s="2"/>
      <c r="M394" s="2"/>
      <c r="N394" s="2"/>
      <c r="O394" s="2"/>
      <c r="P394" s="600"/>
      <c r="Q394" s="2"/>
      <c r="R394" s="2"/>
    </row>
    <row r="395" spans="1:18" ht="15.75" customHeight="1">
      <c r="A395" s="2"/>
      <c r="B395" s="2"/>
      <c r="C395" s="2"/>
      <c r="D395" s="87"/>
      <c r="E395" s="87"/>
      <c r="F395" s="87"/>
      <c r="G395" s="87"/>
      <c r="H395" s="87"/>
      <c r="I395" s="87"/>
      <c r="J395" s="2"/>
      <c r="K395" s="2"/>
      <c r="M395" s="2"/>
      <c r="N395" s="2"/>
      <c r="O395" s="2"/>
      <c r="P395" s="600"/>
      <c r="Q395" s="2"/>
      <c r="R395" s="2"/>
    </row>
    <row r="396" spans="1:18" ht="15.75" customHeight="1">
      <c r="A396" s="2"/>
      <c r="B396" s="2"/>
      <c r="C396" s="2"/>
      <c r="D396" s="87"/>
      <c r="E396" s="87"/>
      <c r="F396" s="87"/>
      <c r="G396" s="87"/>
      <c r="H396" s="87"/>
      <c r="I396" s="87"/>
      <c r="J396" s="2"/>
      <c r="K396" s="2"/>
      <c r="M396" s="2"/>
      <c r="N396" s="2"/>
      <c r="O396" s="2"/>
      <c r="P396" s="600"/>
      <c r="Q396" s="2"/>
      <c r="R396" s="2"/>
    </row>
    <row r="397" spans="1:18" ht="15.75" customHeight="1">
      <c r="A397" s="2"/>
      <c r="B397" s="2"/>
      <c r="C397" s="2"/>
      <c r="D397" s="87"/>
      <c r="E397" s="87"/>
      <c r="F397" s="87"/>
      <c r="G397" s="87"/>
      <c r="H397" s="87"/>
      <c r="I397" s="87"/>
      <c r="J397" s="2"/>
      <c r="K397" s="2"/>
      <c r="M397" s="2"/>
      <c r="N397" s="2"/>
      <c r="O397" s="2"/>
      <c r="P397" s="600"/>
      <c r="Q397" s="2"/>
      <c r="R397" s="2"/>
    </row>
    <row r="398" spans="1:18" ht="15.75" customHeight="1">
      <c r="A398" s="2"/>
      <c r="B398" s="2"/>
      <c r="C398" s="2"/>
      <c r="D398" s="87"/>
      <c r="E398" s="87"/>
      <c r="F398" s="87"/>
      <c r="G398" s="87"/>
      <c r="H398" s="87"/>
      <c r="I398" s="87"/>
      <c r="J398" s="2"/>
      <c r="K398" s="2"/>
      <c r="M398" s="2"/>
      <c r="N398" s="2"/>
      <c r="O398" s="2"/>
      <c r="P398" s="600"/>
      <c r="Q398" s="2"/>
      <c r="R398" s="2"/>
    </row>
    <row r="399" spans="1:18" ht="15.75" customHeight="1">
      <c r="A399" s="2"/>
      <c r="B399" s="2"/>
      <c r="C399" s="2"/>
      <c r="D399" s="87"/>
      <c r="E399" s="87"/>
      <c r="F399" s="87"/>
      <c r="G399" s="87"/>
      <c r="H399" s="87"/>
      <c r="I399" s="87"/>
      <c r="J399" s="2"/>
      <c r="K399" s="2"/>
      <c r="M399" s="2"/>
      <c r="N399" s="2"/>
      <c r="O399" s="2"/>
      <c r="P399" s="600"/>
      <c r="Q399" s="2"/>
      <c r="R399" s="2"/>
    </row>
    <row r="400" spans="1:18" ht="15.75" customHeight="1">
      <c r="A400" s="2"/>
      <c r="B400" s="2"/>
      <c r="C400" s="2"/>
      <c r="D400" s="87"/>
      <c r="E400" s="87"/>
      <c r="F400" s="87"/>
      <c r="G400" s="87"/>
      <c r="H400" s="87"/>
      <c r="I400" s="87"/>
      <c r="J400" s="2"/>
      <c r="K400" s="2"/>
      <c r="M400" s="2"/>
      <c r="N400" s="2"/>
      <c r="O400" s="2"/>
      <c r="P400" s="600"/>
      <c r="Q400" s="2"/>
      <c r="R400" s="2"/>
    </row>
    <row r="401" spans="1:18" ht="15.75" customHeight="1">
      <c r="A401" s="2"/>
      <c r="B401" s="2"/>
      <c r="C401" s="2"/>
      <c r="D401" s="87"/>
      <c r="E401" s="87"/>
      <c r="F401" s="87"/>
      <c r="G401" s="87"/>
      <c r="H401" s="87"/>
      <c r="I401" s="87"/>
      <c r="J401" s="2"/>
      <c r="K401" s="2"/>
      <c r="M401" s="2"/>
      <c r="N401" s="2"/>
      <c r="O401" s="2"/>
      <c r="P401" s="600"/>
      <c r="Q401" s="2"/>
      <c r="R401" s="2"/>
    </row>
    <row r="402" spans="1:18" ht="15.75" customHeight="1">
      <c r="A402" s="2"/>
      <c r="B402" s="2"/>
      <c r="C402" s="2"/>
      <c r="D402" s="87"/>
      <c r="E402" s="87"/>
      <c r="F402" s="87"/>
      <c r="G402" s="87"/>
      <c r="H402" s="87"/>
      <c r="I402" s="87"/>
      <c r="J402" s="2"/>
      <c r="K402" s="2"/>
      <c r="M402" s="2"/>
      <c r="N402" s="2"/>
      <c r="O402" s="2"/>
      <c r="P402" s="600"/>
      <c r="Q402" s="2"/>
      <c r="R402" s="2"/>
    </row>
    <row r="403" spans="1:18" ht="15.75" customHeight="1">
      <c r="A403" s="2"/>
      <c r="B403" s="2"/>
      <c r="C403" s="2"/>
      <c r="D403" s="87"/>
      <c r="E403" s="87"/>
      <c r="F403" s="87"/>
      <c r="G403" s="87"/>
      <c r="H403" s="87"/>
      <c r="I403" s="87"/>
      <c r="J403" s="2"/>
      <c r="K403" s="2"/>
      <c r="M403" s="2"/>
      <c r="N403" s="2"/>
      <c r="O403" s="2"/>
      <c r="P403" s="600"/>
      <c r="Q403" s="2"/>
      <c r="R403" s="2"/>
    </row>
    <row r="404" spans="1:18" ht="15.75" customHeight="1">
      <c r="A404" s="2"/>
      <c r="B404" s="2"/>
      <c r="C404" s="2"/>
      <c r="D404" s="87"/>
      <c r="E404" s="87"/>
      <c r="F404" s="87"/>
      <c r="G404" s="87"/>
      <c r="H404" s="87"/>
      <c r="I404" s="87"/>
      <c r="J404" s="2"/>
      <c r="K404" s="2"/>
      <c r="M404" s="2"/>
      <c r="N404" s="2"/>
      <c r="O404" s="2"/>
      <c r="P404" s="600"/>
      <c r="Q404" s="2"/>
      <c r="R404" s="2"/>
    </row>
    <row r="405" spans="1:18" ht="15.75" customHeight="1">
      <c r="A405" s="2"/>
      <c r="B405" s="2"/>
      <c r="C405" s="2"/>
      <c r="D405" s="87"/>
      <c r="E405" s="87"/>
      <c r="F405" s="87"/>
      <c r="G405" s="87"/>
      <c r="H405" s="87"/>
      <c r="I405" s="87"/>
      <c r="J405" s="2"/>
      <c r="K405" s="2"/>
      <c r="M405" s="2"/>
      <c r="N405" s="2"/>
      <c r="O405" s="2"/>
      <c r="P405" s="600"/>
      <c r="Q405" s="2"/>
      <c r="R405" s="2"/>
    </row>
    <row r="406" spans="1:18" ht="15.75" customHeight="1">
      <c r="A406" s="2"/>
      <c r="B406" s="2"/>
      <c r="C406" s="2"/>
      <c r="D406" s="87"/>
      <c r="E406" s="87"/>
      <c r="F406" s="87"/>
      <c r="G406" s="87"/>
      <c r="H406" s="87"/>
      <c r="I406" s="87"/>
      <c r="J406" s="2"/>
      <c r="K406" s="2"/>
      <c r="M406" s="2"/>
      <c r="N406" s="2"/>
      <c r="O406" s="2"/>
      <c r="P406" s="600"/>
      <c r="Q406" s="2"/>
      <c r="R406" s="2"/>
    </row>
    <row r="407" spans="1:18" ht="15.75" customHeight="1">
      <c r="A407" s="2"/>
      <c r="B407" s="2"/>
      <c r="C407" s="2"/>
      <c r="D407" s="87"/>
      <c r="E407" s="87"/>
      <c r="F407" s="87"/>
      <c r="G407" s="87"/>
      <c r="H407" s="87"/>
      <c r="I407" s="87"/>
      <c r="J407" s="2"/>
      <c r="K407" s="2"/>
      <c r="M407" s="2"/>
      <c r="N407" s="2"/>
      <c r="O407" s="2"/>
      <c r="P407" s="600"/>
      <c r="Q407" s="2"/>
      <c r="R407" s="2"/>
    </row>
    <row r="408" spans="1:18" ht="15.75" customHeight="1">
      <c r="A408" s="2"/>
      <c r="B408" s="2"/>
      <c r="C408" s="2"/>
      <c r="D408" s="87"/>
      <c r="E408" s="87"/>
      <c r="F408" s="87"/>
      <c r="G408" s="87"/>
      <c r="H408" s="87"/>
      <c r="I408" s="87"/>
      <c r="J408" s="2"/>
      <c r="K408" s="2"/>
      <c r="M408" s="2"/>
      <c r="N408" s="2"/>
      <c r="O408" s="2"/>
      <c r="P408" s="600"/>
      <c r="Q408" s="2"/>
      <c r="R408" s="2"/>
    </row>
    <row r="409" spans="1:18" ht="15.75" customHeight="1">
      <c r="A409" s="2"/>
      <c r="B409" s="2"/>
      <c r="C409" s="2"/>
      <c r="D409" s="87"/>
      <c r="E409" s="87"/>
      <c r="F409" s="87"/>
      <c r="G409" s="87"/>
      <c r="H409" s="87"/>
      <c r="I409" s="87"/>
      <c r="J409" s="2"/>
      <c r="K409" s="2"/>
      <c r="M409" s="2"/>
      <c r="N409" s="2"/>
      <c r="O409" s="2"/>
      <c r="P409" s="600"/>
      <c r="Q409" s="2"/>
      <c r="R409" s="2"/>
    </row>
    <row r="410" spans="1:18" ht="15.75" customHeight="1">
      <c r="A410" s="2"/>
      <c r="B410" s="2"/>
      <c r="C410" s="2"/>
      <c r="D410" s="87"/>
      <c r="E410" s="87"/>
      <c r="F410" s="87"/>
      <c r="G410" s="87"/>
      <c r="H410" s="87"/>
      <c r="I410" s="87"/>
      <c r="J410" s="2"/>
      <c r="K410" s="2"/>
      <c r="M410" s="2"/>
      <c r="N410" s="2"/>
      <c r="O410" s="2"/>
      <c r="P410" s="600"/>
      <c r="Q410" s="2"/>
      <c r="R410" s="2"/>
    </row>
    <row r="411" spans="1:18" ht="15.75" customHeight="1">
      <c r="A411" s="2"/>
      <c r="B411" s="2"/>
      <c r="C411" s="2"/>
      <c r="D411" s="87"/>
      <c r="E411" s="87"/>
      <c r="F411" s="87"/>
      <c r="G411" s="87"/>
      <c r="H411" s="87"/>
      <c r="I411" s="87"/>
      <c r="J411" s="2"/>
      <c r="K411" s="2"/>
      <c r="M411" s="2"/>
      <c r="N411" s="2"/>
      <c r="O411" s="2"/>
      <c r="P411" s="600"/>
      <c r="Q411" s="2"/>
      <c r="R411" s="2"/>
    </row>
    <row r="412" spans="1:18" ht="15.75" customHeight="1">
      <c r="A412" s="2"/>
      <c r="B412" s="2"/>
      <c r="C412" s="2"/>
      <c r="D412" s="87"/>
      <c r="E412" s="87"/>
      <c r="F412" s="87"/>
      <c r="G412" s="87"/>
      <c r="H412" s="87"/>
      <c r="I412" s="87"/>
      <c r="J412" s="2"/>
      <c r="K412" s="2"/>
      <c r="M412" s="2"/>
      <c r="N412" s="2"/>
      <c r="O412" s="2"/>
      <c r="P412" s="600"/>
      <c r="Q412" s="2"/>
      <c r="R412" s="2"/>
    </row>
    <row r="413" spans="1:18" ht="15.75" customHeight="1">
      <c r="A413" s="2"/>
      <c r="B413" s="2"/>
      <c r="C413" s="2"/>
      <c r="D413" s="87"/>
      <c r="E413" s="87"/>
      <c r="F413" s="87"/>
      <c r="G413" s="87"/>
      <c r="H413" s="87"/>
      <c r="I413" s="87"/>
      <c r="J413" s="2"/>
      <c r="K413" s="2"/>
      <c r="M413" s="2"/>
      <c r="N413" s="2"/>
      <c r="O413" s="2"/>
      <c r="P413" s="600"/>
      <c r="Q413" s="2"/>
      <c r="R413" s="2"/>
    </row>
    <row r="414" spans="1:18" ht="15.75" customHeight="1">
      <c r="A414" s="2"/>
      <c r="B414" s="2"/>
      <c r="C414" s="2"/>
      <c r="D414" s="87"/>
      <c r="E414" s="87"/>
      <c r="F414" s="87"/>
      <c r="G414" s="87"/>
      <c r="H414" s="87"/>
      <c r="I414" s="87"/>
      <c r="J414" s="2"/>
      <c r="K414" s="2"/>
      <c r="M414" s="2"/>
      <c r="N414" s="2"/>
      <c r="O414" s="2"/>
      <c r="P414" s="600"/>
      <c r="Q414" s="2"/>
      <c r="R414" s="2"/>
    </row>
    <row r="415" spans="1:18" ht="15.75" customHeight="1">
      <c r="A415" s="2"/>
      <c r="B415" s="2"/>
      <c r="C415" s="2"/>
      <c r="D415" s="87"/>
      <c r="E415" s="87"/>
      <c r="F415" s="87"/>
      <c r="G415" s="87"/>
      <c r="H415" s="87"/>
      <c r="I415" s="87"/>
      <c r="J415" s="2"/>
      <c r="K415" s="2"/>
      <c r="M415" s="2"/>
      <c r="N415" s="2"/>
      <c r="O415" s="2"/>
      <c r="P415" s="600"/>
      <c r="Q415" s="2"/>
      <c r="R415" s="2"/>
    </row>
    <row r="416" spans="1:18" ht="15.75" customHeight="1">
      <c r="A416" s="2"/>
      <c r="B416" s="2"/>
      <c r="C416" s="2"/>
      <c r="D416" s="87"/>
      <c r="E416" s="87"/>
      <c r="F416" s="87"/>
      <c r="G416" s="87"/>
      <c r="H416" s="87"/>
      <c r="I416" s="87"/>
      <c r="J416" s="2"/>
      <c r="K416" s="2"/>
      <c r="M416" s="2"/>
      <c r="N416" s="2"/>
      <c r="O416" s="2"/>
      <c r="P416" s="600"/>
      <c r="Q416" s="2"/>
      <c r="R416" s="2"/>
    </row>
    <row r="417" spans="1:18" ht="15.75" customHeight="1">
      <c r="A417" s="2"/>
      <c r="B417" s="2"/>
      <c r="C417" s="2"/>
      <c r="D417" s="87"/>
      <c r="E417" s="87"/>
      <c r="F417" s="87"/>
      <c r="G417" s="87"/>
      <c r="H417" s="87"/>
      <c r="I417" s="87"/>
      <c r="J417" s="2"/>
      <c r="K417" s="2"/>
      <c r="M417" s="2"/>
      <c r="N417" s="2"/>
      <c r="O417" s="2"/>
      <c r="P417" s="600"/>
      <c r="Q417" s="2"/>
      <c r="R417" s="2"/>
    </row>
    <row r="418" spans="1:18" ht="15.75" customHeight="1">
      <c r="A418" s="2"/>
      <c r="B418" s="2"/>
      <c r="C418" s="2"/>
      <c r="D418" s="87"/>
      <c r="E418" s="87"/>
      <c r="F418" s="87"/>
      <c r="G418" s="87"/>
      <c r="H418" s="87"/>
      <c r="I418" s="87"/>
      <c r="J418" s="2"/>
      <c r="K418" s="2"/>
      <c r="M418" s="2"/>
      <c r="N418" s="2"/>
      <c r="O418" s="2"/>
      <c r="P418" s="600"/>
      <c r="Q418" s="2"/>
      <c r="R418" s="2"/>
    </row>
    <row r="419" spans="1:18" ht="15.75" customHeight="1">
      <c r="A419" s="2"/>
      <c r="B419" s="2"/>
      <c r="C419" s="2"/>
      <c r="D419" s="87"/>
      <c r="E419" s="87"/>
      <c r="F419" s="87"/>
      <c r="G419" s="87"/>
      <c r="H419" s="87"/>
      <c r="I419" s="87"/>
      <c r="J419" s="2"/>
      <c r="K419" s="2"/>
      <c r="M419" s="2"/>
      <c r="N419" s="2"/>
      <c r="O419" s="2"/>
      <c r="P419" s="600"/>
      <c r="Q419" s="2"/>
      <c r="R419" s="2"/>
    </row>
    <row r="420" spans="1:18" ht="15.75" customHeight="1">
      <c r="A420" s="2"/>
      <c r="B420" s="2"/>
      <c r="C420" s="2"/>
      <c r="D420" s="87"/>
      <c r="E420" s="87"/>
      <c r="F420" s="87"/>
      <c r="G420" s="87"/>
      <c r="H420" s="87"/>
      <c r="I420" s="87"/>
      <c r="J420" s="2"/>
      <c r="K420" s="2"/>
      <c r="M420" s="2"/>
      <c r="N420" s="2"/>
      <c r="O420" s="2"/>
      <c r="P420" s="600"/>
      <c r="Q420" s="2"/>
      <c r="R420" s="2"/>
    </row>
    <row r="421" spans="1:18" ht="15.75" customHeight="1">
      <c r="A421" s="2"/>
      <c r="B421" s="2"/>
      <c r="C421" s="2"/>
      <c r="D421" s="87"/>
      <c r="E421" s="87"/>
      <c r="F421" s="87"/>
      <c r="G421" s="87"/>
      <c r="H421" s="87"/>
      <c r="I421" s="87"/>
      <c r="J421" s="2"/>
      <c r="K421" s="2"/>
      <c r="M421" s="2"/>
      <c r="N421" s="2"/>
      <c r="O421" s="2"/>
      <c r="P421" s="600"/>
      <c r="Q421" s="2"/>
      <c r="R421" s="2"/>
    </row>
    <row r="422" spans="1:18" ht="15.75" customHeight="1">
      <c r="A422" s="2"/>
      <c r="B422" s="2"/>
      <c r="C422" s="2"/>
      <c r="D422" s="87"/>
      <c r="E422" s="87"/>
      <c r="F422" s="87"/>
      <c r="G422" s="87"/>
      <c r="H422" s="87"/>
      <c r="I422" s="87"/>
      <c r="J422" s="2"/>
      <c r="K422" s="2"/>
      <c r="M422" s="2"/>
      <c r="N422" s="2"/>
      <c r="O422" s="2"/>
      <c r="P422" s="600"/>
      <c r="Q422" s="2"/>
      <c r="R422" s="2"/>
    </row>
    <row r="423" spans="1:18" ht="15.75" customHeight="1">
      <c r="A423" s="2"/>
      <c r="B423" s="2"/>
      <c r="C423" s="2"/>
      <c r="D423" s="87"/>
      <c r="E423" s="87"/>
      <c r="F423" s="87"/>
      <c r="G423" s="87"/>
      <c r="H423" s="87"/>
      <c r="I423" s="87"/>
      <c r="J423" s="2"/>
      <c r="K423" s="2"/>
      <c r="M423" s="2"/>
      <c r="N423" s="2"/>
      <c r="O423" s="2"/>
      <c r="P423" s="600"/>
      <c r="Q423" s="2"/>
      <c r="R423" s="2"/>
    </row>
    <row r="424" spans="1:18" ht="15.75" customHeight="1">
      <c r="A424" s="2"/>
      <c r="B424" s="2"/>
      <c r="C424" s="2"/>
      <c r="D424" s="87"/>
      <c r="E424" s="87"/>
      <c r="F424" s="87"/>
      <c r="G424" s="87"/>
      <c r="H424" s="87"/>
      <c r="I424" s="87"/>
      <c r="J424" s="2"/>
      <c r="K424" s="2"/>
      <c r="M424" s="2"/>
      <c r="N424" s="2"/>
      <c r="O424" s="2"/>
      <c r="P424" s="600"/>
      <c r="Q424" s="2"/>
      <c r="R424" s="2"/>
    </row>
    <row r="425" spans="1:18" ht="15.75" customHeight="1">
      <c r="A425" s="2"/>
      <c r="B425" s="2"/>
      <c r="C425" s="2"/>
      <c r="D425" s="87"/>
      <c r="E425" s="87"/>
      <c r="F425" s="87"/>
      <c r="G425" s="87"/>
      <c r="H425" s="87"/>
      <c r="I425" s="87"/>
      <c r="J425" s="2"/>
      <c r="K425" s="2"/>
      <c r="M425" s="2"/>
      <c r="N425" s="2"/>
      <c r="O425" s="2"/>
      <c r="P425" s="600"/>
      <c r="Q425" s="2"/>
      <c r="R425" s="2"/>
    </row>
    <row r="426" spans="1:18" ht="15.75" customHeight="1">
      <c r="A426" s="2"/>
      <c r="B426" s="2"/>
      <c r="C426" s="2"/>
      <c r="D426" s="87"/>
      <c r="E426" s="87"/>
      <c r="F426" s="87"/>
      <c r="G426" s="87"/>
      <c r="H426" s="87"/>
      <c r="I426" s="87"/>
      <c r="J426" s="2"/>
      <c r="K426" s="2"/>
      <c r="M426" s="2"/>
      <c r="N426" s="2"/>
      <c r="O426" s="2"/>
      <c r="P426" s="600"/>
      <c r="Q426" s="2"/>
      <c r="R426" s="2"/>
    </row>
    <row r="427" spans="1:18" ht="15.75" customHeight="1">
      <c r="A427" s="2"/>
      <c r="B427" s="2"/>
      <c r="C427" s="2"/>
      <c r="D427" s="87"/>
      <c r="E427" s="87"/>
      <c r="F427" s="87"/>
      <c r="G427" s="87"/>
      <c r="H427" s="87"/>
      <c r="I427" s="87"/>
      <c r="J427" s="2"/>
      <c r="K427" s="2"/>
      <c r="M427" s="2"/>
      <c r="N427" s="2"/>
      <c r="O427" s="2"/>
      <c r="P427" s="600"/>
      <c r="Q427" s="2"/>
      <c r="R427" s="2"/>
    </row>
    <row r="428" spans="1:18" ht="15.75" customHeight="1">
      <c r="A428" s="2"/>
      <c r="B428" s="2"/>
      <c r="C428" s="2"/>
      <c r="D428" s="87"/>
      <c r="E428" s="87"/>
      <c r="F428" s="87"/>
      <c r="G428" s="87"/>
      <c r="H428" s="87"/>
      <c r="I428" s="87"/>
      <c r="J428" s="2"/>
      <c r="K428" s="2"/>
      <c r="M428" s="2"/>
      <c r="N428" s="2"/>
      <c r="O428" s="2"/>
      <c r="P428" s="600"/>
      <c r="Q428" s="2"/>
      <c r="R428" s="2"/>
    </row>
    <row r="429" spans="1:18" ht="15.75" customHeight="1">
      <c r="A429" s="2"/>
      <c r="B429" s="2"/>
      <c r="C429" s="2"/>
      <c r="D429" s="87"/>
      <c r="E429" s="87"/>
      <c r="F429" s="87"/>
      <c r="G429" s="87"/>
      <c r="H429" s="87"/>
      <c r="I429" s="87"/>
      <c r="J429" s="2"/>
      <c r="K429" s="2"/>
      <c r="M429" s="2"/>
      <c r="N429" s="2"/>
      <c r="O429" s="2"/>
      <c r="P429" s="600"/>
      <c r="Q429" s="2"/>
      <c r="R429" s="2"/>
    </row>
    <row r="430" spans="1:18" ht="15.75" customHeight="1">
      <c r="A430" s="2"/>
      <c r="B430" s="2"/>
      <c r="C430" s="2"/>
      <c r="D430" s="87"/>
      <c r="E430" s="87"/>
      <c r="F430" s="87"/>
      <c r="G430" s="87"/>
      <c r="H430" s="87"/>
      <c r="I430" s="87"/>
      <c r="J430" s="2"/>
      <c r="K430" s="2"/>
      <c r="M430" s="2"/>
      <c r="N430" s="2"/>
      <c r="O430" s="2"/>
      <c r="P430" s="600"/>
      <c r="Q430" s="2"/>
      <c r="R430" s="2"/>
    </row>
    <row r="431" spans="1:18" ht="15.75" customHeight="1">
      <c r="A431" s="2"/>
      <c r="B431" s="2"/>
      <c r="C431" s="2"/>
      <c r="D431" s="87"/>
      <c r="E431" s="87"/>
      <c r="F431" s="87"/>
      <c r="G431" s="87"/>
      <c r="H431" s="87"/>
      <c r="I431" s="87"/>
      <c r="J431" s="2"/>
      <c r="K431" s="2"/>
      <c r="M431" s="2"/>
      <c r="N431" s="2"/>
      <c r="O431" s="2"/>
      <c r="P431" s="600"/>
      <c r="Q431" s="2"/>
      <c r="R431" s="2"/>
    </row>
    <row r="432" spans="1:18" ht="15.75" customHeight="1">
      <c r="A432" s="2"/>
      <c r="B432" s="2"/>
      <c r="C432" s="2"/>
      <c r="D432" s="87"/>
      <c r="E432" s="87"/>
      <c r="F432" s="87"/>
      <c r="G432" s="87"/>
      <c r="H432" s="87"/>
      <c r="I432" s="87"/>
      <c r="J432" s="2"/>
      <c r="K432" s="2"/>
      <c r="M432" s="2"/>
      <c r="N432" s="2"/>
      <c r="O432" s="2"/>
      <c r="P432" s="600"/>
      <c r="Q432" s="2"/>
      <c r="R432" s="2"/>
    </row>
    <row r="433" spans="1:18" ht="15.75" customHeight="1">
      <c r="A433" s="2"/>
      <c r="B433" s="2"/>
      <c r="C433" s="2"/>
      <c r="D433" s="87"/>
      <c r="E433" s="87"/>
      <c r="F433" s="87"/>
      <c r="G433" s="87"/>
      <c r="H433" s="87"/>
      <c r="I433" s="87"/>
      <c r="J433" s="2"/>
      <c r="K433" s="2"/>
      <c r="M433" s="2"/>
      <c r="N433" s="2"/>
      <c r="O433" s="2"/>
      <c r="P433" s="600"/>
      <c r="Q433" s="2"/>
      <c r="R433" s="2"/>
    </row>
    <row r="434" spans="1:18" ht="15.75" customHeight="1">
      <c r="A434" s="2"/>
      <c r="B434" s="2"/>
      <c r="C434" s="2"/>
      <c r="D434" s="87"/>
      <c r="E434" s="87"/>
      <c r="F434" s="87"/>
      <c r="G434" s="87"/>
      <c r="H434" s="87"/>
      <c r="I434" s="87"/>
      <c r="J434" s="2"/>
      <c r="K434" s="2"/>
      <c r="M434" s="2"/>
      <c r="N434" s="2"/>
      <c r="O434" s="2"/>
      <c r="P434" s="600"/>
      <c r="Q434" s="2"/>
      <c r="R434" s="2"/>
    </row>
    <row r="435" spans="1:18" ht="15.75" customHeight="1">
      <c r="A435" s="2"/>
      <c r="B435" s="2"/>
      <c r="C435" s="2"/>
      <c r="D435" s="87"/>
      <c r="E435" s="87"/>
      <c r="F435" s="87"/>
      <c r="G435" s="87"/>
      <c r="H435" s="87"/>
      <c r="I435" s="87"/>
      <c r="J435" s="2"/>
      <c r="K435" s="2"/>
      <c r="M435" s="2"/>
      <c r="N435" s="2"/>
      <c r="O435" s="2"/>
      <c r="P435" s="600"/>
      <c r="Q435" s="2"/>
      <c r="R435" s="2"/>
    </row>
    <row r="436" spans="1:18" ht="15.75" customHeight="1">
      <c r="A436" s="2"/>
      <c r="B436" s="2"/>
      <c r="C436" s="2"/>
      <c r="D436" s="87"/>
      <c r="E436" s="87"/>
      <c r="F436" s="87"/>
      <c r="G436" s="87"/>
      <c r="H436" s="87"/>
      <c r="I436" s="87"/>
      <c r="J436" s="2"/>
      <c r="K436" s="2"/>
      <c r="M436" s="2"/>
      <c r="N436" s="2"/>
      <c r="O436" s="2"/>
      <c r="P436" s="600"/>
      <c r="Q436" s="2"/>
      <c r="R436" s="2"/>
    </row>
    <row r="437" spans="1:18" ht="15.75" customHeight="1">
      <c r="A437" s="2"/>
      <c r="B437" s="2"/>
      <c r="C437" s="2"/>
      <c r="D437" s="87"/>
      <c r="E437" s="87"/>
      <c r="F437" s="87"/>
      <c r="G437" s="87"/>
      <c r="H437" s="87"/>
      <c r="I437" s="87"/>
      <c r="J437" s="2"/>
      <c r="K437" s="2"/>
      <c r="M437" s="2"/>
      <c r="N437" s="2"/>
      <c r="O437" s="2"/>
      <c r="P437" s="600"/>
      <c r="Q437" s="2"/>
      <c r="R437" s="2"/>
    </row>
    <row r="438" spans="1:18" ht="15.75" customHeight="1">
      <c r="A438" s="2"/>
      <c r="B438" s="2"/>
      <c r="C438" s="2"/>
      <c r="D438" s="87"/>
      <c r="E438" s="87"/>
      <c r="F438" s="87"/>
      <c r="G438" s="87"/>
      <c r="H438" s="87"/>
      <c r="I438" s="87"/>
      <c r="J438" s="2"/>
      <c r="K438" s="2"/>
      <c r="M438" s="2"/>
      <c r="N438" s="2"/>
      <c r="O438" s="2"/>
      <c r="P438" s="600"/>
      <c r="Q438" s="2"/>
      <c r="R438" s="2"/>
    </row>
    <row r="439" spans="1:18" ht="15.75" customHeight="1">
      <c r="A439" s="2"/>
      <c r="B439" s="2"/>
      <c r="C439" s="2"/>
      <c r="D439" s="87"/>
      <c r="E439" s="87"/>
      <c r="F439" s="87"/>
      <c r="G439" s="87"/>
      <c r="H439" s="87"/>
      <c r="I439" s="87"/>
      <c r="J439" s="2"/>
      <c r="K439" s="2"/>
      <c r="M439" s="2"/>
      <c r="N439" s="2"/>
      <c r="O439" s="2"/>
      <c r="P439" s="600"/>
      <c r="Q439" s="2"/>
      <c r="R439" s="2"/>
    </row>
    <row r="440" spans="1:18" ht="15.75" customHeight="1">
      <c r="A440" s="2"/>
      <c r="B440" s="2"/>
      <c r="C440" s="2"/>
      <c r="D440" s="87"/>
      <c r="E440" s="87"/>
      <c r="F440" s="87"/>
      <c r="G440" s="87"/>
      <c r="H440" s="87"/>
      <c r="I440" s="87"/>
      <c r="J440" s="2"/>
      <c r="K440" s="2"/>
      <c r="M440" s="2"/>
      <c r="N440" s="2"/>
      <c r="O440" s="2"/>
      <c r="P440" s="600"/>
      <c r="Q440" s="2"/>
      <c r="R440" s="2"/>
    </row>
    <row r="441" spans="1:18" ht="15.75" customHeight="1">
      <c r="A441" s="2"/>
      <c r="B441" s="2"/>
      <c r="C441" s="2"/>
      <c r="D441" s="87"/>
      <c r="E441" s="87"/>
      <c r="F441" s="87"/>
      <c r="G441" s="87"/>
      <c r="H441" s="87"/>
      <c r="I441" s="87"/>
      <c r="J441" s="2"/>
      <c r="K441" s="2"/>
      <c r="M441" s="2"/>
      <c r="N441" s="2"/>
      <c r="O441" s="2"/>
      <c r="P441" s="600"/>
      <c r="Q441" s="2"/>
      <c r="R441" s="2"/>
    </row>
    <row r="442" spans="1:18" ht="15.75" customHeight="1">
      <c r="A442" s="2"/>
      <c r="B442" s="2"/>
      <c r="C442" s="2"/>
      <c r="D442" s="87"/>
      <c r="E442" s="87"/>
      <c r="F442" s="87"/>
      <c r="G442" s="87"/>
      <c r="H442" s="87"/>
      <c r="I442" s="87"/>
      <c r="J442" s="2"/>
      <c r="K442" s="2"/>
      <c r="M442" s="2"/>
      <c r="N442" s="2"/>
      <c r="O442" s="2"/>
      <c r="P442" s="600"/>
      <c r="Q442" s="2"/>
      <c r="R442" s="2"/>
    </row>
    <row r="443" spans="1:18" ht="15.75" customHeight="1">
      <c r="A443" s="2"/>
      <c r="B443" s="2"/>
      <c r="C443" s="2"/>
      <c r="D443" s="87"/>
      <c r="E443" s="87"/>
      <c r="F443" s="87"/>
      <c r="G443" s="87"/>
      <c r="H443" s="87"/>
      <c r="I443" s="87"/>
      <c r="J443" s="2"/>
      <c r="K443" s="2"/>
      <c r="M443" s="2"/>
      <c r="N443" s="2"/>
      <c r="O443" s="2"/>
      <c r="P443" s="600"/>
      <c r="Q443" s="2"/>
      <c r="R443" s="2"/>
    </row>
    <row r="444" spans="1:18" ht="15.75" customHeight="1">
      <c r="A444" s="2"/>
      <c r="B444" s="2"/>
      <c r="C444" s="2"/>
      <c r="D444" s="87"/>
      <c r="E444" s="87"/>
      <c r="F444" s="87"/>
      <c r="G444" s="87"/>
      <c r="H444" s="87"/>
      <c r="I444" s="87"/>
      <c r="J444" s="2"/>
      <c r="K444" s="2"/>
      <c r="M444" s="2"/>
      <c r="N444" s="2"/>
      <c r="O444" s="2"/>
      <c r="P444" s="600"/>
      <c r="Q444" s="2"/>
      <c r="R444" s="2"/>
    </row>
    <row r="445" spans="1:18" ht="15.75" customHeight="1">
      <c r="A445" s="2"/>
      <c r="B445" s="2"/>
      <c r="C445" s="2"/>
      <c r="D445" s="87"/>
      <c r="E445" s="87"/>
      <c r="F445" s="87"/>
      <c r="G445" s="87"/>
      <c r="H445" s="87"/>
      <c r="I445" s="87"/>
      <c r="J445" s="2"/>
      <c r="K445" s="2"/>
      <c r="M445" s="2"/>
      <c r="N445" s="2"/>
      <c r="O445" s="2"/>
      <c r="P445" s="600"/>
      <c r="Q445" s="2"/>
      <c r="R445" s="2"/>
    </row>
    <row r="446" spans="1:18" ht="15.75" customHeight="1">
      <c r="A446" s="2"/>
      <c r="B446" s="2"/>
      <c r="C446" s="2"/>
      <c r="D446" s="87"/>
      <c r="E446" s="87"/>
      <c r="F446" s="87"/>
      <c r="G446" s="87"/>
      <c r="H446" s="87"/>
      <c r="I446" s="87"/>
      <c r="J446" s="2"/>
      <c r="K446" s="2"/>
      <c r="M446" s="2"/>
      <c r="N446" s="2"/>
      <c r="O446" s="2"/>
      <c r="P446" s="600"/>
      <c r="Q446" s="2"/>
      <c r="R446" s="2"/>
    </row>
    <row r="447" spans="1:18" ht="15.75" customHeight="1">
      <c r="A447" s="2"/>
      <c r="B447" s="2"/>
      <c r="C447" s="2"/>
      <c r="D447" s="87"/>
      <c r="E447" s="87"/>
      <c r="F447" s="87"/>
      <c r="G447" s="87"/>
      <c r="H447" s="87"/>
      <c r="I447" s="87"/>
      <c r="J447" s="2"/>
      <c r="K447" s="2"/>
      <c r="M447" s="2"/>
      <c r="N447" s="2"/>
      <c r="O447" s="2"/>
      <c r="P447" s="600"/>
      <c r="Q447" s="2"/>
      <c r="R447" s="2"/>
    </row>
    <row r="448" spans="1:18" ht="15.75" customHeight="1">
      <c r="A448" s="2"/>
      <c r="B448" s="2"/>
      <c r="C448" s="2"/>
      <c r="D448" s="87"/>
      <c r="E448" s="87"/>
      <c r="F448" s="87"/>
      <c r="G448" s="87"/>
      <c r="H448" s="87"/>
      <c r="I448" s="87"/>
      <c r="J448" s="2"/>
      <c r="K448" s="2"/>
      <c r="M448" s="2"/>
      <c r="N448" s="2"/>
      <c r="O448" s="2"/>
      <c r="P448" s="600"/>
      <c r="Q448" s="2"/>
      <c r="R448" s="2"/>
    </row>
    <row r="449" spans="1:18" ht="15.75" customHeight="1">
      <c r="A449" s="2"/>
      <c r="B449" s="2"/>
      <c r="C449" s="2"/>
      <c r="D449" s="87"/>
      <c r="E449" s="87"/>
      <c r="F449" s="87"/>
      <c r="G449" s="87"/>
      <c r="H449" s="87"/>
      <c r="I449" s="87"/>
      <c r="J449" s="2"/>
      <c r="K449" s="2"/>
      <c r="M449" s="2"/>
      <c r="N449" s="2"/>
      <c r="O449" s="2"/>
      <c r="P449" s="600"/>
      <c r="Q449" s="2"/>
      <c r="R449" s="2"/>
    </row>
    <row r="450" spans="1:18" ht="15.75" customHeight="1">
      <c r="A450" s="2"/>
      <c r="B450" s="2"/>
      <c r="C450" s="2"/>
      <c r="D450" s="87"/>
      <c r="E450" s="87"/>
      <c r="F450" s="87"/>
      <c r="G450" s="87"/>
      <c r="H450" s="87"/>
      <c r="I450" s="87"/>
      <c r="J450" s="2"/>
      <c r="K450" s="2"/>
      <c r="M450" s="2"/>
      <c r="N450" s="2"/>
      <c r="O450" s="2"/>
      <c r="P450" s="600"/>
      <c r="Q450" s="2"/>
      <c r="R450" s="2"/>
    </row>
    <row r="451" spans="1:18" ht="15.75" customHeight="1">
      <c r="A451" s="2"/>
      <c r="B451" s="2"/>
      <c r="C451" s="2"/>
      <c r="D451" s="87"/>
      <c r="E451" s="87"/>
      <c r="F451" s="87"/>
      <c r="G451" s="87"/>
      <c r="H451" s="87"/>
      <c r="I451" s="87"/>
      <c r="J451" s="2"/>
      <c r="K451" s="2"/>
      <c r="M451" s="2"/>
      <c r="N451" s="2"/>
      <c r="O451" s="2"/>
      <c r="P451" s="600"/>
      <c r="Q451" s="2"/>
      <c r="R451" s="2"/>
    </row>
    <row r="452" spans="1:18" ht="15.75" customHeight="1">
      <c r="A452" s="2"/>
      <c r="B452" s="2"/>
      <c r="C452" s="2"/>
      <c r="D452" s="87"/>
      <c r="E452" s="87"/>
      <c r="F452" s="87"/>
      <c r="G452" s="87"/>
      <c r="H452" s="87"/>
      <c r="I452" s="87"/>
      <c r="J452" s="2"/>
      <c r="K452" s="2"/>
      <c r="M452" s="2"/>
      <c r="N452" s="2"/>
      <c r="O452" s="2"/>
      <c r="P452" s="600"/>
      <c r="Q452" s="2"/>
      <c r="R452" s="2"/>
    </row>
    <row r="453" spans="1:18" ht="15.75" customHeight="1">
      <c r="A453" s="2"/>
      <c r="B453" s="2"/>
      <c r="C453" s="2"/>
      <c r="D453" s="87"/>
      <c r="E453" s="87"/>
      <c r="F453" s="87"/>
      <c r="G453" s="87"/>
      <c r="H453" s="87"/>
      <c r="I453" s="87"/>
      <c r="J453" s="2"/>
      <c r="K453" s="2"/>
      <c r="M453" s="2"/>
      <c r="N453" s="2"/>
      <c r="O453" s="2"/>
      <c r="P453" s="600"/>
      <c r="Q453" s="2"/>
      <c r="R453" s="2"/>
    </row>
    <row r="454" spans="1:18" ht="15.75" customHeight="1">
      <c r="A454" s="2"/>
      <c r="B454" s="2"/>
      <c r="C454" s="2"/>
      <c r="D454" s="87"/>
      <c r="E454" s="87"/>
      <c r="F454" s="87"/>
      <c r="G454" s="87"/>
      <c r="H454" s="87"/>
      <c r="I454" s="87"/>
      <c r="J454" s="2"/>
      <c r="K454" s="2"/>
      <c r="M454" s="2"/>
      <c r="N454" s="2"/>
      <c r="O454" s="2"/>
      <c r="P454" s="600"/>
      <c r="Q454" s="2"/>
      <c r="R454" s="2"/>
    </row>
    <row r="455" spans="1:18" ht="15.75" customHeight="1">
      <c r="A455" s="2"/>
      <c r="B455" s="2"/>
      <c r="C455" s="2"/>
      <c r="D455" s="87"/>
      <c r="E455" s="87"/>
      <c r="F455" s="87"/>
      <c r="G455" s="87"/>
      <c r="H455" s="87"/>
      <c r="I455" s="87"/>
      <c r="J455" s="2"/>
      <c r="K455" s="2"/>
      <c r="M455" s="2"/>
      <c r="N455" s="2"/>
      <c r="O455" s="2"/>
      <c r="P455" s="600"/>
      <c r="Q455" s="2"/>
      <c r="R455" s="2"/>
    </row>
    <row r="456" spans="1:18" ht="15.75" customHeight="1">
      <c r="A456" s="2"/>
      <c r="B456" s="2"/>
      <c r="C456" s="2"/>
      <c r="D456" s="87"/>
      <c r="E456" s="87"/>
      <c r="F456" s="87"/>
      <c r="G456" s="87"/>
      <c r="H456" s="87"/>
      <c r="I456" s="87"/>
      <c r="J456" s="2"/>
      <c r="K456" s="2"/>
      <c r="M456" s="2"/>
      <c r="N456" s="2"/>
      <c r="O456" s="2"/>
      <c r="P456" s="600"/>
      <c r="Q456" s="2"/>
      <c r="R456" s="2"/>
    </row>
    <row r="457" spans="1:18" ht="15.75" customHeight="1">
      <c r="A457" s="2"/>
      <c r="B457" s="2"/>
      <c r="C457" s="2"/>
      <c r="D457" s="87"/>
      <c r="E457" s="87"/>
      <c r="F457" s="87"/>
      <c r="G457" s="87"/>
      <c r="H457" s="87"/>
      <c r="I457" s="87"/>
      <c r="J457" s="2"/>
      <c r="K457" s="2"/>
      <c r="M457" s="2"/>
      <c r="N457" s="2"/>
      <c r="O457" s="2"/>
      <c r="P457" s="600"/>
      <c r="Q457" s="2"/>
      <c r="R457" s="2"/>
    </row>
    <row r="458" spans="1:18" ht="15.75" customHeight="1">
      <c r="A458" s="2"/>
      <c r="B458" s="2"/>
      <c r="C458" s="2"/>
      <c r="D458" s="87"/>
      <c r="E458" s="87"/>
      <c r="F458" s="87"/>
      <c r="G458" s="87"/>
      <c r="H458" s="87"/>
      <c r="I458" s="87"/>
      <c r="J458" s="2"/>
      <c r="K458" s="2"/>
      <c r="M458" s="2"/>
      <c r="N458" s="2"/>
      <c r="O458" s="2"/>
      <c r="P458" s="600"/>
      <c r="Q458" s="2"/>
      <c r="R458" s="2"/>
    </row>
    <row r="459" spans="1:18" ht="15.75" customHeight="1">
      <c r="A459" s="2"/>
      <c r="B459" s="2"/>
      <c r="C459" s="2"/>
      <c r="D459" s="87"/>
      <c r="E459" s="87"/>
      <c r="F459" s="87"/>
      <c r="G459" s="87"/>
      <c r="H459" s="87"/>
      <c r="I459" s="87"/>
      <c r="J459" s="2"/>
      <c r="K459" s="2"/>
      <c r="M459" s="2"/>
      <c r="N459" s="2"/>
      <c r="O459" s="2"/>
      <c r="P459" s="600"/>
      <c r="Q459" s="2"/>
      <c r="R459" s="2"/>
    </row>
    <row r="460" spans="1:18" ht="15.75" customHeight="1">
      <c r="A460" s="2"/>
      <c r="B460" s="2"/>
      <c r="C460" s="2"/>
      <c r="D460" s="87"/>
      <c r="E460" s="87"/>
      <c r="F460" s="87"/>
      <c r="G460" s="87"/>
      <c r="H460" s="87"/>
      <c r="I460" s="87"/>
      <c r="J460" s="2"/>
      <c r="K460" s="2"/>
      <c r="M460" s="2"/>
      <c r="N460" s="2"/>
      <c r="O460" s="2"/>
      <c r="P460" s="600"/>
      <c r="Q460" s="2"/>
      <c r="R460" s="2"/>
    </row>
    <row r="461" spans="1:18" ht="15.75" customHeight="1">
      <c r="A461" s="2"/>
      <c r="B461" s="2"/>
      <c r="C461" s="2"/>
      <c r="D461" s="87"/>
      <c r="E461" s="87"/>
      <c r="F461" s="87"/>
      <c r="G461" s="87"/>
      <c r="H461" s="87"/>
      <c r="I461" s="87"/>
      <c r="J461" s="2"/>
      <c r="K461" s="2"/>
      <c r="M461" s="2"/>
      <c r="N461" s="2"/>
      <c r="O461" s="2"/>
      <c r="P461" s="600"/>
      <c r="Q461" s="2"/>
      <c r="R461" s="2"/>
    </row>
    <row r="462" spans="1:18" ht="15.75" customHeight="1">
      <c r="A462" s="2"/>
      <c r="B462" s="2"/>
      <c r="C462" s="2"/>
      <c r="D462" s="87"/>
      <c r="E462" s="87"/>
      <c r="F462" s="87"/>
      <c r="G462" s="87"/>
      <c r="H462" s="87"/>
      <c r="I462" s="87"/>
      <c r="J462" s="2"/>
      <c r="K462" s="2"/>
      <c r="M462" s="2"/>
      <c r="N462" s="2"/>
      <c r="O462" s="2"/>
      <c r="P462" s="600"/>
      <c r="Q462" s="2"/>
      <c r="R462" s="2"/>
    </row>
    <row r="463" spans="1:18" ht="15.75" customHeight="1">
      <c r="A463" s="2"/>
      <c r="B463" s="2"/>
      <c r="C463" s="2"/>
      <c r="D463" s="87"/>
      <c r="E463" s="87"/>
      <c r="F463" s="87"/>
      <c r="G463" s="87"/>
      <c r="H463" s="87"/>
      <c r="I463" s="87"/>
      <c r="J463" s="2"/>
      <c r="K463" s="2"/>
      <c r="M463" s="2"/>
      <c r="N463" s="2"/>
      <c r="O463" s="2"/>
      <c r="P463" s="600"/>
      <c r="Q463" s="2"/>
      <c r="R463" s="2"/>
    </row>
    <row r="464" spans="1:18" ht="15.75" customHeight="1">
      <c r="A464" s="2"/>
      <c r="B464" s="2"/>
      <c r="C464" s="2"/>
      <c r="D464" s="87"/>
      <c r="E464" s="87"/>
      <c r="F464" s="87"/>
      <c r="G464" s="87"/>
      <c r="H464" s="87"/>
      <c r="I464" s="87"/>
      <c r="J464" s="2"/>
      <c r="K464" s="2"/>
      <c r="M464" s="2"/>
      <c r="N464" s="2"/>
      <c r="O464" s="2"/>
      <c r="P464" s="600"/>
      <c r="Q464" s="2"/>
      <c r="R464" s="2"/>
    </row>
    <row r="465" spans="1:18" ht="15.75" customHeight="1">
      <c r="A465" s="2"/>
      <c r="B465" s="2"/>
      <c r="C465" s="2"/>
      <c r="D465" s="87"/>
      <c r="E465" s="87"/>
      <c r="F465" s="87"/>
      <c r="G465" s="87"/>
      <c r="H465" s="87"/>
      <c r="I465" s="87"/>
      <c r="J465" s="2"/>
      <c r="K465" s="2"/>
      <c r="M465" s="2"/>
      <c r="N465" s="2"/>
      <c r="O465" s="2"/>
      <c r="P465" s="600"/>
      <c r="Q465" s="2"/>
      <c r="R465" s="2"/>
    </row>
    <row r="466" spans="1:18" ht="15.75" customHeight="1">
      <c r="A466" s="2"/>
      <c r="B466" s="2"/>
      <c r="C466" s="2"/>
      <c r="D466" s="87"/>
      <c r="E466" s="87"/>
      <c r="F466" s="87"/>
      <c r="G466" s="87"/>
      <c r="H466" s="87"/>
      <c r="I466" s="87"/>
      <c r="J466" s="2"/>
      <c r="K466" s="2"/>
      <c r="M466" s="2"/>
      <c r="N466" s="2"/>
      <c r="O466" s="2"/>
      <c r="P466" s="600"/>
      <c r="Q466" s="2"/>
      <c r="R466" s="2"/>
    </row>
    <row r="467" spans="1:18" ht="15.75" customHeight="1">
      <c r="A467" s="2"/>
      <c r="B467" s="2"/>
      <c r="C467" s="2"/>
      <c r="D467" s="87"/>
      <c r="E467" s="87"/>
      <c r="F467" s="87"/>
      <c r="G467" s="87"/>
      <c r="H467" s="87"/>
      <c r="I467" s="87"/>
      <c r="J467" s="2"/>
      <c r="K467" s="2"/>
      <c r="M467" s="2"/>
      <c r="N467" s="2"/>
      <c r="O467" s="2"/>
      <c r="P467" s="600"/>
      <c r="Q467" s="2"/>
      <c r="R467" s="2"/>
    </row>
    <row r="468" spans="1:18" ht="15.75" customHeight="1">
      <c r="A468" s="2"/>
      <c r="B468" s="2"/>
      <c r="C468" s="2"/>
      <c r="D468" s="87"/>
      <c r="E468" s="87"/>
      <c r="F468" s="87"/>
      <c r="G468" s="87"/>
      <c r="H468" s="87"/>
      <c r="I468" s="87"/>
      <c r="J468" s="2"/>
      <c r="K468" s="2"/>
      <c r="M468" s="2"/>
      <c r="N468" s="2"/>
      <c r="O468" s="2"/>
      <c r="P468" s="600"/>
      <c r="Q468" s="2"/>
      <c r="R468" s="2"/>
    </row>
    <row r="469" spans="1:18" ht="15.75" customHeight="1">
      <c r="A469" s="2"/>
      <c r="B469" s="2"/>
      <c r="C469" s="2"/>
      <c r="D469" s="87"/>
      <c r="E469" s="87"/>
      <c r="F469" s="87"/>
      <c r="G469" s="87"/>
      <c r="H469" s="87"/>
      <c r="I469" s="87"/>
      <c r="J469" s="2"/>
      <c r="K469" s="2"/>
      <c r="M469" s="2"/>
      <c r="N469" s="2"/>
      <c r="O469" s="2"/>
      <c r="P469" s="600"/>
      <c r="Q469" s="2"/>
      <c r="R469" s="2"/>
    </row>
    <row r="470" spans="1:18" ht="15.75" customHeight="1">
      <c r="A470" s="2"/>
      <c r="B470" s="2"/>
      <c r="C470" s="2"/>
      <c r="D470" s="87"/>
      <c r="E470" s="87"/>
      <c r="F470" s="87"/>
      <c r="G470" s="87"/>
      <c r="H470" s="87"/>
      <c r="I470" s="87"/>
      <c r="J470" s="2"/>
      <c r="K470" s="2"/>
      <c r="M470" s="2"/>
      <c r="N470" s="2"/>
      <c r="O470" s="2"/>
      <c r="P470" s="600"/>
      <c r="Q470" s="2"/>
      <c r="R470" s="2"/>
    </row>
    <row r="471" spans="1:18" ht="15.75" customHeight="1">
      <c r="A471" s="2"/>
      <c r="B471" s="2"/>
      <c r="C471" s="2"/>
      <c r="D471" s="87"/>
      <c r="E471" s="87"/>
      <c r="F471" s="87"/>
      <c r="G471" s="87"/>
      <c r="H471" s="87"/>
      <c r="I471" s="87"/>
      <c r="J471" s="2"/>
      <c r="K471" s="2"/>
      <c r="M471" s="2"/>
      <c r="N471" s="2"/>
      <c r="O471" s="2"/>
      <c r="P471" s="600"/>
      <c r="Q471" s="2"/>
      <c r="R471" s="2"/>
    </row>
    <row r="472" spans="1:18" ht="15.75" customHeight="1">
      <c r="A472" s="2"/>
      <c r="B472" s="2"/>
      <c r="C472" s="2"/>
      <c r="D472" s="87"/>
      <c r="E472" s="87"/>
      <c r="F472" s="87"/>
      <c r="G472" s="87"/>
      <c r="H472" s="87"/>
      <c r="I472" s="87"/>
      <c r="J472" s="2"/>
      <c r="K472" s="2"/>
      <c r="M472" s="2"/>
      <c r="N472" s="2"/>
      <c r="O472" s="2"/>
      <c r="P472" s="600"/>
      <c r="Q472" s="2"/>
      <c r="R472" s="2"/>
    </row>
    <row r="473" spans="1:18" ht="15.75" customHeight="1">
      <c r="A473" s="2"/>
      <c r="B473" s="2"/>
      <c r="C473" s="2"/>
      <c r="D473" s="87"/>
      <c r="E473" s="87"/>
      <c r="F473" s="87"/>
      <c r="G473" s="87"/>
      <c r="H473" s="87"/>
      <c r="I473" s="87"/>
      <c r="J473" s="2"/>
      <c r="K473" s="2"/>
      <c r="M473" s="2"/>
      <c r="N473" s="2"/>
      <c r="O473" s="2"/>
      <c r="P473" s="600"/>
      <c r="Q473" s="2"/>
      <c r="R473" s="2"/>
    </row>
    <row r="474" spans="1:18" ht="15.75" customHeight="1">
      <c r="A474" s="2"/>
      <c r="B474" s="2"/>
      <c r="C474" s="2"/>
      <c r="D474" s="87"/>
      <c r="E474" s="87"/>
      <c r="F474" s="87"/>
      <c r="G474" s="87"/>
      <c r="H474" s="87"/>
      <c r="I474" s="87"/>
      <c r="J474" s="2"/>
      <c r="K474" s="2"/>
      <c r="M474" s="2"/>
      <c r="N474" s="2"/>
      <c r="O474" s="2"/>
      <c r="P474" s="600"/>
      <c r="Q474" s="2"/>
      <c r="R474" s="2"/>
    </row>
    <row r="475" spans="1:18" ht="15.75" customHeight="1">
      <c r="A475" s="2"/>
      <c r="B475" s="2"/>
      <c r="C475" s="2"/>
      <c r="D475" s="87"/>
      <c r="E475" s="87"/>
      <c r="F475" s="87"/>
      <c r="G475" s="87"/>
      <c r="H475" s="87"/>
      <c r="I475" s="87"/>
      <c r="J475" s="2"/>
      <c r="K475" s="2"/>
      <c r="M475" s="2"/>
      <c r="N475" s="2"/>
      <c r="O475" s="2"/>
      <c r="P475" s="600"/>
      <c r="Q475" s="2"/>
      <c r="R475" s="2"/>
    </row>
    <row r="476" spans="1:18" ht="15.75" customHeight="1">
      <c r="A476" s="2"/>
      <c r="B476" s="2"/>
      <c r="C476" s="2"/>
      <c r="D476" s="87"/>
      <c r="E476" s="87"/>
      <c r="F476" s="87"/>
      <c r="G476" s="87"/>
      <c r="H476" s="87"/>
      <c r="I476" s="87"/>
      <c r="J476" s="2"/>
      <c r="K476" s="2"/>
      <c r="M476" s="2"/>
      <c r="N476" s="2"/>
      <c r="O476" s="2"/>
      <c r="P476" s="600"/>
      <c r="Q476" s="2"/>
      <c r="R476" s="2"/>
    </row>
    <row r="477" spans="1:18" ht="15.75" customHeight="1">
      <c r="A477" s="2"/>
      <c r="B477" s="2"/>
      <c r="C477" s="2"/>
      <c r="D477" s="87"/>
      <c r="E477" s="87"/>
      <c r="F477" s="87"/>
      <c r="G477" s="87"/>
      <c r="H477" s="87"/>
      <c r="I477" s="87"/>
      <c r="J477" s="2"/>
      <c r="K477" s="2"/>
      <c r="M477" s="2"/>
      <c r="N477" s="2"/>
      <c r="O477" s="2"/>
      <c r="P477" s="600"/>
      <c r="Q477" s="2"/>
      <c r="R477" s="2"/>
    </row>
    <row r="478" spans="1:18" ht="15.75" customHeight="1">
      <c r="A478" s="2"/>
      <c r="B478" s="2"/>
      <c r="C478" s="2"/>
      <c r="D478" s="87"/>
      <c r="E478" s="87"/>
      <c r="F478" s="87"/>
      <c r="G478" s="87"/>
      <c r="H478" s="87"/>
      <c r="I478" s="87"/>
      <c r="J478" s="2"/>
      <c r="K478" s="2"/>
      <c r="M478" s="2"/>
      <c r="N478" s="2"/>
      <c r="O478" s="2"/>
      <c r="P478" s="600"/>
      <c r="Q478" s="2"/>
      <c r="R478" s="2"/>
    </row>
    <row r="479" spans="1:18" ht="15.75" customHeight="1">
      <c r="A479" s="2"/>
      <c r="B479" s="2"/>
      <c r="C479" s="2"/>
      <c r="D479" s="87"/>
      <c r="E479" s="87"/>
      <c r="F479" s="87"/>
      <c r="G479" s="87"/>
      <c r="H479" s="87"/>
      <c r="I479" s="87"/>
      <c r="J479" s="2"/>
      <c r="K479" s="2"/>
      <c r="M479" s="2"/>
      <c r="N479" s="2"/>
      <c r="O479" s="2"/>
      <c r="P479" s="600"/>
      <c r="Q479" s="2"/>
      <c r="R479" s="2"/>
    </row>
    <row r="480" spans="1:18" ht="15.75" customHeight="1">
      <c r="A480" s="2"/>
      <c r="B480" s="2"/>
      <c r="C480" s="2"/>
      <c r="D480" s="87"/>
      <c r="E480" s="87"/>
      <c r="F480" s="87"/>
      <c r="G480" s="87"/>
      <c r="H480" s="87"/>
      <c r="I480" s="87"/>
      <c r="J480" s="2"/>
      <c r="K480" s="2"/>
      <c r="M480" s="2"/>
      <c r="N480" s="2"/>
      <c r="O480" s="2"/>
      <c r="P480" s="600"/>
      <c r="Q480" s="2"/>
      <c r="R480" s="2"/>
    </row>
    <row r="481" spans="1:18" ht="15.75" customHeight="1">
      <c r="A481" s="2"/>
      <c r="B481" s="2"/>
      <c r="C481" s="2"/>
      <c r="D481" s="87"/>
      <c r="E481" s="87"/>
      <c r="F481" s="87"/>
      <c r="G481" s="87"/>
      <c r="H481" s="87"/>
      <c r="I481" s="87"/>
      <c r="J481" s="2"/>
      <c r="K481" s="2"/>
      <c r="M481" s="2"/>
      <c r="N481" s="2"/>
      <c r="O481" s="2"/>
      <c r="P481" s="600"/>
      <c r="Q481" s="2"/>
      <c r="R481" s="2"/>
    </row>
    <row r="482" spans="1:18" ht="15.75" customHeight="1">
      <c r="A482" s="2"/>
      <c r="B482" s="2"/>
      <c r="C482" s="2"/>
      <c r="D482" s="87"/>
      <c r="E482" s="87"/>
      <c r="F482" s="87"/>
      <c r="G482" s="87"/>
      <c r="H482" s="87"/>
      <c r="I482" s="87"/>
      <c r="J482" s="2"/>
      <c r="K482" s="2"/>
      <c r="M482" s="2"/>
      <c r="N482" s="2"/>
      <c r="O482" s="2"/>
      <c r="P482" s="600"/>
      <c r="Q482" s="2"/>
      <c r="R482" s="2"/>
    </row>
    <row r="483" spans="1:18" ht="15.75" customHeight="1">
      <c r="A483" s="2"/>
      <c r="B483" s="2"/>
      <c r="C483" s="2"/>
      <c r="D483" s="87"/>
      <c r="E483" s="87"/>
      <c r="F483" s="87"/>
      <c r="G483" s="87"/>
      <c r="H483" s="87"/>
      <c r="I483" s="87"/>
      <c r="J483" s="2"/>
      <c r="K483" s="2"/>
      <c r="M483" s="2"/>
      <c r="N483" s="2"/>
      <c r="O483" s="2"/>
      <c r="P483" s="600"/>
      <c r="Q483" s="2"/>
      <c r="R483" s="2"/>
    </row>
    <row r="484" spans="1:18" ht="15.75" customHeight="1">
      <c r="A484" s="2"/>
      <c r="B484" s="2"/>
      <c r="C484" s="2"/>
      <c r="D484" s="87"/>
      <c r="E484" s="87"/>
      <c r="F484" s="87"/>
      <c r="G484" s="87"/>
      <c r="H484" s="87"/>
      <c r="I484" s="87"/>
      <c r="J484" s="2"/>
      <c r="K484" s="2"/>
      <c r="M484" s="2"/>
      <c r="N484" s="2"/>
      <c r="O484" s="2"/>
      <c r="P484" s="600"/>
      <c r="Q484" s="2"/>
      <c r="R484" s="2"/>
    </row>
    <row r="485" spans="1:18" ht="15.75" customHeight="1">
      <c r="A485" s="2"/>
      <c r="B485" s="2"/>
      <c r="C485" s="2"/>
      <c r="D485" s="87"/>
      <c r="E485" s="87"/>
      <c r="F485" s="87"/>
      <c r="G485" s="87"/>
      <c r="H485" s="87"/>
      <c r="I485" s="87"/>
      <c r="J485" s="2"/>
      <c r="K485" s="2"/>
      <c r="M485" s="2"/>
      <c r="N485" s="2"/>
      <c r="O485" s="2"/>
      <c r="P485" s="600"/>
      <c r="Q485" s="2"/>
      <c r="R485" s="2"/>
    </row>
    <row r="486" spans="1:18" ht="15.75" customHeight="1">
      <c r="A486" s="2"/>
      <c r="B486" s="2"/>
      <c r="C486" s="2"/>
      <c r="D486" s="87"/>
      <c r="E486" s="87"/>
      <c r="F486" s="87"/>
      <c r="G486" s="87"/>
      <c r="H486" s="87"/>
      <c r="I486" s="87"/>
      <c r="J486" s="2"/>
      <c r="K486" s="2"/>
      <c r="M486" s="2"/>
      <c r="N486" s="2"/>
      <c r="O486" s="2"/>
      <c r="P486" s="600"/>
      <c r="Q486" s="2"/>
      <c r="R486" s="2"/>
    </row>
    <row r="487" spans="1:18" ht="15.75" customHeight="1">
      <c r="A487" s="2"/>
      <c r="B487" s="2"/>
      <c r="C487" s="2"/>
      <c r="D487" s="87"/>
      <c r="E487" s="87"/>
      <c r="F487" s="87"/>
      <c r="G487" s="87"/>
      <c r="H487" s="87"/>
      <c r="I487" s="87"/>
      <c r="J487" s="2"/>
      <c r="K487" s="2"/>
      <c r="M487" s="2"/>
      <c r="N487" s="2"/>
      <c r="O487" s="2"/>
      <c r="P487" s="600"/>
      <c r="Q487" s="2"/>
      <c r="R487" s="2"/>
    </row>
    <row r="488" spans="1:18" ht="15.75" customHeight="1">
      <c r="A488" s="2"/>
      <c r="B488" s="2"/>
      <c r="C488" s="2"/>
      <c r="D488" s="87"/>
      <c r="E488" s="87"/>
      <c r="F488" s="87"/>
      <c r="G488" s="87"/>
      <c r="H488" s="87"/>
      <c r="I488" s="87"/>
      <c r="J488" s="2"/>
      <c r="K488" s="2"/>
      <c r="M488" s="2"/>
      <c r="N488" s="2"/>
      <c r="O488" s="2"/>
      <c r="P488" s="600"/>
      <c r="Q488" s="2"/>
      <c r="R488" s="2"/>
    </row>
    <row r="489" spans="1:18" ht="15.75" customHeight="1">
      <c r="A489" s="2"/>
      <c r="B489" s="2"/>
      <c r="C489" s="2"/>
      <c r="D489" s="87"/>
      <c r="E489" s="87"/>
      <c r="F489" s="87"/>
      <c r="G489" s="87"/>
      <c r="H489" s="87"/>
      <c r="I489" s="87"/>
      <c r="J489" s="2"/>
      <c r="K489" s="2"/>
      <c r="M489" s="2"/>
      <c r="N489" s="2"/>
      <c r="O489" s="2"/>
      <c r="P489" s="600"/>
      <c r="Q489" s="2"/>
      <c r="R489" s="2"/>
    </row>
    <row r="490" spans="1:18" ht="15.75" customHeight="1">
      <c r="A490" s="2"/>
      <c r="B490" s="2"/>
      <c r="C490" s="2"/>
      <c r="D490" s="87"/>
      <c r="E490" s="87"/>
      <c r="F490" s="87"/>
      <c r="G490" s="87"/>
      <c r="H490" s="87"/>
      <c r="I490" s="87"/>
      <c r="J490" s="2"/>
      <c r="K490" s="2"/>
      <c r="M490" s="2"/>
      <c r="N490" s="2"/>
      <c r="O490" s="2"/>
      <c r="P490" s="600"/>
      <c r="Q490" s="2"/>
      <c r="R490" s="2"/>
    </row>
    <row r="491" spans="1:18" ht="15.75" customHeight="1">
      <c r="A491" s="2"/>
      <c r="B491" s="2"/>
      <c r="C491" s="2"/>
      <c r="D491" s="87"/>
      <c r="E491" s="87"/>
      <c r="F491" s="87"/>
      <c r="G491" s="87"/>
      <c r="H491" s="87"/>
      <c r="I491" s="87"/>
      <c r="J491" s="2"/>
      <c r="K491" s="2"/>
      <c r="M491" s="2"/>
      <c r="N491" s="2"/>
      <c r="O491" s="2"/>
      <c r="P491" s="600"/>
      <c r="Q491" s="2"/>
      <c r="R491" s="2"/>
    </row>
    <row r="492" spans="1:18" ht="15.75" customHeight="1">
      <c r="A492" s="2"/>
      <c r="B492" s="2"/>
      <c r="C492" s="2"/>
      <c r="D492" s="87"/>
      <c r="E492" s="87"/>
      <c r="F492" s="87"/>
      <c r="G492" s="87"/>
      <c r="H492" s="87"/>
      <c r="I492" s="87"/>
      <c r="J492" s="2"/>
      <c r="K492" s="2"/>
      <c r="M492" s="2"/>
      <c r="N492" s="2"/>
      <c r="O492" s="2"/>
      <c r="P492" s="600"/>
      <c r="Q492" s="2"/>
      <c r="R492" s="2"/>
    </row>
    <row r="493" spans="1:18" ht="15.75" customHeight="1">
      <c r="A493" s="2"/>
      <c r="B493" s="2"/>
      <c r="C493" s="2"/>
      <c r="D493" s="87"/>
      <c r="E493" s="87"/>
      <c r="F493" s="87"/>
      <c r="G493" s="87"/>
      <c r="H493" s="87"/>
      <c r="I493" s="87"/>
      <c r="J493" s="2"/>
      <c r="K493" s="2"/>
      <c r="M493" s="2"/>
      <c r="N493" s="2"/>
      <c r="O493" s="2"/>
      <c r="P493" s="600"/>
      <c r="Q493" s="2"/>
      <c r="R493" s="2"/>
    </row>
    <row r="494" spans="1:18" ht="15.75" customHeight="1">
      <c r="A494" s="2"/>
      <c r="B494" s="2"/>
      <c r="C494" s="2"/>
      <c r="D494" s="87"/>
      <c r="E494" s="87"/>
      <c r="F494" s="87"/>
      <c r="G494" s="87"/>
      <c r="H494" s="87"/>
      <c r="I494" s="87"/>
      <c r="J494" s="2"/>
      <c r="K494" s="2"/>
      <c r="M494" s="2"/>
      <c r="N494" s="2"/>
      <c r="O494" s="2"/>
      <c r="P494" s="600"/>
      <c r="Q494" s="2"/>
      <c r="R494" s="2"/>
    </row>
    <row r="495" spans="1:18" ht="15.75" customHeight="1">
      <c r="A495" s="2"/>
      <c r="B495" s="2"/>
      <c r="C495" s="2"/>
      <c r="D495" s="87"/>
      <c r="E495" s="87"/>
      <c r="F495" s="87"/>
      <c r="G495" s="87"/>
      <c r="H495" s="87"/>
      <c r="I495" s="87"/>
      <c r="J495" s="2"/>
      <c r="K495" s="2"/>
      <c r="M495" s="2"/>
      <c r="N495" s="2"/>
      <c r="O495" s="2"/>
      <c r="P495" s="600"/>
      <c r="Q495" s="2"/>
      <c r="R495" s="2"/>
    </row>
    <row r="496" spans="1:18" ht="15.75" customHeight="1">
      <c r="A496" s="2"/>
      <c r="B496" s="2"/>
      <c r="C496" s="2"/>
      <c r="D496" s="87"/>
      <c r="E496" s="87"/>
      <c r="F496" s="87"/>
      <c r="G496" s="87"/>
      <c r="H496" s="87"/>
      <c r="I496" s="87"/>
      <c r="J496" s="2"/>
      <c r="K496" s="2"/>
      <c r="M496" s="2"/>
      <c r="N496" s="2"/>
      <c r="O496" s="2"/>
      <c r="P496" s="600"/>
      <c r="Q496" s="2"/>
      <c r="R496" s="2"/>
    </row>
    <row r="497" spans="1:18" ht="15.75" customHeight="1">
      <c r="A497" s="2"/>
      <c r="B497" s="2"/>
      <c r="C497" s="2"/>
      <c r="D497" s="87"/>
      <c r="E497" s="87"/>
      <c r="F497" s="87"/>
      <c r="G497" s="87"/>
      <c r="H497" s="87"/>
      <c r="I497" s="87"/>
      <c r="J497" s="2"/>
      <c r="K497" s="2"/>
      <c r="M497" s="2"/>
      <c r="N497" s="2"/>
      <c r="O497" s="2"/>
      <c r="P497" s="600"/>
      <c r="Q497" s="2"/>
      <c r="R497" s="2"/>
    </row>
    <row r="498" spans="1:18" ht="15.75" customHeight="1">
      <c r="A498" s="2"/>
      <c r="B498" s="2"/>
      <c r="C498" s="2"/>
      <c r="D498" s="87"/>
      <c r="E498" s="87"/>
      <c r="F498" s="87"/>
      <c r="G498" s="87"/>
      <c r="H498" s="87"/>
      <c r="I498" s="87"/>
      <c r="J498" s="2"/>
      <c r="K498" s="2"/>
      <c r="M498" s="2"/>
      <c r="N498" s="2"/>
      <c r="O498" s="2"/>
      <c r="P498" s="600"/>
      <c r="Q498" s="2"/>
      <c r="R498" s="2"/>
    </row>
    <row r="499" spans="1:18" ht="15.75" customHeight="1">
      <c r="A499" s="2"/>
      <c r="B499" s="2"/>
      <c r="C499" s="2"/>
      <c r="D499" s="87"/>
      <c r="E499" s="87"/>
      <c r="F499" s="87"/>
      <c r="G499" s="87"/>
      <c r="H499" s="87"/>
      <c r="I499" s="87"/>
      <c r="J499" s="2"/>
      <c r="K499" s="2"/>
      <c r="M499" s="2"/>
      <c r="N499" s="2"/>
      <c r="O499" s="2"/>
      <c r="P499" s="600"/>
      <c r="Q499" s="2"/>
      <c r="R499" s="2"/>
    </row>
    <row r="500" spans="1:18" ht="15.75" customHeight="1">
      <c r="A500" s="2"/>
      <c r="B500" s="2"/>
      <c r="C500" s="2"/>
      <c r="D500" s="87"/>
      <c r="E500" s="87"/>
      <c r="F500" s="87"/>
      <c r="G500" s="87"/>
      <c r="H500" s="87"/>
      <c r="I500" s="87"/>
      <c r="J500" s="2"/>
      <c r="K500" s="2"/>
      <c r="M500" s="2"/>
      <c r="N500" s="2"/>
      <c r="O500" s="2"/>
      <c r="P500" s="600"/>
      <c r="Q500" s="2"/>
      <c r="R500" s="2"/>
    </row>
    <row r="501" spans="1:18" ht="15.75" customHeight="1">
      <c r="A501" s="2"/>
      <c r="B501" s="2"/>
      <c r="C501" s="2"/>
      <c r="D501" s="87"/>
      <c r="E501" s="87"/>
      <c r="F501" s="87"/>
      <c r="G501" s="87"/>
      <c r="H501" s="87"/>
      <c r="I501" s="87"/>
      <c r="J501" s="2"/>
      <c r="K501" s="2"/>
      <c r="M501" s="2"/>
      <c r="N501" s="2"/>
      <c r="O501" s="2"/>
      <c r="P501" s="600"/>
      <c r="Q501" s="2"/>
      <c r="R501" s="2"/>
    </row>
    <row r="502" spans="1:18" ht="15.75" customHeight="1">
      <c r="A502" s="2"/>
      <c r="B502" s="2"/>
      <c r="C502" s="2"/>
      <c r="D502" s="87"/>
      <c r="E502" s="87"/>
      <c r="F502" s="87"/>
      <c r="G502" s="87"/>
      <c r="H502" s="87"/>
      <c r="I502" s="87"/>
      <c r="J502" s="2"/>
      <c r="K502" s="2"/>
      <c r="M502" s="2"/>
      <c r="N502" s="2"/>
      <c r="O502" s="2"/>
      <c r="P502" s="600"/>
      <c r="Q502" s="2"/>
      <c r="R502" s="2"/>
    </row>
    <row r="503" spans="1:18" ht="15.75" customHeight="1">
      <c r="A503" s="2"/>
      <c r="B503" s="2"/>
      <c r="C503" s="2"/>
      <c r="D503" s="87"/>
      <c r="E503" s="87"/>
      <c r="F503" s="87"/>
      <c r="G503" s="87"/>
      <c r="H503" s="87"/>
      <c r="I503" s="87"/>
      <c r="J503" s="2"/>
      <c r="K503" s="2"/>
      <c r="M503" s="2"/>
      <c r="N503" s="2"/>
      <c r="O503" s="2"/>
      <c r="P503" s="600"/>
      <c r="Q503" s="2"/>
      <c r="R503" s="2"/>
    </row>
    <row r="504" spans="1:18" ht="15.75" customHeight="1">
      <c r="A504" s="2"/>
      <c r="B504" s="2"/>
      <c r="C504" s="2"/>
      <c r="D504" s="87"/>
      <c r="E504" s="87"/>
      <c r="F504" s="87"/>
      <c r="G504" s="87"/>
      <c r="H504" s="87"/>
      <c r="I504" s="87"/>
      <c r="J504" s="2"/>
      <c r="K504" s="2"/>
      <c r="M504" s="2"/>
      <c r="N504" s="2"/>
      <c r="O504" s="2"/>
      <c r="P504" s="600"/>
      <c r="Q504" s="2"/>
      <c r="R504" s="2"/>
    </row>
    <row r="505" spans="1:18" ht="15.75" customHeight="1">
      <c r="A505" s="2"/>
      <c r="B505" s="2"/>
      <c r="C505" s="2"/>
      <c r="D505" s="87"/>
      <c r="E505" s="87"/>
      <c r="F505" s="87"/>
      <c r="G505" s="87"/>
      <c r="H505" s="87"/>
      <c r="I505" s="87"/>
      <c r="J505" s="2"/>
      <c r="K505" s="2"/>
      <c r="M505" s="2"/>
      <c r="N505" s="2"/>
      <c r="O505" s="2"/>
      <c r="P505" s="600"/>
      <c r="Q505" s="2"/>
      <c r="R505" s="2"/>
    </row>
    <row r="506" spans="1:18" ht="15.75" customHeight="1">
      <c r="A506" s="2"/>
      <c r="B506" s="2"/>
      <c r="C506" s="2"/>
      <c r="D506" s="87"/>
      <c r="E506" s="87"/>
      <c r="F506" s="87"/>
      <c r="G506" s="87"/>
      <c r="H506" s="87"/>
      <c r="I506" s="87"/>
      <c r="J506" s="2"/>
      <c r="K506" s="2"/>
      <c r="M506" s="2"/>
      <c r="N506" s="2"/>
      <c r="O506" s="2"/>
      <c r="P506" s="600"/>
      <c r="Q506" s="2"/>
      <c r="R506" s="2"/>
    </row>
    <row r="507" spans="1:18" ht="15.75" customHeight="1">
      <c r="A507" s="2"/>
      <c r="B507" s="2"/>
      <c r="C507" s="2"/>
      <c r="D507" s="87"/>
      <c r="E507" s="87"/>
      <c r="F507" s="87"/>
      <c r="G507" s="87"/>
      <c r="H507" s="87"/>
      <c r="I507" s="87"/>
      <c r="J507" s="2"/>
      <c r="K507" s="2"/>
      <c r="M507" s="2"/>
      <c r="N507" s="2"/>
      <c r="O507" s="2"/>
      <c r="P507" s="600"/>
      <c r="Q507" s="2"/>
      <c r="R507" s="2"/>
    </row>
    <row r="508" spans="1:18" ht="15.75" customHeight="1">
      <c r="A508" s="2"/>
      <c r="B508" s="2"/>
      <c r="C508" s="2"/>
      <c r="D508" s="87"/>
      <c r="E508" s="87"/>
      <c r="F508" s="87"/>
      <c r="G508" s="87"/>
      <c r="H508" s="87"/>
      <c r="I508" s="87"/>
      <c r="J508" s="2"/>
      <c r="K508" s="2"/>
      <c r="M508" s="2"/>
      <c r="N508" s="2"/>
      <c r="O508" s="2"/>
      <c r="P508" s="600"/>
      <c r="Q508" s="2"/>
      <c r="R508" s="2"/>
    </row>
    <row r="509" spans="1:18" ht="15.75" customHeight="1">
      <c r="A509" s="2"/>
      <c r="B509" s="2"/>
      <c r="C509" s="2"/>
      <c r="D509" s="87"/>
      <c r="E509" s="87"/>
      <c r="F509" s="87"/>
      <c r="G509" s="87"/>
      <c r="H509" s="87"/>
      <c r="I509" s="87"/>
      <c r="J509" s="2"/>
      <c r="K509" s="2"/>
      <c r="M509" s="2"/>
      <c r="N509" s="2"/>
      <c r="O509" s="2"/>
      <c r="P509" s="600"/>
      <c r="Q509" s="2"/>
      <c r="R509" s="2"/>
    </row>
    <row r="510" spans="1:18" ht="15.75" customHeight="1">
      <c r="A510" s="2"/>
      <c r="B510" s="2"/>
      <c r="C510" s="2"/>
      <c r="D510" s="87"/>
      <c r="E510" s="87"/>
      <c r="F510" s="87"/>
      <c r="G510" s="87"/>
      <c r="H510" s="87"/>
      <c r="I510" s="87"/>
      <c r="J510" s="2"/>
      <c r="K510" s="2"/>
      <c r="M510" s="2"/>
      <c r="N510" s="2"/>
      <c r="O510" s="2"/>
      <c r="P510" s="600"/>
      <c r="Q510" s="2"/>
      <c r="R510" s="2"/>
    </row>
    <row r="511" spans="1:18" ht="15.75" customHeight="1">
      <c r="A511" s="2"/>
      <c r="B511" s="2"/>
      <c r="C511" s="2"/>
      <c r="D511" s="87"/>
      <c r="E511" s="87"/>
      <c r="F511" s="87"/>
      <c r="G511" s="87"/>
      <c r="H511" s="87"/>
      <c r="I511" s="87"/>
      <c r="J511" s="2"/>
      <c r="K511" s="2"/>
      <c r="M511" s="2"/>
      <c r="N511" s="2"/>
      <c r="O511" s="2"/>
      <c r="P511" s="600"/>
      <c r="Q511" s="2"/>
      <c r="R511" s="2"/>
    </row>
    <row r="512" spans="1:18" ht="15.75" customHeight="1">
      <c r="A512" s="2"/>
      <c r="B512" s="2"/>
      <c r="C512" s="2"/>
      <c r="D512" s="87"/>
      <c r="E512" s="87"/>
      <c r="F512" s="87"/>
      <c r="G512" s="87"/>
      <c r="H512" s="87"/>
      <c r="I512" s="87"/>
      <c r="J512" s="2"/>
      <c r="K512" s="2"/>
      <c r="M512" s="2"/>
      <c r="N512" s="2"/>
      <c r="O512" s="2"/>
      <c r="P512" s="600"/>
      <c r="Q512" s="2"/>
      <c r="R512" s="2"/>
    </row>
    <row r="513" spans="1:18" ht="15.75" customHeight="1">
      <c r="A513" s="2"/>
      <c r="B513" s="2"/>
      <c r="C513" s="2"/>
      <c r="D513" s="87"/>
      <c r="E513" s="87"/>
      <c r="F513" s="87"/>
      <c r="G513" s="87"/>
      <c r="H513" s="87"/>
      <c r="I513" s="87"/>
      <c r="J513" s="2"/>
      <c r="K513" s="2"/>
      <c r="M513" s="2"/>
      <c r="N513" s="2"/>
      <c r="O513" s="2"/>
      <c r="P513" s="600"/>
      <c r="Q513" s="2"/>
      <c r="R513" s="2"/>
    </row>
    <row r="514" spans="1:18" ht="15.75" customHeight="1">
      <c r="A514" s="2"/>
      <c r="B514" s="2"/>
      <c r="C514" s="2"/>
      <c r="D514" s="87"/>
      <c r="E514" s="87"/>
      <c r="F514" s="87"/>
      <c r="G514" s="87"/>
      <c r="H514" s="87"/>
      <c r="I514" s="87"/>
      <c r="J514" s="2"/>
      <c r="K514" s="2"/>
      <c r="M514" s="2"/>
      <c r="N514" s="2"/>
      <c r="O514" s="2"/>
      <c r="P514" s="600"/>
      <c r="Q514" s="2"/>
      <c r="R514" s="2"/>
    </row>
    <row r="515" spans="1:18" ht="15.75" customHeight="1">
      <c r="A515" s="2"/>
      <c r="B515" s="2"/>
      <c r="C515" s="2"/>
      <c r="D515" s="87"/>
      <c r="E515" s="87"/>
      <c r="F515" s="87"/>
      <c r="G515" s="87"/>
      <c r="H515" s="87"/>
      <c r="I515" s="87"/>
      <c r="J515" s="2"/>
      <c r="K515" s="2"/>
      <c r="M515" s="2"/>
      <c r="N515" s="2"/>
      <c r="O515" s="2"/>
      <c r="P515" s="600"/>
      <c r="Q515" s="2"/>
      <c r="R515" s="2"/>
    </row>
    <row r="516" spans="1:18" ht="15.75" customHeight="1">
      <c r="A516" s="2"/>
      <c r="B516" s="2"/>
      <c r="C516" s="2"/>
      <c r="D516" s="87"/>
      <c r="E516" s="87"/>
      <c r="F516" s="87"/>
      <c r="G516" s="87"/>
      <c r="H516" s="87"/>
      <c r="I516" s="87"/>
      <c r="J516" s="2"/>
      <c r="K516" s="2"/>
      <c r="M516" s="2"/>
      <c r="N516" s="2"/>
      <c r="O516" s="2"/>
      <c r="P516" s="600"/>
      <c r="Q516" s="2"/>
      <c r="R516" s="2"/>
    </row>
    <row r="517" spans="1:18" ht="15.75" customHeight="1">
      <c r="A517" s="2"/>
      <c r="B517" s="2"/>
      <c r="C517" s="2"/>
      <c r="D517" s="87"/>
      <c r="E517" s="87"/>
      <c r="F517" s="87"/>
      <c r="G517" s="87"/>
      <c r="H517" s="87"/>
      <c r="I517" s="87"/>
      <c r="J517" s="2"/>
      <c r="K517" s="2"/>
      <c r="M517" s="2"/>
      <c r="N517" s="2"/>
      <c r="O517" s="2"/>
      <c r="P517" s="600"/>
      <c r="Q517" s="2"/>
      <c r="R517" s="2"/>
    </row>
    <row r="518" spans="1:18" ht="15.75" customHeight="1">
      <c r="A518" s="2"/>
      <c r="B518" s="2"/>
      <c r="C518" s="2"/>
      <c r="D518" s="87"/>
      <c r="E518" s="87"/>
      <c r="F518" s="87"/>
      <c r="G518" s="87"/>
      <c r="H518" s="87"/>
      <c r="I518" s="87"/>
      <c r="J518" s="2"/>
      <c r="K518" s="2"/>
      <c r="M518" s="2"/>
      <c r="N518" s="2"/>
      <c r="O518" s="2"/>
      <c r="P518" s="600"/>
      <c r="Q518" s="2"/>
      <c r="R518" s="2"/>
    </row>
    <row r="519" spans="1:18" ht="15.75" customHeight="1">
      <c r="A519" s="2"/>
      <c r="B519" s="2"/>
      <c r="C519" s="2"/>
      <c r="D519" s="87"/>
      <c r="E519" s="87"/>
      <c r="F519" s="87"/>
      <c r="G519" s="87"/>
      <c r="H519" s="87"/>
      <c r="I519" s="87"/>
      <c r="J519" s="2"/>
      <c r="K519" s="2"/>
      <c r="M519" s="2"/>
      <c r="N519" s="2"/>
      <c r="O519" s="2"/>
      <c r="P519" s="600"/>
      <c r="Q519" s="2"/>
      <c r="R519" s="2"/>
    </row>
    <row r="520" spans="1:18" ht="15.75" customHeight="1">
      <c r="A520" s="2"/>
      <c r="B520" s="2"/>
      <c r="C520" s="2"/>
      <c r="D520" s="87"/>
      <c r="E520" s="87"/>
      <c r="F520" s="87"/>
      <c r="G520" s="87"/>
      <c r="H520" s="87"/>
      <c r="I520" s="87"/>
      <c r="J520" s="2"/>
      <c r="K520" s="2"/>
      <c r="M520" s="2"/>
      <c r="N520" s="2"/>
      <c r="O520" s="2"/>
      <c r="P520" s="600"/>
      <c r="Q520" s="2"/>
      <c r="R520" s="2"/>
    </row>
    <row r="521" spans="1:18" ht="15.75" customHeight="1">
      <c r="A521" s="2"/>
      <c r="B521" s="2"/>
      <c r="C521" s="2"/>
      <c r="D521" s="87"/>
      <c r="E521" s="87"/>
      <c r="F521" s="87"/>
      <c r="G521" s="87"/>
      <c r="H521" s="87"/>
      <c r="I521" s="87"/>
      <c r="J521" s="2"/>
      <c r="K521" s="2"/>
      <c r="M521" s="2"/>
      <c r="N521" s="2"/>
      <c r="O521" s="2"/>
      <c r="P521" s="600"/>
      <c r="Q521" s="2"/>
      <c r="R521" s="2"/>
    </row>
    <row r="522" spans="1:18" ht="15.75" customHeight="1">
      <c r="A522" s="2"/>
      <c r="B522" s="2"/>
      <c r="C522" s="2"/>
      <c r="D522" s="87"/>
      <c r="E522" s="87"/>
      <c r="F522" s="87"/>
      <c r="G522" s="87"/>
      <c r="H522" s="87"/>
      <c r="I522" s="87"/>
      <c r="J522" s="2"/>
      <c r="K522" s="2"/>
      <c r="M522" s="2"/>
      <c r="N522" s="2"/>
      <c r="O522" s="2"/>
      <c r="P522" s="600"/>
      <c r="Q522" s="2"/>
      <c r="R522" s="2"/>
    </row>
    <row r="523" spans="1:18" ht="15.75" customHeight="1">
      <c r="A523" s="2"/>
      <c r="B523" s="2"/>
      <c r="C523" s="2"/>
      <c r="D523" s="87"/>
      <c r="E523" s="87"/>
      <c r="F523" s="87"/>
      <c r="G523" s="87"/>
      <c r="H523" s="87"/>
      <c r="I523" s="87"/>
      <c r="J523" s="2"/>
      <c r="K523" s="2"/>
      <c r="M523" s="2"/>
      <c r="N523" s="2"/>
      <c r="O523" s="2"/>
      <c r="P523" s="600"/>
      <c r="Q523" s="2"/>
      <c r="R523" s="2"/>
    </row>
    <row r="524" spans="1:18" ht="15.75" customHeight="1">
      <c r="A524" s="2"/>
      <c r="B524" s="2"/>
      <c r="C524" s="2"/>
      <c r="D524" s="87"/>
      <c r="E524" s="87"/>
      <c r="F524" s="87"/>
      <c r="G524" s="87"/>
      <c r="H524" s="87"/>
      <c r="I524" s="87"/>
      <c r="J524" s="2"/>
      <c r="K524" s="2"/>
      <c r="M524" s="2"/>
      <c r="N524" s="2"/>
      <c r="O524" s="2"/>
      <c r="P524" s="600"/>
      <c r="Q524" s="2"/>
      <c r="R524" s="2"/>
    </row>
    <row r="525" spans="1:18" ht="15.75" customHeight="1">
      <c r="A525" s="2"/>
      <c r="B525" s="2"/>
      <c r="C525" s="2"/>
      <c r="D525" s="87"/>
      <c r="E525" s="87"/>
      <c r="F525" s="87"/>
      <c r="G525" s="87"/>
      <c r="H525" s="87"/>
      <c r="I525" s="87"/>
      <c r="J525" s="2"/>
      <c r="K525" s="2"/>
      <c r="M525" s="2"/>
      <c r="N525" s="2"/>
      <c r="O525" s="2"/>
      <c r="P525" s="600"/>
      <c r="Q525" s="2"/>
      <c r="R525" s="2"/>
    </row>
    <row r="526" spans="1:18" ht="15.75" customHeight="1">
      <c r="A526" s="2"/>
      <c r="B526" s="2"/>
      <c r="C526" s="2"/>
      <c r="D526" s="87"/>
      <c r="E526" s="87"/>
      <c r="F526" s="87"/>
      <c r="G526" s="87"/>
      <c r="H526" s="87"/>
      <c r="I526" s="87"/>
      <c r="J526" s="2"/>
      <c r="K526" s="2"/>
      <c r="M526" s="2"/>
      <c r="N526" s="2"/>
      <c r="O526" s="2"/>
      <c r="P526" s="600"/>
      <c r="Q526" s="2"/>
      <c r="R526" s="2"/>
    </row>
    <row r="527" spans="1:18" ht="15.75" customHeight="1">
      <c r="A527" s="2"/>
      <c r="B527" s="2"/>
      <c r="C527" s="2"/>
      <c r="D527" s="87"/>
      <c r="E527" s="87"/>
      <c r="F527" s="87"/>
      <c r="G527" s="87"/>
      <c r="H527" s="87"/>
      <c r="I527" s="87"/>
      <c r="J527" s="2"/>
      <c r="K527" s="2"/>
      <c r="M527" s="2"/>
      <c r="N527" s="2"/>
      <c r="O527" s="2"/>
      <c r="P527" s="600"/>
      <c r="Q527" s="2"/>
      <c r="R527" s="2"/>
    </row>
    <row r="528" spans="1:18" ht="15.75" customHeight="1">
      <c r="A528" s="2"/>
      <c r="B528" s="2"/>
      <c r="C528" s="2"/>
      <c r="D528" s="87"/>
      <c r="E528" s="87"/>
      <c r="F528" s="87"/>
      <c r="G528" s="87"/>
      <c r="H528" s="87"/>
      <c r="I528" s="87"/>
      <c r="J528" s="2"/>
      <c r="K528" s="2"/>
      <c r="M528" s="2"/>
      <c r="N528" s="2"/>
      <c r="O528" s="2"/>
      <c r="P528" s="600"/>
      <c r="Q528" s="2"/>
      <c r="R528" s="2"/>
    </row>
    <row r="529" spans="1:18" ht="15.75" customHeight="1">
      <c r="A529" s="2"/>
      <c r="B529" s="2"/>
      <c r="C529" s="2"/>
      <c r="D529" s="87"/>
      <c r="E529" s="87"/>
      <c r="F529" s="87"/>
      <c r="G529" s="87"/>
      <c r="H529" s="87"/>
      <c r="I529" s="87"/>
      <c r="J529" s="2"/>
      <c r="K529" s="2"/>
      <c r="M529" s="2"/>
      <c r="N529" s="2"/>
      <c r="O529" s="2"/>
      <c r="P529" s="600"/>
      <c r="Q529" s="2"/>
      <c r="R529" s="2"/>
    </row>
    <row r="530" spans="1:18" ht="15.75" customHeight="1">
      <c r="A530" s="2"/>
      <c r="B530" s="2"/>
      <c r="C530" s="2"/>
      <c r="D530" s="87"/>
      <c r="E530" s="87"/>
      <c r="F530" s="87"/>
      <c r="G530" s="87"/>
      <c r="H530" s="87"/>
      <c r="I530" s="87"/>
      <c r="J530" s="2"/>
      <c r="K530" s="2"/>
      <c r="M530" s="2"/>
      <c r="N530" s="2"/>
      <c r="O530" s="2"/>
      <c r="P530" s="600"/>
      <c r="Q530" s="2"/>
      <c r="R530" s="2"/>
    </row>
    <row r="531" spans="1:18" ht="15.75" customHeight="1">
      <c r="A531" s="2"/>
      <c r="B531" s="2"/>
      <c r="C531" s="2"/>
      <c r="D531" s="87"/>
      <c r="E531" s="87"/>
      <c r="F531" s="87"/>
      <c r="G531" s="87"/>
      <c r="H531" s="87"/>
      <c r="I531" s="87"/>
      <c r="J531" s="2"/>
      <c r="K531" s="2"/>
      <c r="M531" s="2"/>
      <c r="N531" s="2"/>
      <c r="O531" s="2"/>
      <c r="P531" s="600"/>
      <c r="Q531" s="2"/>
      <c r="R531" s="2"/>
    </row>
    <row r="532" spans="1:18" ht="15.75" customHeight="1">
      <c r="A532" s="2"/>
      <c r="B532" s="2"/>
      <c r="C532" s="2"/>
      <c r="D532" s="87"/>
      <c r="E532" s="87"/>
      <c r="F532" s="87"/>
      <c r="G532" s="87"/>
      <c r="H532" s="87"/>
      <c r="I532" s="87"/>
      <c r="J532" s="2"/>
      <c r="K532" s="2"/>
      <c r="M532" s="2"/>
      <c r="N532" s="2"/>
      <c r="O532" s="2"/>
      <c r="P532" s="600"/>
      <c r="Q532" s="2"/>
      <c r="R532" s="2"/>
    </row>
    <row r="533" spans="1:18" ht="15.75" customHeight="1">
      <c r="A533" s="2"/>
      <c r="B533" s="2"/>
      <c r="C533" s="2"/>
      <c r="D533" s="87"/>
      <c r="E533" s="87"/>
      <c r="F533" s="87"/>
      <c r="G533" s="87"/>
      <c r="H533" s="87"/>
      <c r="I533" s="87"/>
      <c r="J533" s="2"/>
      <c r="K533" s="2"/>
      <c r="M533" s="2"/>
      <c r="N533" s="2"/>
      <c r="O533" s="2"/>
      <c r="P533" s="600"/>
      <c r="Q533" s="2"/>
      <c r="R533" s="2"/>
    </row>
    <row r="534" spans="1:18" ht="15.75" customHeight="1">
      <c r="A534" s="2"/>
      <c r="B534" s="2"/>
      <c r="C534" s="2"/>
      <c r="D534" s="87"/>
      <c r="E534" s="87"/>
      <c r="F534" s="87"/>
      <c r="G534" s="87"/>
      <c r="H534" s="87"/>
      <c r="I534" s="87"/>
      <c r="J534" s="2"/>
      <c r="K534" s="2"/>
      <c r="M534" s="2"/>
      <c r="N534" s="2"/>
      <c r="O534" s="2"/>
      <c r="P534" s="600"/>
      <c r="Q534" s="2"/>
      <c r="R534" s="2"/>
    </row>
    <row r="535" spans="1:18" ht="15.75" customHeight="1">
      <c r="A535" s="2"/>
      <c r="B535" s="2"/>
      <c r="C535" s="2"/>
      <c r="D535" s="87"/>
      <c r="E535" s="87"/>
      <c r="F535" s="87"/>
      <c r="G535" s="87"/>
      <c r="H535" s="87"/>
      <c r="I535" s="87"/>
      <c r="J535" s="2"/>
      <c r="K535" s="2"/>
      <c r="M535" s="2"/>
      <c r="N535" s="2"/>
      <c r="O535" s="2"/>
      <c r="P535" s="600"/>
      <c r="Q535" s="2"/>
      <c r="R535" s="2"/>
    </row>
    <row r="536" spans="1:18" ht="15.75" customHeight="1">
      <c r="A536" s="2"/>
      <c r="B536" s="2"/>
      <c r="C536" s="2"/>
      <c r="D536" s="87"/>
      <c r="E536" s="87"/>
      <c r="F536" s="87"/>
      <c r="G536" s="87"/>
      <c r="H536" s="87"/>
      <c r="I536" s="87"/>
      <c r="J536" s="2"/>
      <c r="K536" s="2"/>
      <c r="M536" s="2"/>
      <c r="N536" s="2"/>
      <c r="O536" s="2"/>
      <c r="P536" s="600"/>
      <c r="Q536" s="2"/>
      <c r="R536" s="2"/>
    </row>
    <row r="537" spans="1:18" ht="15.75" customHeight="1">
      <c r="A537" s="2"/>
      <c r="B537" s="2"/>
      <c r="C537" s="2"/>
      <c r="D537" s="87"/>
      <c r="E537" s="87"/>
      <c r="F537" s="87"/>
      <c r="G537" s="87"/>
      <c r="H537" s="87"/>
      <c r="I537" s="87"/>
      <c r="J537" s="2"/>
      <c r="K537" s="2"/>
      <c r="M537" s="2"/>
      <c r="N537" s="2"/>
      <c r="O537" s="2"/>
      <c r="P537" s="600"/>
      <c r="Q537" s="2"/>
      <c r="R537" s="2"/>
    </row>
    <row r="538" spans="1:18" ht="15.75" customHeight="1">
      <c r="A538" s="2"/>
      <c r="B538" s="2"/>
      <c r="C538" s="2"/>
      <c r="D538" s="87"/>
      <c r="E538" s="87"/>
      <c r="F538" s="87"/>
      <c r="G538" s="87"/>
      <c r="H538" s="87"/>
      <c r="I538" s="87"/>
      <c r="J538" s="2"/>
      <c r="K538" s="2"/>
      <c r="M538" s="2"/>
      <c r="N538" s="2"/>
      <c r="O538" s="2"/>
      <c r="P538" s="600"/>
      <c r="Q538" s="2"/>
      <c r="R538" s="2"/>
    </row>
    <row r="539" spans="1:18" ht="15.75" customHeight="1">
      <c r="A539" s="2"/>
      <c r="B539" s="2"/>
      <c r="C539" s="2"/>
      <c r="D539" s="87"/>
      <c r="E539" s="87"/>
      <c r="F539" s="87"/>
      <c r="G539" s="87"/>
      <c r="H539" s="87"/>
      <c r="I539" s="87"/>
      <c r="J539" s="2"/>
      <c r="K539" s="2"/>
      <c r="M539" s="2"/>
      <c r="N539" s="2"/>
      <c r="O539" s="2"/>
      <c r="P539" s="600"/>
      <c r="Q539" s="2"/>
      <c r="R539" s="2"/>
    </row>
    <row r="540" spans="1:18" ht="15.75" customHeight="1">
      <c r="A540" s="2"/>
      <c r="B540" s="2"/>
      <c r="C540" s="2"/>
      <c r="D540" s="87"/>
      <c r="E540" s="87"/>
      <c r="F540" s="87"/>
      <c r="G540" s="87"/>
      <c r="H540" s="87"/>
      <c r="I540" s="87"/>
      <c r="J540" s="2"/>
      <c r="K540" s="2"/>
      <c r="M540" s="2"/>
      <c r="N540" s="2"/>
      <c r="O540" s="2"/>
      <c r="P540" s="600"/>
      <c r="Q540" s="2"/>
      <c r="R540" s="2"/>
    </row>
    <row r="541" spans="1:18" ht="15.75" customHeight="1">
      <c r="A541" s="2"/>
      <c r="B541" s="2"/>
      <c r="C541" s="2"/>
      <c r="D541" s="87"/>
      <c r="E541" s="87"/>
      <c r="F541" s="87"/>
      <c r="G541" s="87"/>
      <c r="H541" s="87"/>
      <c r="I541" s="87"/>
      <c r="J541" s="2"/>
      <c r="K541" s="2"/>
      <c r="M541" s="2"/>
      <c r="N541" s="2"/>
      <c r="O541" s="2"/>
      <c r="P541" s="600"/>
      <c r="Q541" s="2"/>
      <c r="R541" s="2"/>
    </row>
    <row r="542" spans="1:18" ht="15.75" customHeight="1">
      <c r="A542" s="2"/>
      <c r="B542" s="2"/>
      <c r="C542" s="2"/>
      <c r="D542" s="87"/>
      <c r="E542" s="87"/>
      <c r="F542" s="87"/>
      <c r="G542" s="87"/>
      <c r="H542" s="87"/>
      <c r="I542" s="87"/>
      <c r="J542" s="2"/>
      <c r="K542" s="2"/>
      <c r="M542" s="2"/>
      <c r="N542" s="2"/>
      <c r="O542" s="2"/>
      <c r="P542" s="600"/>
      <c r="Q542" s="2"/>
      <c r="R542" s="2"/>
    </row>
    <row r="543" spans="1:18" ht="15.75" customHeight="1">
      <c r="A543" s="2"/>
      <c r="B543" s="2"/>
      <c r="C543" s="2"/>
      <c r="D543" s="87"/>
      <c r="E543" s="87"/>
      <c r="F543" s="87"/>
      <c r="G543" s="87"/>
      <c r="H543" s="87"/>
      <c r="I543" s="87"/>
      <c r="J543" s="2"/>
      <c r="K543" s="2"/>
      <c r="M543" s="2"/>
      <c r="N543" s="2"/>
      <c r="O543" s="2"/>
      <c r="P543" s="600"/>
      <c r="Q543" s="2"/>
      <c r="R543" s="2"/>
    </row>
    <row r="544" spans="1:18" ht="15.75" customHeight="1">
      <c r="A544" s="2"/>
      <c r="B544" s="2"/>
      <c r="C544" s="2"/>
      <c r="D544" s="87"/>
      <c r="E544" s="87"/>
      <c r="F544" s="87"/>
      <c r="G544" s="87"/>
      <c r="H544" s="87"/>
      <c r="I544" s="87"/>
      <c r="J544" s="2"/>
      <c r="K544" s="2"/>
      <c r="M544" s="2"/>
      <c r="N544" s="2"/>
      <c r="O544" s="2"/>
      <c r="P544" s="600"/>
      <c r="Q544" s="2"/>
      <c r="R544" s="2"/>
    </row>
    <row r="545" spans="1:18" ht="15.75" customHeight="1">
      <c r="A545" s="2"/>
      <c r="B545" s="2"/>
      <c r="C545" s="2"/>
      <c r="D545" s="87"/>
      <c r="E545" s="87"/>
      <c r="F545" s="87"/>
      <c r="G545" s="87"/>
      <c r="H545" s="87"/>
      <c r="I545" s="87"/>
      <c r="J545" s="2"/>
      <c r="K545" s="2"/>
      <c r="M545" s="2"/>
      <c r="N545" s="2"/>
      <c r="O545" s="2"/>
      <c r="P545" s="600"/>
      <c r="Q545" s="2"/>
      <c r="R545" s="2"/>
    </row>
    <row r="546" spans="1:18" ht="15.75" customHeight="1">
      <c r="A546" s="2"/>
      <c r="B546" s="2"/>
      <c r="C546" s="2"/>
      <c r="D546" s="87"/>
      <c r="E546" s="87"/>
      <c r="F546" s="87"/>
      <c r="G546" s="87"/>
      <c r="H546" s="87"/>
      <c r="I546" s="87"/>
      <c r="J546" s="2"/>
      <c r="K546" s="2"/>
      <c r="M546" s="2"/>
      <c r="N546" s="2"/>
      <c r="O546" s="2"/>
      <c r="P546" s="600"/>
      <c r="Q546" s="2"/>
      <c r="R546" s="2"/>
    </row>
    <row r="547" spans="1:18" ht="15.75" customHeight="1">
      <c r="A547" s="2"/>
      <c r="B547" s="2"/>
      <c r="C547" s="2"/>
      <c r="D547" s="87"/>
      <c r="E547" s="87"/>
      <c r="F547" s="87"/>
      <c r="G547" s="87"/>
      <c r="H547" s="87"/>
      <c r="I547" s="87"/>
      <c r="J547" s="2"/>
      <c r="K547" s="2"/>
      <c r="M547" s="2"/>
      <c r="N547" s="2"/>
      <c r="O547" s="2"/>
      <c r="P547" s="600"/>
      <c r="Q547" s="2"/>
      <c r="R547" s="2"/>
    </row>
    <row r="548" spans="1:18" ht="15.75" customHeight="1">
      <c r="A548" s="2"/>
      <c r="B548" s="2"/>
      <c r="C548" s="2"/>
      <c r="D548" s="87"/>
      <c r="E548" s="87"/>
      <c r="F548" s="87"/>
      <c r="G548" s="87"/>
      <c r="H548" s="87"/>
      <c r="I548" s="87"/>
      <c r="J548" s="2"/>
      <c r="K548" s="2"/>
      <c r="M548" s="2"/>
      <c r="N548" s="2"/>
      <c r="O548" s="2"/>
      <c r="P548" s="600"/>
      <c r="Q548" s="2"/>
      <c r="R548" s="2"/>
    </row>
    <row r="549" spans="1:18" ht="15.75" customHeight="1">
      <c r="A549" s="2"/>
      <c r="B549" s="2"/>
      <c r="C549" s="2"/>
      <c r="D549" s="87"/>
      <c r="E549" s="87"/>
      <c r="F549" s="87"/>
      <c r="G549" s="87"/>
      <c r="H549" s="87"/>
      <c r="I549" s="87"/>
      <c r="J549" s="2"/>
      <c r="K549" s="2"/>
      <c r="M549" s="2"/>
      <c r="N549" s="2"/>
      <c r="O549" s="2"/>
      <c r="P549" s="600"/>
      <c r="Q549" s="2"/>
      <c r="R549" s="2"/>
    </row>
    <row r="550" spans="1:18" ht="15.75" customHeight="1">
      <c r="A550" s="2"/>
      <c r="B550" s="2"/>
      <c r="C550" s="2"/>
      <c r="D550" s="87"/>
      <c r="E550" s="87"/>
      <c r="F550" s="87"/>
      <c r="G550" s="87"/>
      <c r="H550" s="87"/>
      <c r="I550" s="87"/>
      <c r="J550" s="2"/>
      <c r="K550" s="2"/>
      <c r="M550" s="2"/>
      <c r="N550" s="2"/>
      <c r="O550" s="2"/>
      <c r="P550" s="600"/>
      <c r="Q550" s="2"/>
      <c r="R550" s="2"/>
    </row>
    <row r="551" spans="1:18" ht="15.75" customHeight="1">
      <c r="A551" s="2"/>
      <c r="B551" s="2"/>
      <c r="C551" s="2"/>
      <c r="D551" s="87"/>
      <c r="E551" s="87"/>
      <c r="F551" s="87"/>
      <c r="G551" s="87"/>
      <c r="H551" s="87"/>
      <c r="I551" s="87"/>
      <c r="J551" s="2"/>
      <c r="K551" s="2"/>
      <c r="M551" s="2"/>
      <c r="N551" s="2"/>
      <c r="O551" s="2"/>
      <c r="P551" s="600"/>
      <c r="Q551" s="2"/>
      <c r="R551" s="2"/>
    </row>
    <row r="552" spans="1:18" ht="15.75" customHeight="1">
      <c r="A552" s="2"/>
      <c r="B552" s="2"/>
      <c r="C552" s="2"/>
      <c r="D552" s="87"/>
      <c r="E552" s="87"/>
      <c r="F552" s="87"/>
      <c r="G552" s="87"/>
      <c r="H552" s="87"/>
      <c r="I552" s="87"/>
      <c r="J552" s="2"/>
      <c r="K552" s="2"/>
      <c r="M552" s="2"/>
      <c r="N552" s="2"/>
      <c r="O552" s="2"/>
      <c r="P552" s="600"/>
      <c r="Q552" s="2"/>
      <c r="R552" s="2"/>
    </row>
    <row r="553" spans="1:18" ht="15.75" customHeight="1">
      <c r="A553" s="2"/>
      <c r="B553" s="2"/>
      <c r="C553" s="2"/>
      <c r="D553" s="87"/>
      <c r="E553" s="87"/>
      <c r="F553" s="87"/>
      <c r="G553" s="87"/>
      <c r="H553" s="87"/>
      <c r="I553" s="87"/>
      <c r="J553" s="2"/>
      <c r="K553" s="2"/>
      <c r="M553" s="2"/>
      <c r="N553" s="2"/>
      <c r="O553" s="2"/>
      <c r="P553" s="600"/>
      <c r="Q553" s="2"/>
      <c r="R553" s="2"/>
    </row>
    <row r="554" spans="1:18" ht="15.75" customHeight="1">
      <c r="A554" s="2"/>
      <c r="B554" s="2"/>
      <c r="C554" s="2"/>
      <c r="D554" s="87"/>
      <c r="E554" s="87"/>
      <c r="F554" s="87"/>
      <c r="G554" s="87"/>
      <c r="H554" s="87"/>
      <c r="I554" s="87"/>
      <c r="J554" s="2"/>
      <c r="K554" s="2"/>
      <c r="M554" s="2"/>
      <c r="N554" s="2"/>
      <c r="O554" s="2"/>
      <c r="P554" s="600"/>
      <c r="Q554" s="2"/>
      <c r="R554" s="2"/>
    </row>
    <row r="555" spans="1:18" ht="15.75" customHeight="1">
      <c r="A555" s="2"/>
      <c r="B555" s="2"/>
      <c r="C555" s="2"/>
      <c r="D555" s="87"/>
      <c r="E555" s="87"/>
      <c r="F555" s="87"/>
      <c r="G555" s="87"/>
      <c r="H555" s="87"/>
      <c r="I555" s="87"/>
      <c r="J555" s="2"/>
      <c r="K555" s="2"/>
      <c r="M555" s="2"/>
      <c r="N555" s="2"/>
      <c r="O555" s="2"/>
      <c r="P555" s="600"/>
      <c r="Q555" s="2"/>
      <c r="R555" s="2"/>
    </row>
    <row r="556" spans="1:18" ht="15.75" customHeight="1">
      <c r="A556" s="2"/>
      <c r="B556" s="2"/>
      <c r="C556" s="2"/>
      <c r="D556" s="87"/>
      <c r="E556" s="87"/>
      <c r="F556" s="87"/>
      <c r="G556" s="87"/>
      <c r="H556" s="87"/>
      <c r="I556" s="87"/>
      <c r="J556" s="2"/>
      <c r="K556" s="2"/>
      <c r="M556" s="2"/>
      <c r="N556" s="2"/>
      <c r="O556" s="2"/>
      <c r="P556" s="600"/>
      <c r="Q556" s="2"/>
      <c r="R556" s="2"/>
    </row>
    <row r="557" spans="1:18" ht="15.75" customHeight="1">
      <c r="A557" s="2"/>
      <c r="B557" s="2"/>
      <c r="C557" s="2"/>
      <c r="D557" s="87"/>
      <c r="E557" s="87"/>
      <c r="F557" s="87"/>
      <c r="G557" s="87"/>
      <c r="H557" s="87"/>
      <c r="I557" s="87"/>
      <c r="J557" s="2"/>
      <c r="K557" s="2"/>
      <c r="M557" s="2"/>
      <c r="N557" s="2"/>
      <c r="O557" s="2"/>
      <c r="P557" s="600"/>
      <c r="Q557" s="2"/>
      <c r="R557" s="2"/>
    </row>
    <row r="558" spans="1:18" ht="15.75" customHeight="1">
      <c r="A558" s="2"/>
      <c r="B558" s="2"/>
      <c r="C558" s="2"/>
      <c r="D558" s="87"/>
      <c r="E558" s="87"/>
      <c r="F558" s="87"/>
      <c r="G558" s="87"/>
      <c r="H558" s="87"/>
      <c r="I558" s="87"/>
      <c r="J558" s="2"/>
      <c r="K558" s="2"/>
      <c r="M558" s="2"/>
      <c r="N558" s="2"/>
      <c r="O558" s="2"/>
      <c r="P558" s="600"/>
      <c r="Q558" s="2"/>
      <c r="R558" s="2"/>
    </row>
    <row r="559" spans="1:18" ht="15.75" customHeight="1">
      <c r="A559" s="2"/>
      <c r="B559" s="2"/>
      <c r="C559" s="2"/>
      <c r="D559" s="87"/>
      <c r="E559" s="87"/>
      <c r="F559" s="87"/>
      <c r="G559" s="87"/>
      <c r="H559" s="87"/>
      <c r="I559" s="87"/>
      <c r="J559" s="2"/>
      <c r="K559" s="2"/>
      <c r="M559" s="2"/>
      <c r="N559" s="2"/>
      <c r="O559" s="2"/>
      <c r="P559" s="600"/>
      <c r="Q559" s="2"/>
      <c r="R559" s="2"/>
    </row>
    <row r="560" spans="1:18" ht="15.75" customHeight="1">
      <c r="A560" s="2"/>
      <c r="B560" s="2"/>
      <c r="C560" s="2"/>
      <c r="D560" s="87"/>
      <c r="E560" s="87"/>
      <c r="F560" s="87"/>
      <c r="G560" s="87"/>
      <c r="H560" s="87"/>
      <c r="I560" s="87"/>
      <c r="J560" s="2"/>
      <c r="K560" s="2"/>
      <c r="M560" s="2"/>
      <c r="N560" s="2"/>
      <c r="O560" s="2"/>
      <c r="P560" s="600"/>
      <c r="Q560" s="2"/>
      <c r="R560" s="2"/>
    </row>
    <row r="561" spans="1:18" ht="15.75" customHeight="1">
      <c r="A561" s="2"/>
      <c r="B561" s="2"/>
      <c r="C561" s="2"/>
      <c r="D561" s="87"/>
      <c r="E561" s="87"/>
      <c r="F561" s="87"/>
      <c r="G561" s="87"/>
      <c r="H561" s="87"/>
      <c r="I561" s="87"/>
      <c r="J561" s="2"/>
      <c r="K561" s="2"/>
      <c r="M561" s="2"/>
      <c r="N561" s="2"/>
      <c r="O561" s="2"/>
      <c r="P561" s="600"/>
      <c r="Q561" s="2"/>
      <c r="R561" s="2"/>
    </row>
    <row r="562" spans="1:18" ht="15.75" customHeight="1">
      <c r="A562" s="2"/>
      <c r="B562" s="2"/>
      <c r="C562" s="2"/>
      <c r="D562" s="87"/>
      <c r="E562" s="87"/>
      <c r="F562" s="87"/>
      <c r="G562" s="87"/>
      <c r="H562" s="87"/>
      <c r="I562" s="87"/>
      <c r="J562" s="2"/>
      <c r="K562" s="2"/>
      <c r="M562" s="2"/>
      <c r="N562" s="2"/>
      <c r="O562" s="2"/>
      <c r="P562" s="600"/>
      <c r="Q562" s="2"/>
      <c r="R562" s="2"/>
    </row>
    <row r="563" spans="1:18" ht="15.75" customHeight="1">
      <c r="A563" s="2"/>
      <c r="B563" s="2"/>
      <c r="C563" s="2"/>
      <c r="D563" s="87"/>
      <c r="E563" s="87"/>
      <c r="F563" s="87"/>
      <c r="G563" s="87"/>
      <c r="H563" s="87"/>
      <c r="I563" s="87"/>
      <c r="J563" s="2"/>
      <c r="K563" s="2"/>
      <c r="M563" s="2"/>
      <c r="N563" s="2"/>
      <c r="O563" s="2"/>
      <c r="P563" s="600"/>
      <c r="Q563" s="2"/>
      <c r="R563" s="2"/>
    </row>
    <row r="564" spans="1:18" ht="15.75" customHeight="1">
      <c r="A564" s="2"/>
      <c r="B564" s="2"/>
      <c r="C564" s="2"/>
      <c r="D564" s="87"/>
      <c r="E564" s="87"/>
      <c r="F564" s="87"/>
      <c r="G564" s="87"/>
      <c r="H564" s="87"/>
      <c r="I564" s="87"/>
      <c r="J564" s="2"/>
      <c r="K564" s="2"/>
      <c r="M564" s="2"/>
      <c r="N564" s="2"/>
      <c r="O564" s="2"/>
      <c r="P564" s="600"/>
      <c r="Q564" s="2"/>
      <c r="R564" s="2"/>
    </row>
    <row r="565" spans="1:18" ht="15.75" customHeight="1">
      <c r="A565" s="2"/>
      <c r="B565" s="2"/>
      <c r="C565" s="2"/>
      <c r="D565" s="87"/>
      <c r="E565" s="87"/>
      <c r="F565" s="87"/>
      <c r="G565" s="87"/>
      <c r="H565" s="87"/>
      <c r="I565" s="87"/>
      <c r="J565" s="2"/>
      <c r="K565" s="2"/>
      <c r="M565" s="2"/>
      <c r="N565" s="2"/>
      <c r="O565" s="2"/>
      <c r="P565" s="600"/>
      <c r="Q565" s="2"/>
      <c r="R565" s="2"/>
    </row>
    <row r="566" spans="1:18" ht="15.75" customHeight="1">
      <c r="A566" s="2"/>
      <c r="B566" s="2"/>
      <c r="C566" s="2"/>
      <c r="D566" s="87"/>
      <c r="E566" s="87"/>
      <c r="F566" s="87"/>
      <c r="G566" s="87"/>
      <c r="H566" s="87"/>
      <c r="I566" s="87"/>
      <c r="J566" s="2"/>
      <c r="K566" s="2"/>
      <c r="M566" s="2"/>
      <c r="N566" s="2"/>
      <c r="O566" s="2"/>
      <c r="P566" s="600"/>
      <c r="Q566" s="2"/>
      <c r="R566" s="2"/>
    </row>
    <row r="567" spans="1:18" ht="15.75" customHeight="1">
      <c r="A567" s="2"/>
      <c r="B567" s="2"/>
      <c r="C567" s="2"/>
      <c r="D567" s="87"/>
      <c r="E567" s="87"/>
      <c r="F567" s="87"/>
      <c r="G567" s="87"/>
      <c r="H567" s="87"/>
      <c r="I567" s="87"/>
      <c r="J567" s="2"/>
      <c r="K567" s="2"/>
      <c r="M567" s="2"/>
      <c r="N567" s="2"/>
      <c r="O567" s="2"/>
      <c r="P567" s="600"/>
      <c r="Q567" s="2"/>
      <c r="R567" s="2"/>
    </row>
    <row r="568" spans="1:18" ht="15.75" customHeight="1">
      <c r="A568" s="2"/>
      <c r="B568" s="2"/>
      <c r="C568" s="2"/>
      <c r="D568" s="87"/>
      <c r="E568" s="87"/>
      <c r="F568" s="87"/>
      <c r="G568" s="87"/>
      <c r="H568" s="87"/>
      <c r="I568" s="87"/>
      <c r="J568" s="2"/>
      <c r="K568" s="2"/>
      <c r="M568" s="2"/>
      <c r="N568" s="2"/>
      <c r="O568" s="2"/>
      <c r="P568" s="600"/>
      <c r="Q568" s="2"/>
      <c r="R568" s="2"/>
    </row>
    <row r="569" spans="1:18" ht="15.75" customHeight="1">
      <c r="A569" s="2"/>
      <c r="B569" s="2"/>
      <c r="C569" s="2"/>
      <c r="D569" s="87"/>
      <c r="E569" s="87"/>
      <c r="F569" s="87"/>
      <c r="G569" s="87"/>
      <c r="H569" s="87"/>
      <c r="I569" s="87"/>
      <c r="J569" s="2"/>
      <c r="K569" s="2"/>
      <c r="M569" s="2"/>
      <c r="N569" s="2"/>
      <c r="O569" s="2"/>
      <c r="P569" s="600"/>
      <c r="Q569" s="2"/>
      <c r="R569" s="2"/>
    </row>
    <row r="570" spans="1:18" ht="15.75" customHeight="1">
      <c r="A570" s="2"/>
      <c r="B570" s="2"/>
      <c r="C570" s="2"/>
      <c r="D570" s="87"/>
      <c r="E570" s="87"/>
      <c r="F570" s="87"/>
      <c r="G570" s="87"/>
      <c r="H570" s="87"/>
      <c r="I570" s="87"/>
      <c r="J570" s="2"/>
      <c r="K570" s="2"/>
      <c r="M570" s="2"/>
      <c r="N570" s="2"/>
      <c r="O570" s="2"/>
      <c r="P570" s="600"/>
      <c r="Q570" s="2"/>
      <c r="R570" s="2"/>
    </row>
    <row r="571" spans="1:18" ht="15.75" customHeight="1">
      <c r="A571" s="2"/>
      <c r="B571" s="2"/>
      <c r="C571" s="2"/>
      <c r="D571" s="87"/>
      <c r="E571" s="87"/>
      <c r="F571" s="87"/>
      <c r="G571" s="87"/>
      <c r="H571" s="87"/>
      <c r="I571" s="87"/>
      <c r="J571" s="2"/>
      <c r="K571" s="2"/>
      <c r="M571" s="2"/>
      <c r="N571" s="2"/>
      <c r="O571" s="2"/>
      <c r="P571" s="600"/>
      <c r="Q571" s="2"/>
      <c r="R571" s="2"/>
    </row>
    <row r="572" spans="1:18" ht="15.75" customHeight="1">
      <c r="A572" s="2"/>
      <c r="B572" s="2"/>
      <c r="C572" s="2"/>
      <c r="D572" s="87"/>
      <c r="E572" s="87"/>
      <c r="F572" s="87"/>
      <c r="G572" s="87"/>
      <c r="H572" s="87"/>
      <c r="I572" s="87"/>
      <c r="J572" s="2"/>
      <c r="K572" s="2"/>
      <c r="M572" s="2"/>
      <c r="N572" s="2"/>
      <c r="O572" s="2"/>
      <c r="P572" s="600"/>
      <c r="Q572" s="2"/>
      <c r="R572" s="2"/>
    </row>
    <row r="573" spans="1:18" ht="15.75" customHeight="1">
      <c r="A573" s="2"/>
      <c r="B573" s="2"/>
      <c r="C573" s="2"/>
      <c r="D573" s="87"/>
      <c r="E573" s="87"/>
      <c r="F573" s="87"/>
      <c r="G573" s="87"/>
      <c r="H573" s="87"/>
      <c r="I573" s="87"/>
      <c r="J573" s="2"/>
      <c r="K573" s="2"/>
      <c r="M573" s="2"/>
      <c r="N573" s="2"/>
      <c r="O573" s="2"/>
      <c r="P573" s="600"/>
      <c r="Q573" s="2"/>
      <c r="R573" s="2"/>
    </row>
    <row r="574" spans="1:18" ht="15.75" customHeight="1">
      <c r="A574" s="2"/>
      <c r="B574" s="2"/>
      <c r="C574" s="2"/>
      <c r="D574" s="87"/>
      <c r="E574" s="87"/>
      <c r="F574" s="87"/>
      <c r="G574" s="87"/>
      <c r="H574" s="87"/>
      <c r="I574" s="87"/>
      <c r="J574" s="2"/>
      <c r="K574" s="2"/>
      <c r="M574" s="2"/>
      <c r="N574" s="2"/>
      <c r="O574" s="2"/>
      <c r="P574" s="600"/>
      <c r="Q574" s="2"/>
      <c r="R574" s="2"/>
    </row>
    <row r="575" spans="1:18" ht="15.75" customHeight="1">
      <c r="A575" s="2"/>
      <c r="B575" s="2"/>
      <c r="C575" s="2"/>
      <c r="D575" s="87"/>
      <c r="E575" s="87"/>
      <c r="F575" s="87"/>
      <c r="G575" s="87"/>
      <c r="H575" s="87"/>
      <c r="I575" s="87"/>
      <c r="J575" s="2"/>
      <c r="K575" s="2"/>
      <c r="M575" s="2"/>
      <c r="N575" s="2"/>
      <c r="O575" s="2"/>
      <c r="P575" s="600"/>
      <c r="Q575" s="2"/>
      <c r="R575" s="2"/>
    </row>
    <row r="576" spans="1:18" ht="15.75" customHeight="1">
      <c r="A576" s="2"/>
      <c r="B576" s="2"/>
      <c r="C576" s="2"/>
      <c r="D576" s="87"/>
      <c r="E576" s="87"/>
      <c r="F576" s="87"/>
      <c r="G576" s="87"/>
      <c r="H576" s="87"/>
      <c r="I576" s="87"/>
      <c r="J576" s="2"/>
      <c r="K576" s="2"/>
      <c r="M576" s="2"/>
      <c r="N576" s="2"/>
      <c r="O576" s="2"/>
      <c r="P576" s="600"/>
      <c r="Q576" s="2"/>
      <c r="R576" s="2"/>
    </row>
    <row r="577" spans="1:18" ht="15.75" customHeight="1">
      <c r="A577" s="2"/>
      <c r="B577" s="2"/>
      <c r="C577" s="2"/>
      <c r="D577" s="87"/>
      <c r="E577" s="87"/>
      <c r="F577" s="87"/>
      <c r="G577" s="87"/>
      <c r="H577" s="87"/>
      <c r="I577" s="87"/>
      <c r="J577" s="2"/>
      <c r="K577" s="2"/>
      <c r="M577" s="2"/>
      <c r="N577" s="2"/>
      <c r="O577" s="2"/>
      <c r="P577" s="600"/>
      <c r="Q577" s="2"/>
      <c r="R577" s="2"/>
    </row>
    <row r="578" spans="1:18" ht="15.75" customHeight="1">
      <c r="A578" s="2"/>
      <c r="B578" s="2"/>
      <c r="C578" s="2"/>
      <c r="D578" s="87"/>
      <c r="E578" s="87"/>
      <c r="F578" s="87"/>
      <c r="G578" s="87"/>
      <c r="H578" s="87"/>
      <c r="I578" s="87"/>
      <c r="J578" s="2"/>
      <c r="K578" s="2"/>
      <c r="M578" s="2"/>
      <c r="N578" s="2"/>
      <c r="O578" s="2"/>
      <c r="P578" s="600"/>
      <c r="Q578" s="2"/>
      <c r="R578" s="2"/>
    </row>
    <row r="579" spans="1:18" ht="15.75" customHeight="1">
      <c r="A579" s="2"/>
      <c r="B579" s="2"/>
      <c r="C579" s="2"/>
      <c r="D579" s="87"/>
      <c r="E579" s="87"/>
      <c r="F579" s="87"/>
      <c r="G579" s="87"/>
      <c r="H579" s="87"/>
      <c r="I579" s="87"/>
      <c r="J579" s="2"/>
      <c r="K579" s="2"/>
      <c r="M579" s="2"/>
      <c r="N579" s="2"/>
      <c r="O579" s="2"/>
      <c r="P579" s="600"/>
      <c r="Q579" s="2"/>
      <c r="R579" s="2"/>
    </row>
    <row r="580" spans="1:18" ht="15.75" customHeight="1">
      <c r="A580" s="2"/>
      <c r="B580" s="2"/>
      <c r="C580" s="2"/>
      <c r="D580" s="87"/>
      <c r="E580" s="87"/>
      <c r="F580" s="87"/>
      <c r="G580" s="87"/>
      <c r="H580" s="87"/>
      <c r="I580" s="87"/>
      <c r="J580" s="2"/>
      <c r="K580" s="2"/>
      <c r="M580" s="2"/>
      <c r="N580" s="2"/>
      <c r="O580" s="2"/>
      <c r="P580" s="600"/>
      <c r="Q580" s="2"/>
      <c r="R580" s="2"/>
    </row>
    <row r="581" spans="1:18" ht="15.75" customHeight="1">
      <c r="A581" s="2"/>
      <c r="B581" s="2"/>
      <c r="C581" s="2"/>
      <c r="D581" s="87"/>
      <c r="E581" s="87"/>
      <c r="F581" s="87"/>
      <c r="G581" s="87"/>
      <c r="H581" s="87"/>
      <c r="I581" s="87"/>
      <c r="J581" s="2"/>
      <c r="K581" s="2"/>
      <c r="M581" s="2"/>
      <c r="N581" s="2"/>
      <c r="O581" s="2"/>
      <c r="P581" s="600"/>
      <c r="Q581" s="2"/>
      <c r="R581" s="2"/>
    </row>
    <row r="582" spans="1:18" ht="15.75" customHeight="1">
      <c r="A582" s="2"/>
      <c r="B582" s="2"/>
      <c r="C582" s="2"/>
      <c r="D582" s="87"/>
      <c r="E582" s="87"/>
      <c r="F582" s="87"/>
      <c r="G582" s="87"/>
      <c r="H582" s="87"/>
      <c r="I582" s="87"/>
      <c r="J582" s="2"/>
      <c r="K582" s="2"/>
      <c r="M582" s="2"/>
      <c r="N582" s="2"/>
      <c r="O582" s="2"/>
      <c r="P582" s="600"/>
      <c r="Q582" s="2"/>
      <c r="R582" s="2"/>
    </row>
    <row r="583" spans="1:18" ht="15.75" customHeight="1">
      <c r="A583" s="2"/>
      <c r="B583" s="2"/>
      <c r="C583" s="2"/>
      <c r="D583" s="87"/>
      <c r="E583" s="87"/>
      <c r="F583" s="87"/>
      <c r="G583" s="87"/>
      <c r="H583" s="87"/>
      <c r="I583" s="87"/>
      <c r="J583" s="2"/>
      <c r="K583" s="2"/>
      <c r="M583" s="2"/>
      <c r="N583" s="2"/>
      <c r="O583" s="2"/>
      <c r="P583" s="600"/>
      <c r="Q583" s="2"/>
      <c r="R583" s="2"/>
    </row>
    <row r="584" spans="1:18" ht="15.75" customHeight="1">
      <c r="A584" s="2"/>
      <c r="B584" s="2"/>
      <c r="C584" s="2"/>
      <c r="D584" s="87"/>
      <c r="E584" s="87"/>
      <c r="F584" s="87"/>
      <c r="G584" s="87"/>
      <c r="H584" s="87"/>
      <c r="I584" s="87"/>
      <c r="J584" s="2"/>
      <c r="K584" s="2"/>
      <c r="M584" s="2"/>
      <c r="N584" s="2"/>
      <c r="O584" s="2"/>
      <c r="P584" s="600"/>
      <c r="Q584" s="2"/>
      <c r="R584" s="2"/>
    </row>
    <row r="585" spans="1:18" ht="15.75" customHeight="1">
      <c r="A585" s="2"/>
      <c r="B585" s="2"/>
      <c r="C585" s="2"/>
      <c r="D585" s="87"/>
      <c r="E585" s="87"/>
      <c r="F585" s="87"/>
      <c r="G585" s="87"/>
      <c r="H585" s="87"/>
      <c r="I585" s="87"/>
      <c r="J585" s="2"/>
      <c r="K585" s="2"/>
      <c r="M585" s="2"/>
      <c r="N585" s="2"/>
      <c r="O585" s="2"/>
      <c r="P585" s="600"/>
      <c r="Q585" s="2"/>
      <c r="R585" s="2"/>
    </row>
    <row r="586" spans="1:18" ht="15.75" customHeight="1">
      <c r="A586" s="2"/>
      <c r="B586" s="2"/>
      <c r="C586" s="2"/>
      <c r="D586" s="87"/>
      <c r="E586" s="87"/>
      <c r="F586" s="87"/>
      <c r="G586" s="87"/>
      <c r="H586" s="87"/>
      <c r="I586" s="87"/>
      <c r="J586" s="2"/>
      <c r="K586" s="2"/>
      <c r="M586" s="2"/>
      <c r="N586" s="2"/>
      <c r="O586" s="2"/>
      <c r="P586" s="600"/>
      <c r="Q586" s="2"/>
      <c r="R586" s="2"/>
    </row>
    <row r="587" spans="1:18" ht="15.75" customHeight="1">
      <c r="A587" s="2"/>
      <c r="B587" s="2"/>
      <c r="C587" s="2"/>
      <c r="D587" s="87"/>
      <c r="E587" s="87"/>
      <c r="F587" s="87"/>
      <c r="G587" s="87"/>
      <c r="H587" s="87"/>
      <c r="I587" s="87"/>
      <c r="J587" s="2"/>
      <c r="K587" s="2"/>
      <c r="M587" s="2"/>
      <c r="N587" s="2"/>
      <c r="O587" s="2"/>
      <c r="P587" s="600"/>
      <c r="Q587" s="2"/>
      <c r="R587" s="2"/>
    </row>
    <row r="588" spans="1:18" ht="15.75" customHeight="1">
      <c r="A588" s="2"/>
      <c r="B588" s="2"/>
      <c r="C588" s="2"/>
      <c r="D588" s="87"/>
      <c r="E588" s="87"/>
      <c r="F588" s="87"/>
      <c r="G588" s="87"/>
      <c r="H588" s="87"/>
      <c r="I588" s="87"/>
      <c r="J588" s="2"/>
      <c r="K588" s="2"/>
      <c r="M588" s="2"/>
      <c r="N588" s="2"/>
      <c r="O588" s="2"/>
      <c r="P588" s="600"/>
      <c r="Q588" s="2"/>
      <c r="R588" s="2"/>
    </row>
    <row r="589" spans="1:18" ht="15.75" customHeight="1">
      <c r="A589" s="2"/>
      <c r="B589" s="2"/>
      <c r="C589" s="2"/>
      <c r="D589" s="87"/>
      <c r="E589" s="87"/>
      <c r="F589" s="87"/>
      <c r="G589" s="87"/>
      <c r="H589" s="87"/>
      <c r="I589" s="87"/>
      <c r="J589" s="2"/>
      <c r="K589" s="2"/>
      <c r="M589" s="2"/>
      <c r="N589" s="2"/>
      <c r="O589" s="2"/>
      <c r="P589" s="600"/>
      <c r="Q589" s="2"/>
      <c r="R589" s="2"/>
    </row>
    <row r="590" spans="1:18" ht="15.75" customHeight="1">
      <c r="A590" s="2"/>
      <c r="B590" s="2"/>
      <c r="C590" s="2"/>
      <c r="D590" s="87"/>
      <c r="E590" s="87"/>
      <c r="F590" s="87"/>
      <c r="G590" s="87"/>
      <c r="H590" s="87"/>
      <c r="I590" s="87"/>
      <c r="J590" s="2"/>
      <c r="K590" s="2"/>
      <c r="M590" s="2"/>
      <c r="N590" s="2"/>
      <c r="O590" s="2"/>
      <c r="P590" s="600"/>
      <c r="Q590" s="2"/>
      <c r="R590" s="2"/>
    </row>
    <row r="591" spans="1:18" ht="15.75" customHeight="1">
      <c r="A591" s="2"/>
      <c r="B591" s="2"/>
      <c r="C591" s="2"/>
      <c r="D591" s="87"/>
      <c r="E591" s="87"/>
      <c r="F591" s="87"/>
      <c r="G591" s="87"/>
      <c r="H591" s="87"/>
      <c r="I591" s="87"/>
      <c r="J591" s="2"/>
      <c r="K591" s="2"/>
      <c r="M591" s="2"/>
      <c r="N591" s="2"/>
      <c r="O591" s="2"/>
      <c r="P591" s="600"/>
      <c r="Q591" s="2"/>
      <c r="R591" s="2"/>
    </row>
    <row r="592" spans="1:18" ht="15.75" customHeight="1">
      <c r="A592" s="2"/>
      <c r="B592" s="2"/>
      <c r="C592" s="2"/>
      <c r="D592" s="87"/>
      <c r="E592" s="87"/>
      <c r="F592" s="87"/>
      <c r="G592" s="87"/>
      <c r="H592" s="87"/>
      <c r="I592" s="87"/>
      <c r="J592" s="2"/>
      <c r="K592" s="2"/>
      <c r="M592" s="2"/>
      <c r="N592" s="2"/>
      <c r="O592" s="2"/>
      <c r="P592" s="600"/>
      <c r="Q592" s="2"/>
      <c r="R592" s="2"/>
    </row>
    <row r="593" spans="1:18" ht="15.75" customHeight="1">
      <c r="A593" s="2"/>
      <c r="B593" s="2"/>
      <c r="C593" s="2"/>
      <c r="D593" s="87"/>
      <c r="E593" s="87"/>
      <c r="F593" s="87"/>
      <c r="G593" s="87"/>
      <c r="H593" s="87"/>
      <c r="I593" s="87"/>
      <c r="J593" s="2"/>
      <c r="K593" s="2"/>
      <c r="M593" s="2"/>
      <c r="N593" s="2"/>
      <c r="O593" s="2"/>
      <c r="P593" s="600"/>
      <c r="Q593" s="2"/>
      <c r="R593" s="2"/>
    </row>
    <row r="594" spans="1:18" ht="15.75" customHeight="1">
      <c r="A594" s="2"/>
      <c r="B594" s="2"/>
      <c r="C594" s="2"/>
      <c r="D594" s="87"/>
      <c r="E594" s="87"/>
      <c r="F594" s="87"/>
      <c r="G594" s="87"/>
      <c r="H594" s="87"/>
      <c r="I594" s="87"/>
      <c r="J594" s="2"/>
      <c r="K594" s="2"/>
      <c r="M594" s="2"/>
      <c r="N594" s="2"/>
      <c r="O594" s="2"/>
      <c r="P594" s="600"/>
      <c r="Q594" s="2"/>
      <c r="R594" s="2"/>
    </row>
    <row r="595" spans="1:18" ht="15.75" customHeight="1">
      <c r="A595" s="2"/>
      <c r="B595" s="2"/>
      <c r="C595" s="2"/>
      <c r="D595" s="87"/>
      <c r="E595" s="87"/>
      <c r="F595" s="87"/>
      <c r="G595" s="87"/>
      <c r="H595" s="87"/>
      <c r="I595" s="87"/>
      <c r="J595" s="2"/>
      <c r="K595" s="2"/>
      <c r="M595" s="2"/>
      <c r="N595" s="2"/>
      <c r="O595" s="2"/>
      <c r="P595" s="600"/>
      <c r="Q595" s="2"/>
      <c r="R595" s="2"/>
    </row>
    <row r="596" spans="1:18" ht="15.75" customHeight="1">
      <c r="A596" s="2"/>
      <c r="B596" s="2"/>
      <c r="C596" s="2"/>
      <c r="D596" s="87"/>
      <c r="E596" s="87"/>
      <c r="F596" s="87"/>
      <c r="G596" s="87"/>
      <c r="H596" s="87"/>
      <c r="I596" s="87"/>
      <c r="J596" s="2"/>
      <c r="K596" s="2"/>
      <c r="M596" s="2"/>
      <c r="N596" s="2"/>
      <c r="O596" s="2"/>
      <c r="P596" s="600"/>
      <c r="Q596" s="2"/>
      <c r="R596" s="2"/>
    </row>
    <row r="597" spans="1:18" ht="15.75" customHeight="1">
      <c r="A597" s="2"/>
      <c r="B597" s="2"/>
      <c r="C597" s="2"/>
      <c r="D597" s="87"/>
      <c r="E597" s="87"/>
      <c r="F597" s="87"/>
      <c r="G597" s="87"/>
      <c r="H597" s="87"/>
      <c r="I597" s="87"/>
      <c r="J597" s="2"/>
      <c r="K597" s="2"/>
      <c r="M597" s="2"/>
      <c r="N597" s="2"/>
      <c r="O597" s="2"/>
      <c r="P597" s="600"/>
      <c r="Q597" s="2"/>
      <c r="R597" s="2"/>
    </row>
    <row r="598" spans="1:18" ht="15.75" customHeight="1">
      <c r="A598" s="2"/>
      <c r="B598" s="2"/>
      <c r="C598" s="2"/>
      <c r="D598" s="87"/>
      <c r="E598" s="87"/>
      <c r="F598" s="87"/>
      <c r="G598" s="87"/>
      <c r="H598" s="87"/>
      <c r="I598" s="87"/>
      <c r="J598" s="2"/>
      <c r="K598" s="2"/>
      <c r="M598" s="2"/>
      <c r="N598" s="2"/>
      <c r="O598" s="2"/>
      <c r="P598" s="600"/>
      <c r="Q598" s="2"/>
      <c r="R598" s="2"/>
    </row>
    <row r="599" spans="1:18" ht="15.75" customHeight="1">
      <c r="A599" s="2"/>
      <c r="B599" s="2"/>
      <c r="C599" s="2"/>
      <c r="D599" s="87"/>
      <c r="E599" s="87"/>
      <c r="F599" s="87"/>
      <c r="G599" s="87"/>
      <c r="H599" s="87"/>
      <c r="I599" s="87"/>
      <c r="J599" s="2"/>
      <c r="K599" s="2"/>
      <c r="M599" s="2"/>
      <c r="N599" s="2"/>
      <c r="O599" s="2"/>
      <c r="P599" s="600"/>
      <c r="Q599" s="2"/>
      <c r="R599" s="2"/>
    </row>
    <row r="600" spans="1:18" ht="15.75" customHeight="1">
      <c r="A600" s="2"/>
      <c r="B600" s="2"/>
      <c r="C600" s="2"/>
      <c r="D600" s="87"/>
      <c r="E600" s="87"/>
      <c r="F600" s="87"/>
      <c r="G600" s="87"/>
      <c r="H600" s="87"/>
      <c r="I600" s="87"/>
      <c r="J600" s="2"/>
      <c r="K600" s="2"/>
      <c r="M600" s="2"/>
      <c r="N600" s="2"/>
      <c r="O600" s="2"/>
      <c r="P600" s="600"/>
      <c r="Q600" s="2"/>
      <c r="R600" s="2"/>
    </row>
    <row r="601" spans="1:18" ht="15.75" customHeight="1">
      <c r="A601" s="2"/>
      <c r="B601" s="2"/>
      <c r="C601" s="2"/>
      <c r="D601" s="87"/>
      <c r="E601" s="87"/>
      <c r="F601" s="87"/>
      <c r="G601" s="87"/>
      <c r="H601" s="87"/>
      <c r="I601" s="87"/>
      <c r="J601" s="2"/>
      <c r="K601" s="2"/>
      <c r="M601" s="2"/>
      <c r="N601" s="2"/>
      <c r="O601" s="2"/>
      <c r="P601" s="600"/>
      <c r="Q601" s="2"/>
      <c r="R601" s="2"/>
    </row>
    <row r="602" spans="1:18" ht="15.75" customHeight="1">
      <c r="A602" s="2"/>
      <c r="B602" s="2"/>
      <c r="C602" s="2"/>
      <c r="D602" s="87"/>
      <c r="E602" s="87"/>
      <c r="F602" s="87"/>
      <c r="G602" s="87"/>
      <c r="H602" s="87"/>
      <c r="I602" s="87"/>
      <c r="J602" s="2"/>
      <c r="K602" s="2"/>
      <c r="M602" s="2"/>
      <c r="N602" s="2"/>
      <c r="O602" s="2"/>
      <c r="P602" s="600"/>
      <c r="Q602" s="2"/>
      <c r="R602" s="2"/>
    </row>
    <row r="603" spans="1:18" ht="15.75" customHeight="1">
      <c r="A603" s="2"/>
      <c r="B603" s="2"/>
      <c r="C603" s="2"/>
      <c r="D603" s="87"/>
      <c r="E603" s="87"/>
      <c r="F603" s="87"/>
      <c r="G603" s="87"/>
      <c r="H603" s="87"/>
      <c r="I603" s="87"/>
      <c r="J603" s="2"/>
      <c r="K603" s="2"/>
      <c r="M603" s="2"/>
      <c r="N603" s="2"/>
      <c r="O603" s="2"/>
      <c r="P603" s="600"/>
      <c r="Q603" s="2"/>
      <c r="R603" s="2"/>
    </row>
    <row r="604" spans="1:18" ht="15.75" customHeight="1">
      <c r="A604" s="2"/>
      <c r="B604" s="2"/>
      <c r="C604" s="2"/>
      <c r="D604" s="87"/>
      <c r="E604" s="87"/>
      <c r="F604" s="87"/>
      <c r="G604" s="87"/>
      <c r="H604" s="87"/>
      <c r="I604" s="87"/>
      <c r="J604" s="2"/>
      <c r="K604" s="2"/>
      <c r="M604" s="2"/>
      <c r="N604" s="2"/>
      <c r="O604" s="2"/>
      <c r="P604" s="600"/>
      <c r="Q604" s="2"/>
      <c r="R604" s="2"/>
    </row>
    <row r="605" spans="1:18" ht="15.75" customHeight="1">
      <c r="A605" s="2"/>
      <c r="B605" s="2"/>
      <c r="C605" s="2"/>
      <c r="D605" s="87"/>
      <c r="E605" s="87"/>
      <c r="F605" s="87"/>
      <c r="G605" s="87"/>
      <c r="H605" s="87"/>
      <c r="I605" s="87"/>
      <c r="J605" s="2"/>
      <c r="K605" s="2"/>
      <c r="M605" s="2"/>
      <c r="N605" s="2"/>
      <c r="O605" s="2"/>
      <c r="P605" s="600"/>
      <c r="Q605" s="2"/>
      <c r="R605" s="2"/>
    </row>
    <row r="606" spans="1:18" ht="15.75" customHeight="1">
      <c r="A606" s="2"/>
      <c r="B606" s="2"/>
      <c r="C606" s="2"/>
      <c r="D606" s="87"/>
      <c r="E606" s="87"/>
      <c r="F606" s="87"/>
      <c r="G606" s="87"/>
      <c r="H606" s="87"/>
      <c r="I606" s="87"/>
      <c r="J606" s="2"/>
      <c r="K606" s="2"/>
      <c r="M606" s="2"/>
      <c r="N606" s="2"/>
      <c r="O606" s="2"/>
      <c r="P606" s="600"/>
      <c r="Q606" s="2"/>
      <c r="R606" s="2"/>
    </row>
    <row r="607" spans="1:18" ht="15.75" customHeight="1">
      <c r="A607" s="2"/>
      <c r="B607" s="2"/>
      <c r="C607" s="2"/>
      <c r="D607" s="87"/>
      <c r="E607" s="87"/>
      <c r="F607" s="87"/>
      <c r="G607" s="87"/>
      <c r="H607" s="87"/>
      <c r="I607" s="87"/>
      <c r="J607" s="2"/>
      <c r="K607" s="2"/>
      <c r="M607" s="2"/>
      <c r="N607" s="2"/>
      <c r="O607" s="2"/>
      <c r="P607" s="600"/>
      <c r="Q607" s="2"/>
      <c r="R607" s="2"/>
    </row>
    <row r="608" spans="1:18" ht="15.75" customHeight="1">
      <c r="A608" s="2"/>
      <c r="B608" s="2"/>
      <c r="C608" s="2"/>
      <c r="D608" s="87"/>
      <c r="E608" s="87"/>
      <c r="F608" s="87"/>
      <c r="G608" s="87"/>
      <c r="H608" s="87"/>
      <c r="I608" s="87"/>
      <c r="J608" s="2"/>
      <c r="K608" s="2"/>
      <c r="M608" s="2"/>
      <c r="N608" s="2"/>
      <c r="O608" s="2"/>
      <c r="P608" s="600"/>
      <c r="Q608" s="2"/>
      <c r="R608" s="2"/>
    </row>
    <row r="609" spans="1:18" ht="15.75" customHeight="1">
      <c r="A609" s="2"/>
      <c r="B609" s="2"/>
      <c r="C609" s="2"/>
      <c r="D609" s="87"/>
      <c r="E609" s="87"/>
      <c r="F609" s="87"/>
      <c r="G609" s="87"/>
      <c r="H609" s="87"/>
      <c r="I609" s="87"/>
      <c r="J609" s="2"/>
      <c r="K609" s="2"/>
      <c r="M609" s="2"/>
      <c r="N609" s="2"/>
      <c r="O609" s="2"/>
      <c r="P609" s="600"/>
      <c r="Q609" s="2"/>
      <c r="R609" s="2"/>
    </row>
    <row r="610" spans="1:18" ht="15.75" customHeight="1">
      <c r="A610" s="2"/>
      <c r="B610" s="2"/>
      <c r="C610" s="2"/>
      <c r="D610" s="87"/>
      <c r="E610" s="87"/>
      <c r="F610" s="87"/>
      <c r="G610" s="87"/>
      <c r="H610" s="87"/>
      <c r="I610" s="87"/>
      <c r="J610" s="2"/>
      <c r="K610" s="2"/>
      <c r="M610" s="2"/>
      <c r="N610" s="2"/>
      <c r="O610" s="2"/>
      <c r="P610" s="600"/>
      <c r="Q610" s="2"/>
      <c r="R610" s="2"/>
    </row>
    <row r="611" spans="1:18" ht="15.75" customHeight="1">
      <c r="A611" s="2"/>
      <c r="B611" s="2"/>
      <c r="C611" s="2"/>
      <c r="D611" s="87"/>
      <c r="E611" s="87"/>
      <c r="F611" s="87"/>
      <c r="G611" s="87"/>
      <c r="H611" s="87"/>
      <c r="I611" s="87"/>
      <c r="J611" s="2"/>
      <c r="K611" s="2"/>
      <c r="M611" s="2"/>
      <c r="N611" s="2"/>
      <c r="O611" s="2"/>
      <c r="P611" s="600"/>
      <c r="Q611" s="2"/>
      <c r="R611" s="2"/>
    </row>
    <row r="612" spans="1:18" ht="15.75" customHeight="1">
      <c r="A612" s="2"/>
      <c r="B612" s="2"/>
      <c r="C612" s="2"/>
      <c r="D612" s="87"/>
      <c r="E612" s="87"/>
      <c r="F612" s="87"/>
      <c r="G612" s="87"/>
      <c r="H612" s="87"/>
      <c r="I612" s="87"/>
      <c r="J612" s="2"/>
      <c r="K612" s="2"/>
      <c r="M612" s="2"/>
      <c r="N612" s="2"/>
      <c r="O612" s="2"/>
      <c r="P612" s="600"/>
      <c r="Q612" s="2"/>
      <c r="R612" s="2"/>
    </row>
    <row r="613" spans="1:18" ht="15.75" customHeight="1">
      <c r="A613" s="2"/>
      <c r="B613" s="2"/>
      <c r="C613" s="2"/>
      <c r="D613" s="87"/>
      <c r="E613" s="87"/>
      <c r="F613" s="87"/>
      <c r="G613" s="87"/>
      <c r="H613" s="87"/>
      <c r="I613" s="87"/>
      <c r="J613" s="2"/>
      <c r="K613" s="2"/>
      <c r="M613" s="2"/>
      <c r="N613" s="2"/>
      <c r="O613" s="2"/>
      <c r="P613" s="600"/>
      <c r="Q613" s="2"/>
      <c r="R613" s="2"/>
    </row>
    <row r="614" spans="1:18" ht="15.75" customHeight="1">
      <c r="A614" s="2"/>
      <c r="B614" s="2"/>
      <c r="C614" s="2"/>
      <c r="D614" s="87"/>
      <c r="E614" s="87"/>
      <c r="F614" s="87"/>
      <c r="G614" s="87"/>
      <c r="H614" s="87"/>
      <c r="I614" s="87"/>
      <c r="J614" s="2"/>
      <c r="K614" s="2"/>
      <c r="M614" s="2"/>
      <c r="N614" s="2"/>
      <c r="O614" s="2"/>
      <c r="P614" s="600"/>
      <c r="Q614" s="2"/>
      <c r="R614" s="2"/>
    </row>
    <row r="615" spans="1:18" ht="15.75" customHeight="1">
      <c r="A615" s="2"/>
      <c r="B615" s="2"/>
      <c r="C615" s="2"/>
      <c r="D615" s="87"/>
      <c r="E615" s="87"/>
      <c r="F615" s="87"/>
      <c r="G615" s="87"/>
      <c r="H615" s="87"/>
      <c r="I615" s="87"/>
      <c r="J615" s="2"/>
      <c r="K615" s="2"/>
      <c r="M615" s="2"/>
      <c r="N615" s="2"/>
      <c r="O615" s="2"/>
      <c r="P615" s="600"/>
      <c r="Q615" s="2"/>
      <c r="R615" s="2"/>
    </row>
    <row r="616" spans="1:18" ht="15.75" customHeight="1">
      <c r="A616" s="2"/>
      <c r="B616" s="2"/>
      <c r="C616" s="2"/>
      <c r="D616" s="87"/>
      <c r="E616" s="87"/>
      <c r="F616" s="87"/>
      <c r="G616" s="87"/>
      <c r="H616" s="87"/>
      <c r="I616" s="87"/>
      <c r="J616" s="2"/>
      <c r="K616" s="2"/>
      <c r="M616" s="2"/>
      <c r="N616" s="2"/>
      <c r="O616" s="2"/>
      <c r="P616" s="600"/>
      <c r="Q616" s="2"/>
      <c r="R616" s="2"/>
    </row>
    <row r="617" spans="1:18" ht="15.75" customHeight="1">
      <c r="A617" s="2"/>
      <c r="B617" s="2"/>
      <c r="C617" s="2"/>
      <c r="D617" s="87"/>
      <c r="E617" s="87"/>
      <c r="F617" s="87"/>
      <c r="G617" s="87"/>
      <c r="H617" s="87"/>
      <c r="I617" s="87"/>
      <c r="J617" s="2"/>
      <c r="K617" s="2"/>
      <c r="M617" s="2"/>
      <c r="N617" s="2"/>
      <c r="O617" s="2"/>
      <c r="P617" s="600"/>
      <c r="Q617" s="2"/>
      <c r="R617" s="2"/>
    </row>
    <row r="618" spans="1:18" ht="15.75" customHeight="1">
      <c r="A618" s="2"/>
      <c r="B618" s="2"/>
      <c r="C618" s="2"/>
      <c r="D618" s="87"/>
      <c r="E618" s="87"/>
      <c r="F618" s="87"/>
      <c r="G618" s="87"/>
      <c r="H618" s="87"/>
      <c r="I618" s="87"/>
      <c r="J618" s="2"/>
      <c r="K618" s="2"/>
      <c r="M618" s="2"/>
      <c r="N618" s="2"/>
      <c r="O618" s="2"/>
      <c r="P618" s="600"/>
      <c r="Q618" s="2"/>
      <c r="R618" s="2"/>
    </row>
    <row r="619" spans="1:18" ht="15.75" customHeight="1">
      <c r="A619" s="2"/>
      <c r="B619" s="2"/>
      <c r="C619" s="2"/>
      <c r="D619" s="87"/>
      <c r="E619" s="87"/>
      <c r="F619" s="87"/>
      <c r="G619" s="87"/>
      <c r="H619" s="87"/>
      <c r="I619" s="87"/>
      <c r="J619" s="2"/>
      <c r="K619" s="2"/>
      <c r="M619" s="2"/>
      <c r="N619" s="2"/>
      <c r="O619" s="2"/>
      <c r="P619" s="600"/>
      <c r="Q619" s="2"/>
      <c r="R619" s="2"/>
    </row>
    <row r="620" spans="1:18" ht="15.75" customHeight="1">
      <c r="A620" s="2"/>
      <c r="B620" s="2"/>
      <c r="C620" s="2"/>
      <c r="D620" s="87"/>
      <c r="E620" s="87"/>
      <c r="F620" s="87"/>
      <c r="G620" s="87"/>
      <c r="H620" s="87"/>
      <c r="I620" s="87"/>
      <c r="J620" s="2"/>
      <c r="K620" s="2"/>
      <c r="M620" s="2"/>
      <c r="N620" s="2"/>
      <c r="O620" s="2"/>
      <c r="P620" s="600"/>
      <c r="Q620" s="2"/>
      <c r="R620" s="2"/>
    </row>
    <row r="621" spans="1:18" ht="15.75" customHeight="1">
      <c r="A621" s="2"/>
      <c r="B621" s="2"/>
      <c r="C621" s="2"/>
      <c r="D621" s="87"/>
      <c r="E621" s="87"/>
      <c r="F621" s="87"/>
      <c r="G621" s="87"/>
      <c r="H621" s="87"/>
      <c r="I621" s="87"/>
      <c r="J621" s="2"/>
      <c r="K621" s="2"/>
      <c r="M621" s="2"/>
      <c r="N621" s="2"/>
      <c r="O621" s="2"/>
      <c r="P621" s="600"/>
      <c r="Q621" s="2"/>
      <c r="R621" s="2"/>
    </row>
    <row r="622" spans="1:18" ht="15.75" customHeight="1">
      <c r="A622" s="2"/>
      <c r="B622" s="2"/>
      <c r="C622" s="2"/>
      <c r="D622" s="87"/>
      <c r="E622" s="87"/>
      <c r="F622" s="87"/>
      <c r="G622" s="87"/>
      <c r="H622" s="87"/>
      <c r="I622" s="87"/>
      <c r="J622" s="2"/>
      <c r="K622" s="2"/>
      <c r="M622" s="2"/>
      <c r="N622" s="2"/>
      <c r="O622" s="2"/>
      <c r="P622" s="600"/>
      <c r="Q622" s="2"/>
      <c r="R622" s="2"/>
    </row>
    <row r="623" spans="1:18" ht="15.75" customHeight="1">
      <c r="A623" s="2"/>
      <c r="B623" s="2"/>
      <c r="C623" s="2"/>
      <c r="D623" s="87"/>
      <c r="E623" s="87"/>
      <c r="F623" s="87"/>
      <c r="G623" s="87"/>
      <c r="H623" s="87"/>
      <c r="I623" s="87"/>
      <c r="J623" s="2"/>
      <c r="K623" s="2"/>
      <c r="M623" s="2"/>
      <c r="N623" s="2"/>
      <c r="O623" s="2"/>
      <c r="P623" s="600"/>
      <c r="Q623" s="2"/>
      <c r="R623" s="2"/>
    </row>
    <row r="624" spans="1:18" ht="15.75" customHeight="1">
      <c r="A624" s="2"/>
      <c r="B624" s="2"/>
      <c r="C624" s="2"/>
      <c r="D624" s="87"/>
      <c r="E624" s="87"/>
      <c r="F624" s="87"/>
      <c r="G624" s="87"/>
      <c r="H624" s="87"/>
      <c r="I624" s="87"/>
      <c r="J624" s="2"/>
      <c r="K624" s="2"/>
      <c r="M624" s="2"/>
      <c r="N624" s="2"/>
      <c r="O624" s="2"/>
      <c r="P624" s="600"/>
      <c r="Q624" s="2"/>
      <c r="R624" s="2"/>
    </row>
    <row r="625" spans="1:18" ht="15.75" customHeight="1">
      <c r="A625" s="2"/>
      <c r="B625" s="2"/>
      <c r="C625" s="2"/>
      <c r="D625" s="87"/>
      <c r="E625" s="87"/>
      <c r="F625" s="87"/>
      <c r="G625" s="87"/>
      <c r="H625" s="87"/>
      <c r="I625" s="87"/>
      <c r="J625" s="2"/>
      <c r="K625" s="2"/>
      <c r="M625" s="2"/>
      <c r="N625" s="2"/>
      <c r="O625" s="2"/>
      <c r="P625" s="600"/>
      <c r="Q625" s="2"/>
      <c r="R625" s="2"/>
    </row>
    <row r="626" spans="1:18" ht="15.75" customHeight="1">
      <c r="A626" s="2"/>
      <c r="B626" s="2"/>
      <c r="C626" s="2"/>
      <c r="D626" s="87"/>
      <c r="E626" s="87"/>
      <c r="F626" s="87"/>
      <c r="G626" s="87"/>
      <c r="H626" s="87"/>
      <c r="I626" s="87"/>
      <c r="J626" s="2"/>
      <c r="K626" s="2"/>
      <c r="M626" s="2"/>
      <c r="N626" s="2"/>
      <c r="O626" s="2"/>
      <c r="P626" s="600"/>
      <c r="Q626" s="2"/>
      <c r="R626" s="2"/>
    </row>
    <row r="627" spans="1:18" ht="15.75" customHeight="1">
      <c r="A627" s="2"/>
      <c r="B627" s="2"/>
      <c r="C627" s="2"/>
      <c r="D627" s="87"/>
      <c r="E627" s="87"/>
      <c r="F627" s="87"/>
      <c r="G627" s="87"/>
      <c r="H627" s="87"/>
      <c r="I627" s="87"/>
      <c r="J627" s="2"/>
      <c r="K627" s="2"/>
      <c r="M627" s="2"/>
      <c r="N627" s="2"/>
      <c r="O627" s="2"/>
      <c r="P627" s="600"/>
      <c r="Q627" s="2"/>
      <c r="R627" s="2"/>
    </row>
    <row r="628" spans="1:18" ht="15.75" customHeight="1">
      <c r="A628" s="2"/>
      <c r="B628" s="2"/>
      <c r="C628" s="2"/>
      <c r="D628" s="87"/>
      <c r="E628" s="87"/>
      <c r="F628" s="87"/>
      <c r="G628" s="87"/>
      <c r="H628" s="87"/>
      <c r="I628" s="87"/>
      <c r="J628" s="2"/>
      <c r="K628" s="2"/>
      <c r="M628" s="2"/>
      <c r="N628" s="2"/>
      <c r="O628" s="2"/>
      <c r="P628" s="600"/>
      <c r="Q628" s="2"/>
      <c r="R628" s="2"/>
    </row>
    <row r="629" spans="1:18" ht="15.75" customHeight="1">
      <c r="A629" s="2"/>
      <c r="B629" s="2"/>
      <c r="C629" s="2"/>
      <c r="D629" s="87"/>
      <c r="E629" s="87"/>
      <c r="F629" s="87"/>
      <c r="G629" s="87"/>
      <c r="H629" s="87"/>
      <c r="I629" s="87"/>
      <c r="J629" s="2"/>
      <c r="K629" s="2"/>
      <c r="M629" s="2"/>
      <c r="N629" s="2"/>
      <c r="O629" s="2"/>
      <c r="P629" s="600"/>
      <c r="Q629" s="2"/>
      <c r="R629" s="2"/>
    </row>
    <row r="630" spans="1:18" ht="15.75" customHeight="1">
      <c r="A630" s="2"/>
      <c r="B630" s="2"/>
      <c r="C630" s="2"/>
      <c r="D630" s="87"/>
      <c r="E630" s="87"/>
      <c r="F630" s="87"/>
      <c r="G630" s="87"/>
      <c r="H630" s="87"/>
      <c r="I630" s="87"/>
      <c r="J630" s="2"/>
      <c r="K630" s="2"/>
      <c r="M630" s="2"/>
      <c r="N630" s="2"/>
      <c r="O630" s="2"/>
      <c r="P630" s="600"/>
      <c r="Q630" s="2"/>
      <c r="R630" s="2"/>
    </row>
    <row r="631" spans="1:18" ht="15.75" customHeight="1">
      <c r="A631" s="2"/>
      <c r="B631" s="2"/>
      <c r="C631" s="2"/>
      <c r="D631" s="87"/>
      <c r="E631" s="87"/>
      <c r="F631" s="87"/>
      <c r="G631" s="87"/>
      <c r="H631" s="87"/>
      <c r="I631" s="87"/>
      <c r="J631" s="2"/>
      <c r="K631" s="2"/>
      <c r="M631" s="2"/>
      <c r="N631" s="2"/>
      <c r="O631" s="2"/>
      <c r="P631" s="600"/>
      <c r="Q631" s="2"/>
      <c r="R631" s="2"/>
    </row>
    <row r="632" spans="1:18" ht="15.75" customHeight="1">
      <c r="A632" s="2"/>
      <c r="B632" s="2"/>
      <c r="C632" s="2"/>
      <c r="D632" s="87"/>
      <c r="E632" s="87"/>
      <c r="F632" s="87"/>
      <c r="G632" s="87"/>
      <c r="H632" s="87"/>
      <c r="I632" s="87"/>
      <c r="J632" s="2"/>
      <c r="K632" s="2"/>
      <c r="M632" s="2"/>
      <c r="N632" s="2"/>
      <c r="O632" s="2"/>
      <c r="P632" s="600"/>
      <c r="Q632" s="2"/>
      <c r="R632" s="2"/>
    </row>
    <row r="633" spans="1:18" ht="15.75" customHeight="1">
      <c r="A633" s="2"/>
      <c r="B633" s="2"/>
      <c r="C633" s="2"/>
      <c r="D633" s="87"/>
      <c r="E633" s="87"/>
      <c r="F633" s="87"/>
      <c r="G633" s="87"/>
      <c r="H633" s="87"/>
      <c r="I633" s="87"/>
      <c r="J633" s="2"/>
      <c r="K633" s="2"/>
      <c r="M633" s="2"/>
      <c r="N633" s="2"/>
      <c r="O633" s="2"/>
      <c r="P633" s="600"/>
      <c r="Q633" s="2"/>
      <c r="R633" s="2"/>
    </row>
    <row r="634" spans="1:18" ht="15.75" customHeight="1">
      <c r="A634" s="2"/>
      <c r="B634" s="2"/>
      <c r="C634" s="2"/>
      <c r="D634" s="87"/>
      <c r="E634" s="87"/>
      <c r="F634" s="87"/>
      <c r="G634" s="87"/>
      <c r="H634" s="87"/>
      <c r="I634" s="87"/>
      <c r="J634" s="2"/>
      <c r="K634" s="2"/>
      <c r="M634" s="2"/>
      <c r="N634" s="2"/>
      <c r="O634" s="2"/>
      <c r="P634" s="600"/>
      <c r="Q634" s="2"/>
      <c r="R634" s="2"/>
    </row>
    <row r="635" spans="1:18" ht="15.75" customHeight="1">
      <c r="A635" s="2"/>
      <c r="B635" s="2"/>
      <c r="C635" s="2"/>
      <c r="D635" s="87"/>
      <c r="E635" s="87"/>
      <c r="F635" s="87"/>
      <c r="G635" s="87"/>
      <c r="H635" s="87"/>
      <c r="I635" s="87"/>
      <c r="J635" s="2"/>
      <c r="K635" s="2"/>
      <c r="M635" s="2"/>
      <c r="N635" s="2"/>
      <c r="O635" s="2"/>
      <c r="P635" s="600"/>
      <c r="Q635" s="2"/>
      <c r="R635" s="2"/>
    </row>
    <row r="636" spans="1:18" ht="15.75" customHeight="1">
      <c r="A636" s="2"/>
      <c r="B636" s="2"/>
      <c r="C636" s="2"/>
      <c r="D636" s="87"/>
      <c r="E636" s="87"/>
      <c r="F636" s="87"/>
      <c r="G636" s="87"/>
      <c r="H636" s="87"/>
      <c r="I636" s="87"/>
      <c r="J636" s="2"/>
      <c r="K636" s="2"/>
      <c r="M636" s="2"/>
      <c r="N636" s="2"/>
      <c r="O636" s="2"/>
      <c r="P636" s="600"/>
      <c r="Q636" s="2"/>
      <c r="R636" s="2"/>
    </row>
    <row r="637" spans="1:18" ht="15.75" customHeight="1">
      <c r="A637" s="2"/>
      <c r="B637" s="2"/>
      <c r="C637" s="2"/>
      <c r="D637" s="87"/>
      <c r="E637" s="87"/>
      <c r="F637" s="87"/>
      <c r="G637" s="87"/>
      <c r="H637" s="87"/>
      <c r="I637" s="87"/>
      <c r="J637" s="2"/>
      <c r="K637" s="2"/>
      <c r="M637" s="2"/>
      <c r="N637" s="2"/>
      <c r="O637" s="2"/>
      <c r="P637" s="600"/>
      <c r="Q637" s="2"/>
      <c r="R637" s="2"/>
    </row>
    <row r="638" spans="1:18" ht="15.75" customHeight="1">
      <c r="A638" s="2"/>
      <c r="B638" s="2"/>
      <c r="C638" s="2"/>
      <c r="D638" s="87"/>
      <c r="E638" s="87"/>
      <c r="F638" s="87"/>
      <c r="G638" s="87"/>
      <c r="H638" s="87"/>
      <c r="I638" s="87"/>
      <c r="J638" s="2"/>
      <c r="K638" s="2"/>
      <c r="M638" s="2"/>
      <c r="N638" s="2"/>
      <c r="O638" s="2"/>
      <c r="P638" s="600"/>
      <c r="Q638" s="2"/>
      <c r="R638" s="2"/>
    </row>
    <row r="639" spans="1:18" ht="15.75" customHeight="1">
      <c r="A639" s="2"/>
      <c r="B639" s="2"/>
      <c r="C639" s="2"/>
      <c r="D639" s="87"/>
      <c r="E639" s="87"/>
      <c r="F639" s="87"/>
      <c r="G639" s="87"/>
      <c r="H639" s="87"/>
      <c r="I639" s="87"/>
      <c r="J639" s="2"/>
      <c r="K639" s="2"/>
      <c r="M639" s="2"/>
      <c r="N639" s="2"/>
      <c r="O639" s="2"/>
      <c r="P639" s="600"/>
      <c r="Q639" s="2"/>
      <c r="R639" s="2"/>
    </row>
    <row r="640" spans="1:18" ht="15.75" customHeight="1">
      <c r="A640" s="2"/>
      <c r="B640" s="2"/>
      <c r="C640" s="2"/>
      <c r="D640" s="87"/>
      <c r="E640" s="87"/>
      <c r="F640" s="87"/>
      <c r="G640" s="87"/>
      <c r="H640" s="87"/>
      <c r="I640" s="87"/>
      <c r="J640" s="2"/>
      <c r="K640" s="2"/>
      <c r="M640" s="2"/>
      <c r="N640" s="2"/>
      <c r="O640" s="2"/>
      <c r="P640" s="600"/>
      <c r="Q640" s="2"/>
      <c r="R640" s="2"/>
    </row>
    <row r="641" spans="1:18" ht="15.75" customHeight="1">
      <c r="A641" s="2"/>
      <c r="B641" s="2"/>
      <c r="C641" s="2"/>
      <c r="D641" s="87"/>
      <c r="E641" s="87"/>
      <c r="F641" s="87"/>
      <c r="G641" s="87"/>
      <c r="H641" s="87"/>
      <c r="I641" s="87"/>
      <c r="J641" s="2"/>
      <c r="K641" s="2"/>
      <c r="M641" s="2"/>
      <c r="N641" s="2"/>
      <c r="O641" s="2"/>
      <c r="P641" s="600"/>
      <c r="Q641" s="2"/>
      <c r="R641" s="2"/>
    </row>
    <row r="642" spans="1:18" ht="15.75" customHeight="1">
      <c r="A642" s="2"/>
      <c r="B642" s="2"/>
      <c r="C642" s="2"/>
      <c r="D642" s="87"/>
      <c r="E642" s="87"/>
      <c r="F642" s="87"/>
      <c r="G642" s="87"/>
      <c r="H642" s="87"/>
      <c r="I642" s="87"/>
      <c r="J642" s="2"/>
      <c r="K642" s="2"/>
      <c r="M642" s="2"/>
      <c r="N642" s="2"/>
      <c r="O642" s="2"/>
      <c r="P642" s="600"/>
      <c r="Q642" s="2"/>
      <c r="R642" s="2"/>
    </row>
    <row r="643" spans="1:18" ht="15.75" customHeight="1">
      <c r="A643" s="2"/>
      <c r="B643" s="2"/>
      <c r="C643" s="2"/>
      <c r="D643" s="87"/>
      <c r="E643" s="87"/>
      <c r="F643" s="87"/>
      <c r="G643" s="87"/>
      <c r="H643" s="87"/>
      <c r="I643" s="87"/>
      <c r="J643" s="2"/>
      <c r="K643" s="2"/>
      <c r="M643" s="2"/>
      <c r="N643" s="2"/>
      <c r="O643" s="2"/>
      <c r="P643" s="600"/>
      <c r="Q643" s="2"/>
      <c r="R643" s="2"/>
    </row>
    <row r="644" spans="1:18" ht="15.75" customHeight="1">
      <c r="A644" s="2"/>
      <c r="B644" s="2"/>
      <c r="C644" s="2"/>
      <c r="D644" s="87"/>
      <c r="E644" s="87"/>
      <c r="F644" s="87"/>
      <c r="G644" s="87"/>
      <c r="H644" s="87"/>
      <c r="I644" s="87"/>
      <c r="J644" s="2"/>
      <c r="K644" s="2"/>
      <c r="M644" s="2"/>
      <c r="N644" s="2"/>
      <c r="O644" s="2"/>
      <c r="P644" s="600"/>
      <c r="Q644" s="2"/>
      <c r="R644" s="2"/>
    </row>
    <row r="645" spans="1:18" ht="15.75" customHeight="1">
      <c r="A645" s="2"/>
      <c r="B645" s="2"/>
      <c r="C645" s="2"/>
      <c r="D645" s="87"/>
      <c r="E645" s="87"/>
      <c r="F645" s="87"/>
      <c r="G645" s="87"/>
      <c r="H645" s="87"/>
      <c r="I645" s="87"/>
      <c r="J645" s="2"/>
      <c r="K645" s="2"/>
      <c r="M645" s="2"/>
      <c r="N645" s="2"/>
      <c r="O645" s="2"/>
      <c r="P645" s="600"/>
      <c r="Q645" s="2"/>
      <c r="R645" s="2"/>
    </row>
    <row r="646" spans="1:18" ht="15.75" customHeight="1">
      <c r="A646" s="2"/>
      <c r="B646" s="2"/>
      <c r="C646" s="2"/>
      <c r="D646" s="87"/>
      <c r="E646" s="87"/>
      <c r="F646" s="87"/>
      <c r="G646" s="87"/>
      <c r="H646" s="87"/>
      <c r="I646" s="87"/>
      <c r="J646" s="2"/>
      <c r="K646" s="2"/>
      <c r="M646" s="2"/>
      <c r="N646" s="2"/>
      <c r="O646" s="2"/>
      <c r="P646" s="600"/>
      <c r="Q646" s="2"/>
      <c r="R646" s="2"/>
    </row>
    <row r="647" spans="1:18" ht="15.75" customHeight="1">
      <c r="A647" s="2"/>
      <c r="B647" s="2"/>
      <c r="C647" s="2"/>
      <c r="D647" s="87"/>
      <c r="E647" s="87"/>
      <c r="F647" s="87"/>
      <c r="G647" s="87"/>
      <c r="H647" s="87"/>
      <c r="I647" s="87"/>
      <c r="J647" s="2"/>
      <c r="K647" s="2"/>
      <c r="M647" s="2"/>
      <c r="N647" s="2"/>
      <c r="O647" s="2"/>
      <c r="P647" s="600"/>
      <c r="Q647" s="2"/>
      <c r="R647" s="2"/>
    </row>
    <row r="648" spans="1:18" ht="15.75" customHeight="1">
      <c r="A648" s="2"/>
      <c r="B648" s="2"/>
      <c r="C648" s="2"/>
      <c r="D648" s="87"/>
      <c r="E648" s="87"/>
      <c r="F648" s="87"/>
      <c r="G648" s="87"/>
      <c r="H648" s="87"/>
      <c r="I648" s="87"/>
      <c r="J648" s="2"/>
      <c r="K648" s="2"/>
      <c r="M648" s="2"/>
      <c r="N648" s="2"/>
      <c r="O648" s="2"/>
      <c r="P648" s="600"/>
      <c r="Q648" s="2"/>
      <c r="R648" s="2"/>
    </row>
    <row r="649" spans="1:18" ht="15.75" customHeight="1">
      <c r="A649" s="2"/>
      <c r="B649" s="2"/>
      <c r="C649" s="2"/>
      <c r="D649" s="87"/>
      <c r="E649" s="87"/>
      <c r="F649" s="87"/>
      <c r="G649" s="87"/>
      <c r="H649" s="87"/>
      <c r="I649" s="87"/>
      <c r="J649" s="2"/>
      <c r="K649" s="2"/>
      <c r="M649" s="2"/>
      <c r="N649" s="2"/>
      <c r="O649" s="2"/>
      <c r="P649" s="600"/>
      <c r="Q649" s="2"/>
      <c r="R649" s="2"/>
    </row>
    <row r="650" spans="1:18" ht="15.75" customHeight="1">
      <c r="A650" s="2"/>
      <c r="B650" s="2"/>
      <c r="C650" s="2"/>
      <c r="D650" s="87"/>
      <c r="E650" s="87"/>
      <c r="F650" s="87"/>
      <c r="G650" s="87"/>
      <c r="H650" s="87"/>
      <c r="I650" s="87"/>
      <c r="J650" s="2"/>
      <c r="K650" s="2"/>
      <c r="M650" s="2"/>
      <c r="N650" s="2"/>
      <c r="O650" s="2"/>
      <c r="P650" s="600"/>
      <c r="Q650" s="2"/>
      <c r="R650" s="2"/>
    </row>
    <row r="651" spans="1:18" ht="15.75" customHeight="1">
      <c r="A651" s="2"/>
      <c r="B651" s="2"/>
      <c r="C651" s="2"/>
      <c r="D651" s="87"/>
      <c r="E651" s="87"/>
      <c r="F651" s="87"/>
      <c r="G651" s="87"/>
      <c r="H651" s="87"/>
      <c r="I651" s="87"/>
      <c r="J651" s="2"/>
      <c r="K651" s="2"/>
      <c r="M651" s="2"/>
      <c r="N651" s="2"/>
      <c r="O651" s="2"/>
      <c r="P651" s="600"/>
      <c r="Q651" s="2"/>
      <c r="R651" s="2"/>
    </row>
    <row r="652" spans="1:18" ht="15.75" customHeight="1">
      <c r="A652" s="2"/>
      <c r="B652" s="2"/>
      <c r="C652" s="2"/>
      <c r="D652" s="87"/>
      <c r="E652" s="87"/>
      <c r="F652" s="87"/>
      <c r="G652" s="87"/>
      <c r="H652" s="87"/>
      <c r="I652" s="87"/>
      <c r="J652" s="2"/>
      <c r="K652" s="2"/>
      <c r="M652" s="2"/>
      <c r="N652" s="2"/>
      <c r="O652" s="2"/>
      <c r="P652" s="600"/>
      <c r="Q652" s="2"/>
      <c r="R652" s="2"/>
    </row>
    <row r="653" spans="1:18" ht="15.75" customHeight="1">
      <c r="A653" s="2"/>
      <c r="B653" s="2"/>
      <c r="C653" s="2"/>
      <c r="D653" s="87"/>
      <c r="E653" s="87"/>
      <c r="F653" s="87"/>
      <c r="G653" s="87"/>
      <c r="H653" s="87"/>
      <c r="I653" s="87"/>
      <c r="J653" s="2"/>
      <c r="K653" s="2"/>
      <c r="M653" s="2"/>
      <c r="N653" s="2"/>
      <c r="O653" s="2"/>
      <c r="P653" s="600"/>
      <c r="Q653" s="2"/>
      <c r="R653" s="2"/>
    </row>
    <row r="654" spans="1:18" ht="15.75" customHeight="1">
      <c r="A654" s="2"/>
      <c r="B654" s="2"/>
      <c r="C654" s="2"/>
      <c r="D654" s="87"/>
      <c r="E654" s="87"/>
      <c r="F654" s="87"/>
      <c r="G654" s="87"/>
      <c r="H654" s="87"/>
      <c r="I654" s="87"/>
      <c r="J654" s="2"/>
      <c r="K654" s="2"/>
      <c r="M654" s="2"/>
      <c r="N654" s="2"/>
      <c r="O654" s="2"/>
      <c r="P654" s="600"/>
      <c r="Q654" s="2"/>
      <c r="R654" s="2"/>
    </row>
    <row r="655" spans="1:18" ht="15.75" customHeight="1">
      <c r="A655" s="2"/>
      <c r="B655" s="2"/>
      <c r="C655" s="2"/>
      <c r="D655" s="87"/>
      <c r="E655" s="87"/>
      <c r="F655" s="87"/>
      <c r="G655" s="87"/>
      <c r="H655" s="87"/>
      <c r="I655" s="87"/>
      <c r="J655" s="2"/>
      <c r="K655" s="2"/>
      <c r="M655" s="2"/>
      <c r="N655" s="2"/>
      <c r="O655" s="2"/>
      <c r="P655" s="600"/>
      <c r="Q655" s="2"/>
      <c r="R655" s="2"/>
    </row>
    <row r="656" spans="1:18" ht="15.75" customHeight="1">
      <c r="A656" s="2"/>
      <c r="B656" s="2"/>
      <c r="C656" s="2"/>
      <c r="D656" s="87"/>
      <c r="E656" s="87"/>
      <c r="F656" s="87"/>
      <c r="G656" s="87"/>
      <c r="H656" s="87"/>
      <c r="I656" s="87"/>
      <c r="J656" s="2"/>
      <c r="K656" s="2"/>
      <c r="M656" s="2"/>
      <c r="N656" s="2"/>
      <c r="O656" s="2"/>
      <c r="P656" s="600"/>
      <c r="Q656" s="2"/>
      <c r="R656" s="2"/>
    </row>
    <row r="657" spans="1:18" ht="15.75" customHeight="1">
      <c r="A657" s="2"/>
      <c r="B657" s="2"/>
      <c r="C657" s="2"/>
      <c r="D657" s="87"/>
      <c r="E657" s="87"/>
      <c r="F657" s="87"/>
      <c r="G657" s="87"/>
      <c r="H657" s="87"/>
      <c r="I657" s="87"/>
      <c r="J657" s="2"/>
      <c r="K657" s="2"/>
      <c r="M657" s="2"/>
      <c r="N657" s="2"/>
      <c r="O657" s="2"/>
      <c r="P657" s="600"/>
      <c r="Q657" s="2"/>
      <c r="R657" s="2"/>
    </row>
    <row r="658" spans="1:18" ht="15.75" customHeight="1">
      <c r="A658" s="2"/>
      <c r="B658" s="2"/>
      <c r="C658" s="2"/>
      <c r="D658" s="87"/>
      <c r="E658" s="87"/>
      <c r="F658" s="87"/>
      <c r="G658" s="87"/>
      <c r="H658" s="87"/>
      <c r="I658" s="87"/>
      <c r="J658" s="2"/>
      <c r="K658" s="2"/>
      <c r="M658" s="2"/>
      <c r="N658" s="2"/>
      <c r="O658" s="2"/>
      <c r="P658" s="600"/>
      <c r="Q658" s="2"/>
      <c r="R658" s="2"/>
    </row>
    <row r="659" spans="1:18" ht="15.75" customHeight="1">
      <c r="A659" s="2"/>
      <c r="B659" s="2"/>
      <c r="C659" s="2"/>
      <c r="D659" s="87"/>
      <c r="E659" s="87"/>
      <c r="F659" s="87"/>
      <c r="G659" s="87"/>
      <c r="H659" s="87"/>
      <c r="I659" s="87"/>
      <c r="J659" s="2"/>
      <c r="K659" s="2"/>
      <c r="M659" s="2"/>
      <c r="N659" s="2"/>
      <c r="O659" s="2"/>
      <c r="P659" s="600"/>
      <c r="Q659" s="2"/>
      <c r="R659" s="2"/>
    </row>
    <row r="660" spans="1:18" ht="15.75" customHeight="1">
      <c r="A660" s="2"/>
      <c r="B660" s="2"/>
      <c r="C660" s="2"/>
      <c r="D660" s="87"/>
      <c r="E660" s="87"/>
      <c r="F660" s="87"/>
      <c r="G660" s="87"/>
      <c r="H660" s="87"/>
      <c r="I660" s="87"/>
      <c r="J660" s="2"/>
      <c r="K660" s="2"/>
      <c r="M660" s="2"/>
      <c r="N660" s="2"/>
      <c r="O660" s="2"/>
      <c r="P660" s="600"/>
      <c r="Q660" s="2"/>
      <c r="R660" s="2"/>
    </row>
    <row r="661" spans="1:18" ht="15.75" customHeight="1">
      <c r="A661" s="2"/>
      <c r="B661" s="2"/>
      <c r="C661" s="2"/>
      <c r="D661" s="87"/>
      <c r="E661" s="87"/>
      <c r="F661" s="87"/>
      <c r="G661" s="87"/>
      <c r="H661" s="87"/>
      <c r="I661" s="87"/>
      <c r="J661" s="2"/>
      <c r="K661" s="2"/>
      <c r="M661" s="2"/>
      <c r="N661" s="2"/>
      <c r="O661" s="2"/>
      <c r="P661" s="600"/>
      <c r="Q661" s="2"/>
      <c r="R661" s="2"/>
    </row>
    <row r="662" spans="1:18" ht="15.75" customHeight="1">
      <c r="A662" s="2"/>
      <c r="B662" s="2"/>
      <c r="C662" s="2"/>
      <c r="D662" s="87"/>
      <c r="E662" s="87"/>
      <c r="F662" s="87"/>
      <c r="G662" s="87"/>
      <c r="H662" s="87"/>
      <c r="I662" s="87"/>
      <c r="J662" s="2"/>
      <c r="K662" s="2"/>
      <c r="M662" s="2"/>
      <c r="N662" s="2"/>
      <c r="O662" s="2"/>
      <c r="P662" s="600"/>
      <c r="Q662" s="2"/>
      <c r="R662" s="2"/>
    </row>
    <row r="663" spans="1:18" ht="15.75" customHeight="1">
      <c r="A663" s="2"/>
      <c r="B663" s="2"/>
      <c r="C663" s="2"/>
      <c r="D663" s="87"/>
      <c r="E663" s="87"/>
      <c r="F663" s="87"/>
      <c r="G663" s="87"/>
      <c r="H663" s="87"/>
      <c r="I663" s="87"/>
      <c r="J663" s="2"/>
      <c r="K663" s="2"/>
      <c r="M663" s="2"/>
      <c r="N663" s="2"/>
      <c r="O663" s="2"/>
      <c r="P663" s="600"/>
      <c r="Q663" s="2"/>
      <c r="R663" s="2"/>
    </row>
    <row r="664" spans="1:18" ht="15.75" customHeight="1">
      <c r="A664" s="2"/>
      <c r="B664" s="2"/>
      <c r="C664" s="2"/>
      <c r="D664" s="87"/>
      <c r="E664" s="87"/>
      <c r="F664" s="87"/>
      <c r="G664" s="87"/>
      <c r="H664" s="87"/>
      <c r="I664" s="87"/>
      <c r="J664" s="2"/>
      <c r="K664" s="2"/>
      <c r="M664" s="2"/>
      <c r="N664" s="2"/>
      <c r="O664" s="2"/>
      <c r="P664" s="600"/>
      <c r="Q664" s="2"/>
      <c r="R664" s="2"/>
    </row>
    <row r="665" spans="1:18" ht="15.75" customHeight="1">
      <c r="A665" s="2"/>
      <c r="B665" s="2"/>
      <c r="C665" s="2"/>
      <c r="D665" s="87"/>
      <c r="E665" s="87"/>
      <c r="F665" s="87"/>
      <c r="G665" s="87"/>
      <c r="H665" s="87"/>
      <c r="I665" s="87"/>
      <c r="J665" s="2"/>
      <c r="K665" s="2"/>
      <c r="M665" s="2"/>
      <c r="N665" s="2"/>
      <c r="O665" s="2"/>
      <c r="P665" s="600"/>
      <c r="Q665" s="2"/>
      <c r="R665" s="2"/>
    </row>
    <row r="666" spans="1:18" ht="15.75" customHeight="1">
      <c r="A666" s="2"/>
      <c r="B666" s="2"/>
      <c r="C666" s="2"/>
      <c r="D666" s="87"/>
      <c r="E666" s="87"/>
      <c r="F666" s="87"/>
      <c r="G666" s="87"/>
      <c r="H666" s="87"/>
      <c r="I666" s="87"/>
      <c r="J666" s="2"/>
      <c r="K666" s="2"/>
      <c r="M666" s="2"/>
      <c r="N666" s="2"/>
      <c r="O666" s="2"/>
      <c r="P666" s="600"/>
      <c r="Q666" s="2"/>
      <c r="R666" s="2"/>
    </row>
    <row r="667" spans="1:18" ht="15.75" customHeight="1">
      <c r="A667" s="2"/>
      <c r="B667" s="2"/>
      <c r="C667" s="2"/>
      <c r="D667" s="87"/>
      <c r="E667" s="87"/>
      <c r="F667" s="87"/>
      <c r="G667" s="87"/>
      <c r="H667" s="87"/>
      <c r="I667" s="87"/>
      <c r="J667" s="2"/>
      <c r="K667" s="2"/>
      <c r="M667" s="2"/>
      <c r="N667" s="2"/>
      <c r="O667" s="2"/>
      <c r="P667" s="600"/>
      <c r="Q667" s="2"/>
      <c r="R667" s="2"/>
    </row>
    <row r="668" spans="1:18" ht="15.75" customHeight="1">
      <c r="A668" s="2"/>
      <c r="B668" s="2"/>
      <c r="C668" s="2"/>
      <c r="D668" s="87"/>
      <c r="E668" s="87"/>
      <c r="F668" s="87"/>
      <c r="G668" s="87"/>
      <c r="H668" s="87"/>
      <c r="I668" s="87"/>
      <c r="J668" s="2"/>
      <c r="K668" s="2"/>
      <c r="M668" s="2"/>
      <c r="N668" s="2"/>
      <c r="O668" s="2"/>
      <c r="P668" s="600"/>
      <c r="Q668" s="2"/>
      <c r="R668" s="2"/>
    </row>
    <row r="669" spans="1:18" ht="15.75" customHeight="1">
      <c r="A669" s="2"/>
      <c r="B669" s="2"/>
      <c r="C669" s="2"/>
      <c r="D669" s="87"/>
      <c r="E669" s="87"/>
      <c r="F669" s="87"/>
      <c r="G669" s="87"/>
      <c r="H669" s="87"/>
      <c r="I669" s="87"/>
      <c r="J669" s="2"/>
      <c r="K669" s="2"/>
      <c r="M669" s="2"/>
      <c r="N669" s="2"/>
      <c r="O669" s="2"/>
      <c r="P669" s="600"/>
      <c r="Q669" s="2"/>
      <c r="R669" s="2"/>
    </row>
    <row r="670" spans="1:18" ht="15.75" customHeight="1">
      <c r="A670" s="2"/>
      <c r="B670" s="2"/>
      <c r="C670" s="2"/>
      <c r="D670" s="87"/>
      <c r="E670" s="87"/>
      <c r="F670" s="87"/>
      <c r="G670" s="87"/>
      <c r="H670" s="87"/>
      <c r="I670" s="87"/>
      <c r="J670" s="2"/>
      <c r="K670" s="2"/>
      <c r="M670" s="2"/>
      <c r="N670" s="2"/>
      <c r="O670" s="2"/>
      <c r="P670" s="600"/>
      <c r="Q670" s="2"/>
      <c r="R670" s="2"/>
    </row>
    <row r="671" spans="1:18" ht="15.75" customHeight="1">
      <c r="A671" s="2"/>
      <c r="B671" s="2"/>
      <c r="C671" s="2"/>
      <c r="D671" s="87"/>
      <c r="E671" s="87"/>
      <c r="F671" s="87"/>
      <c r="G671" s="87"/>
      <c r="H671" s="87"/>
      <c r="I671" s="87"/>
      <c r="J671" s="2"/>
      <c r="K671" s="2"/>
      <c r="M671" s="2"/>
      <c r="N671" s="2"/>
      <c r="O671" s="2"/>
      <c r="P671" s="600"/>
      <c r="Q671" s="2"/>
      <c r="R671" s="2"/>
    </row>
    <row r="672" spans="1:18" ht="15.75" customHeight="1">
      <c r="A672" s="2"/>
      <c r="B672" s="2"/>
      <c r="C672" s="2"/>
      <c r="D672" s="87"/>
      <c r="E672" s="87"/>
      <c r="F672" s="87"/>
      <c r="G672" s="87"/>
      <c r="H672" s="87"/>
      <c r="I672" s="87"/>
      <c r="J672" s="2"/>
      <c r="K672" s="2"/>
      <c r="M672" s="2"/>
      <c r="N672" s="2"/>
      <c r="O672" s="2"/>
      <c r="P672" s="600"/>
      <c r="Q672" s="2"/>
      <c r="R672" s="2"/>
    </row>
    <row r="673" spans="1:18" ht="15.75" customHeight="1">
      <c r="A673" s="2"/>
      <c r="B673" s="2"/>
      <c r="C673" s="2"/>
      <c r="D673" s="87"/>
      <c r="E673" s="87"/>
      <c r="F673" s="87"/>
      <c r="G673" s="87"/>
      <c r="H673" s="87"/>
      <c r="I673" s="87"/>
      <c r="J673" s="2"/>
      <c r="K673" s="2"/>
      <c r="M673" s="2"/>
      <c r="N673" s="2"/>
      <c r="O673" s="2"/>
      <c r="P673" s="600"/>
      <c r="Q673" s="2"/>
      <c r="R673" s="2"/>
    </row>
    <row r="674" spans="1:18" ht="15.75" customHeight="1">
      <c r="A674" s="2"/>
      <c r="B674" s="2"/>
      <c r="C674" s="2"/>
      <c r="D674" s="87"/>
      <c r="E674" s="87"/>
      <c r="F674" s="87"/>
      <c r="G674" s="87"/>
      <c r="H674" s="87"/>
      <c r="I674" s="87"/>
      <c r="J674" s="2"/>
      <c r="K674" s="2"/>
      <c r="M674" s="2"/>
      <c r="N674" s="2"/>
      <c r="O674" s="2"/>
      <c r="P674" s="600"/>
      <c r="Q674" s="2"/>
      <c r="R674" s="2"/>
    </row>
    <row r="675" spans="1:18" ht="15.75" customHeight="1">
      <c r="A675" s="2"/>
      <c r="B675" s="2"/>
      <c r="C675" s="2"/>
      <c r="D675" s="87"/>
      <c r="E675" s="87"/>
      <c r="F675" s="87"/>
      <c r="G675" s="87"/>
      <c r="H675" s="87"/>
      <c r="I675" s="87"/>
      <c r="J675" s="2"/>
      <c r="K675" s="2"/>
      <c r="M675" s="2"/>
      <c r="N675" s="2"/>
      <c r="O675" s="2"/>
      <c r="P675" s="600"/>
      <c r="Q675" s="2"/>
      <c r="R675" s="2"/>
    </row>
    <row r="676" spans="1:18" ht="15.75" customHeight="1">
      <c r="A676" s="2"/>
      <c r="B676" s="2"/>
      <c r="C676" s="2"/>
      <c r="D676" s="87"/>
      <c r="E676" s="87"/>
      <c r="F676" s="87"/>
      <c r="G676" s="87"/>
      <c r="H676" s="87"/>
      <c r="I676" s="87"/>
      <c r="J676" s="2"/>
      <c r="K676" s="2"/>
      <c r="M676" s="2"/>
      <c r="N676" s="2"/>
      <c r="O676" s="2"/>
      <c r="P676" s="600"/>
      <c r="Q676" s="2"/>
      <c r="R676" s="2"/>
    </row>
    <row r="677" spans="1:18" ht="15.75" customHeight="1">
      <c r="A677" s="2"/>
      <c r="B677" s="2"/>
      <c r="C677" s="2"/>
      <c r="D677" s="87"/>
      <c r="E677" s="87"/>
      <c r="F677" s="87"/>
      <c r="G677" s="87"/>
      <c r="H677" s="87"/>
      <c r="I677" s="87"/>
      <c r="J677" s="2"/>
      <c r="K677" s="2"/>
      <c r="M677" s="2"/>
      <c r="N677" s="2"/>
      <c r="O677" s="2"/>
      <c r="P677" s="600"/>
      <c r="Q677" s="2"/>
      <c r="R677" s="2"/>
    </row>
    <row r="678" spans="1:18" ht="15.75" customHeight="1">
      <c r="A678" s="2"/>
      <c r="B678" s="2"/>
      <c r="C678" s="2"/>
      <c r="D678" s="87"/>
      <c r="E678" s="87"/>
      <c r="F678" s="87"/>
      <c r="G678" s="87"/>
      <c r="H678" s="87"/>
      <c r="I678" s="87"/>
      <c r="J678" s="2"/>
      <c r="K678" s="2"/>
      <c r="M678" s="2"/>
      <c r="N678" s="2"/>
      <c r="O678" s="2"/>
      <c r="P678" s="600"/>
      <c r="Q678" s="2"/>
      <c r="R678" s="2"/>
    </row>
    <row r="679" spans="1:18" ht="15.75" customHeight="1">
      <c r="A679" s="2"/>
      <c r="B679" s="2"/>
      <c r="C679" s="2"/>
      <c r="D679" s="87"/>
      <c r="E679" s="87"/>
      <c r="F679" s="87"/>
      <c r="G679" s="87"/>
      <c r="H679" s="87"/>
      <c r="I679" s="87"/>
      <c r="J679" s="2"/>
      <c r="K679" s="2"/>
      <c r="M679" s="2"/>
      <c r="N679" s="2"/>
      <c r="O679" s="2"/>
      <c r="P679" s="600"/>
      <c r="Q679" s="2"/>
      <c r="R679" s="2"/>
    </row>
    <row r="680" spans="1:18" ht="15.75" customHeight="1">
      <c r="A680" s="2"/>
      <c r="B680" s="2"/>
      <c r="C680" s="2"/>
      <c r="D680" s="87"/>
      <c r="E680" s="87"/>
      <c r="F680" s="87"/>
      <c r="G680" s="87"/>
      <c r="H680" s="87"/>
      <c r="I680" s="87"/>
      <c r="J680" s="2"/>
      <c r="K680" s="2"/>
      <c r="M680" s="2"/>
      <c r="N680" s="2"/>
      <c r="O680" s="2"/>
      <c r="P680" s="600"/>
      <c r="Q680" s="2"/>
      <c r="R680" s="2"/>
    </row>
    <row r="681" spans="1:18" ht="15.75" customHeight="1">
      <c r="A681" s="2"/>
      <c r="B681" s="2"/>
      <c r="C681" s="2"/>
      <c r="D681" s="87"/>
      <c r="E681" s="87"/>
      <c r="F681" s="87"/>
      <c r="G681" s="87"/>
      <c r="H681" s="87"/>
      <c r="I681" s="87"/>
      <c r="J681" s="2"/>
      <c r="K681" s="2"/>
      <c r="M681" s="2"/>
      <c r="N681" s="2"/>
      <c r="O681" s="2"/>
      <c r="P681" s="600"/>
      <c r="Q681" s="2"/>
      <c r="R681" s="2"/>
    </row>
    <row r="682" spans="1:18" ht="15.75" customHeight="1">
      <c r="A682" s="2"/>
      <c r="B682" s="2"/>
      <c r="C682" s="2"/>
      <c r="D682" s="87"/>
      <c r="E682" s="87"/>
      <c r="F682" s="87"/>
      <c r="G682" s="87"/>
      <c r="H682" s="87"/>
      <c r="I682" s="87"/>
      <c r="J682" s="2"/>
      <c r="K682" s="2"/>
      <c r="M682" s="2"/>
      <c r="N682" s="2"/>
      <c r="O682" s="2"/>
      <c r="P682" s="600"/>
      <c r="Q682" s="2"/>
      <c r="R682" s="2"/>
    </row>
    <row r="683" spans="1:18" ht="15.75" customHeight="1">
      <c r="A683" s="2"/>
      <c r="B683" s="2"/>
      <c r="C683" s="2"/>
      <c r="D683" s="87"/>
      <c r="E683" s="87"/>
      <c r="F683" s="87"/>
      <c r="G683" s="87"/>
      <c r="H683" s="87"/>
      <c r="I683" s="87"/>
      <c r="J683" s="2"/>
      <c r="K683" s="2"/>
      <c r="M683" s="2"/>
      <c r="N683" s="2"/>
      <c r="O683" s="2"/>
      <c r="P683" s="600"/>
      <c r="Q683" s="2"/>
      <c r="R683" s="2"/>
    </row>
    <row r="684" spans="1:18" ht="15.75" customHeight="1">
      <c r="A684" s="2"/>
      <c r="B684" s="2"/>
      <c r="C684" s="2"/>
      <c r="D684" s="87"/>
      <c r="E684" s="87"/>
      <c r="F684" s="87"/>
      <c r="G684" s="87"/>
      <c r="H684" s="87"/>
      <c r="I684" s="87"/>
      <c r="J684" s="2"/>
      <c r="K684" s="2"/>
      <c r="M684" s="2"/>
      <c r="N684" s="2"/>
      <c r="O684" s="2"/>
      <c r="P684" s="600"/>
      <c r="Q684" s="2"/>
      <c r="R684" s="2"/>
    </row>
    <row r="685" spans="1:18" ht="15.75" customHeight="1">
      <c r="A685" s="2"/>
      <c r="B685" s="2"/>
      <c r="C685" s="2"/>
      <c r="D685" s="87"/>
      <c r="E685" s="87"/>
      <c r="F685" s="87"/>
      <c r="G685" s="87"/>
      <c r="H685" s="87"/>
      <c r="I685" s="87"/>
      <c r="J685" s="2"/>
      <c r="K685" s="2"/>
      <c r="M685" s="2"/>
      <c r="N685" s="2"/>
      <c r="O685" s="2"/>
      <c r="P685" s="600"/>
      <c r="Q685" s="2"/>
      <c r="R685" s="2"/>
    </row>
    <row r="686" spans="1:18" ht="15.75" customHeight="1">
      <c r="A686" s="2"/>
      <c r="B686" s="2"/>
      <c r="C686" s="2"/>
      <c r="D686" s="87"/>
      <c r="E686" s="87"/>
      <c r="F686" s="87"/>
      <c r="G686" s="87"/>
      <c r="H686" s="87"/>
      <c r="I686" s="87"/>
      <c r="J686" s="2"/>
      <c r="K686" s="2"/>
      <c r="M686" s="2"/>
      <c r="N686" s="2"/>
      <c r="O686" s="2"/>
      <c r="P686" s="600"/>
      <c r="Q686" s="2"/>
      <c r="R686" s="2"/>
    </row>
    <row r="687" spans="1:18" ht="15.75" customHeight="1">
      <c r="A687" s="2"/>
      <c r="B687" s="2"/>
      <c r="C687" s="2"/>
      <c r="D687" s="87"/>
      <c r="E687" s="87"/>
      <c r="F687" s="87"/>
      <c r="G687" s="87"/>
      <c r="H687" s="87"/>
      <c r="I687" s="87"/>
      <c r="J687" s="2"/>
      <c r="K687" s="2"/>
      <c r="M687" s="2"/>
      <c r="N687" s="2"/>
      <c r="O687" s="2"/>
      <c r="P687" s="600"/>
      <c r="Q687" s="2"/>
      <c r="R687" s="2"/>
    </row>
    <row r="688" spans="1:18" ht="15.75" customHeight="1">
      <c r="A688" s="2"/>
      <c r="B688" s="2"/>
      <c r="C688" s="2"/>
      <c r="D688" s="87"/>
      <c r="E688" s="87"/>
      <c r="F688" s="87"/>
      <c r="G688" s="87"/>
      <c r="H688" s="87"/>
      <c r="I688" s="87"/>
      <c r="J688" s="2"/>
      <c r="K688" s="2"/>
      <c r="M688" s="2"/>
      <c r="N688" s="2"/>
      <c r="O688" s="2"/>
      <c r="P688" s="600"/>
      <c r="Q688" s="2"/>
      <c r="R688" s="2"/>
    </row>
    <row r="689" spans="1:18" ht="15.75" customHeight="1">
      <c r="A689" s="2"/>
      <c r="B689" s="2"/>
      <c r="C689" s="2"/>
      <c r="D689" s="87"/>
      <c r="E689" s="87"/>
      <c r="F689" s="87"/>
      <c r="G689" s="87"/>
      <c r="H689" s="87"/>
      <c r="I689" s="87"/>
      <c r="J689" s="2"/>
      <c r="K689" s="2"/>
      <c r="M689" s="2"/>
      <c r="N689" s="2"/>
      <c r="O689" s="2"/>
      <c r="P689" s="600"/>
      <c r="Q689" s="2"/>
      <c r="R689" s="2"/>
    </row>
    <row r="690" spans="1:18" ht="15.75" customHeight="1">
      <c r="A690" s="2"/>
      <c r="B690" s="2"/>
      <c r="C690" s="2"/>
      <c r="D690" s="87"/>
      <c r="E690" s="87"/>
      <c r="F690" s="87"/>
      <c r="G690" s="87"/>
      <c r="H690" s="87"/>
      <c r="I690" s="87"/>
      <c r="J690" s="2"/>
      <c r="K690" s="2"/>
      <c r="M690" s="2"/>
      <c r="N690" s="2"/>
      <c r="O690" s="2"/>
      <c r="P690" s="600"/>
      <c r="Q690" s="2"/>
      <c r="R690" s="2"/>
    </row>
    <row r="691" spans="1:18" ht="15.75" customHeight="1">
      <c r="A691" s="2"/>
      <c r="B691" s="2"/>
      <c r="C691" s="2"/>
      <c r="D691" s="87"/>
      <c r="E691" s="87"/>
      <c r="F691" s="87"/>
      <c r="G691" s="87"/>
      <c r="H691" s="87"/>
      <c r="I691" s="87"/>
      <c r="J691" s="2"/>
      <c r="K691" s="2"/>
      <c r="M691" s="2"/>
      <c r="N691" s="2"/>
      <c r="O691" s="2"/>
      <c r="P691" s="600"/>
      <c r="Q691" s="2"/>
      <c r="R691" s="2"/>
    </row>
    <row r="692" spans="1:18" ht="15.75" customHeight="1">
      <c r="A692" s="2"/>
      <c r="B692" s="2"/>
      <c r="C692" s="2"/>
      <c r="D692" s="87"/>
      <c r="E692" s="87"/>
      <c r="F692" s="87"/>
      <c r="G692" s="87"/>
      <c r="H692" s="87"/>
      <c r="I692" s="87"/>
      <c r="J692" s="2"/>
      <c r="K692" s="2"/>
      <c r="M692" s="2"/>
      <c r="N692" s="2"/>
      <c r="O692" s="2"/>
      <c r="P692" s="600"/>
      <c r="Q692" s="2"/>
      <c r="R692" s="2"/>
    </row>
    <row r="693" spans="1:18" ht="15.75" customHeight="1">
      <c r="A693" s="2"/>
      <c r="B693" s="2"/>
      <c r="C693" s="2"/>
      <c r="D693" s="87"/>
      <c r="E693" s="87"/>
      <c r="F693" s="87"/>
      <c r="G693" s="87"/>
      <c r="H693" s="87"/>
      <c r="I693" s="87"/>
      <c r="J693" s="2"/>
      <c r="K693" s="2"/>
      <c r="M693" s="2"/>
      <c r="N693" s="2"/>
      <c r="O693" s="2"/>
      <c r="P693" s="600"/>
      <c r="Q693" s="2"/>
      <c r="R693" s="2"/>
    </row>
    <row r="694" spans="1:18" ht="15.75" customHeight="1">
      <c r="A694" s="2"/>
      <c r="B694" s="2"/>
      <c r="C694" s="2"/>
      <c r="D694" s="87"/>
      <c r="E694" s="87"/>
      <c r="F694" s="87"/>
      <c r="G694" s="87"/>
      <c r="H694" s="87"/>
      <c r="I694" s="87"/>
      <c r="J694" s="2"/>
      <c r="K694" s="2"/>
      <c r="M694" s="2"/>
      <c r="N694" s="2"/>
      <c r="O694" s="2"/>
      <c r="P694" s="600"/>
      <c r="Q694" s="2"/>
      <c r="R694" s="2"/>
    </row>
    <row r="695" spans="1:18" ht="15.75" customHeight="1">
      <c r="A695" s="2"/>
      <c r="B695" s="2"/>
      <c r="C695" s="2"/>
      <c r="D695" s="87"/>
      <c r="E695" s="87"/>
      <c r="F695" s="87"/>
      <c r="G695" s="87"/>
      <c r="H695" s="87"/>
      <c r="I695" s="87"/>
      <c r="J695" s="2"/>
      <c r="K695" s="2"/>
      <c r="M695" s="2"/>
      <c r="N695" s="2"/>
      <c r="O695" s="2"/>
      <c r="P695" s="600"/>
      <c r="Q695" s="2"/>
      <c r="R695" s="2"/>
    </row>
    <row r="696" spans="1:18" ht="15.75" customHeight="1">
      <c r="A696" s="2"/>
      <c r="B696" s="2"/>
      <c r="C696" s="2"/>
      <c r="D696" s="87"/>
      <c r="E696" s="87"/>
      <c r="F696" s="87"/>
      <c r="G696" s="87"/>
      <c r="H696" s="87"/>
      <c r="I696" s="87"/>
      <c r="J696" s="2"/>
      <c r="K696" s="2"/>
      <c r="M696" s="2"/>
      <c r="N696" s="2"/>
      <c r="O696" s="2"/>
      <c r="P696" s="600"/>
      <c r="Q696" s="2"/>
      <c r="R696" s="2"/>
    </row>
    <row r="697" spans="1:18" ht="15.75" customHeight="1">
      <c r="A697" s="2"/>
      <c r="B697" s="2"/>
      <c r="C697" s="2"/>
      <c r="D697" s="87"/>
      <c r="E697" s="87"/>
      <c r="F697" s="87"/>
      <c r="G697" s="87"/>
      <c r="H697" s="87"/>
      <c r="I697" s="87"/>
      <c r="J697" s="2"/>
      <c r="K697" s="2"/>
      <c r="M697" s="2"/>
      <c r="N697" s="2"/>
      <c r="O697" s="2"/>
      <c r="P697" s="600"/>
      <c r="Q697" s="2"/>
      <c r="R697" s="2"/>
    </row>
    <row r="698" spans="1:18" ht="15.75" customHeight="1">
      <c r="A698" s="2"/>
      <c r="B698" s="2"/>
      <c r="C698" s="2"/>
      <c r="D698" s="87"/>
      <c r="E698" s="87"/>
      <c r="F698" s="87"/>
      <c r="G698" s="87"/>
      <c r="H698" s="87"/>
      <c r="I698" s="87"/>
      <c r="J698" s="2"/>
      <c r="K698" s="2"/>
      <c r="M698" s="2"/>
      <c r="N698" s="2"/>
      <c r="O698" s="2"/>
      <c r="P698" s="600"/>
      <c r="Q698" s="2"/>
      <c r="R698" s="2"/>
    </row>
    <row r="699" spans="1:18" ht="15.75" customHeight="1">
      <c r="A699" s="2"/>
      <c r="B699" s="2"/>
      <c r="C699" s="2"/>
      <c r="D699" s="87"/>
      <c r="E699" s="87"/>
      <c r="F699" s="87"/>
      <c r="G699" s="87"/>
      <c r="H699" s="87"/>
      <c r="I699" s="87"/>
      <c r="J699" s="2"/>
      <c r="K699" s="2"/>
      <c r="M699" s="2"/>
      <c r="N699" s="2"/>
      <c r="O699" s="2"/>
      <c r="P699" s="600"/>
      <c r="Q699" s="2"/>
      <c r="R699" s="2"/>
    </row>
    <row r="700" spans="1:18" ht="15.75" customHeight="1">
      <c r="A700" s="2"/>
      <c r="B700" s="2"/>
      <c r="C700" s="2"/>
      <c r="D700" s="87"/>
      <c r="E700" s="87"/>
      <c r="F700" s="87"/>
      <c r="G700" s="87"/>
      <c r="H700" s="87"/>
      <c r="I700" s="87"/>
      <c r="J700" s="2"/>
      <c r="K700" s="2"/>
      <c r="M700" s="2"/>
      <c r="N700" s="2"/>
      <c r="O700" s="2"/>
      <c r="P700" s="600"/>
      <c r="Q700" s="2"/>
      <c r="R700" s="2"/>
    </row>
    <row r="701" spans="1:18" ht="15.75" customHeight="1">
      <c r="A701" s="2"/>
      <c r="B701" s="2"/>
      <c r="C701" s="2"/>
      <c r="D701" s="87"/>
      <c r="E701" s="87"/>
      <c r="F701" s="87"/>
      <c r="G701" s="87"/>
      <c r="H701" s="87"/>
      <c r="I701" s="87"/>
      <c r="J701" s="2"/>
      <c r="K701" s="2"/>
      <c r="M701" s="2"/>
      <c r="N701" s="2"/>
      <c r="O701" s="2"/>
      <c r="P701" s="600"/>
      <c r="Q701" s="2"/>
      <c r="R701" s="2"/>
    </row>
    <row r="702" spans="1:18" ht="15.75" customHeight="1">
      <c r="A702" s="2"/>
      <c r="B702" s="2"/>
      <c r="C702" s="2"/>
      <c r="D702" s="87"/>
      <c r="E702" s="87"/>
      <c r="F702" s="87"/>
      <c r="G702" s="87"/>
      <c r="H702" s="87"/>
      <c r="I702" s="87"/>
      <c r="J702" s="2"/>
      <c r="K702" s="2"/>
      <c r="M702" s="2"/>
      <c r="N702" s="2"/>
      <c r="O702" s="2"/>
      <c r="P702" s="600"/>
      <c r="Q702" s="2"/>
      <c r="R702" s="2"/>
    </row>
    <row r="703" spans="1:18" ht="15.75" customHeight="1">
      <c r="A703" s="2"/>
      <c r="B703" s="2"/>
      <c r="C703" s="2"/>
      <c r="D703" s="87"/>
      <c r="E703" s="87"/>
      <c r="F703" s="87"/>
      <c r="G703" s="87"/>
      <c r="H703" s="87"/>
      <c r="I703" s="87"/>
      <c r="J703" s="2"/>
      <c r="K703" s="2"/>
      <c r="M703" s="2"/>
      <c r="N703" s="2"/>
      <c r="O703" s="2"/>
      <c r="P703" s="600"/>
      <c r="Q703" s="2"/>
      <c r="R703" s="2"/>
    </row>
    <row r="704" spans="1:18" ht="15.75" customHeight="1">
      <c r="A704" s="2"/>
      <c r="B704" s="2"/>
      <c r="C704" s="2"/>
      <c r="D704" s="87"/>
      <c r="E704" s="87"/>
      <c r="F704" s="87"/>
      <c r="G704" s="87"/>
      <c r="H704" s="87"/>
      <c r="I704" s="87"/>
      <c r="J704" s="2"/>
      <c r="K704" s="2"/>
      <c r="M704" s="2"/>
      <c r="N704" s="2"/>
      <c r="O704" s="2"/>
      <c r="P704" s="600"/>
      <c r="Q704" s="2"/>
      <c r="R704" s="2"/>
    </row>
    <row r="705" spans="1:18" ht="15.75" customHeight="1">
      <c r="A705" s="2"/>
      <c r="B705" s="2"/>
      <c r="C705" s="2"/>
      <c r="D705" s="87"/>
      <c r="E705" s="87"/>
      <c r="F705" s="87"/>
      <c r="G705" s="87"/>
      <c r="H705" s="87"/>
      <c r="I705" s="87"/>
      <c r="J705" s="2"/>
      <c r="K705" s="2"/>
      <c r="M705" s="2"/>
      <c r="N705" s="2"/>
      <c r="O705" s="2"/>
      <c r="P705" s="600"/>
      <c r="Q705" s="2"/>
      <c r="R705" s="2"/>
    </row>
    <row r="706" spans="1:18" ht="15.75" customHeight="1">
      <c r="A706" s="2"/>
      <c r="B706" s="2"/>
      <c r="C706" s="2"/>
      <c r="D706" s="87"/>
      <c r="E706" s="87"/>
      <c r="F706" s="87"/>
      <c r="G706" s="87"/>
      <c r="H706" s="87"/>
      <c r="I706" s="87"/>
      <c r="J706" s="2"/>
      <c r="K706" s="2"/>
      <c r="M706" s="2"/>
      <c r="N706" s="2"/>
      <c r="O706" s="2"/>
      <c r="P706" s="600"/>
      <c r="Q706" s="2"/>
      <c r="R706" s="2"/>
    </row>
    <row r="707" spans="1:18" ht="15.75" customHeight="1">
      <c r="A707" s="2"/>
      <c r="B707" s="2"/>
      <c r="C707" s="2"/>
      <c r="D707" s="87"/>
      <c r="E707" s="87"/>
      <c r="F707" s="87"/>
      <c r="G707" s="87"/>
      <c r="H707" s="87"/>
      <c r="I707" s="87"/>
      <c r="J707" s="2"/>
      <c r="K707" s="2"/>
      <c r="M707" s="2"/>
      <c r="N707" s="2"/>
      <c r="O707" s="2"/>
      <c r="P707" s="600"/>
      <c r="Q707" s="2"/>
      <c r="R707" s="2"/>
    </row>
    <row r="708" spans="1:18" ht="15.75" customHeight="1">
      <c r="A708" s="2"/>
      <c r="B708" s="2"/>
      <c r="C708" s="2"/>
      <c r="D708" s="87"/>
      <c r="E708" s="87"/>
      <c r="F708" s="87"/>
      <c r="G708" s="87"/>
      <c r="H708" s="87"/>
      <c r="I708" s="87"/>
      <c r="J708" s="2"/>
      <c r="K708" s="2"/>
      <c r="M708" s="2"/>
      <c r="N708" s="2"/>
      <c r="O708" s="2"/>
      <c r="P708" s="600"/>
      <c r="Q708" s="2"/>
      <c r="R708" s="2"/>
    </row>
    <row r="709" spans="1:18" ht="15.75" customHeight="1">
      <c r="A709" s="2"/>
      <c r="B709" s="2"/>
      <c r="C709" s="2"/>
      <c r="D709" s="87"/>
      <c r="E709" s="87"/>
      <c r="F709" s="87"/>
      <c r="G709" s="87"/>
      <c r="H709" s="87"/>
      <c r="I709" s="87"/>
      <c r="J709" s="2"/>
      <c r="K709" s="2"/>
      <c r="M709" s="2"/>
      <c r="N709" s="2"/>
      <c r="O709" s="2"/>
      <c r="P709" s="600"/>
      <c r="Q709" s="2"/>
      <c r="R709" s="2"/>
    </row>
    <row r="710" spans="1:18" ht="15.75" customHeight="1">
      <c r="A710" s="2"/>
      <c r="B710" s="2"/>
      <c r="C710" s="2"/>
      <c r="D710" s="87"/>
      <c r="E710" s="87"/>
      <c r="F710" s="87"/>
      <c r="G710" s="87"/>
      <c r="H710" s="87"/>
      <c r="I710" s="87"/>
      <c r="J710" s="2"/>
      <c r="K710" s="2"/>
      <c r="M710" s="2"/>
      <c r="N710" s="2"/>
      <c r="O710" s="2"/>
      <c r="P710" s="600"/>
      <c r="Q710" s="2"/>
      <c r="R710" s="2"/>
    </row>
    <row r="711" spans="1:18" ht="15.75" customHeight="1">
      <c r="A711" s="2"/>
      <c r="B711" s="2"/>
      <c r="C711" s="2"/>
      <c r="D711" s="87"/>
      <c r="E711" s="87"/>
      <c r="F711" s="87"/>
      <c r="G711" s="87"/>
      <c r="H711" s="87"/>
      <c r="I711" s="87"/>
      <c r="J711" s="2"/>
      <c r="K711" s="2"/>
      <c r="M711" s="2"/>
      <c r="N711" s="2"/>
      <c r="O711" s="2"/>
      <c r="P711" s="600"/>
      <c r="Q711" s="2"/>
      <c r="R711" s="2"/>
    </row>
    <row r="712" spans="1:18" ht="15.75" customHeight="1">
      <c r="A712" s="2"/>
      <c r="B712" s="2"/>
      <c r="C712" s="2"/>
      <c r="D712" s="87"/>
      <c r="E712" s="87"/>
      <c r="F712" s="87"/>
      <c r="G712" s="87"/>
      <c r="H712" s="87"/>
      <c r="I712" s="87"/>
      <c r="J712" s="2"/>
      <c r="K712" s="2"/>
      <c r="M712" s="2"/>
      <c r="N712" s="2"/>
      <c r="O712" s="2"/>
      <c r="P712" s="600"/>
      <c r="Q712" s="2"/>
      <c r="R712" s="2"/>
    </row>
    <row r="713" spans="1:18" ht="15.75" customHeight="1">
      <c r="A713" s="2"/>
      <c r="B713" s="2"/>
      <c r="C713" s="2"/>
      <c r="D713" s="87"/>
      <c r="E713" s="87"/>
      <c r="F713" s="87"/>
      <c r="G713" s="87"/>
      <c r="H713" s="87"/>
      <c r="I713" s="87"/>
      <c r="J713" s="2"/>
      <c r="K713" s="2"/>
      <c r="M713" s="2"/>
      <c r="N713" s="2"/>
      <c r="O713" s="2"/>
      <c r="P713" s="600"/>
      <c r="Q713" s="2"/>
      <c r="R713" s="2"/>
    </row>
    <row r="714" spans="1:18" ht="15.75" customHeight="1">
      <c r="A714" s="2"/>
      <c r="B714" s="2"/>
      <c r="C714" s="2"/>
      <c r="D714" s="87"/>
      <c r="E714" s="87"/>
      <c r="F714" s="87"/>
      <c r="G714" s="87"/>
      <c r="H714" s="87"/>
      <c r="I714" s="87"/>
      <c r="J714" s="2"/>
      <c r="K714" s="2"/>
      <c r="M714" s="2"/>
      <c r="N714" s="2"/>
      <c r="O714" s="2"/>
      <c r="P714" s="600"/>
      <c r="Q714" s="2"/>
      <c r="R714" s="2"/>
    </row>
    <row r="715" spans="1:18" ht="15.75" customHeight="1">
      <c r="A715" s="2"/>
      <c r="B715" s="2"/>
      <c r="C715" s="2"/>
      <c r="D715" s="87"/>
      <c r="E715" s="87"/>
      <c r="F715" s="87"/>
      <c r="G715" s="87"/>
      <c r="H715" s="87"/>
      <c r="I715" s="87"/>
      <c r="J715" s="2"/>
      <c r="K715" s="2"/>
      <c r="M715" s="2"/>
      <c r="N715" s="2"/>
      <c r="O715" s="2"/>
      <c r="P715" s="600"/>
      <c r="Q715" s="2"/>
      <c r="R715" s="2"/>
    </row>
    <row r="716" spans="1:18" ht="15.75" customHeight="1">
      <c r="A716" s="2"/>
      <c r="B716" s="2"/>
      <c r="C716" s="2"/>
      <c r="D716" s="87"/>
      <c r="E716" s="87"/>
      <c r="F716" s="87"/>
      <c r="G716" s="87"/>
      <c r="H716" s="87"/>
      <c r="I716" s="87"/>
      <c r="J716" s="2"/>
      <c r="K716" s="2"/>
      <c r="M716" s="2"/>
      <c r="N716" s="2"/>
      <c r="O716" s="2"/>
      <c r="P716" s="600"/>
      <c r="Q716" s="2"/>
      <c r="R716" s="2"/>
    </row>
    <row r="717" spans="1:18" ht="15.75" customHeight="1">
      <c r="A717" s="2"/>
      <c r="B717" s="2"/>
      <c r="C717" s="2"/>
      <c r="D717" s="87"/>
      <c r="E717" s="87"/>
      <c r="F717" s="87"/>
      <c r="G717" s="87"/>
      <c r="H717" s="87"/>
      <c r="I717" s="87"/>
      <c r="J717" s="2"/>
      <c r="K717" s="2"/>
      <c r="M717" s="2"/>
      <c r="N717" s="2"/>
      <c r="O717" s="2"/>
      <c r="P717" s="600"/>
      <c r="Q717" s="2"/>
      <c r="R717" s="2"/>
    </row>
    <row r="718" spans="1:18" ht="15.75" customHeight="1">
      <c r="A718" s="2"/>
      <c r="B718" s="2"/>
      <c r="C718" s="2"/>
      <c r="D718" s="87"/>
      <c r="E718" s="87"/>
      <c r="F718" s="87"/>
      <c r="G718" s="87"/>
      <c r="H718" s="87"/>
      <c r="I718" s="87"/>
      <c r="J718" s="2"/>
      <c r="K718" s="2"/>
      <c r="M718" s="2"/>
      <c r="N718" s="2"/>
      <c r="O718" s="2"/>
      <c r="P718" s="600"/>
      <c r="Q718" s="2"/>
      <c r="R718" s="2"/>
    </row>
    <row r="719" spans="1:18" ht="15.75" customHeight="1">
      <c r="A719" s="2"/>
      <c r="B719" s="2"/>
      <c r="C719" s="2"/>
      <c r="D719" s="87"/>
      <c r="E719" s="87"/>
      <c r="F719" s="87"/>
      <c r="G719" s="87"/>
      <c r="H719" s="87"/>
      <c r="I719" s="87"/>
      <c r="J719" s="2"/>
      <c r="K719" s="2"/>
      <c r="M719" s="2"/>
      <c r="N719" s="2"/>
      <c r="O719" s="2"/>
      <c r="P719" s="600"/>
      <c r="Q719" s="2"/>
      <c r="R719" s="2"/>
    </row>
    <row r="720" spans="1:18" ht="15.75" customHeight="1">
      <c r="A720" s="2"/>
      <c r="B720" s="2"/>
      <c r="C720" s="2"/>
      <c r="D720" s="87"/>
      <c r="E720" s="87"/>
      <c r="F720" s="87"/>
      <c r="G720" s="87"/>
      <c r="H720" s="87"/>
      <c r="I720" s="87"/>
      <c r="J720" s="2"/>
      <c r="K720" s="2"/>
      <c r="M720" s="2"/>
      <c r="N720" s="2"/>
      <c r="O720" s="2"/>
      <c r="P720" s="600"/>
      <c r="Q720" s="2"/>
      <c r="R720" s="2"/>
    </row>
    <row r="721" spans="1:18" ht="15.75" customHeight="1">
      <c r="A721" s="2"/>
      <c r="B721" s="2"/>
      <c r="C721" s="2"/>
      <c r="D721" s="87"/>
      <c r="E721" s="87"/>
      <c r="F721" s="87"/>
      <c r="G721" s="87"/>
      <c r="H721" s="87"/>
      <c r="I721" s="87"/>
      <c r="J721" s="2"/>
      <c r="K721" s="2"/>
      <c r="M721" s="2"/>
      <c r="N721" s="2"/>
      <c r="O721" s="2"/>
      <c r="P721" s="600"/>
      <c r="Q721" s="2"/>
      <c r="R721" s="2"/>
    </row>
    <row r="722" spans="1:18" ht="15.75" customHeight="1">
      <c r="A722" s="2"/>
      <c r="B722" s="2"/>
      <c r="C722" s="2"/>
      <c r="D722" s="87"/>
      <c r="E722" s="87"/>
      <c r="F722" s="87"/>
      <c r="G722" s="87"/>
      <c r="H722" s="87"/>
      <c r="I722" s="87"/>
      <c r="J722" s="2"/>
      <c r="K722" s="2"/>
      <c r="M722" s="2"/>
      <c r="N722" s="2"/>
      <c r="O722" s="2"/>
      <c r="P722" s="600"/>
      <c r="Q722" s="2"/>
      <c r="R722" s="2"/>
    </row>
    <row r="723" spans="1:18" ht="15.75" customHeight="1">
      <c r="A723" s="2"/>
      <c r="B723" s="2"/>
      <c r="C723" s="2"/>
      <c r="D723" s="87"/>
      <c r="E723" s="87"/>
      <c r="F723" s="87"/>
      <c r="G723" s="87"/>
      <c r="H723" s="87"/>
      <c r="I723" s="87"/>
      <c r="J723" s="2"/>
      <c r="K723" s="2"/>
      <c r="M723" s="2"/>
      <c r="N723" s="2"/>
      <c r="O723" s="2"/>
      <c r="P723" s="600"/>
      <c r="Q723" s="2"/>
      <c r="R723" s="2"/>
    </row>
    <row r="724" spans="1:18" ht="15.75" customHeight="1">
      <c r="A724" s="2"/>
      <c r="B724" s="2"/>
      <c r="C724" s="2"/>
      <c r="D724" s="87"/>
      <c r="E724" s="87"/>
      <c r="F724" s="87"/>
      <c r="G724" s="87"/>
      <c r="H724" s="87"/>
      <c r="I724" s="87"/>
      <c r="J724" s="2"/>
      <c r="K724" s="2"/>
      <c r="M724" s="2"/>
      <c r="N724" s="2"/>
      <c r="O724" s="2"/>
      <c r="P724" s="600"/>
      <c r="Q724" s="2"/>
      <c r="R724" s="2"/>
    </row>
    <row r="725" spans="1:18" ht="15.75" customHeight="1">
      <c r="A725" s="2"/>
      <c r="B725" s="2"/>
      <c r="C725" s="2"/>
      <c r="D725" s="87"/>
      <c r="E725" s="87"/>
      <c r="F725" s="87"/>
      <c r="G725" s="87"/>
      <c r="H725" s="87"/>
      <c r="I725" s="87"/>
      <c r="J725" s="2"/>
      <c r="K725" s="2"/>
      <c r="M725" s="2"/>
      <c r="N725" s="2"/>
      <c r="O725" s="2"/>
      <c r="P725" s="600"/>
      <c r="Q725" s="2"/>
      <c r="R725" s="2"/>
    </row>
    <row r="726" spans="1:18" ht="15.75" customHeight="1">
      <c r="A726" s="2"/>
      <c r="B726" s="2"/>
      <c r="C726" s="2"/>
      <c r="D726" s="87"/>
      <c r="E726" s="87"/>
      <c r="F726" s="87"/>
      <c r="G726" s="87"/>
      <c r="H726" s="87"/>
      <c r="I726" s="87"/>
      <c r="J726" s="2"/>
      <c r="K726" s="2"/>
      <c r="M726" s="2"/>
      <c r="N726" s="2"/>
      <c r="O726" s="2"/>
      <c r="P726" s="600"/>
      <c r="Q726" s="2"/>
      <c r="R726" s="2"/>
    </row>
    <row r="727" spans="1:18" ht="15.75" customHeight="1">
      <c r="A727" s="2"/>
      <c r="B727" s="2"/>
      <c r="C727" s="2"/>
      <c r="D727" s="87"/>
      <c r="E727" s="87"/>
      <c r="F727" s="87"/>
      <c r="G727" s="87"/>
      <c r="H727" s="87"/>
      <c r="I727" s="87"/>
      <c r="J727" s="2"/>
      <c r="K727" s="2"/>
      <c r="M727" s="2"/>
      <c r="N727" s="2"/>
      <c r="O727" s="2"/>
      <c r="P727" s="600"/>
      <c r="Q727" s="2"/>
      <c r="R727" s="2"/>
    </row>
    <row r="728" spans="1:18" ht="15.75" customHeight="1">
      <c r="A728" s="2"/>
      <c r="B728" s="2"/>
      <c r="C728" s="2"/>
      <c r="D728" s="87"/>
      <c r="E728" s="87"/>
      <c r="F728" s="87"/>
      <c r="G728" s="87"/>
      <c r="H728" s="87"/>
      <c r="I728" s="87"/>
      <c r="J728" s="2"/>
      <c r="K728" s="2"/>
      <c r="M728" s="2"/>
      <c r="N728" s="2"/>
      <c r="O728" s="2"/>
      <c r="P728" s="600"/>
      <c r="Q728" s="2"/>
      <c r="R728" s="2"/>
    </row>
    <row r="729" spans="1:18" ht="15.75" customHeight="1">
      <c r="A729" s="2"/>
      <c r="B729" s="2"/>
      <c r="C729" s="2"/>
      <c r="D729" s="87"/>
      <c r="E729" s="87"/>
      <c r="F729" s="87"/>
      <c r="G729" s="87"/>
      <c r="H729" s="87"/>
      <c r="I729" s="87"/>
      <c r="J729" s="2"/>
      <c r="K729" s="2"/>
      <c r="M729" s="2"/>
      <c r="N729" s="2"/>
      <c r="O729" s="2"/>
      <c r="P729" s="600"/>
      <c r="Q729" s="2"/>
      <c r="R729" s="2"/>
    </row>
    <row r="730" spans="1:18" ht="15.75" customHeight="1">
      <c r="A730" s="2"/>
      <c r="B730" s="2"/>
      <c r="C730" s="2"/>
      <c r="D730" s="87"/>
      <c r="E730" s="87"/>
      <c r="F730" s="87"/>
      <c r="G730" s="87"/>
      <c r="H730" s="87"/>
      <c r="I730" s="87"/>
      <c r="J730" s="2"/>
      <c r="K730" s="2"/>
      <c r="M730" s="2"/>
      <c r="N730" s="2"/>
      <c r="O730" s="2"/>
      <c r="P730" s="600"/>
      <c r="Q730" s="2"/>
      <c r="R730" s="2"/>
    </row>
    <row r="731" spans="1:18" ht="15.75" customHeight="1">
      <c r="A731" s="2"/>
      <c r="B731" s="2"/>
      <c r="C731" s="2"/>
      <c r="D731" s="87"/>
      <c r="E731" s="87"/>
      <c r="F731" s="87"/>
      <c r="G731" s="87"/>
      <c r="H731" s="87"/>
      <c r="I731" s="87"/>
      <c r="J731" s="2"/>
      <c r="K731" s="2"/>
      <c r="M731" s="2"/>
      <c r="N731" s="2"/>
      <c r="O731" s="2"/>
      <c r="P731" s="600"/>
      <c r="Q731" s="2"/>
      <c r="R731" s="2"/>
    </row>
    <row r="732" spans="1:18" ht="15.75" customHeight="1">
      <c r="A732" s="2"/>
      <c r="B732" s="2"/>
      <c r="C732" s="2"/>
      <c r="D732" s="87"/>
      <c r="E732" s="87"/>
      <c r="F732" s="87"/>
      <c r="G732" s="87"/>
      <c r="H732" s="87"/>
      <c r="I732" s="87"/>
      <c r="J732" s="2"/>
      <c r="K732" s="2"/>
      <c r="M732" s="2"/>
      <c r="N732" s="2"/>
      <c r="O732" s="2"/>
      <c r="P732" s="600"/>
      <c r="Q732" s="2"/>
      <c r="R732" s="2"/>
    </row>
    <row r="733" spans="1:18" ht="15.75" customHeight="1">
      <c r="A733" s="2"/>
      <c r="B733" s="2"/>
      <c r="C733" s="2"/>
      <c r="D733" s="87"/>
      <c r="E733" s="87"/>
      <c r="F733" s="87"/>
      <c r="G733" s="87"/>
      <c r="H733" s="87"/>
      <c r="I733" s="87"/>
      <c r="J733" s="2"/>
      <c r="K733" s="2"/>
      <c r="M733" s="2"/>
      <c r="N733" s="2"/>
      <c r="O733" s="2"/>
      <c r="P733" s="600"/>
      <c r="Q733" s="2"/>
      <c r="R733" s="2"/>
    </row>
    <row r="734" spans="1:18" ht="15.75" customHeight="1">
      <c r="A734" s="2"/>
      <c r="B734" s="2"/>
      <c r="C734" s="2"/>
      <c r="D734" s="87"/>
      <c r="E734" s="87"/>
      <c r="F734" s="87"/>
      <c r="G734" s="87"/>
      <c r="H734" s="87"/>
      <c r="I734" s="87"/>
      <c r="J734" s="2"/>
      <c r="K734" s="2"/>
      <c r="M734" s="2"/>
      <c r="N734" s="2"/>
      <c r="O734" s="2"/>
      <c r="P734" s="600"/>
      <c r="Q734" s="2"/>
      <c r="R734" s="2"/>
    </row>
    <row r="735" spans="1:18" ht="15.75" customHeight="1">
      <c r="A735" s="2"/>
      <c r="B735" s="2"/>
      <c r="C735" s="2"/>
      <c r="D735" s="87"/>
      <c r="E735" s="87"/>
      <c r="F735" s="87"/>
      <c r="G735" s="87"/>
      <c r="H735" s="87"/>
      <c r="I735" s="87"/>
      <c r="J735" s="2"/>
      <c r="K735" s="2"/>
      <c r="M735" s="2"/>
      <c r="N735" s="2"/>
      <c r="O735" s="2"/>
      <c r="P735" s="600"/>
      <c r="Q735" s="2"/>
      <c r="R735" s="2"/>
    </row>
    <row r="736" spans="1:18" ht="15.75" customHeight="1">
      <c r="A736" s="2"/>
      <c r="B736" s="2"/>
      <c r="C736" s="2"/>
      <c r="D736" s="87"/>
      <c r="E736" s="87"/>
      <c r="F736" s="87"/>
      <c r="G736" s="87"/>
      <c r="H736" s="87"/>
      <c r="I736" s="87"/>
      <c r="J736" s="2"/>
      <c r="K736" s="2"/>
      <c r="M736" s="2"/>
      <c r="N736" s="2"/>
      <c r="O736" s="2"/>
      <c r="P736" s="600"/>
      <c r="Q736" s="2"/>
      <c r="R736" s="2"/>
    </row>
    <row r="737" spans="1:18" ht="15.75" customHeight="1">
      <c r="A737" s="2"/>
      <c r="B737" s="2"/>
      <c r="C737" s="2"/>
      <c r="D737" s="87"/>
      <c r="E737" s="87"/>
      <c r="F737" s="87"/>
      <c r="G737" s="87"/>
      <c r="H737" s="87"/>
      <c r="I737" s="87"/>
      <c r="J737" s="2"/>
      <c r="K737" s="2"/>
      <c r="M737" s="2"/>
      <c r="N737" s="2"/>
      <c r="O737" s="2"/>
      <c r="P737" s="600"/>
      <c r="Q737" s="2"/>
      <c r="R737" s="2"/>
    </row>
    <row r="738" spans="1:18" ht="15.75" customHeight="1">
      <c r="A738" s="2"/>
      <c r="B738" s="2"/>
      <c r="C738" s="2"/>
      <c r="D738" s="87"/>
      <c r="E738" s="87"/>
      <c r="F738" s="87"/>
      <c r="G738" s="87"/>
      <c r="H738" s="87"/>
      <c r="I738" s="87"/>
      <c r="J738" s="2"/>
      <c r="K738" s="2"/>
      <c r="M738" s="2"/>
      <c r="N738" s="2"/>
      <c r="O738" s="2"/>
      <c r="P738" s="600"/>
      <c r="Q738" s="2"/>
      <c r="R738" s="2"/>
    </row>
    <row r="739" spans="1:18" ht="15.75" customHeight="1">
      <c r="A739" s="2"/>
      <c r="B739" s="2"/>
      <c r="C739" s="2"/>
      <c r="D739" s="87"/>
      <c r="E739" s="87"/>
      <c r="F739" s="87"/>
      <c r="G739" s="87"/>
      <c r="H739" s="87"/>
      <c r="I739" s="87"/>
      <c r="J739" s="2"/>
      <c r="K739" s="2"/>
      <c r="M739" s="2"/>
      <c r="N739" s="2"/>
      <c r="O739" s="2"/>
      <c r="P739" s="600"/>
      <c r="Q739" s="2"/>
      <c r="R739" s="2"/>
    </row>
    <row r="740" spans="1:18" ht="15.75" customHeight="1">
      <c r="A740" s="2"/>
      <c r="B740" s="2"/>
      <c r="C740" s="2"/>
      <c r="D740" s="87"/>
      <c r="E740" s="87"/>
      <c r="F740" s="87"/>
      <c r="G740" s="87"/>
      <c r="H740" s="87"/>
      <c r="I740" s="87"/>
      <c r="J740" s="2"/>
      <c r="K740" s="2"/>
      <c r="M740" s="2"/>
      <c r="N740" s="2"/>
      <c r="O740" s="2"/>
      <c r="P740" s="600"/>
      <c r="Q740" s="2"/>
      <c r="R740" s="2"/>
    </row>
    <row r="741" spans="1:18" ht="15.75" customHeight="1">
      <c r="A741" s="2"/>
      <c r="B741" s="2"/>
      <c r="C741" s="2"/>
      <c r="D741" s="87"/>
      <c r="E741" s="87"/>
      <c r="F741" s="87"/>
      <c r="G741" s="87"/>
      <c r="H741" s="87"/>
      <c r="I741" s="87"/>
      <c r="J741" s="2"/>
      <c r="K741" s="2"/>
      <c r="M741" s="2"/>
      <c r="N741" s="2"/>
      <c r="O741" s="2"/>
      <c r="P741" s="600"/>
      <c r="Q741" s="2"/>
      <c r="R741" s="2"/>
    </row>
    <row r="742" spans="1:18" ht="15.75" customHeight="1">
      <c r="A742" s="2"/>
      <c r="B742" s="2"/>
      <c r="C742" s="2"/>
      <c r="D742" s="87"/>
      <c r="E742" s="87"/>
      <c r="F742" s="87"/>
      <c r="G742" s="87"/>
      <c r="H742" s="87"/>
      <c r="I742" s="87"/>
      <c r="J742" s="2"/>
      <c r="K742" s="2"/>
      <c r="M742" s="2"/>
      <c r="N742" s="2"/>
      <c r="O742" s="2"/>
      <c r="P742" s="600"/>
      <c r="Q742" s="2"/>
      <c r="R742" s="2"/>
    </row>
    <row r="743" spans="1:18" ht="15.75" customHeight="1">
      <c r="A743" s="2"/>
      <c r="B743" s="2"/>
      <c r="C743" s="2"/>
      <c r="D743" s="87"/>
      <c r="E743" s="87"/>
      <c r="F743" s="87"/>
      <c r="G743" s="87"/>
      <c r="H743" s="87"/>
      <c r="I743" s="87"/>
      <c r="J743" s="2"/>
      <c r="K743" s="2"/>
      <c r="M743" s="2"/>
      <c r="N743" s="2"/>
      <c r="O743" s="2"/>
      <c r="P743" s="600"/>
      <c r="Q743" s="2"/>
      <c r="R743" s="2"/>
    </row>
    <row r="744" spans="1:18" ht="15.75" customHeight="1">
      <c r="A744" s="2"/>
      <c r="B744" s="2"/>
      <c r="C744" s="2"/>
      <c r="D744" s="87"/>
      <c r="E744" s="87"/>
      <c r="F744" s="87"/>
      <c r="G744" s="87"/>
      <c r="H744" s="87"/>
      <c r="I744" s="87"/>
      <c r="J744" s="2"/>
      <c r="K744" s="2"/>
      <c r="M744" s="2"/>
      <c r="N744" s="2"/>
      <c r="O744" s="2"/>
      <c r="P744" s="600"/>
      <c r="Q744" s="2"/>
      <c r="R744" s="2"/>
    </row>
    <row r="745" spans="1:18" ht="15.75" customHeight="1">
      <c r="A745" s="2"/>
      <c r="B745" s="2"/>
      <c r="C745" s="2"/>
      <c r="D745" s="87"/>
      <c r="E745" s="87"/>
      <c r="F745" s="87"/>
      <c r="G745" s="87"/>
      <c r="H745" s="87"/>
      <c r="I745" s="87"/>
      <c r="J745" s="2"/>
      <c r="K745" s="2"/>
      <c r="M745" s="2"/>
      <c r="N745" s="2"/>
      <c r="O745" s="2"/>
      <c r="P745" s="600"/>
      <c r="Q745" s="2"/>
      <c r="R745" s="2"/>
    </row>
    <row r="746" spans="1:18" ht="15.75" customHeight="1">
      <c r="A746" s="2"/>
      <c r="B746" s="2"/>
      <c r="C746" s="2"/>
      <c r="D746" s="87"/>
      <c r="E746" s="87"/>
      <c r="F746" s="87"/>
      <c r="G746" s="87"/>
      <c r="H746" s="87"/>
      <c r="I746" s="87"/>
      <c r="J746" s="2"/>
      <c r="K746" s="2"/>
      <c r="M746" s="2"/>
      <c r="N746" s="2"/>
      <c r="O746" s="2"/>
      <c r="P746" s="600"/>
      <c r="Q746" s="2"/>
      <c r="R746" s="2"/>
    </row>
    <row r="747" spans="1:18" ht="15.75" customHeight="1">
      <c r="A747" s="2"/>
      <c r="B747" s="2"/>
      <c r="C747" s="2"/>
      <c r="D747" s="87"/>
      <c r="E747" s="87"/>
      <c r="F747" s="87"/>
      <c r="G747" s="87"/>
      <c r="H747" s="87"/>
      <c r="I747" s="87"/>
      <c r="J747" s="2"/>
      <c r="K747" s="2"/>
      <c r="M747" s="2"/>
      <c r="N747" s="2"/>
      <c r="O747" s="2"/>
      <c r="P747" s="600"/>
      <c r="Q747" s="2"/>
      <c r="R747" s="2"/>
    </row>
    <row r="748" spans="1:18" ht="15.75" customHeight="1">
      <c r="A748" s="2"/>
      <c r="B748" s="2"/>
      <c r="C748" s="2"/>
      <c r="D748" s="87"/>
      <c r="E748" s="87"/>
      <c r="F748" s="87"/>
      <c r="G748" s="87"/>
      <c r="H748" s="87"/>
      <c r="I748" s="87"/>
      <c r="J748" s="2"/>
      <c r="K748" s="2"/>
      <c r="M748" s="2"/>
      <c r="N748" s="2"/>
      <c r="O748" s="2"/>
      <c r="P748" s="600"/>
      <c r="Q748" s="2"/>
      <c r="R748" s="2"/>
    </row>
    <row r="749" spans="1:18" ht="15.75" customHeight="1">
      <c r="A749" s="2"/>
      <c r="B749" s="2"/>
      <c r="C749" s="2"/>
      <c r="D749" s="87"/>
      <c r="E749" s="87"/>
      <c r="F749" s="87"/>
      <c r="G749" s="87"/>
      <c r="H749" s="87"/>
      <c r="I749" s="87"/>
      <c r="J749" s="2"/>
      <c r="K749" s="2"/>
      <c r="M749" s="2"/>
      <c r="N749" s="2"/>
      <c r="O749" s="2"/>
      <c r="P749" s="600"/>
      <c r="Q749" s="2"/>
      <c r="R749" s="2"/>
    </row>
    <row r="750" spans="1:18" ht="15.75" customHeight="1">
      <c r="A750" s="2"/>
      <c r="B750" s="2"/>
      <c r="C750" s="2"/>
      <c r="D750" s="87"/>
      <c r="E750" s="87"/>
      <c r="F750" s="87"/>
      <c r="G750" s="87"/>
      <c r="H750" s="87"/>
      <c r="I750" s="87"/>
      <c r="J750" s="2"/>
      <c r="K750" s="2"/>
      <c r="M750" s="2"/>
      <c r="N750" s="2"/>
      <c r="O750" s="2"/>
      <c r="P750" s="600"/>
      <c r="Q750" s="2"/>
      <c r="R750" s="2"/>
    </row>
    <row r="751" spans="1:18" ht="15.75" customHeight="1">
      <c r="A751" s="2"/>
      <c r="B751" s="2"/>
      <c r="C751" s="2"/>
      <c r="D751" s="87"/>
      <c r="E751" s="87"/>
      <c r="F751" s="87"/>
      <c r="G751" s="87"/>
      <c r="H751" s="87"/>
      <c r="I751" s="87"/>
      <c r="J751" s="2"/>
      <c r="K751" s="2"/>
      <c r="M751" s="2"/>
      <c r="N751" s="2"/>
      <c r="O751" s="2"/>
      <c r="P751" s="600"/>
      <c r="Q751" s="2"/>
      <c r="R751" s="2"/>
    </row>
    <row r="752" spans="1:18" ht="15.75" customHeight="1">
      <c r="A752" s="2"/>
      <c r="B752" s="2"/>
      <c r="C752" s="2"/>
      <c r="D752" s="87"/>
      <c r="E752" s="87"/>
      <c r="F752" s="87"/>
      <c r="G752" s="87"/>
      <c r="H752" s="87"/>
      <c r="I752" s="87"/>
      <c r="J752" s="2"/>
      <c r="K752" s="2"/>
      <c r="M752" s="2"/>
      <c r="N752" s="2"/>
      <c r="O752" s="2"/>
      <c r="P752" s="600"/>
      <c r="Q752" s="2"/>
      <c r="R752" s="2"/>
    </row>
    <row r="753" spans="1:18" ht="15.75" customHeight="1">
      <c r="A753" s="2"/>
      <c r="B753" s="2"/>
      <c r="C753" s="2"/>
      <c r="D753" s="87"/>
      <c r="E753" s="87"/>
      <c r="F753" s="87"/>
      <c r="G753" s="87"/>
      <c r="H753" s="87"/>
      <c r="I753" s="87"/>
      <c r="J753" s="2"/>
      <c r="K753" s="2"/>
      <c r="M753" s="2"/>
      <c r="N753" s="2"/>
      <c r="O753" s="2"/>
      <c r="P753" s="600"/>
      <c r="Q753" s="2"/>
      <c r="R753" s="2"/>
    </row>
    <row r="754" spans="1:18" ht="15.75" customHeight="1">
      <c r="A754" s="2"/>
      <c r="B754" s="2"/>
      <c r="C754" s="2"/>
      <c r="D754" s="87"/>
      <c r="E754" s="87"/>
      <c r="F754" s="87"/>
      <c r="G754" s="87"/>
      <c r="H754" s="87"/>
      <c r="I754" s="87"/>
      <c r="J754" s="2"/>
      <c r="K754" s="2"/>
      <c r="M754" s="2"/>
      <c r="N754" s="2"/>
      <c r="O754" s="2"/>
      <c r="P754" s="600"/>
      <c r="Q754" s="2"/>
      <c r="R754" s="2"/>
    </row>
    <row r="755" spans="1:18" ht="15.75" customHeight="1">
      <c r="A755" s="2"/>
      <c r="B755" s="2"/>
      <c r="C755" s="2"/>
      <c r="D755" s="87"/>
      <c r="E755" s="87"/>
      <c r="F755" s="87"/>
      <c r="G755" s="87"/>
      <c r="H755" s="87"/>
      <c r="I755" s="87"/>
      <c r="J755" s="2"/>
      <c r="K755" s="2"/>
      <c r="M755" s="2"/>
      <c r="N755" s="2"/>
      <c r="O755" s="2"/>
      <c r="P755" s="600"/>
      <c r="Q755" s="2"/>
      <c r="R755" s="2"/>
    </row>
    <row r="756" spans="1:18" ht="15.75" customHeight="1">
      <c r="A756" s="2"/>
      <c r="B756" s="2"/>
      <c r="C756" s="2"/>
      <c r="D756" s="87"/>
      <c r="E756" s="87"/>
      <c r="F756" s="87"/>
      <c r="G756" s="87"/>
      <c r="H756" s="87"/>
      <c r="I756" s="87"/>
      <c r="J756" s="2"/>
      <c r="K756" s="2"/>
      <c r="M756" s="2"/>
      <c r="N756" s="2"/>
      <c r="O756" s="2"/>
      <c r="P756" s="600"/>
      <c r="Q756" s="2"/>
      <c r="R756" s="2"/>
    </row>
    <row r="757" spans="1:18" ht="15.75" customHeight="1">
      <c r="A757" s="2"/>
      <c r="B757" s="2"/>
      <c r="C757" s="2"/>
      <c r="D757" s="87"/>
      <c r="E757" s="87"/>
      <c r="F757" s="87"/>
      <c r="G757" s="87"/>
      <c r="H757" s="87"/>
      <c r="I757" s="87"/>
      <c r="J757" s="2"/>
      <c r="K757" s="2"/>
      <c r="M757" s="2"/>
      <c r="N757" s="2"/>
      <c r="O757" s="2"/>
      <c r="P757" s="600"/>
      <c r="Q757" s="2"/>
      <c r="R757" s="2"/>
    </row>
    <row r="758" spans="1:18" ht="15.75" customHeight="1">
      <c r="A758" s="2"/>
      <c r="B758" s="2"/>
      <c r="C758" s="2"/>
      <c r="D758" s="87"/>
      <c r="E758" s="87"/>
      <c r="F758" s="87"/>
      <c r="G758" s="87"/>
      <c r="H758" s="87"/>
      <c r="I758" s="87"/>
      <c r="J758" s="2"/>
      <c r="K758" s="2"/>
      <c r="M758" s="2"/>
      <c r="N758" s="2"/>
      <c r="O758" s="2"/>
      <c r="P758" s="600"/>
      <c r="Q758" s="2"/>
      <c r="R758" s="2"/>
    </row>
    <row r="759" spans="1:18" ht="15.75" customHeight="1">
      <c r="A759" s="2"/>
      <c r="B759" s="2"/>
      <c r="C759" s="2"/>
      <c r="D759" s="87"/>
      <c r="E759" s="87"/>
      <c r="F759" s="87"/>
      <c r="G759" s="87"/>
      <c r="H759" s="87"/>
      <c r="I759" s="87"/>
      <c r="J759" s="2"/>
      <c r="K759" s="2"/>
      <c r="M759" s="2"/>
      <c r="N759" s="2"/>
      <c r="O759" s="2"/>
      <c r="P759" s="600"/>
      <c r="Q759" s="2"/>
      <c r="R759" s="2"/>
    </row>
    <row r="760" spans="1:18" ht="15.75" customHeight="1">
      <c r="A760" s="2"/>
      <c r="B760" s="2"/>
      <c r="C760" s="2"/>
      <c r="D760" s="87"/>
      <c r="E760" s="87"/>
      <c r="F760" s="87"/>
      <c r="G760" s="87"/>
      <c r="H760" s="87"/>
      <c r="I760" s="87"/>
      <c r="J760" s="2"/>
      <c r="K760" s="2"/>
      <c r="M760" s="2"/>
      <c r="N760" s="2"/>
      <c r="O760" s="2"/>
      <c r="P760" s="600"/>
      <c r="Q760" s="2"/>
      <c r="R760" s="2"/>
    </row>
    <row r="761" spans="1:18" ht="15.75" customHeight="1">
      <c r="A761" s="2"/>
      <c r="B761" s="2"/>
      <c r="C761" s="2"/>
      <c r="D761" s="87"/>
      <c r="E761" s="87"/>
      <c r="F761" s="87"/>
      <c r="G761" s="87"/>
      <c r="H761" s="87"/>
      <c r="I761" s="87"/>
      <c r="J761" s="2"/>
      <c r="K761" s="2"/>
      <c r="M761" s="2"/>
      <c r="N761" s="2"/>
      <c r="O761" s="2"/>
      <c r="P761" s="600"/>
      <c r="Q761" s="2"/>
      <c r="R761" s="2"/>
    </row>
    <row r="762" spans="1:18" ht="15.75" customHeight="1">
      <c r="A762" s="2"/>
      <c r="B762" s="2"/>
      <c r="C762" s="2"/>
      <c r="D762" s="87"/>
      <c r="E762" s="87"/>
      <c r="F762" s="87"/>
      <c r="G762" s="87"/>
      <c r="H762" s="87"/>
      <c r="I762" s="87"/>
      <c r="J762" s="2"/>
      <c r="K762" s="2"/>
      <c r="M762" s="2"/>
      <c r="N762" s="2"/>
      <c r="O762" s="2"/>
      <c r="P762" s="600"/>
      <c r="Q762" s="2"/>
      <c r="R762" s="2"/>
    </row>
    <row r="763" spans="1:18" ht="15.75" customHeight="1">
      <c r="A763" s="2"/>
      <c r="B763" s="2"/>
      <c r="C763" s="2"/>
      <c r="D763" s="87"/>
      <c r="E763" s="87"/>
      <c r="F763" s="87"/>
      <c r="G763" s="87"/>
      <c r="H763" s="87"/>
      <c r="I763" s="87"/>
      <c r="J763" s="2"/>
      <c r="K763" s="2"/>
      <c r="M763" s="2"/>
      <c r="N763" s="2"/>
      <c r="O763" s="2"/>
      <c r="P763" s="600"/>
      <c r="Q763" s="2"/>
      <c r="R763" s="2"/>
    </row>
    <row r="764" spans="1:18" ht="15.75" customHeight="1">
      <c r="A764" s="2"/>
      <c r="B764" s="2"/>
      <c r="C764" s="2"/>
      <c r="D764" s="87"/>
      <c r="E764" s="87"/>
      <c r="F764" s="87"/>
      <c r="G764" s="87"/>
      <c r="H764" s="87"/>
      <c r="I764" s="87"/>
      <c r="J764" s="2"/>
      <c r="K764" s="2"/>
      <c r="M764" s="2"/>
      <c r="N764" s="2"/>
      <c r="O764" s="2"/>
      <c r="P764" s="600"/>
      <c r="Q764" s="2"/>
      <c r="R764" s="2"/>
    </row>
    <row r="765" spans="1:18" ht="15.75" customHeight="1">
      <c r="A765" s="2"/>
      <c r="B765" s="2"/>
      <c r="C765" s="2"/>
      <c r="D765" s="87"/>
      <c r="E765" s="87"/>
      <c r="F765" s="87"/>
      <c r="G765" s="87"/>
      <c r="H765" s="87"/>
      <c r="I765" s="87"/>
      <c r="J765" s="2"/>
      <c r="K765" s="2"/>
      <c r="M765" s="2"/>
      <c r="N765" s="2"/>
      <c r="O765" s="2"/>
      <c r="P765" s="600"/>
      <c r="Q765" s="2"/>
      <c r="R765" s="2"/>
    </row>
    <row r="766" spans="1:18" ht="15.75" customHeight="1">
      <c r="A766" s="2"/>
      <c r="B766" s="2"/>
      <c r="C766" s="2"/>
      <c r="D766" s="87"/>
      <c r="E766" s="87"/>
      <c r="F766" s="87"/>
      <c r="G766" s="87"/>
      <c r="H766" s="87"/>
      <c r="I766" s="87"/>
      <c r="J766" s="2"/>
      <c r="K766" s="2"/>
      <c r="M766" s="2"/>
      <c r="N766" s="2"/>
      <c r="O766" s="2"/>
      <c r="P766" s="600"/>
      <c r="Q766" s="2"/>
      <c r="R766" s="2"/>
    </row>
    <row r="767" spans="1:18" ht="15.75" customHeight="1">
      <c r="A767" s="2"/>
      <c r="B767" s="2"/>
      <c r="C767" s="2"/>
      <c r="D767" s="87"/>
      <c r="E767" s="87"/>
      <c r="F767" s="87"/>
      <c r="G767" s="87"/>
      <c r="H767" s="87"/>
      <c r="I767" s="87"/>
      <c r="J767" s="2"/>
      <c r="K767" s="2"/>
      <c r="M767" s="2"/>
      <c r="N767" s="2"/>
      <c r="O767" s="2"/>
      <c r="P767" s="600"/>
      <c r="Q767" s="2"/>
      <c r="R767" s="2"/>
    </row>
    <row r="768" spans="1:18" ht="15.75" customHeight="1">
      <c r="A768" s="2"/>
      <c r="B768" s="2"/>
      <c r="C768" s="2"/>
      <c r="D768" s="87"/>
      <c r="E768" s="87"/>
      <c r="F768" s="87"/>
      <c r="G768" s="87"/>
      <c r="H768" s="87"/>
      <c r="I768" s="87"/>
      <c r="J768" s="2"/>
      <c r="K768" s="2"/>
      <c r="M768" s="2"/>
      <c r="N768" s="2"/>
      <c r="O768" s="2"/>
      <c r="P768" s="600"/>
      <c r="Q768" s="2"/>
      <c r="R768" s="2"/>
    </row>
    <row r="769" spans="1:18" ht="15.75" customHeight="1">
      <c r="A769" s="2"/>
      <c r="B769" s="2"/>
      <c r="C769" s="2"/>
      <c r="D769" s="87"/>
      <c r="E769" s="87"/>
      <c r="F769" s="87"/>
      <c r="G769" s="87"/>
      <c r="H769" s="87"/>
      <c r="I769" s="87"/>
      <c r="J769" s="2"/>
      <c r="K769" s="2"/>
      <c r="M769" s="2"/>
      <c r="N769" s="2"/>
      <c r="O769" s="2"/>
      <c r="P769" s="600"/>
      <c r="Q769" s="2"/>
      <c r="R769" s="2"/>
    </row>
    <row r="770" spans="1:18" ht="15.75" customHeight="1">
      <c r="A770" s="2"/>
      <c r="B770" s="2"/>
      <c r="C770" s="2"/>
      <c r="D770" s="87"/>
      <c r="E770" s="87"/>
      <c r="F770" s="87"/>
      <c r="G770" s="87"/>
      <c r="H770" s="87"/>
      <c r="I770" s="87"/>
      <c r="J770" s="2"/>
      <c r="K770" s="2"/>
      <c r="M770" s="2"/>
      <c r="N770" s="2"/>
      <c r="O770" s="2"/>
      <c r="P770" s="600"/>
      <c r="Q770" s="2"/>
      <c r="R770" s="2"/>
    </row>
    <row r="771" spans="1:18" ht="15.75" customHeight="1">
      <c r="A771" s="2"/>
      <c r="B771" s="2"/>
      <c r="C771" s="2"/>
      <c r="D771" s="87"/>
      <c r="E771" s="87"/>
      <c r="F771" s="87"/>
      <c r="G771" s="87"/>
      <c r="H771" s="87"/>
      <c r="I771" s="87"/>
      <c r="J771" s="2"/>
      <c r="K771" s="2"/>
      <c r="M771" s="2"/>
      <c r="N771" s="2"/>
      <c r="O771" s="2"/>
      <c r="P771" s="600"/>
      <c r="Q771" s="2"/>
      <c r="R771" s="2"/>
    </row>
    <row r="772" spans="1:18" ht="15.75" customHeight="1">
      <c r="A772" s="2"/>
      <c r="B772" s="2"/>
      <c r="C772" s="2"/>
      <c r="D772" s="87"/>
      <c r="E772" s="87"/>
      <c r="F772" s="87"/>
      <c r="G772" s="87"/>
      <c r="H772" s="87"/>
      <c r="I772" s="87"/>
      <c r="J772" s="2"/>
      <c r="K772" s="2"/>
      <c r="M772" s="2"/>
      <c r="N772" s="2"/>
      <c r="O772" s="2"/>
      <c r="P772" s="600"/>
      <c r="Q772" s="2"/>
      <c r="R772" s="2"/>
    </row>
    <row r="773" spans="1:18" ht="15.75" customHeight="1">
      <c r="A773" s="2"/>
      <c r="B773" s="2"/>
      <c r="C773" s="2"/>
      <c r="D773" s="87"/>
      <c r="E773" s="87"/>
      <c r="F773" s="87"/>
      <c r="G773" s="87"/>
      <c r="H773" s="87"/>
      <c r="I773" s="87"/>
      <c r="J773" s="2"/>
      <c r="K773" s="2"/>
      <c r="M773" s="2"/>
      <c r="N773" s="2"/>
      <c r="O773" s="2"/>
      <c r="P773" s="600"/>
      <c r="Q773" s="2"/>
      <c r="R773" s="2"/>
    </row>
    <row r="774" spans="1:18" ht="15.75" customHeight="1">
      <c r="A774" s="2"/>
      <c r="B774" s="2"/>
      <c r="C774" s="2"/>
      <c r="D774" s="87"/>
      <c r="E774" s="87"/>
      <c r="F774" s="87"/>
      <c r="G774" s="87"/>
      <c r="H774" s="87"/>
      <c r="I774" s="87"/>
      <c r="J774" s="2"/>
      <c r="K774" s="2"/>
      <c r="M774" s="2"/>
      <c r="N774" s="2"/>
      <c r="O774" s="2"/>
      <c r="P774" s="600"/>
      <c r="Q774" s="2"/>
      <c r="R774" s="2"/>
    </row>
    <row r="775" spans="1:18" ht="15.75" customHeight="1">
      <c r="A775" s="2"/>
      <c r="B775" s="2"/>
      <c r="C775" s="2"/>
      <c r="D775" s="87"/>
      <c r="E775" s="87"/>
      <c r="F775" s="87"/>
      <c r="G775" s="87"/>
      <c r="H775" s="87"/>
      <c r="I775" s="87"/>
      <c r="J775" s="2"/>
      <c r="K775" s="2"/>
      <c r="M775" s="2"/>
      <c r="N775" s="2"/>
      <c r="O775" s="2"/>
      <c r="P775" s="600"/>
      <c r="Q775" s="2"/>
      <c r="R775" s="2"/>
    </row>
    <row r="776" spans="1:18" ht="15.75" customHeight="1">
      <c r="A776" s="2"/>
      <c r="B776" s="2"/>
      <c r="C776" s="2"/>
      <c r="D776" s="87"/>
      <c r="E776" s="87"/>
      <c r="F776" s="87"/>
      <c r="G776" s="87"/>
      <c r="H776" s="87"/>
      <c r="I776" s="87"/>
      <c r="J776" s="2"/>
      <c r="K776" s="2"/>
      <c r="M776" s="2"/>
      <c r="N776" s="2"/>
      <c r="O776" s="2"/>
      <c r="P776" s="600"/>
      <c r="Q776" s="2"/>
      <c r="R776" s="2"/>
    </row>
    <row r="777" spans="1:18" ht="15.75" customHeight="1">
      <c r="A777" s="2"/>
      <c r="B777" s="2"/>
      <c r="C777" s="2"/>
      <c r="D777" s="87"/>
      <c r="E777" s="87"/>
      <c r="F777" s="87"/>
      <c r="G777" s="87"/>
      <c r="H777" s="87"/>
      <c r="I777" s="87"/>
      <c r="J777" s="2"/>
      <c r="K777" s="2"/>
      <c r="M777" s="2"/>
      <c r="N777" s="2"/>
      <c r="O777" s="2"/>
      <c r="P777" s="600"/>
      <c r="Q777" s="2"/>
      <c r="R777" s="2"/>
    </row>
    <row r="778" spans="1:18" ht="15.75" customHeight="1">
      <c r="A778" s="2"/>
      <c r="B778" s="2"/>
      <c r="C778" s="2"/>
      <c r="D778" s="87"/>
      <c r="E778" s="87"/>
      <c r="F778" s="87"/>
      <c r="G778" s="87"/>
      <c r="H778" s="87"/>
      <c r="I778" s="87"/>
      <c r="J778" s="2"/>
      <c r="K778" s="2"/>
      <c r="M778" s="2"/>
      <c r="N778" s="2"/>
      <c r="O778" s="2"/>
      <c r="P778" s="600"/>
      <c r="Q778" s="2"/>
      <c r="R778" s="2"/>
    </row>
    <row r="779" spans="1:18" ht="15.75" customHeight="1">
      <c r="A779" s="2"/>
      <c r="B779" s="2"/>
      <c r="C779" s="2"/>
      <c r="D779" s="87"/>
      <c r="E779" s="87"/>
      <c r="F779" s="87"/>
      <c r="G779" s="87"/>
      <c r="H779" s="87"/>
      <c r="I779" s="87"/>
      <c r="J779" s="2"/>
      <c r="K779" s="2"/>
      <c r="M779" s="2"/>
      <c r="N779" s="2"/>
      <c r="O779" s="2"/>
      <c r="P779" s="600"/>
      <c r="Q779" s="2"/>
      <c r="R779" s="2"/>
    </row>
    <row r="780" spans="1:18" ht="15.75" customHeight="1">
      <c r="A780" s="2"/>
      <c r="B780" s="2"/>
      <c r="C780" s="2"/>
      <c r="D780" s="87"/>
      <c r="E780" s="87"/>
      <c r="F780" s="87"/>
      <c r="G780" s="87"/>
      <c r="H780" s="87"/>
      <c r="I780" s="87"/>
      <c r="J780" s="2"/>
      <c r="K780" s="2"/>
      <c r="M780" s="2"/>
      <c r="N780" s="2"/>
      <c r="O780" s="2"/>
      <c r="P780" s="600"/>
      <c r="Q780" s="2"/>
      <c r="R780" s="2"/>
    </row>
    <row r="781" spans="1:18" ht="15.75" customHeight="1">
      <c r="A781" s="2"/>
      <c r="B781" s="2"/>
      <c r="C781" s="2"/>
      <c r="D781" s="87"/>
      <c r="E781" s="87"/>
      <c r="F781" s="87"/>
      <c r="G781" s="87"/>
      <c r="H781" s="87"/>
      <c r="I781" s="87"/>
      <c r="J781" s="2"/>
      <c r="K781" s="2"/>
      <c r="M781" s="2"/>
      <c r="N781" s="2"/>
      <c r="O781" s="2"/>
      <c r="P781" s="600"/>
      <c r="Q781" s="2"/>
      <c r="R781" s="2"/>
    </row>
    <row r="782" spans="1:18" ht="15.75" customHeight="1">
      <c r="A782" s="2"/>
      <c r="B782" s="2"/>
      <c r="C782" s="2"/>
      <c r="D782" s="87"/>
      <c r="E782" s="87"/>
      <c r="F782" s="87"/>
      <c r="G782" s="87"/>
      <c r="H782" s="87"/>
      <c r="I782" s="87"/>
      <c r="J782" s="2"/>
      <c r="K782" s="2"/>
      <c r="M782" s="2"/>
      <c r="N782" s="2"/>
      <c r="O782" s="2"/>
      <c r="P782" s="600"/>
      <c r="Q782" s="2"/>
      <c r="R782" s="2"/>
    </row>
    <row r="783" spans="1:18" ht="15.75" customHeight="1">
      <c r="A783" s="2"/>
      <c r="B783" s="2"/>
      <c r="C783" s="2"/>
      <c r="D783" s="87"/>
      <c r="E783" s="87"/>
      <c r="F783" s="87"/>
      <c r="G783" s="87"/>
      <c r="H783" s="87"/>
      <c r="I783" s="87"/>
      <c r="J783" s="2"/>
      <c r="K783" s="2"/>
      <c r="M783" s="2"/>
      <c r="N783" s="2"/>
      <c r="O783" s="2"/>
      <c r="P783" s="600"/>
      <c r="Q783" s="2"/>
      <c r="R783" s="2"/>
    </row>
    <row r="784" spans="1:18" ht="15.75" customHeight="1">
      <c r="A784" s="2"/>
      <c r="B784" s="2"/>
      <c r="C784" s="2"/>
      <c r="D784" s="87"/>
      <c r="E784" s="87"/>
      <c r="F784" s="87"/>
      <c r="G784" s="87"/>
      <c r="H784" s="87"/>
      <c r="I784" s="87"/>
      <c r="J784" s="2"/>
      <c r="K784" s="2"/>
      <c r="M784" s="2"/>
      <c r="N784" s="2"/>
      <c r="O784" s="2"/>
      <c r="P784" s="600"/>
      <c r="Q784" s="2"/>
      <c r="R784" s="2"/>
    </row>
    <row r="785" spans="1:18" ht="15.75" customHeight="1">
      <c r="A785" s="2"/>
      <c r="B785" s="2"/>
      <c r="C785" s="2"/>
      <c r="D785" s="87"/>
      <c r="E785" s="87"/>
      <c r="F785" s="87"/>
      <c r="G785" s="87"/>
      <c r="H785" s="87"/>
      <c r="I785" s="87"/>
      <c r="J785" s="2"/>
      <c r="K785" s="2"/>
      <c r="M785" s="2"/>
      <c r="N785" s="2"/>
      <c r="O785" s="2"/>
      <c r="P785" s="600"/>
      <c r="Q785" s="2"/>
      <c r="R785" s="2"/>
    </row>
    <row r="786" spans="1:18" ht="15.75" customHeight="1">
      <c r="A786" s="2"/>
      <c r="B786" s="2"/>
      <c r="C786" s="2"/>
      <c r="D786" s="87"/>
      <c r="E786" s="87"/>
      <c r="F786" s="87"/>
      <c r="G786" s="87"/>
      <c r="H786" s="87"/>
      <c r="I786" s="87"/>
      <c r="J786" s="2"/>
      <c r="K786" s="2"/>
      <c r="M786" s="2"/>
      <c r="N786" s="2"/>
      <c r="O786" s="2"/>
      <c r="P786" s="600"/>
      <c r="Q786" s="2"/>
      <c r="R786" s="2"/>
    </row>
    <row r="787" spans="1:18" ht="15.75" customHeight="1">
      <c r="A787" s="2"/>
      <c r="B787" s="2"/>
      <c r="C787" s="2"/>
      <c r="D787" s="87"/>
      <c r="E787" s="87"/>
      <c r="F787" s="87"/>
      <c r="G787" s="87"/>
      <c r="H787" s="87"/>
      <c r="I787" s="87"/>
      <c r="J787" s="2"/>
      <c r="K787" s="2"/>
      <c r="M787" s="2"/>
      <c r="N787" s="2"/>
      <c r="O787" s="2"/>
      <c r="P787" s="600"/>
      <c r="Q787" s="2"/>
      <c r="R787" s="2"/>
    </row>
    <row r="788" spans="1:18" ht="15.75" customHeight="1">
      <c r="A788" s="2"/>
      <c r="B788" s="2"/>
      <c r="C788" s="2"/>
      <c r="D788" s="87"/>
      <c r="E788" s="87"/>
      <c r="F788" s="87"/>
      <c r="G788" s="87"/>
      <c r="H788" s="87"/>
      <c r="I788" s="87"/>
      <c r="J788" s="2"/>
      <c r="K788" s="2"/>
      <c r="M788" s="2"/>
      <c r="N788" s="2"/>
      <c r="O788" s="2"/>
      <c r="P788" s="600"/>
      <c r="Q788" s="2"/>
      <c r="R788" s="2"/>
    </row>
    <row r="789" spans="1:18" ht="15.75" customHeight="1">
      <c r="A789" s="2"/>
      <c r="B789" s="2"/>
      <c r="C789" s="2"/>
      <c r="D789" s="87"/>
      <c r="E789" s="87"/>
      <c r="F789" s="87"/>
      <c r="G789" s="87"/>
      <c r="H789" s="87"/>
      <c r="I789" s="87"/>
      <c r="J789" s="2"/>
      <c r="K789" s="2"/>
      <c r="M789" s="2"/>
      <c r="N789" s="2"/>
      <c r="O789" s="2"/>
      <c r="P789" s="600"/>
      <c r="Q789" s="2"/>
      <c r="R789" s="2"/>
    </row>
    <row r="790" spans="1:18" ht="15.75" customHeight="1">
      <c r="A790" s="2"/>
      <c r="B790" s="2"/>
      <c r="C790" s="2"/>
      <c r="D790" s="87"/>
      <c r="E790" s="87"/>
      <c r="F790" s="87"/>
      <c r="G790" s="87"/>
      <c r="H790" s="87"/>
      <c r="I790" s="87"/>
      <c r="J790" s="2"/>
      <c r="K790" s="2"/>
      <c r="M790" s="2"/>
      <c r="N790" s="2"/>
      <c r="O790" s="2"/>
      <c r="P790" s="600"/>
      <c r="Q790" s="2"/>
      <c r="R790" s="2"/>
    </row>
    <row r="791" spans="1:18" ht="15.75" customHeight="1">
      <c r="A791" s="2"/>
      <c r="B791" s="2"/>
      <c r="C791" s="2"/>
      <c r="D791" s="87"/>
      <c r="E791" s="87"/>
      <c r="F791" s="87"/>
      <c r="G791" s="87"/>
      <c r="H791" s="87"/>
      <c r="I791" s="87"/>
      <c r="J791" s="2"/>
      <c r="K791" s="2"/>
      <c r="M791" s="2"/>
      <c r="N791" s="2"/>
      <c r="O791" s="2"/>
      <c r="P791" s="600"/>
      <c r="Q791" s="2"/>
      <c r="R791" s="2"/>
    </row>
    <row r="792" spans="1:18" ht="15.75" customHeight="1">
      <c r="A792" s="2"/>
      <c r="B792" s="2"/>
      <c r="C792" s="2"/>
      <c r="D792" s="87"/>
      <c r="E792" s="87"/>
      <c r="F792" s="87"/>
      <c r="G792" s="87"/>
      <c r="H792" s="87"/>
      <c r="I792" s="87"/>
      <c r="J792" s="2"/>
      <c r="K792" s="2"/>
      <c r="M792" s="2"/>
      <c r="N792" s="2"/>
      <c r="O792" s="2"/>
      <c r="P792" s="600"/>
      <c r="Q792" s="2"/>
      <c r="R792" s="2"/>
    </row>
    <row r="793" spans="1:18" ht="15.75" customHeight="1">
      <c r="A793" s="2"/>
      <c r="B793" s="2"/>
      <c r="C793" s="2"/>
      <c r="D793" s="87"/>
      <c r="E793" s="87"/>
      <c r="F793" s="87"/>
      <c r="G793" s="87"/>
      <c r="H793" s="87"/>
      <c r="I793" s="87"/>
      <c r="J793" s="2"/>
      <c r="K793" s="2"/>
      <c r="M793" s="2"/>
      <c r="N793" s="2"/>
      <c r="O793" s="2"/>
      <c r="P793" s="600"/>
      <c r="Q793" s="2"/>
      <c r="R793" s="2"/>
    </row>
    <row r="794" spans="1:18" ht="15.75" customHeight="1">
      <c r="A794" s="2"/>
      <c r="B794" s="2"/>
      <c r="C794" s="2"/>
      <c r="D794" s="87"/>
      <c r="E794" s="87"/>
      <c r="F794" s="87"/>
      <c r="G794" s="87"/>
      <c r="H794" s="87"/>
      <c r="I794" s="87"/>
      <c r="J794" s="2"/>
      <c r="K794" s="2"/>
      <c r="M794" s="2"/>
      <c r="N794" s="2"/>
      <c r="O794" s="2"/>
      <c r="P794" s="600"/>
      <c r="Q794" s="2"/>
      <c r="R794" s="2"/>
    </row>
    <row r="795" spans="1:18" ht="15.75" customHeight="1">
      <c r="A795" s="2"/>
      <c r="B795" s="2"/>
      <c r="C795" s="2"/>
      <c r="D795" s="87"/>
      <c r="E795" s="87"/>
      <c r="F795" s="87"/>
      <c r="G795" s="87"/>
      <c r="H795" s="87"/>
      <c r="I795" s="87"/>
      <c r="J795" s="2"/>
      <c r="K795" s="2"/>
      <c r="M795" s="2"/>
      <c r="N795" s="2"/>
      <c r="O795" s="2"/>
      <c r="P795" s="600"/>
      <c r="Q795" s="2"/>
      <c r="R795" s="2"/>
    </row>
    <row r="796" spans="1:18" ht="15.75" customHeight="1">
      <c r="A796" s="2"/>
      <c r="B796" s="2"/>
      <c r="C796" s="2"/>
      <c r="D796" s="87"/>
      <c r="E796" s="87"/>
      <c r="F796" s="87"/>
      <c r="G796" s="87"/>
      <c r="H796" s="87"/>
      <c r="I796" s="87"/>
      <c r="J796" s="2"/>
      <c r="K796" s="2"/>
      <c r="M796" s="2"/>
      <c r="N796" s="2"/>
      <c r="O796" s="2"/>
      <c r="P796" s="600"/>
      <c r="Q796" s="2"/>
      <c r="R796" s="2"/>
    </row>
    <row r="797" spans="1:18" ht="15.75" customHeight="1">
      <c r="A797" s="2"/>
      <c r="B797" s="2"/>
      <c r="C797" s="2"/>
      <c r="D797" s="87"/>
      <c r="E797" s="87"/>
      <c r="F797" s="87"/>
      <c r="G797" s="87"/>
      <c r="H797" s="87"/>
      <c r="I797" s="87"/>
      <c r="J797" s="2"/>
      <c r="K797" s="2"/>
      <c r="M797" s="2"/>
      <c r="N797" s="2"/>
      <c r="O797" s="2"/>
      <c r="P797" s="600"/>
      <c r="Q797" s="2"/>
      <c r="R797" s="2"/>
    </row>
    <row r="798" spans="1:18" ht="15.75" customHeight="1">
      <c r="A798" s="2"/>
      <c r="B798" s="2"/>
      <c r="C798" s="2"/>
      <c r="D798" s="87"/>
      <c r="E798" s="87"/>
      <c r="F798" s="87"/>
      <c r="G798" s="87"/>
      <c r="H798" s="87"/>
      <c r="I798" s="87"/>
      <c r="J798" s="2"/>
      <c r="K798" s="2"/>
      <c r="M798" s="2"/>
      <c r="N798" s="2"/>
      <c r="O798" s="2"/>
      <c r="P798" s="600"/>
      <c r="Q798" s="2"/>
      <c r="R798" s="2"/>
    </row>
    <row r="799" spans="1:18" ht="15.75" customHeight="1">
      <c r="A799" s="2"/>
      <c r="B799" s="2"/>
      <c r="C799" s="2"/>
      <c r="D799" s="87"/>
      <c r="E799" s="87"/>
      <c r="F799" s="87"/>
      <c r="G799" s="87"/>
      <c r="H799" s="87"/>
      <c r="I799" s="87"/>
      <c r="J799" s="2"/>
      <c r="K799" s="2"/>
      <c r="M799" s="2"/>
      <c r="N799" s="2"/>
      <c r="O799" s="2"/>
      <c r="P799" s="600"/>
      <c r="Q799" s="2"/>
      <c r="R799" s="2"/>
    </row>
    <row r="800" spans="1:18" ht="15.75" customHeight="1">
      <c r="A800" s="2"/>
      <c r="B800" s="2"/>
      <c r="C800" s="2"/>
      <c r="D800" s="87"/>
      <c r="E800" s="87"/>
      <c r="F800" s="87"/>
      <c r="G800" s="87"/>
      <c r="H800" s="87"/>
      <c r="I800" s="87"/>
      <c r="J800" s="2"/>
      <c r="K800" s="2"/>
      <c r="M800" s="2"/>
      <c r="N800" s="2"/>
      <c r="O800" s="2"/>
      <c r="P800" s="600"/>
      <c r="Q800" s="2"/>
      <c r="R800" s="2"/>
    </row>
    <row r="801" spans="1:18" ht="15.75" customHeight="1">
      <c r="A801" s="2"/>
      <c r="B801" s="2"/>
      <c r="C801" s="2"/>
      <c r="D801" s="87"/>
      <c r="E801" s="87"/>
      <c r="F801" s="87"/>
      <c r="G801" s="87"/>
      <c r="H801" s="87"/>
      <c r="I801" s="87"/>
      <c r="J801" s="2"/>
      <c r="K801" s="2"/>
      <c r="M801" s="2"/>
      <c r="N801" s="2"/>
      <c r="O801" s="2"/>
      <c r="P801" s="600"/>
      <c r="Q801" s="2"/>
      <c r="R801" s="2"/>
    </row>
    <row r="802" spans="1:18" ht="15.75" customHeight="1">
      <c r="A802" s="2"/>
      <c r="B802" s="2"/>
      <c r="C802" s="2"/>
      <c r="D802" s="87"/>
      <c r="E802" s="87"/>
      <c r="F802" s="87"/>
      <c r="G802" s="87"/>
      <c r="H802" s="87"/>
      <c r="I802" s="87"/>
      <c r="J802" s="2"/>
      <c r="K802" s="2"/>
      <c r="M802" s="2"/>
      <c r="N802" s="2"/>
      <c r="O802" s="2"/>
      <c r="P802" s="600"/>
      <c r="Q802" s="2"/>
      <c r="R802" s="2"/>
    </row>
    <row r="803" spans="1:18" ht="15.75" customHeight="1">
      <c r="A803" s="2"/>
      <c r="B803" s="2"/>
      <c r="C803" s="2"/>
      <c r="D803" s="87"/>
      <c r="E803" s="87"/>
      <c r="F803" s="87"/>
      <c r="G803" s="87"/>
      <c r="H803" s="87"/>
      <c r="I803" s="87"/>
      <c r="J803" s="2"/>
      <c r="K803" s="2"/>
      <c r="M803" s="2"/>
      <c r="N803" s="2"/>
      <c r="O803" s="2"/>
      <c r="P803" s="600"/>
      <c r="Q803" s="2"/>
      <c r="R803" s="2"/>
    </row>
    <row r="804" spans="1:18" ht="15.75" customHeight="1">
      <c r="A804" s="2"/>
      <c r="B804" s="2"/>
      <c r="C804" s="2"/>
      <c r="D804" s="87"/>
      <c r="E804" s="87"/>
      <c r="F804" s="87"/>
      <c r="G804" s="87"/>
      <c r="H804" s="87"/>
      <c r="I804" s="87"/>
      <c r="J804" s="2"/>
      <c r="K804" s="2"/>
      <c r="M804" s="2"/>
      <c r="N804" s="2"/>
      <c r="O804" s="2"/>
      <c r="P804" s="600"/>
      <c r="Q804" s="2"/>
      <c r="R804" s="2"/>
    </row>
    <row r="805" spans="1:18" ht="15.75" customHeight="1">
      <c r="A805" s="2"/>
      <c r="B805" s="2"/>
      <c r="C805" s="2"/>
      <c r="D805" s="87"/>
      <c r="E805" s="87"/>
      <c r="F805" s="87"/>
      <c r="G805" s="87"/>
      <c r="H805" s="87"/>
      <c r="I805" s="87"/>
      <c r="J805" s="2"/>
      <c r="K805" s="2"/>
      <c r="M805" s="2"/>
      <c r="N805" s="2"/>
      <c r="O805" s="2"/>
      <c r="P805" s="600"/>
      <c r="Q805" s="2"/>
      <c r="R805" s="2"/>
    </row>
    <row r="806" spans="1:18" ht="15.75" customHeight="1">
      <c r="A806" s="2"/>
      <c r="B806" s="2"/>
      <c r="C806" s="2"/>
      <c r="D806" s="87"/>
      <c r="E806" s="87"/>
      <c r="F806" s="87"/>
      <c r="G806" s="87"/>
      <c r="H806" s="87"/>
      <c r="I806" s="87"/>
      <c r="J806" s="2"/>
      <c r="K806" s="2"/>
      <c r="M806" s="2"/>
      <c r="N806" s="2"/>
      <c r="O806" s="2"/>
      <c r="P806" s="600"/>
      <c r="Q806" s="2"/>
      <c r="R806" s="2"/>
    </row>
    <row r="807" spans="1:18" ht="15.75" customHeight="1">
      <c r="A807" s="2"/>
      <c r="B807" s="2"/>
      <c r="C807" s="2"/>
      <c r="D807" s="87"/>
      <c r="E807" s="87"/>
      <c r="F807" s="87"/>
      <c r="G807" s="87"/>
      <c r="H807" s="87"/>
      <c r="I807" s="87"/>
      <c r="J807" s="2"/>
      <c r="K807" s="2"/>
      <c r="M807" s="2"/>
      <c r="N807" s="2"/>
      <c r="O807" s="2"/>
      <c r="P807" s="600"/>
      <c r="Q807" s="2"/>
      <c r="R807" s="2"/>
    </row>
    <row r="808" spans="1:18" ht="15.75" customHeight="1">
      <c r="A808" s="2"/>
      <c r="B808" s="2"/>
      <c r="C808" s="2"/>
      <c r="D808" s="87"/>
      <c r="E808" s="87"/>
      <c r="F808" s="87"/>
      <c r="G808" s="87"/>
      <c r="H808" s="87"/>
      <c r="I808" s="87"/>
      <c r="J808" s="2"/>
      <c r="K808" s="2"/>
      <c r="M808" s="2"/>
      <c r="N808" s="2"/>
      <c r="O808" s="2"/>
      <c r="P808" s="600"/>
      <c r="Q808" s="2"/>
      <c r="R808" s="2"/>
    </row>
    <row r="809" spans="1:18" ht="15.75" customHeight="1">
      <c r="A809" s="2"/>
      <c r="B809" s="2"/>
      <c r="C809" s="2"/>
      <c r="D809" s="87"/>
      <c r="E809" s="87"/>
      <c r="F809" s="87"/>
      <c r="G809" s="87"/>
      <c r="H809" s="87"/>
      <c r="I809" s="87"/>
      <c r="J809" s="2"/>
      <c r="K809" s="2"/>
      <c r="M809" s="2"/>
      <c r="N809" s="2"/>
      <c r="O809" s="2"/>
      <c r="P809" s="600"/>
      <c r="Q809" s="2"/>
      <c r="R809" s="2"/>
    </row>
    <row r="810" spans="1:18" ht="15.75" customHeight="1">
      <c r="A810" s="2"/>
      <c r="B810" s="2"/>
      <c r="C810" s="2"/>
      <c r="D810" s="87"/>
      <c r="E810" s="87"/>
      <c r="F810" s="87"/>
      <c r="G810" s="87"/>
      <c r="H810" s="87"/>
      <c r="I810" s="87"/>
      <c r="J810" s="2"/>
      <c r="K810" s="2"/>
      <c r="M810" s="2"/>
      <c r="N810" s="2"/>
      <c r="O810" s="2"/>
      <c r="P810" s="600"/>
      <c r="Q810" s="2"/>
      <c r="R810" s="2"/>
    </row>
    <row r="811" spans="1:18" ht="15.75" customHeight="1">
      <c r="A811" s="2"/>
      <c r="B811" s="2"/>
      <c r="C811" s="2"/>
      <c r="D811" s="87"/>
      <c r="E811" s="87"/>
      <c r="F811" s="87"/>
      <c r="G811" s="87"/>
      <c r="H811" s="87"/>
      <c r="I811" s="87"/>
      <c r="J811" s="2"/>
      <c r="K811" s="2"/>
      <c r="M811" s="2"/>
      <c r="N811" s="2"/>
      <c r="O811" s="2"/>
      <c r="P811" s="600"/>
      <c r="Q811" s="2"/>
      <c r="R811" s="2"/>
    </row>
    <row r="812" spans="1:18" ht="15.75" customHeight="1">
      <c r="A812" s="2"/>
      <c r="B812" s="2"/>
      <c r="C812" s="2"/>
      <c r="D812" s="87"/>
      <c r="E812" s="87"/>
      <c r="F812" s="87"/>
      <c r="G812" s="87"/>
      <c r="H812" s="87"/>
      <c r="I812" s="87"/>
      <c r="J812" s="2"/>
      <c r="K812" s="2"/>
      <c r="M812" s="2"/>
      <c r="N812" s="2"/>
      <c r="O812" s="2"/>
      <c r="P812" s="600"/>
      <c r="Q812" s="2"/>
      <c r="R812" s="2"/>
    </row>
    <row r="813" spans="1:18" ht="15.75" customHeight="1">
      <c r="A813" s="2"/>
      <c r="B813" s="2"/>
      <c r="C813" s="2"/>
      <c r="D813" s="87"/>
      <c r="E813" s="87"/>
      <c r="F813" s="87"/>
      <c r="G813" s="87"/>
      <c r="H813" s="87"/>
      <c r="I813" s="87"/>
      <c r="J813" s="2"/>
      <c r="K813" s="2"/>
      <c r="M813" s="2"/>
      <c r="N813" s="2"/>
      <c r="O813" s="2"/>
      <c r="P813" s="600"/>
      <c r="Q813" s="2"/>
      <c r="R813" s="2"/>
    </row>
    <row r="814" spans="1:18" ht="15.75" customHeight="1">
      <c r="A814" s="2"/>
      <c r="B814" s="2"/>
      <c r="C814" s="2"/>
      <c r="D814" s="87"/>
      <c r="E814" s="87"/>
      <c r="F814" s="87"/>
      <c r="G814" s="87"/>
      <c r="H814" s="87"/>
      <c r="I814" s="87"/>
      <c r="J814" s="2"/>
      <c r="K814" s="2"/>
      <c r="M814" s="2"/>
      <c r="N814" s="2"/>
      <c r="O814" s="2"/>
      <c r="P814" s="600"/>
      <c r="Q814" s="2"/>
      <c r="R814" s="2"/>
    </row>
    <row r="815" spans="1:18" ht="15.75" customHeight="1">
      <c r="A815" s="2"/>
      <c r="B815" s="2"/>
      <c r="C815" s="2"/>
      <c r="D815" s="87"/>
      <c r="E815" s="87"/>
      <c r="F815" s="87"/>
      <c r="G815" s="87"/>
      <c r="H815" s="87"/>
      <c r="I815" s="87"/>
      <c r="J815" s="2"/>
      <c r="K815" s="2"/>
      <c r="M815" s="2"/>
      <c r="N815" s="2"/>
      <c r="O815" s="2"/>
      <c r="P815" s="600"/>
      <c r="Q815" s="2"/>
      <c r="R815" s="2"/>
    </row>
    <row r="816" spans="1:18" ht="15.75" customHeight="1">
      <c r="A816" s="2"/>
      <c r="B816" s="2"/>
      <c r="C816" s="2"/>
      <c r="D816" s="87"/>
      <c r="E816" s="87"/>
      <c r="F816" s="87"/>
      <c r="G816" s="87"/>
      <c r="H816" s="87"/>
      <c r="I816" s="87"/>
      <c r="J816" s="2"/>
      <c r="K816" s="2"/>
      <c r="M816" s="2"/>
      <c r="N816" s="2"/>
      <c r="O816" s="2"/>
      <c r="P816" s="600"/>
      <c r="Q816" s="2"/>
      <c r="R816" s="2"/>
    </row>
    <row r="817" spans="1:18" ht="15.75" customHeight="1">
      <c r="A817" s="2"/>
      <c r="B817" s="2"/>
      <c r="C817" s="2"/>
      <c r="D817" s="87"/>
      <c r="E817" s="87"/>
      <c r="F817" s="87"/>
      <c r="G817" s="87"/>
      <c r="H817" s="87"/>
      <c r="I817" s="87"/>
      <c r="J817" s="2"/>
      <c r="K817" s="2"/>
      <c r="M817" s="2"/>
      <c r="N817" s="2"/>
      <c r="O817" s="2"/>
      <c r="P817" s="600"/>
      <c r="Q817" s="2"/>
      <c r="R817" s="2"/>
    </row>
    <row r="818" spans="1:18" ht="15.75" customHeight="1">
      <c r="A818" s="2"/>
      <c r="B818" s="2"/>
      <c r="C818" s="2"/>
      <c r="D818" s="87"/>
      <c r="E818" s="87"/>
      <c r="F818" s="87"/>
      <c r="G818" s="87"/>
      <c r="H818" s="87"/>
      <c r="I818" s="87"/>
      <c r="J818" s="2"/>
      <c r="K818" s="2"/>
      <c r="M818" s="2"/>
      <c r="N818" s="2"/>
      <c r="O818" s="2"/>
      <c r="P818" s="600"/>
      <c r="Q818" s="2"/>
      <c r="R818" s="2"/>
    </row>
    <row r="819" spans="1:18" ht="15.75" customHeight="1">
      <c r="A819" s="2"/>
      <c r="B819" s="2"/>
      <c r="C819" s="2"/>
      <c r="D819" s="87"/>
      <c r="E819" s="87"/>
      <c r="F819" s="87"/>
      <c r="G819" s="87"/>
      <c r="H819" s="87"/>
      <c r="I819" s="87"/>
      <c r="J819" s="2"/>
      <c r="K819" s="2"/>
      <c r="M819" s="2"/>
      <c r="N819" s="2"/>
      <c r="O819" s="2"/>
      <c r="P819" s="600"/>
      <c r="Q819" s="2"/>
      <c r="R819" s="2"/>
    </row>
    <row r="820" spans="1:18" ht="15.75" customHeight="1">
      <c r="A820" s="2"/>
      <c r="B820" s="2"/>
      <c r="C820" s="2"/>
      <c r="D820" s="87"/>
      <c r="E820" s="87"/>
      <c r="F820" s="87"/>
      <c r="G820" s="87"/>
      <c r="H820" s="87"/>
      <c r="I820" s="87"/>
      <c r="J820" s="2"/>
      <c r="K820" s="2"/>
      <c r="M820" s="2"/>
      <c r="N820" s="2"/>
      <c r="O820" s="2"/>
      <c r="P820" s="600"/>
      <c r="Q820" s="2"/>
      <c r="R820" s="2"/>
    </row>
    <row r="821" spans="1:18" ht="15.75" customHeight="1">
      <c r="A821" s="2"/>
      <c r="B821" s="2"/>
      <c r="C821" s="2"/>
      <c r="D821" s="87"/>
      <c r="E821" s="87"/>
      <c r="F821" s="87"/>
      <c r="G821" s="87"/>
      <c r="H821" s="87"/>
      <c r="I821" s="87"/>
      <c r="J821" s="2"/>
      <c r="K821" s="2"/>
      <c r="M821" s="2"/>
      <c r="N821" s="2"/>
      <c r="O821" s="2"/>
      <c r="P821" s="600"/>
      <c r="Q821" s="2"/>
      <c r="R821" s="2"/>
    </row>
    <row r="822" spans="1:18" ht="15.75" customHeight="1">
      <c r="A822" s="2"/>
      <c r="B822" s="2"/>
      <c r="C822" s="2"/>
      <c r="D822" s="87"/>
      <c r="E822" s="87"/>
      <c r="F822" s="87"/>
      <c r="G822" s="87"/>
      <c r="H822" s="87"/>
      <c r="I822" s="87"/>
      <c r="J822" s="2"/>
      <c r="K822" s="2"/>
      <c r="M822" s="2"/>
      <c r="N822" s="2"/>
      <c r="O822" s="2"/>
      <c r="P822" s="600"/>
      <c r="Q822" s="2"/>
      <c r="R822" s="2"/>
    </row>
    <row r="823" spans="1:18" ht="15.75" customHeight="1">
      <c r="A823" s="2"/>
      <c r="B823" s="2"/>
      <c r="C823" s="2"/>
      <c r="D823" s="87"/>
      <c r="E823" s="87"/>
      <c r="F823" s="87"/>
      <c r="G823" s="87"/>
      <c r="H823" s="87"/>
      <c r="I823" s="87"/>
      <c r="J823" s="2"/>
      <c r="K823" s="2"/>
      <c r="M823" s="2"/>
      <c r="N823" s="2"/>
      <c r="O823" s="2"/>
      <c r="P823" s="600"/>
      <c r="Q823" s="2"/>
      <c r="R823" s="2"/>
    </row>
    <row r="824" spans="1:18" ht="15.75" customHeight="1">
      <c r="A824" s="2"/>
      <c r="B824" s="2"/>
      <c r="C824" s="2"/>
      <c r="D824" s="87"/>
      <c r="E824" s="87"/>
      <c r="F824" s="87"/>
      <c r="G824" s="87"/>
      <c r="H824" s="87"/>
      <c r="I824" s="87"/>
      <c r="J824" s="2"/>
      <c r="K824" s="2"/>
      <c r="M824" s="2"/>
      <c r="N824" s="2"/>
      <c r="O824" s="2"/>
      <c r="P824" s="600"/>
      <c r="Q824" s="2"/>
      <c r="R824" s="2"/>
    </row>
    <row r="825" spans="1:18" ht="15.75" customHeight="1">
      <c r="A825" s="2"/>
      <c r="B825" s="2"/>
      <c r="C825" s="2"/>
      <c r="D825" s="87"/>
      <c r="E825" s="87"/>
      <c r="F825" s="87"/>
      <c r="G825" s="87"/>
      <c r="H825" s="87"/>
      <c r="I825" s="87"/>
      <c r="J825" s="2"/>
      <c r="K825" s="2"/>
      <c r="M825" s="2"/>
      <c r="N825" s="2"/>
      <c r="O825" s="2"/>
      <c r="P825" s="600"/>
      <c r="Q825" s="2"/>
      <c r="R825" s="2"/>
    </row>
    <row r="826" spans="1:18" ht="15.75" customHeight="1">
      <c r="A826" s="2"/>
      <c r="B826" s="2"/>
      <c r="C826" s="2"/>
      <c r="D826" s="87"/>
      <c r="E826" s="87"/>
      <c r="F826" s="87"/>
      <c r="G826" s="87"/>
      <c r="H826" s="87"/>
      <c r="I826" s="87"/>
      <c r="J826" s="2"/>
      <c r="K826" s="2"/>
      <c r="M826" s="2"/>
      <c r="N826" s="2"/>
      <c r="O826" s="2"/>
      <c r="P826" s="600"/>
      <c r="Q826" s="2"/>
      <c r="R826" s="2"/>
    </row>
    <row r="827" spans="1:18" ht="15.75" customHeight="1">
      <c r="A827" s="2"/>
      <c r="B827" s="2"/>
      <c r="C827" s="2"/>
      <c r="D827" s="87"/>
      <c r="E827" s="87"/>
      <c r="F827" s="87"/>
      <c r="G827" s="87"/>
      <c r="H827" s="87"/>
      <c r="I827" s="87"/>
      <c r="J827" s="2"/>
      <c r="K827" s="2"/>
      <c r="M827" s="2"/>
      <c r="N827" s="2"/>
      <c r="O827" s="2"/>
      <c r="P827" s="600"/>
      <c r="Q827" s="2"/>
      <c r="R827" s="2"/>
    </row>
    <row r="828" spans="1:18" ht="15.75" customHeight="1">
      <c r="A828" s="2"/>
      <c r="B828" s="2"/>
      <c r="C828" s="2"/>
      <c r="D828" s="87"/>
      <c r="E828" s="87"/>
      <c r="F828" s="87"/>
      <c r="G828" s="87"/>
      <c r="H828" s="87"/>
      <c r="I828" s="87"/>
      <c r="J828" s="2"/>
      <c r="K828" s="2"/>
      <c r="M828" s="2"/>
      <c r="N828" s="2"/>
      <c r="O828" s="2"/>
      <c r="P828" s="600"/>
      <c r="Q828" s="2"/>
      <c r="R828" s="2"/>
    </row>
    <row r="829" spans="1:18" ht="15.75" customHeight="1">
      <c r="A829" s="2"/>
      <c r="B829" s="2"/>
      <c r="C829" s="2"/>
      <c r="D829" s="87"/>
      <c r="E829" s="87"/>
      <c r="F829" s="87"/>
      <c r="G829" s="87"/>
      <c r="H829" s="87"/>
      <c r="I829" s="87"/>
      <c r="J829" s="2"/>
      <c r="K829" s="2"/>
      <c r="M829" s="2"/>
      <c r="N829" s="2"/>
      <c r="O829" s="2"/>
      <c r="P829" s="600"/>
      <c r="Q829" s="2"/>
      <c r="R829" s="2"/>
    </row>
    <row r="830" spans="1:18" ht="15.75" customHeight="1">
      <c r="A830" s="2"/>
      <c r="B830" s="2"/>
      <c r="C830" s="2"/>
      <c r="D830" s="87"/>
      <c r="E830" s="87"/>
      <c r="F830" s="87"/>
      <c r="G830" s="87"/>
      <c r="H830" s="87"/>
      <c r="I830" s="87"/>
      <c r="J830" s="2"/>
      <c r="K830" s="2"/>
      <c r="M830" s="2"/>
      <c r="N830" s="2"/>
      <c r="O830" s="2"/>
      <c r="P830" s="600"/>
      <c r="Q830" s="2"/>
      <c r="R830" s="2"/>
    </row>
    <row r="831" spans="1:18" ht="15.75" customHeight="1">
      <c r="A831" s="2"/>
      <c r="B831" s="2"/>
      <c r="C831" s="2"/>
      <c r="D831" s="87"/>
      <c r="E831" s="87"/>
      <c r="F831" s="87"/>
      <c r="G831" s="87"/>
      <c r="H831" s="87"/>
      <c r="I831" s="87"/>
      <c r="J831" s="2"/>
      <c r="K831" s="2"/>
      <c r="M831" s="2"/>
      <c r="N831" s="2"/>
      <c r="O831" s="2"/>
      <c r="P831" s="600"/>
      <c r="Q831" s="2"/>
      <c r="R831" s="2"/>
    </row>
    <row r="832" spans="1:18" ht="15.75" customHeight="1">
      <c r="A832" s="2"/>
      <c r="B832" s="2"/>
      <c r="C832" s="2"/>
      <c r="D832" s="87"/>
      <c r="E832" s="87"/>
      <c r="F832" s="87"/>
      <c r="G832" s="87"/>
      <c r="H832" s="87"/>
      <c r="I832" s="87"/>
      <c r="J832" s="2"/>
      <c r="K832" s="2"/>
      <c r="M832" s="2"/>
      <c r="N832" s="2"/>
      <c r="O832" s="2"/>
      <c r="P832" s="600"/>
      <c r="Q832" s="2"/>
      <c r="R832" s="2"/>
    </row>
    <row r="833" spans="1:18" ht="15.75" customHeight="1">
      <c r="A833" s="2"/>
      <c r="B833" s="2"/>
      <c r="C833" s="2"/>
      <c r="D833" s="87"/>
      <c r="E833" s="87"/>
      <c r="F833" s="87"/>
      <c r="G833" s="87"/>
      <c r="H833" s="87"/>
      <c r="I833" s="87"/>
      <c r="J833" s="2"/>
      <c r="K833" s="2"/>
      <c r="M833" s="2"/>
      <c r="N833" s="2"/>
      <c r="O833" s="2"/>
      <c r="P833" s="600"/>
      <c r="Q833" s="2"/>
      <c r="R833" s="2"/>
    </row>
    <row r="834" spans="1:18" ht="15.75" customHeight="1">
      <c r="A834" s="2"/>
      <c r="B834" s="2"/>
      <c r="C834" s="2"/>
      <c r="D834" s="87"/>
      <c r="E834" s="87"/>
      <c r="F834" s="87"/>
      <c r="G834" s="87"/>
      <c r="H834" s="87"/>
      <c r="I834" s="87"/>
      <c r="J834" s="2"/>
      <c r="K834" s="2"/>
      <c r="M834" s="2"/>
      <c r="N834" s="2"/>
      <c r="O834" s="2"/>
      <c r="P834" s="600"/>
      <c r="Q834" s="2"/>
      <c r="R834" s="2"/>
    </row>
    <row r="835" spans="1:18" ht="15.75" customHeight="1">
      <c r="A835" s="2"/>
      <c r="B835" s="2"/>
      <c r="C835" s="2"/>
      <c r="D835" s="87"/>
      <c r="E835" s="87"/>
      <c r="F835" s="87"/>
      <c r="G835" s="87"/>
      <c r="H835" s="87"/>
      <c r="I835" s="87"/>
      <c r="J835" s="2"/>
      <c r="K835" s="2"/>
      <c r="M835" s="2"/>
      <c r="N835" s="2"/>
      <c r="O835" s="2"/>
      <c r="P835" s="600"/>
      <c r="Q835" s="2"/>
      <c r="R835" s="2"/>
    </row>
    <row r="836" spans="1:18" ht="15.75" customHeight="1">
      <c r="A836" s="2"/>
      <c r="B836" s="2"/>
      <c r="C836" s="2"/>
      <c r="D836" s="87"/>
      <c r="E836" s="87"/>
      <c r="F836" s="87"/>
      <c r="G836" s="87"/>
      <c r="H836" s="87"/>
      <c r="I836" s="87"/>
      <c r="J836" s="2"/>
      <c r="K836" s="2"/>
      <c r="M836" s="2"/>
      <c r="N836" s="2"/>
      <c r="O836" s="2"/>
      <c r="P836" s="600"/>
      <c r="Q836" s="2"/>
      <c r="R836" s="2"/>
    </row>
    <row r="837" spans="1:18" ht="15.75" customHeight="1">
      <c r="A837" s="2"/>
      <c r="B837" s="2"/>
      <c r="C837" s="2"/>
      <c r="D837" s="87"/>
      <c r="E837" s="87"/>
      <c r="F837" s="87"/>
      <c r="G837" s="87"/>
      <c r="H837" s="87"/>
      <c r="I837" s="87"/>
      <c r="J837" s="2"/>
      <c r="K837" s="2"/>
      <c r="M837" s="2"/>
      <c r="N837" s="2"/>
      <c r="O837" s="2"/>
      <c r="P837" s="600"/>
      <c r="Q837" s="2"/>
      <c r="R837" s="2"/>
    </row>
    <row r="838" spans="1:18" ht="15.75" customHeight="1">
      <c r="A838" s="2"/>
      <c r="B838" s="2"/>
      <c r="C838" s="2"/>
      <c r="D838" s="87"/>
      <c r="E838" s="87"/>
      <c r="F838" s="87"/>
      <c r="G838" s="87"/>
      <c r="H838" s="87"/>
      <c r="I838" s="87"/>
      <c r="J838" s="2"/>
      <c r="K838" s="2"/>
      <c r="M838" s="2"/>
      <c r="N838" s="2"/>
      <c r="O838" s="2"/>
      <c r="P838" s="600"/>
      <c r="Q838" s="2"/>
      <c r="R838" s="2"/>
    </row>
    <row r="839" spans="1:18" ht="15.75" customHeight="1">
      <c r="A839" s="2"/>
      <c r="B839" s="2"/>
      <c r="C839" s="2"/>
      <c r="D839" s="87"/>
      <c r="E839" s="87"/>
      <c r="F839" s="87"/>
      <c r="G839" s="87"/>
      <c r="H839" s="87"/>
      <c r="I839" s="87"/>
      <c r="J839" s="2"/>
      <c r="K839" s="2"/>
      <c r="M839" s="2"/>
      <c r="N839" s="2"/>
      <c r="O839" s="2"/>
      <c r="P839" s="600"/>
      <c r="Q839" s="2"/>
      <c r="R839" s="2"/>
    </row>
    <row r="840" spans="1:18" ht="15.75" customHeight="1">
      <c r="A840" s="2"/>
      <c r="B840" s="2"/>
      <c r="C840" s="2"/>
      <c r="D840" s="87"/>
      <c r="E840" s="87"/>
      <c r="F840" s="87"/>
      <c r="G840" s="87"/>
      <c r="H840" s="87"/>
      <c r="I840" s="87"/>
      <c r="J840" s="2"/>
      <c r="K840" s="2"/>
      <c r="M840" s="2"/>
      <c r="N840" s="2"/>
      <c r="O840" s="2"/>
      <c r="P840" s="600"/>
      <c r="Q840" s="2"/>
      <c r="R840" s="2"/>
    </row>
    <row r="841" spans="1:18" ht="15.75" customHeight="1">
      <c r="A841" s="2"/>
      <c r="B841" s="2"/>
      <c r="C841" s="2"/>
      <c r="D841" s="87"/>
      <c r="E841" s="87"/>
      <c r="F841" s="87"/>
      <c r="G841" s="87"/>
      <c r="H841" s="87"/>
      <c r="I841" s="87"/>
      <c r="J841" s="2"/>
      <c r="K841" s="2"/>
      <c r="M841" s="2"/>
      <c r="N841" s="2"/>
      <c r="O841" s="2"/>
      <c r="P841" s="600"/>
      <c r="Q841" s="2"/>
      <c r="R841" s="2"/>
    </row>
    <row r="842" spans="1:18" ht="15.75" customHeight="1">
      <c r="A842" s="2"/>
      <c r="B842" s="2"/>
      <c r="C842" s="2"/>
      <c r="D842" s="87"/>
      <c r="E842" s="87"/>
      <c r="F842" s="87"/>
      <c r="G842" s="87"/>
      <c r="H842" s="87"/>
      <c r="I842" s="87"/>
      <c r="J842" s="2"/>
      <c r="K842" s="2"/>
      <c r="M842" s="2"/>
      <c r="N842" s="2"/>
      <c r="O842" s="2"/>
      <c r="P842" s="600"/>
      <c r="Q842" s="2"/>
      <c r="R842" s="2"/>
    </row>
    <row r="843" spans="1:18" ht="15.75" customHeight="1">
      <c r="A843" s="2"/>
      <c r="B843" s="2"/>
      <c r="C843" s="2"/>
      <c r="D843" s="87"/>
      <c r="E843" s="87"/>
      <c r="F843" s="87"/>
      <c r="G843" s="87"/>
      <c r="H843" s="87"/>
      <c r="I843" s="87"/>
      <c r="J843" s="2"/>
      <c r="K843" s="2"/>
      <c r="M843" s="2"/>
      <c r="N843" s="2"/>
      <c r="O843" s="2"/>
      <c r="P843" s="600"/>
      <c r="Q843" s="2"/>
      <c r="R843" s="2"/>
    </row>
    <row r="844" spans="1:18" ht="15.75" customHeight="1">
      <c r="A844" s="2"/>
      <c r="B844" s="2"/>
      <c r="C844" s="2"/>
      <c r="D844" s="87"/>
      <c r="E844" s="87"/>
      <c r="F844" s="87"/>
      <c r="G844" s="87"/>
      <c r="H844" s="87"/>
      <c r="I844" s="87"/>
      <c r="J844" s="2"/>
      <c r="K844" s="2"/>
      <c r="M844" s="2"/>
      <c r="N844" s="2"/>
      <c r="O844" s="2"/>
      <c r="P844" s="600"/>
      <c r="Q844" s="2"/>
      <c r="R844" s="2"/>
    </row>
    <row r="845" spans="1:18" ht="15.75" customHeight="1">
      <c r="A845" s="2"/>
      <c r="B845" s="2"/>
      <c r="C845" s="2"/>
      <c r="D845" s="87"/>
      <c r="E845" s="87"/>
      <c r="F845" s="87"/>
      <c r="G845" s="87"/>
      <c r="H845" s="87"/>
      <c r="I845" s="87"/>
      <c r="J845" s="2"/>
      <c r="K845" s="2"/>
      <c r="M845" s="2"/>
      <c r="N845" s="2"/>
      <c r="O845" s="2"/>
      <c r="P845" s="600"/>
      <c r="Q845" s="2"/>
      <c r="R845" s="2"/>
    </row>
    <row r="846" spans="1:18" ht="15.75" customHeight="1">
      <c r="A846" s="2"/>
      <c r="B846" s="2"/>
      <c r="C846" s="2"/>
      <c r="D846" s="87"/>
      <c r="E846" s="87"/>
      <c r="F846" s="87"/>
      <c r="G846" s="87"/>
      <c r="H846" s="87"/>
      <c r="I846" s="87"/>
      <c r="J846" s="2"/>
      <c r="K846" s="2"/>
      <c r="M846" s="2"/>
      <c r="N846" s="2"/>
      <c r="O846" s="2"/>
      <c r="P846" s="600"/>
      <c r="Q846" s="2"/>
      <c r="R846" s="2"/>
    </row>
    <row r="847" spans="1:18" ht="15.75" customHeight="1">
      <c r="A847" s="2"/>
      <c r="B847" s="2"/>
      <c r="C847" s="2"/>
      <c r="D847" s="87"/>
      <c r="E847" s="87"/>
      <c r="F847" s="87"/>
      <c r="G847" s="87"/>
      <c r="H847" s="87"/>
      <c r="I847" s="87"/>
      <c r="J847" s="2"/>
      <c r="K847" s="2"/>
      <c r="M847" s="2"/>
      <c r="N847" s="2"/>
      <c r="O847" s="2"/>
      <c r="P847" s="600"/>
      <c r="Q847" s="2"/>
      <c r="R847" s="2"/>
    </row>
    <row r="848" spans="1:18" ht="15.75" customHeight="1">
      <c r="A848" s="2"/>
      <c r="B848" s="2"/>
      <c r="C848" s="2"/>
      <c r="D848" s="87"/>
      <c r="E848" s="87"/>
      <c r="F848" s="87"/>
      <c r="G848" s="87"/>
      <c r="H848" s="87"/>
      <c r="I848" s="87"/>
      <c r="J848" s="2"/>
      <c r="K848" s="2"/>
      <c r="M848" s="2"/>
      <c r="N848" s="2"/>
      <c r="O848" s="2"/>
      <c r="P848" s="600"/>
      <c r="Q848" s="2"/>
      <c r="R848" s="2"/>
    </row>
    <row r="849" spans="1:18" ht="15.75" customHeight="1">
      <c r="A849" s="2"/>
      <c r="B849" s="2"/>
      <c r="C849" s="2"/>
      <c r="D849" s="87"/>
      <c r="E849" s="87"/>
      <c r="F849" s="87"/>
      <c r="G849" s="87"/>
      <c r="H849" s="87"/>
      <c r="I849" s="87"/>
      <c r="J849" s="2"/>
      <c r="K849" s="2"/>
      <c r="M849" s="2"/>
      <c r="N849" s="2"/>
      <c r="O849" s="2"/>
      <c r="P849" s="600"/>
      <c r="Q849" s="2"/>
      <c r="R849" s="2"/>
    </row>
    <row r="850" spans="1:18" ht="15.75" customHeight="1">
      <c r="A850" s="2"/>
      <c r="B850" s="2"/>
      <c r="C850" s="2"/>
      <c r="D850" s="87"/>
      <c r="E850" s="87"/>
      <c r="F850" s="87"/>
      <c r="G850" s="87"/>
      <c r="H850" s="87"/>
      <c r="I850" s="87"/>
      <c r="J850" s="2"/>
      <c r="K850" s="2"/>
      <c r="M850" s="2"/>
      <c r="N850" s="2"/>
      <c r="O850" s="2"/>
      <c r="P850" s="600"/>
      <c r="Q850" s="2"/>
      <c r="R850" s="2"/>
    </row>
    <row r="851" spans="1:18" ht="15.75" customHeight="1">
      <c r="A851" s="2"/>
      <c r="B851" s="2"/>
      <c r="C851" s="2"/>
      <c r="D851" s="87"/>
      <c r="E851" s="87"/>
      <c r="F851" s="87"/>
      <c r="G851" s="87"/>
      <c r="H851" s="87"/>
      <c r="I851" s="87"/>
      <c r="J851" s="2"/>
      <c r="K851" s="2"/>
      <c r="M851" s="2"/>
      <c r="N851" s="2"/>
      <c r="O851" s="2"/>
      <c r="P851" s="600"/>
      <c r="Q851" s="2"/>
      <c r="R851" s="2"/>
    </row>
    <row r="852" spans="1:18" ht="15.75" customHeight="1">
      <c r="A852" s="2"/>
      <c r="B852" s="2"/>
      <c r="C852" s="2"/>
      <c r="D852" s="87"/>
      <c r="E852" s="87"/>
      <c r="F852" s="87"/>
      <c r="G852" s="87"/>
      <c r="H852" s="87"/>
      <c r="I852" s="87"/>
      <c r="J852" s="2"/>
      <c r="K852" s="2"/>
      <c r="M852" s="2"/>
      <c r="N852" s="2"/>
      <c r="O852" s="2"/>
      <c r="P852" s="600"/>
      <c r="Q852" s="2"/>
      <c r="R852" s="2"/>
    </row>
    <row r="853" spans="1:18" ht="15.75" customHeight="1">
      <c r="A853" s="2"/>
      <c r="B853" s="2"/>
      <c r="C853" s="2"/>
      <c r="D853" s="87"/>
      <c r="E853" s="87"/>
      <c r="F853" s="87"/>
      <c r="G853" s="87"/>
      <c r="H853" s="87"/>
      <c r="I853" s="87"/>
      <c r="J853" s="2"/>
      <c r="K853" s="2"/>
      <c r="M853" s="2"/>
      <c r="N853" s="2"/>
      <c r="O853" s="2"/>
      <c r="P853" s="600"/>
      <c r="Q853" s="2"/>
      <c r="R853" s="2"/>
    </row>
    <row r="854" spans="1:18" ht="15.75" customHeight="1">
      <c r="A854" s="2"/>
      <c r="B854" s="2"/>
      <c r="C854" s="2"/>
      <c r="D854" s="87"/>
      <c r="E854" s="87"/>
      <c r="F854" s="87"/>
      <c r="G854" s="87"/>
      <c r="H854" s="87"/>
      <c r="I854" s="87"/>
      <c r="J854" s="2"/>
      <c r="K854" s="2"/>
      <c r="M854" s="2"/>
      <c r="N854" s="2"/>
      <c r="O854" s="2"/>
      <c r="P854" s="600"/>
      <c r="Q854" s="2"/>
      <c r="R854" s="2"/>
    </row>
    <row r="855" spans="1:18" ht="15.75" customHeight="1">
      <c r="A855" s="2"/>
      <c r="B855" s="2"/>
      <c r="C855" s="2"/>
      <c r="D855" s="87"/>
      <c r="E855" s="87"/>
      <c r="F855" s="87"/>
      <c r="G855" s="87"/>
      <c r="H855" s="87"/>
      <c r="I855" s="87"/>
      <c r="J855" s="2"/>
      <c r="K855" s="2"/>
      <c r="M855" s="2"/>
      <c r="N855" s="2"/>
      <c r="O855" s="2"/>
      <c r="P855" s="600"/>
      <c r="Q855" s="2"/>
      <c r="R855" s="2"/>
    </row>
    <row r="856" spans="1:18" ht="15.75" customHeight="1">
      <c r="A856" s="2"/>
      <c r="B856" s="2"/>
      <c r="C856" s="2"/>
      <c r="D856" s="87"/>
      <c r="E856" s="87"/>
      <c r="F856" s="87"/>
      <c r="G856" s="87"/>
      <c r="H856" s="87"/>
      <c r="I856" s="87"/>
      <c r="J856" s="2"/>
      <c r="K856" s="2"/>
      <c r="M856" s="2"/>
      <c r="N856" s="2"/>
      <c r="O856" s="2"/>
      <c r="P856" s="600"/>
      <c r="Q856" s="2"/>
      <c r="R856" s="2"/>
    </row>
    <row r="857" spans="1:18" ht="15.75" customHeight="1">
      <c r="A857" s="2"/>
      <c r="B857" s="2"/>
      <c r="C857" s="2"/>
      <c r="D857" s="87"/>
      <c r="E857" s="87"/>
      <c r="F857" s="87"/>
      <c r="G857" s="87"/>
      <c r="H857" s="87"/>
      <c r="I857" s="87"/>
      <c r="J857" s="2"/>
      <c r="K857" s="2"/>
      <c r="M857" s="2"/>
      <c r="N857" s="2"/>
      <c r="O857" s="2"/>
      <c r="P857" s="600"/>
      <c r="Q857" s="2"/>
      <c r="R857" s="2"/>
    </row>
    <row r="858" spans="1:18" ht="15.75" customHeight="1">
      <c r="A858" s="2"/>
      <c r="B858" s="2"/>
      <c r="C858" s="2"/>
      <c r="D858" s="87"/>
      <c r="E858" s="87"/>
      <c r="F858" s="87"/>
      <c r="G858" s="87"/>
      <c r="H858" s="87"/>
      <c r="I858" s="87"/>
      <c r="J858" s="2"/>
      <c r="K858" s="2"/>
      <c r="M858" s="2"/>
      <c r="N858" s="2"/>
      <c r="O858" s="2"/>
      <c r="P858" s="600"/>
      <c r="Q858" s="2"/>
      <c r="R858" s="2"/>
    </row>
    <row r="859" spans="1:18" ht="15.75" customHeight="1">
      <c r="A859" s="2"/>
      <c r="B859" s="2"/>
      <c r="C859" s="2"/>
      <c r="D859" s="87"/>
      <c r="E859" s="87"/>
      <c r="F859" s="87"/>
      <c r="G859" s="87"/>
      <c r="H859" s="87"/>
      <c r="I859" s="87"/>
      <c r="J859" s="2"/>
      <c r="K859" s="2"/>
      <c r="M859" s="2"/>
      <c r="N859" s="2"/>
      <c r="O859" s="2"/>
      <c r="P859" s="600"/>
      <c r="Q859" s="2"/>
      <c r="R859" s="2"/>
    </row>
    <row r="860" spans="1:18" ht="15.75" customHeight="1">
      <c r="A860" s="2"/>
      <c r="B860" s="2"/>
      <c r="C860" s="2"/>
      <c r="D860" s="87"/>
      <c r="E860" s="87"/>
      <c r="F860" s="87"/>
      <c r="G860" s="87"/>
      <c r="H860" s="87"/>
      <c r="I860" s="87"/>
      <c r="J860" s="2"/>
      <c r="K860" s="2"/>
      <c r="M860" s="2"/>
      <c r="N860" s="2"/>
      <c r="O860" s="2"/>
      <c r="P860" s="600"/>
      <c r="Q860" s="2"/>
      <c r="R860" s="2"/>
    </row>
    <row r="861" spans="1:18" ht="15.75" customHeight="1">
      <c r="A861" s="2"/>
      <c r="B861" s="2"/>
      <c r="C861" s="2"/>
      <c r="D861" s="87"/>
      <c r="E861" s="87"/>
      <c r="F861" s="87"/>
      <c r="G861" s="87"/>
      <c r="H861" s="87"/>
      <c r="I861" s="87"/>
      <c r="J861" s="2"/>
      <c r="K861" s="2"/>
      <c r="M861" s="2"/>
      <c r="N861" s="2"/>
      <c r="O861" s="2"/>
      <c r="P861" s="600"/>
      <c r="Q861" s="2"/>
      <c r="R861" s="2"/>
    </row>
    <row r="862" spans="1:18" ht="15.75" customHeight="1">
      <c r="A862" s="2"/>
      <c r="B862" s="2"/>
      <c r="C862" s="2"/>
      <c r="D862" s="87"/>
      <c r="E862" s="87"/>
      <c r="F862" s="87"/>
      <c r="G862" s="87"/>
      <c r="H862" s="87"/>
      <c r="I862" s="87"/>
      <c r="J862" s="2"/>
      <c r="K862" s="2"/>
      <c r="M862" s="2"/>
      <c r="N862" s="2"/>
      <c r="O862" s="2"/>
      <c r="P862" s="600"/>
      <c r="Q862" s="2"/>
      <c r="R862" s="2"/>
    </row>
    <row r="863" spans="1:18" ht="15.75" customHeight="1">
      <c r="A863" s="2"/>
      <c r="B863" s="2"/>
      <c r="C863" s="2"/>
      <c r="D863" s="87"/>
      <c r="E863" s="87"/>
      <c r="F863" s="87"/>
      <c r="G863" s="87"/>
      <c r="H863" s="87"/>
      <c r="I863" s="87"/>
      <c r="J863" s="2"/>
      <c r="K863" s="2"/>
      <c r="M863" s="2"/>
      <c r="N863" s="2"/>
      <c r="O863" s="2"/>
      <c r="P863" s="600"/>
      <c r="Q863" s="2"/>
      <c r="R863" s="2"/>
    </row>
    <row r="864" spans="1:18" ht="15.75" customHeight="1">
      <c r="A864" s="2"/>
      <c r="B864" s="2"/>
      <c r="C864" s="2"/>
      <c r="D864" s="87"/>
      <c r="E864" s="87"/>
      <c r="F864" s="87"/>
      <c r="G864" s="87"/>
      <c r="H864" s="87"/>
      <c r="I864" s="87"/>
      <c r="J864" s="2"/>
      <c r="K864" s="2"/>
      <c r="M864" s="2"/>
      <c r="N864" s="2"/>
      <c r="O864" s="2"/>
      <c r="P864" s="600"/>
      <c r="Q864" s="2"/>
      <c r="R864" s="2"/>
    </row>
    <row r="865" spans="1:18" ht="15.75" customHeight="1">
      <c r="A865" s="2"/>
      <c r="B865" s="2"/>
      <c r="C865" s="2"/>
      <c r="D865" s="87"/>
      <c r="E865" s="87"/>
      <c r="F865" s="87"/>
      <c r="G865" s="87"/>
      <c r="H865" s="87"/>
      <c r="I865" s="87"/>
      <c r="J865" s="2"/>
      <c r="K865" s="2"/>
      <c r="M865" s="2"/>
      <c r="N865" s="2"/>
      <c r="O865" s="2"/>
      <c r="P865" s="600"/>
      <c r="Q865" s="2"/>
      <c r="R865" s="2"/>
    </row>
    <row r="866" spans="1:18" ht="15.75" customHeight="1">
      <c r="A866" s="2"/>
      <c r="B866" s="2"/>
      <c r="C866" s="2"/>
      <c r="D866" s="87"/>
      <c r="E866" s="87"/>
      <c r="F866" s="87"/>
      <c r="G866" s="87"/>
      <c r="H866" s="87"/>
      <c r="I866" s="87"/>
      <c r="J866" s="2"/>
      <c r="K866" s="2"/>
      <c r="M866" s="2"/>
      <c r="N866" s="2"/>
      <c r="O866" s="2"/>
      <c r="P866" s="600"/>
      <c r="Q866" s="2"/>
      <c r="R866" s="2"/>
    </row>
    <row r="867" spans="1:18" ht="15.75" customHeight="1">
      <c r="A867" s="2"/>
      <c r="B867" s="2"/>
      <c r="C867" s="2"/>
      <c r="D867" s="87"/>
      <c r="E867" s="87"/>
      <c r="F867" s="87"/>
      <c r="G867" s="87"/>
      <c r="H867" s="87"/>
      <c r="I867" s="87"/>
      <c r="J867" s="2"/>
      <c r="K867" s="2"/>
      <c r="M867" s="2"/>
      <c r="N867" s="2"/>
      <c r="O867" s="2"/>
      <c r="P867" s="600"/>
      <c r="Q867" s="2"/>
      <c r="R867" s="2"/>
    </row>
    <row r="868" spans="1:18" ht="15.75" customHeight="1">
      <c r="A868" s="2"/>
      <c r="B868" s="2"/>
      <c r="C868" s="2"/>
      <c r="D868" s="87"/>
      <c r="E868" s="87"/>
      <c r="F868" s="87"/>
      <c r="G868" s="87"/>
      <c r="H868" s="87"/>
      <c r="I868" s="87"/>
      <c r="J868" s="2"/>
      <c r="K868" s="2"/>
      <c r="M868" s="2"/>
      <c r="N868" s="2"/>
      <c r="O868" s="2"/>
      <c r="P868" s="600"/>
      <c r="Q868" s="2"/>
      <c r="R868" s="2"/>
    </row>
    <row r="869" spans="1:18" ht="15.75" customHeight="1">
      <c r="A869" s="2"/>
      <c r="B869" s="2"/>
      <c r="C869" s="2"/>
      <c r="D869" s="87"/>
      <c r="E869" s="87"/>
      <c r="F869" s="87"/>
      <c r="G869" s="87"/>
      <c r="H869" s="87"/>
      <c r="I869" s="87"/>
      <c r="J869" s="2"/>
      <c r="K869" s="2"/>
      <c r="M869" s="2"/>
      <c r="N869" s="2"/>
      <c r="O869" s="2"/>
      <c r="P869" s="600"/>
      <c r="Q869" s="2"/>
      <c r="R869" s="2"/>
    </row>
    <row r="870" spans="1:18" ht="15.75" customHeight="1">
      <c r="A870" s="2"/>
      <c r="B870" s="2"/>
      <c r="C870" s="2"/>
      <c r="D870" s="87"/>
      <c r="E870" s="87"/>
      <c r="F870" s="87"/>
      <c r="G870" s="87"/>
      <c r="H870" s="87"/>
      <c r="I870" s="87"/>
      <c r="J870" s="2"/>
      <c r="K870" s="2"/>
      <c r="M870" s="2"/>
      <c r="N870" s="2"/>
      <c r="O870" s="2"/>
      <c r="P870" s="600"/>
      <c r="Q870" s="2"/>
      <c r="R870" s="2"/>
    </row>
    <row r="871" spans="1:18" ht="15.75" customHeight="1">
      <c r="A871" s="2"/>
      <c r="B871" s="2"/>
      <c r="C871" s="2"/>
      <c r="D871" s="87"/>
      <c r="E871" s="87"/>
      <c r="F871" s="87"/>
      <c r="G871" s="87"/>
      <c r="H871" s="87"/>
      <c r="I871" s="87"/>
      <c r="J871" s="2"/>
      <c r="K871" s="2"/>
      <c r="M871" s="2"/>
      <c r="N871" s="2"/>
      <c r="O871" s="2"/>
      <c r="P871" s="600"/>
      <c r="Q871" s="2"/>
      <c r="R871" s="2"/>
    </row>
    <row r="872" spans="1:18" ht="15.75" customHeight="1">
      <c r="A872" s="2"/>
      <c r="B872" s="2"/>
      <c r="C872" s="2"/>
      <c r="D872" s="87"/>
      <c r="E872" s="87"/>
      <c r="F872" s="87"/>
      <c r="G872" s="87"/>
      <c r="H872" s="87"/>
      <c r="I872" s="87"/>
      <c r="J872" s="2"/>
      <c r="K872" s="2"/>
      <c r="M872" s="2"/>
      <c r="N872" s="2"/>
      <c r="O872" s="2"/>
      <c r="P872" s="600"/>
      <c r="Q872" s="2"/>
      <c r="R872" s="2"/>
    </row>
    <row r="873" spans="1:18" ht="15.75" customHeight="1">
      <c r="A873" s="2"/>
      <c r="B873" s="2"/>
      <c r="C873" s="2"/>
      <c r="D873" s="87"/>
      <c r="E873" s="87"/>
      <c r="F873" s="87"/>
      <c r="G873" s="87"/>
      <c r="H873" s="87"/>
      <c r="I873" s="87"/>
      <c r="J873" s="2"/>
      <c r="K873" s="2"/>
      <c r="M873" s="2"/>
      <c r="N873" s="2"/>
      <c r="O873" s="2"/>
      <c r="P873" s="600"/>
      <c r="Q873" s="2"/>
      <c r="R873" s="2"/>
    </row>
    <row r="874" spans="1:18" ht="15.75" customHeight="1">
      <c r="A874" s="2"/>
      <c r="B874" s="2"/>
      <c r="C874" s="2"/>
      <c r="D874" s="87"/>
      <c r="E874" s="87"/>
      <c r="F874" s="87"/>
      <c r="G874" s="87"/>
      <c r="H874" s="87"/>
      <c r="I874" s="87"/>
      <c r="J874" s="2"/>
      <c r="K874" s="2"/>
      <c r="M874" s="2"/>
      <c r="N874" s="2"/>
      <c r="O874" s="2"/>
      <c r="P874" s="600"/>
      <c r="Q874" s="2"/>
      <c r="R874" s="2"/>
    </row>
    <row r="875" spans="1:18" ht="15.75" customHeight="1">
      <c r="A875" s="2"/>
      <c r="B875" s="2"/>
      <c r="C875" s="2"/>
      <c r="D875" s="87"/>
      <c r="E875" s="87"/>
      <c r="F875" s="87"/>
      <c r="G875" s="87"/>
      <c r="H875" s="87"/>
      <c r="I875" s="87"/>
      <c r="J875" s="2"/>
      <c r="K875" s="2"/>
      <c r="M875" s="2"/>
      <c r="N875" s="2"/>
      <c r="O875" s="2"/>
      <c r="P875" s="600"/>
      <c r="Q875" s="2"/>
      <c r="R875" s="2"/>
    </row>
    <row r="876" spans="1:18" ht="15.75" customHeight="1">
      <c r="A876" s="2"/>
      <c r="B876" s="2"/>
      <c r="C876" s="2"/>
      <c r="D876" s="87"/>
      <c r="E876" s="87"/>
      <c r="F876" s="87"/>
      <c r="G876" s="87"/>
      <c r="H876" s="87"/>
      <c r="I876" s="87"/>
      <c r="J876" s="2"/>
      <c r="K876" s="2"/>
      <c r="M876" s="2"/>
      <c r="N876" s="2"/>
      <c r="O876" s="2"/>
      <c r="P876" s="600"/>
      <c r="Q876" s="2"/>
      <c r="R876" s="2"/>
    </row>
    <row r="877" spans="1:18" ht="15.75" customHeight="1">
      <c r="A877" s="2"/>
      <c r="B877" s="2"/>
      <c r="C877" s="2"/>
      <c r="D877" s="87"/>
      <c r="E877" s="87"/>
      <c r="F877" s="87"/>
      <c r="G877" s="87"/>
      <c r="H877" s="87"/>
      <c r="I877" s="87"/>
      <c r="J877" s="2"/>
      <c r="K877" s="2"/>
      <c r="M877" s="2"/>
      <c r="N877" s="2"/>
      <c r="O877" s="2"/>
      <c r="P877" s="600"/>
      <c r="Q877" s="2"/>
      <c r="R877" s="2"/>
    </row>
    <row r="878" spans="1:18" ht="15.75" customHeight="1">
      <c r="A878" s="2"/>
      <c r="B878" s="2"/>
      <c r="C878" s="2"/>
      <c r="D878" s="87"/>
      <c r="E878" s="87"/>
      <c r="F878" s="87"/>
      <c r="G878" s="87"/>
      <c r="H878" s="87"/>
      <c r="I878" s="87"/>
      <c r="J878" s="2"/>
      <c r="K878" s="2"/>
      <c r="M878" s="2"/>
      <c r="N878" s="2"/>
      <c r="O878" s="2"/>
      <c r="P878" s="600"/>
      <c r="Q878" s="2"/>
      <c r="R878" s="2"/>
    </row>
    <row r="879" spans="1:18" ht="15.75" customHeight="1">
      <c r="A879" s="2"/>
      <c r="B879" s="2"/>
      <c r="C879" s="2"/>
      <c r="D879" s="87"/>
      <c r="E879" s="87"/>
      <c r="F879" s="87"/>
      <c r="G879" s="87"/>
      <c r="H879" s="87"/>
      <c r="I879" s="87"/>
      <c r="J879" s="2"/>
      <c r="K879" s="2"/>
      <c r="M879" s="2"/>
      <c r="N879" s="2"/>
      <c r="O879" s="2"/>
      <c r="P879" s="600"/>
      <c r="Q879" s="2"/>
      <c r="R879" s="2"/>
    </row>
    <row r="880" spans="1:18" ht="15.75" customHeight="1">
      <c r="A880" s="2"/>
      <c r="B880" s="2"/>
      <c r="C880" s="2"/>
      <c r="D880" s="87"/>
      <c r="E880" s="87"/>
      <c r="F880" s="87"/>
      <c r="G880" s="87"/>
      <c r="H880" s="87"/>
      <c r="I880" s="87"/>
      <c r="J880" s="2"/>
      <c r="K880" s="2"/>
      <c r="M880" s="2"/>
      <c r="N880" s="2"/>
      <c r="O880" s="2"/>
      <c r="P880" s="600"/>
      <c r="Q880" s="2"/>
      <c r="R880" s="2"/>
    </row>
    <row r="881" spans="1:18" ht="15.75" customHeight="1">
      <c r="A881" s="2"/>
      <c r="B881" s="2"/>
      <c r="C881" s="2"/>
      <c r="D881" s="87"/>
      <c r="E881" s="87"/>
      <c r="F881" s="87"/>
      <c r="G881" s="87"/>
      <c r="H881" s="87"/>
      <c r="I881" s="87"/>
      <c r="J881" s="2"/>
      <c r="K881" s="2"/>
      <c r="M881" s="2"/>
      <c r="N881" s="2"/>
      <c r="O881" s="2"/>
      <c r="P881" s="600"/>
      <c r="Q881" s="2"/>
      <c r="R881" s="2"/>
    </row>
    <row r="882" spans="1:18" ht="15.75" customHeight="1">
      <c r="A882" s="2"/>
      <c r="B882" s="2"/>
      <c r="C882" s="2"/>
      <c r="D882" s="87"/>
      <c r="E882" s="87"/>
      <c r="F882" s="87"/>
      <c r="G882" s="87"/>
      <c r="H882" s="87"/>
      <c r="I882" s="87"/>
      <c r="J882" s="2"/>
      <c r="K882" s="2"/>
      <c r="M882" s="2"/>
      <c r="N882" s="2"/>
      <c r="O882" s="2"/>
      <c r="P882" s="600"/>
      <c r="Q882" s="2"/>
      <c r="R882" s="2"/>
    </row>
    <row r="883" spans="1:18" ht="15.75" customHeight="1">
      <c r="A883" s="2"/>
      <c r="B883" s="2"/>
      <c r="C883" s="2"/>
      <c r="D883" s="87"/>
      <c r="E883" s="87"/>
      <c r="F883" s="87"/>
      <c r="G883" s="87"/>
      <c r="H883" s="87"/>
      <c r="I883" s="87"/>
      <c r="J883" s="2"/>
      <c r="K883" s="2"/>
      <c r="M883" s="2"/>
      <c r="N883" s="2"/>
      <c r="O883" s="2"/>
      <c r="P883" s="600"/>
      <c r="Q883" s="2"/>
      <c r="R883" s="2"/>
    </row>
    <row r="884" spans="1:18" ht="15.75" customHeight="1">
      <c r="A884" s="2"/>
      <c r="B884" s="2"/>
      <c r="C884" s="2"/>
      <c r="D884" s="87"/>
      <c r="E884" s="87"/>
      <c r="F884" s="87"/>
      <c r="G884" s="87"/>
      <c r="H884" s="87"/>
      <c r="I884" s="87"/>
      <c r="J884" s="2"/>
      <c r="K884" s="2"/>
      <c r="M884" s="2"/>
      <c r="N884" s="2"/>
      <c r="O884" s="2"/>
      <c r="P884" s="600"/>
      <c r="Q884" s="2"/>
      <c r="R884" s="2"/>
    </row>
    <row r="885" spans="1:18" ht="15.75" customHeight="1">
      <c r="A885" s="2"/>
      <c r="B885" s="2"/>
      <c r="C885" s="2"/>
      <c r="D885" s="87"/>
      <c r="E885" s="87"/>
      <c r="F885" s="87"/>
      <c r="G885" s="87"/>
      <c r="H885" s="87"/>
      <c r="I885" s="87"/>
      <c r="J885" s="2"/>
      <c r="K885" s="2"/>
      <c r="M885" s="2"/>
      <c r="N885" s="2"/>
      <c r="O885" s="2"/>
      <c r="P885" s="600"/>
      <c r="Q885" s="2"/>
      <c r="R885" s="2"/>
    </row>
    <row r="886" spans="1:18" ht="15.75" customHeight="1">
      <c r="A886" s="2"/>
      <c r="B886" s="2"/>
      <c r="C886" s="2"/>
      <c r="D886" s="87"/>
      <c r="E886" s="87"/>
      <c r="F886" s="87"/>
      <c r="G886" s="87"/>
      <c r="H886" s="87"/>
      <c r="I886" s="87"/>
      <c r="J886" s="2"/>
      <c r="K886" s="2"/>
      <c r="M886" s="2"/>
      <c r="N886" s="2"/>
      <c r="O886" s="2"/>
      <c r="P886" s="600"/>
      <c r="Q886" s="2"/>
      <c r="R886" s="2"/>
    </row>
    <row r="887" spans="1:18" ht="15.75" customHeight="1">
      <c r="A887" s="2"/>
      <c r="B887" s="2"/>
      <c r="C887" s="2"/>
      <c r="D887" s="87"/>
      <c r="E887" s="87"/>
      <c r="F887" s="87"/>
      <c r="G887" s="87"/>
      <c r="H887" s="87"/>
      <c r="I887" s="87"/>
      <c r="J887" s="2"/>
      <c r="K887" s="2"/>
      <c r="M887" s="2"/>
      <c r="N887" s="2"/>
      <c r="O887" s="2"/>
      <c r="P887" s="600"/>
      <c r="Q887" s="2"/>
      <c r="R887" s="2"/>
    </row>
    <row r="888" spans="1:18" ht="15.75" customHeight="1">
      <c r="A888" s="2"/>
      <c r="B888" s="2"/>
      <c r="C888" s="2"/>
      <c r="D888" s="87"/>
      <c r="E888" s="87"/>
      <c r="F888" s="87"/>
      <c r="G888" s="87"/>
      <c r="H888" s="87"/>
      <c r="I888" s="87"/>
      <c r="J888" s="2"/>
      <c r="K888" s="2"/>
      <c r="M888" s="2"/>
      <c r="N888" s="2"/>
      <c r="O888" s="2"/>
      <c r="P888" s="600"/>
      <c r="Q888" s="2"/>
      <c r="R888" s="2"/>
    </row>
    <row r="889" spans="1:18" ht="15.75" customHeight="1">
      <c r="A889" s="2"/>
      <c r="B889" s="2"/>
      <c r="C889" s="2"/>
      <c r="D889" s="87"/>
      <c r="E889" s="87"/>
      <c r="F889" s="87"/>
      <c r="G889" s="87"/>
      <c r="H889" s="87"/>
      <c r="I889" s="87"/>
      <c r="J889" s="2"/>
      <c r="K889" s="2"/>
      <c r="M889" s="2"/>
      <c r="N889" s="2"/>
      <c r="O889" s="2"/>
      <c r="P889" s="600"/>
      <c r="Q889" s="2"/>
      <c r="R889" s="2"/>
    </row>
    <row r="890" spans="1:18" ht="15.75" customHeight="1">
      <c r="A890" s="2"/>
      <c r="B890" s="2"/>
      <c r="C890" s="2"/>
      <c r="D890" s="87"/>
      <c r="E890" s="87"/>
      <c r="F890" s="87"/>
      <c r="G890" s="87"/>
      <c r="H890" s="87"/>
      <c r="I890" s="87"/>
      <c r="J890" s="2"/>
      <c r="K890" s="2"/>
      <c r="M890" s="2"/>
      <c r="N890" s="2"/>
      <c r="O890" s="2"/>
      <c r="P890" s="600"/>
      <c r="Q890" s="2"/>
      <c r="R890" s="2"/>
    </row>
    <row r="891" spans="1:18" ht="15.75" customHeight="1">
      <c r="A891" s="2"/>
      <c r="B891" s="2"/>
      <c r="C891" s="2"/>
      <c r="D891" s="87"/>
      <c r="E891" s="87"/>
      <c r="F891" s="87"/>
      <c r="G891" s="87"/>
      <c r="H891" s="87"/>
      <c r="I891" s="87"/>
      <c r="J891" s="2"/>
      <c r="K891" s="2"/>
      <c r="M891" s="2"/>
      <c r="N891" s="2"/>
      <c r="O891" s="2"/>
      <c r="P891" s="600"/>
      <c r="Q891" s="2"/>
      <c r="R891" s="2"/>
    </row>
    <row r="892" spans="1:18" ht="15.75" customHeight="1">
      <c r="A892" s="2"/>
      <c r="B892" s="2"/>
      <c r="C892" s="2"/>
      <c r="D892" s="87"/>
      <c r="E892" s="87"/>
      <c r="F892" s="87"/>
      <c r="G892" s="87"/>
      <c r="H892" s="87"/>
      <c r="I892" s="87"/>
      <c r="J892" s="2"/>
      <c r="K892" s="2"/>
      <c r="M892" s="2"/>
      <c r="N892" s="2"/>
      <c r="O892" s="2"/>
      <c r="P892" s="600"/>
      <c r="Q892" s="2"/>
      <c r="R892" s="2"/>
    </row>
    <row r="893" spans="1:18" ht="15.75" customHeight="1">
      <c r="A893" s="2"/>
      <c r="B893" s="2"/>
      <c r="C893" s="2"/>
      <c r="D893" s="87"/>
      <c r="E893" s="87"/>
      <c r="F893" s="87"/>
      <c r="G893" s="87"/>
      <c r="H893" s="87"/>
      <c r="I893" s="87"/>
      <c r="J893" s="2"/>
      <c r="K893" s="2"/>
      <c r="M893" s="2"/>
      <c r="N893" s="2"/>
      <c r="O893" s="2"/>
      <c r="P893" s="600"/>
      <c r="Q893" s="2"/>
      <c r="R893" s="2"/>
    </row>
    <row r="894" spans="1:18" ht="15.75" customHeight="1">
      <c r="A894" s="2"/>
      <c r="B894" s="2"/>
      <c r="C894" s="2"/>
      <c r="D894" s="87"/>
      <c r="E894" s="87"/>
      <c r="F894" s="87"/>
      <c r="G894" s="87"/>
      <c r="H894" s="87"/>
      <c r="I894" s="87"/>
      <c r="J894" s="2"/>
      <c r="K894" s="2"/>
      <c r="M894" s="2"/>
      <c r="N894" s="2"/>
      <c r="O894" s="2"/>
      <c r="P894" s="600"/>
      <c r="Q894" s="2"/>
      <c r="R894" s="2"/>
    </row>
    <row r="895" spans="1:18" ht="15.75" customHeight="1">
      <c r="A895" s="2"/>
      <c r="B895" s="2"/>
      <c r="C895" s="2"/>
      <c r="D895" s="87"/>
      <c r="E895" s="87"/>
      <c r="F895" s="87"/>
      <c r="G895" s="87"/>
      <c r="H895" s="87"/>
      <c r="I895" s="87"/>
      <c r="J895" s="2"/>
      <c r="K895" s="2"/>
      <c r="M895" s="2"/>
      <c r="N895" s="2"/>
      <c r="O895" s="2"/>
      <c r="P895" s="600"/>
      <c r="Q895" s="2"/>
      <c r="R895" s="2"/>
    </row>
    <row r="896" spans="1:18" ht="15.75" customHeight="1">
      <c r="A896" s="2"/>
      <c r="B896" s="2"/>
      <c r="C896" s="2"/>
      <c r="D896" s="87"/>
      <c r="E896" s="87"/>
      <c r="F896" s="87"/>
      <c r="G896" s="87"/>
      <c r="H896" s="87"/>
      <c r="I896" s="87"/>
      <c r="J896" s="2"/>
      <c r="K896" s="2"/>
      <c r="M896" s="2"/>
      <c r="N896" s="2"/>
      <c r="O896" s="2"/>
      <c r="P896" s="600"/>
      <c r="Q896" s="2"/>
      <c r="R896" s="2"/>
    </row>
    <row r="897" spans="1:18" ht="15.75" customHeight="1">
      <c r="A897" s="2"/>
      <c r="B897" s="2"/>
      <c r="C897" s="2"/>
      <c r="D897" s="87"/>
      <c r="E897" s="87"/>
      <c r="F897" s="87"/>
      <c r="G897" s="87"/>
      <c r="H897" s="87"/>
      <c r="I897" s="87"/>
      <c r="J897" s="2"/>
      <c r="K897" s="2"/>
      <c r="M897" s="2"/>
      <c r="N897" s="2"/>
      <c r="O897" s="2"/>
      <c r="P897" s="600"/>
      <c r="Q897" s="2"/>
      <c r="R897" s="2"/>
    </row>
    <row r="898" spans="1:18" ht="15.75" customHeight="1">
      <c r="A898" s="2"/>
      <c r="B898" s="2"/>
      <c r="C898" s="2"/>
      <c r="D898" s="87"/>
      <c r="E898" s="87"/>
      <c r="F898" s="87"/>
      <c r="G898" s="87"/>
      <c r="H898" s="87"/>
      <c r="I898" s="87"/>
      <c r="J898" s="2"/>
      <c r="K898" s="2"/>
      <c r="M898" s="2"/>
      <c r="N898" s="2"/>
      <c r="O898" s="2"/>
      <c r="P898" s="600"/>
      <c r="Q898" s="2"/>
      <c r="R898" s="2"/>
    </row>
    <row r="899" spans="1:18" ht="15.75" customHeight="1">
      <c r="A899" s="2"/>
      <c r="B899" s="2"/>
      <c r="C899" s="2"/>
      <c r="D899" s="87"/>
      <c r="E899" s="87"/>
      <c r="F899" s="87"/>
      <c r="G899" s="87"/>
      <c r="H899" s="87"/>
      <c r="I899" s="87"/>
      <c r="J899" s="2"/>
      <c r="K899" s="2"/>
      <c r="M899" s="2"/>
      <c r="N899" s="2"/>
      <c r="O899" s="2"/>
      <c r="P899" s="600"/>
      <c r="Q899" s="2"/>
      <c r="R899" s="2"/>
    </row>
    <row r="900" spans="1:18" ht="15.75" customHeight="1">
      <c r="A900" s="2"/>
      <c r="B900" s="2"/>
      <c r="C900" s="2"/>
      <c r="D900" s="87"/>
      <c r="E900" s="87"/>
      <c r="F900" s="87"/>
      <c r="G900" s="87"/>
      <c r="H900" s="87"/>
      <c r="I900" s="87"/>
      <c r="J900" s="2"/>
      <c r="K900" s="2"/>
      <c r="M900" s="2"/>
      <c r="N900" s="2"/>
      <c r="O900" s="2"/>
      <c r="P900" s="600"/>
      <c r="Q900" s="2"/>
      <c r="R900" s="2"/>
    </row>
    <row r="901" spans="1:18" ht="15.75" customHeight="1">
      <c r="A901" s="2"/>
      <c r="B901" s="2"/>
      <c r="C901" s="2"/>
      <c r="D901" s="87"/>
      <c r="E901" s="87"/>
      <c r="F901" s="87"/>
      <c r="G901" s="87"/>
      <c r="H901" s="87"/>
      <c r="I901" s="87"/>
      <c r="J901" s="2"/>
      <c r="K901" s="2"/>
      <c r="M901" s="2"/>
      <c r="N901" s="2"/>
      <c r="O901" s="2"/>
      <c r="P901" s="600"/>
      <c r="Q901" s="2"/>
      <c r="R901" s="2"/>
    </row>
    <row r="902" spans="1:18" ht="15.75" customHeight="1">
      <c r="A902" s="2"/>
      <c r="B902" s="2"/>
      <c r="C902" s="2"/>
      <c r="D902" s="87"/>
      <c r="E902" s="87"/>
      <c r="F902" s="87"/>
      <c r="G902" s="87"/>
      <c r="H902" s="87"/>
      <c r="I902" s="87"/>
      <c r="J902" s="2"/>
      <c r="K902" s="2"/>
      <c r="M902" s="2"/>
      <c r="N902" s="2"/>
      <c r="O902" s="2"/>
      <c r="P902" s="600"/>
      <c r="Q902" s="2"/>
      <c r="R902" s="2"/>
    </row>
    <row r="903" spans="1:18" ht="15.75" customHeight="1">
      <c r="A903" s="2"/>
      <c r="B903" s="2"/>
      <c r="C903" s="2"/>
      <c r="D903" s="87"/>
      <c r="E903" s="87"/>
      <c r="F903" s="87"/>
      <c r="G903" s="87"/>
      <c r="H903" s="87"/>
      <c r="I903" s="87"/>
      <c r="J903" s="2"/>
      <c r="K903" s="2"/>
      <c r="M903" s="2"/>
      <c r="N903" s="2"/>
      <c r="O903" s="2"/>
      <c r="P903" s="600"/>
      <c r="Q903" s="2"/>
      <c r="R903" s="2"/>
    </row>
    <row r="904" spans="1:18" ht="15.75" customHeight="1">
      <c r="A904" s="2"/>
      <c r="B904" s="2"/>
      <c r="C904" s="2"/>
      <c r="D904" s="87"/>
      <c r="E904" s="87"/>
      <c r="F904" s="87"/>
      <c r="G904" s="87"/>
      <c r="H904" s="87"/>
      <c r="I904" s="87"/>
      <c r="J904" s="2"/>
      <c r="K904" s="2"/>
      <c r="M904" s="2"/>
      <c r="N904" s="2"/>
      <c r="O904" s="2"/>
      <c r="P904" s="600"/>
      <c r="Q904" s="2"/>
      <c r="R904" s="2"/>
    </row>
    <row r="905" spans="1:18" ht="15.75" customHeight="1">
      <c r="A905" s="2"/>
      <c r="B905" s="2"/>
      <c r="C905" s="2"/>
      <c r="D905" s="87"/>
      <c r="E905" s="87"/>
      <c r="F905" s="87"/>
      <c r="G905" s="87"/>
      <c r="H905" s="87"/>
      <c r="I905" s="87"/>
      <c r="J905" s="2"/>
      <c r="K905" s="2"/>
      <c r="M905" s="2"/>
      <c r="N905" s="2"/>
      <c r="O905" s="2"/>
      <c r="P905" s="600"/>
      <c r="Q905" s="2"/>
      <c r="R905" s="2"/>
    </row>
    <row r="906" spans="1:18" ht="15.75" customHeight="1">
      <c r="A906" s="2"/>
      <c r="B906" s="2"/>
      <c r="C906" s="2"/>
      <c r="D906" s="87"/>
      <c r="E906" s="87"/>
      <c r="F906" s="87"/>
      <c r="G906" s="87"/>
      <c r="H906" s="87"/>
      <c r="I906" s="87"/>
      <c r="J906" s="2"/>
      <c r="K906" s="2"/>
      <c r="M906" s="2"/>
      <c r="N906" s="2"/>
      <c r="O906" s="2"/>
      <c r="P906" s="600"/>
      <c r="Q906" s="2"/>
      <c r="R906" s="2"/>
    </row>
    <row r="907" spans="1:18" ht="15.75" customHeight="1">
      <c r="A907" s="2"/>
      <c r="B907" s="2"/>
      <c r="C907" s="2"/>
      <c r="D907" s="87"/>
      <c r="E907" s="87"/>
      <c r="F907" s="87"/>
      <c r="G907" s="87"/>
      <c r="H907" s="87"/>
      <c r="I907" s="87"/>
      <c r="J907" s="2"/>
      <c r="K907" s="2"/>
      <c r="M907" s="2"/>
      <c r="N907" s="2"/>
      <c r="O907" s="2"/>
      <c r="P907" s="600"/>
      <c r="Q907" s="2"/>
      <c r="R907" s="2"/>
    </row>
    <row r="908" spans="1:18" ht="15.75" customHeight="1">
      <c r="A908" s="2"/>
      <c r="B908" s="2"/>
      <c r="C908" s="2"/>
      <c r="D908" s="87"/>
      <c r="E908" s="87"/>
      <c r="F908" s="87"/>
      <c r="G908" s="87"/>
      <c r="H908" s="87"/>
      <c r="I908" s="87"/>
      <c r="J908" s="2"/>
      <c r="K908" s="2"/>
      <c r="M908" s="2"/>
      <c r="N908" s="2"/>
      <c r="O908" s="2"/>
      <c r="P908" s="600"/>
      <c r="Q908" s="2"/>
      <c r="R908" s="2"/>
    </row>
    <row r="909" spans="1:18" ht="15.75" customHeight="1">
      <c r="A909" s="2"/>
      <c r="B909" s="2"/>
      <c r="C909" s="2"/>
      <c r="D909" s="87"/>
      <c r="E909" s="87"/>
      <c r="F909" s="87"/>
      <c r="G909" s="87"/>
      <c r="H909" s="87"/>
      <c r="I909" s="87"/>
      <c r="J909" s="2"/>
      <c r="K909" s="2"/>
      <c r="M909" s="2"/>
      <c r="N909" s="2"/>
      <c r="O909" s="2"/>
      <c r="P909" s="600"/>
      <c r="Q909" s="2"/>
      <c r="R909" s="2"/>
    </row>
    <row r="910" spans="1:18" ht="15.75" customHeight="1">
      <c r="A910" s="2"/>
      <c r="B910" s="2"/>
      <c r="C910" s="2"/>
      <c r="D910" s="87"/>
      <c r="E910" s="87"/>
      <c r="F910" s="87"/>
      <c r="G910" s="87"/>
      <c r="H910" s="87"/>
      <c r="I910" s="87"/>
      <c r="J910" s="2"/>
      <c r="K910" s="2"/>
      <c r="M910" s="2"/>
      <c r="N910" s="2"/>
      <c r="O910" s="2"/>
      <c r="P910" s="600"/>
      <c r="Q910" s="2"/>
      <c r="R910" s="2"/>
    </row>
    <row r="911" spans="1:18" ht="15.75" customHeight="1">
      <c r="A911" s="2"/>
      <c r="B911" s="2"/>
      <c r="C911" s="2"/>
      <c r="D911" s="87"/>
      <c r="E911" s="87"/>
      <c r="F911" s="87"/>
      <c r="G911" s="87"/>
      <c r="H911" s="87"/>
      <c r="I911" s="87"/>
      <c r="J911" s="2"/>
      <c r="K911" s="2"/>
      <c r="M911" s="2"/>
      <c r="N911" s="2"/>
      <c r="O911" s="2"/>
      <c r="P911" s="600"/>
      <c r="Q911" s="2"/>
      <c r="R911" s="2"/>
    </row>
    <row r="912" spans="1:18" ht="15.75" customHeight="1">
      <c r="A912" s="2"/>
      <c r="B912" s="2"/>
      <c r="C912" s="2"/>
      <c r="D912" s="87"/>
      <c r="E912" s="87"/>
      <c r="F912" s="87"/>
      <c r="G912" s="87"/>
      <c r="H912" s="87"/>
      <c r="I912" s="87"/>
      <c r="J912" s="2"/>
      <c r="K912" s="2"/>
      <c r="M912" s="2"/>
      <c r="N912" s="2"/>
      <c r="O912" s="2"/>
      <c r="P912" s="600"/>
      <c r="Q912" s="2"/>
      <c r="R912" s="2"/>
    </row>
    <row r="913" spans="1:18" ht="15.75" customHeight="1">
      <c r="A913" s="2"/>
      <c r="B913" s="2"/>
      <c r="C913" s="2"/>
      <c r="D913" s="87"/>
      <c r="E913" s="87"/>
      <c r="F913" s="87"/>
      <c r="G913" s="87"/>
      <c r="H913" s="87"/>
      <c r="I913" s="87"/>
      <c r="J913" s="2"/>
      <c r="K913" s="2"/>
      <c r="M913" s="2"/>
      <c r="N913" s="2"/>
      <c r="O913" s="2"/>
      <c r="P913" s="600"/>
      <c r="Q913" s="2"/>
      <c r="R913" s="2"/>
    </row>
    <row r="914" spans="1:18" ht="15.75" customHeight="1">
      <c r="A914" s="2"/>
      <c r="B914" s="2"/>
      <c r="C914" s="2"/>
      <c r="D914" s="87"/>
      <c r="E914" s="87"/>
      <c r="F914" s="87"/>
      <c r="G914" s="87"/>
      <c r="H914" s="87"/>
      <c r="I914" s="87"/>
      <c r="J914" s="2"/>
      <c r="K914" s="2"/>
      <c r="M914" s="2"/>
      <c r="N914" s="2"/>
      <c r="O914" s="2"/>
      <c r="P914" s="600"/>
      <c r="Q914" s="2"/>
      <c r="R914" s="2"/>
    </row>
    <row r="915" spans="1:18" ht="15.75" customHeight="1">
      <c r="A915" s="2"/>
      <c r="B915" s="2"/>
      <c r="C915" s="2"/>
      <c r="D915" s="87"/>
      <c r="E915" s="87"/>
      <c r="F915" s="87"/>
      <c r="G915" s="87"/>
      <c r="H915" s="87"/>
      <c r="I915" s="87"/>
      <c r="J915" s="2"/>
      <c r="K915" s="2"/>
      <c r="M915" s="2"/>
      <c r="N915" s="2"/>
      <c r="O915" s="2"/>
      <c r="P915" s="600"/>
      <c r="Q915" s="2"/>
      <c r="R915" s="2"/>
    </row>
    <row r="916" spans="1:18" ht="15.75" customHeight="1">
      <c r="A916" s="2"/>
      <c r="B916" s="2"/>
      <c r="C916" s="2"/>
      <c r="D916" s="87"/>
      <c r="E916" s="87"/>
      <c r="F916" s="87"/>
      <c r="G916" s="87"/>
      <c r="H916" s="87"/>
      <c r="I916" s="87"/>
      <c r="J916" s="2"/>
      <c r="K916" s="2"/>
      <c r="M916" s="2"/>
      <c r="N916" s="2"/>
      <c r="O916" s="2"/>
      <c r="P916" s="600"/>
      <c r="Q916" s="2"/>
      <c r="R916" s="2"/>
    </row>
    <row r="917" spans="1:18" ht="15.75" customHeight="1">
      <c r="A917" s="2"/>
      <c r="B917" s="2"/>
      <c r="C917" s="2"/>
      <c r="D917" s="87"/>
      <c r="E917" s="87"/>
      <c r="F917" s="87"/>
      <c r="G917" s="87"/>
      <c r="H917" s="87"/>
      <c r="I917" s="87"/>
      <c r="J917" s="2"/>
      <c r="K917" s="2"/>
      <c r="M917" s="2"/>
      <c r="N917" s="2"/>
      <c r="O917" s="2"/>
      <c r="P917" s="600"/>
      <c r="Q917" s="2"/>
      <c r="R917" s="2"/>
    </row>
    <row r="918" spans="1:18" ht="15.75" customHeight="1">
      <c r="A918" s="2"/>
      <c r="B918" s="2"/>
      <c r="C918" s="2"/>
      <c r="D918" s="87"/>
      <c r="E918" s="87"/>
      <c r="F918" s="87"/>
      <c r="G918" s="87"/>
      <c r="H918" s="87"/>
      <c r="I918" s="87"/>
      <c r="J918" s="2"/>
      <c r="K918" s="2"/>
      <c r="M918" s="2"/>
      <c r="N918" s="2"/>
      <c r="O918" s="2"/>
      <c r="P918" s="600"/>
      <c r="Q918" s="2"/>
      <c r="R918" s="2"/>
    </row>
    <row r="919" spans="1:18" ht="15.75" customHeight="1">
      <c r="A919" s="2"/>
      <c r="B919" s="2"/>
      <c r="C919" s="2"/>
      <c r="D919" s="87"/>
      <c r="E919" s="87"/>
      <c r="F919" s="87"/>
      <c r="G919" s="87"/>
      <c r="H919" s="87"/>
      <c r="I919" s="87"/>
      <c r="J919" s="2"/>
      <c r="K919" s="2"/>
      <c r="M919" s="2"/>
      <c r="N919" s="2"/>
      <c r="O919" s="2"/>
      <c r="P919" s="600"/>
      <c r="Q919" s="2"/>
      <c r="R919" s="2"/>
    </row>
    <row r="920" spans="1:18" ht="15.75" customHeight="1">
      <c r="A920" s="2"/>
      <c r="B920" s="2"/>
      <c r="C920" s="2"/>
      <c r="D920" s="87"/>
      <c r="E920" s="87"/>
      <c r="F920" s="87"/>
      <c r="G920" s="87"/>
      <c r="H920" s="87"/>
      <c r="I920" s="87"/>
      <c r="J920" s="2"/>
      <c r="K920" s="2"/>
      <c r="M920" s="2"/>
      <c r="N920" s="2"/>
      <c r="O920" s="2"/>
      <c r="P920" s="600"/>
      <c r="Q920" s="2"/>
      <c r="R920" s="2"/>
    </row>
    <row r="921" spans="1:18" ht="15.75" customHeight="1">
      <c r="A921" s="2"/>
      <c r="B921" s="2"/>
      <c r="C921" s="2"/>
      <c r="D921" s="87"/>
      <c r="E921" s="87"/>
      <c r="F921" s="87"/>
      <c r="G921" s="87"/>
      <c r="H921" s="87"/>
      <c r="I921" s="87"/>
      <c r="J921" s="2"/>
      <c r="K921" s="2"/>
      <c r="M921" s="2"/>
      <c r="N921" s="2"/>
      <c r="O921" s="2"/>
      <c r="P921" s="600"/>
      <c r="Q921" s="2"/>
      <c r="R921" s="2"/>
    </row>
    <row r="922" spans="1:18" ht="15.75" customHeight="1">
      <c r="A922" s="2"/>
      <c r="B922" s="2"/>
      <c r="C922" s="2"/>
      <c r="D922" s="87"/>
      <c r="E922" s="87"/>
      <c r="F922" s="87"/>
      <c r="G922" s="87"/>
      <c r="H922" s="87"/>
      <c r="I922" s="87"/>
      <c r="J922" s="2"/>
      <c r="K922" s="2"/>
      <c r="M922" s="2"/>
      <c r="N922" s="2"/>
      <c r="O922" s="2"/>
      <c r="P922" s="600"/>
      <c r="Q922" s="2"/>
      <c r="R922" s="2"/>
    </row>
    <row r="923" spans="1:18" ht="15.75" customHeight="1">
      <c r="A923" s="2"/>
      <c r="B923" s="2"/>
      <c r="C923" s="2"/>
      <c r="D923" s="87"/>
      <c r="E923" s="87"/>
      <c r="F923" s="87"/>
      <c r="G923" s="87"/>
      <c r="H923" s="87"/>
      <c r="I923" s="87"/>
      <c r="J923" s="2"/>
      <c r="K923" s="2"/>
      <c r="M923" s="2"/>
      <c r="N923" s="2"/>
      <c r="O923" s="2"/>
      <c r="P923" s="600"/>
      <c r="Q923" s="2"/>
      <c r="R923" s="2"/>
    </row>
    <row r="924" spans="1:18" ht="15.75" customHeight="1">
      <c r="A924" s="2"/>
      <c r="B924" s="2"/>
      <c r="C924" s="2"/>
      <c r="D924" s="87"/>
      <c r="E924" s="87"/>
      <c r="F924" s="87"/>
      <c r="G924" s="87"/>
      <c r="H924" s="87"/>
      <c r="I924" s="87"/>
      <c r="J924" s="2"/>
      <c r="K924" s="2"/>
      <c r="M924" s="2"/>
      <c r="N924" s="2"/>
      <c r="O924" s="2"/>
      <c r="P924" s="600"/>
      <c r="Q924" s="2"/>
      <c r="R924" s="2"/>
    </row>
    <row r="925" spans="1:18" ht="15.75" customHeight="1">
      <c r="A925" s="2"/>
      <c r="B925" s="2"/>
      <c r="C925" s="2"/>
      <c r="D925" s="87"/>
      <c r="E925" s="87"/>
      <c r="F925" s="87"/>
      <c r="G925" s="87"/>
      <c r="H925" s="87"/>
      <c r="I925" s="87"/>
      <c r="J925" s="2"/>
      <c r="K925" s="2"/>
      <c r="M925" s="2"/>
      <c r="N925" s="2"/>
      <c r="O925" s="2"/>
      <c r="P925" s="600"/>
      <c r="Q925" s="2"/>
      <c r="R925" s="2"/>
    </row>
    <row r="926" spans="1:18" ht="15.75" customHeight="1">
      <c r="A926" s="2"/>
      <c r="B926" s="2"/>
      <c r="C926" s="2"/>
      <c r="D926" s="87"/>
      <c r="E926" s="87"/>
      <c r="F926" s="87"/>
      <c r="G926" s="87"/>
      <c r="H926" s="87"/>
      <c r="I926" s="87"/>
      <c r="J926" s="2"/>
      <c r="K926" s="2"/>
      <c r="M926" s="2"/>
      <c r="N926" s="2"/>
      <c r="O926" s="2"/>
      <c r="P926" s="600"/>
      <c r="Q926" s="2"/>
      <c r="R926" s="2"/>
    </row>
    <row r="927" spans="1:18" ht="15.75" customHeight="1">
      <c r="A927" s="2"/>
      <c r="B927" s="2"/>
      <c r="C927" s="2"/>
      <c r="D927" s="87"/>
      <c r="E927" s="87"/>
      <c r="F927" s="87"/>
      <c r="G927" s="87"/>
      <c r="H927" s="87"/>
      <c r="I927" s="87"/>
      <c r="J927" s="2"/>
      <c r="K927" s="2"/>
      <c r="M927" s="2"/>
      <c r="N927" s="2"/>
      <c r="O927" s="2"/>
      <c r="P927" s="600"/>
      <c r="Q927" s="2"/>
      <c r="R927" s="2"/>
    </row>
    <row r="928" spans="1:18" ht="15.75" customHeight="1">
      <c r="A928" s="2"/>
      <c r="B928" s="2"/>
      <c r="C928" s="2"/>
      <c r="D928" s="87"/>
      <c r="E928" s="87"/>
      <c r="F928" s="87"/>
      <c r="G928" s="87"/>
      <c r="H928" s="87"/>
      <c r="I928" s="87"/>
      <c r="J928" s="2"/>
      <c r="K928" s="2"/>
      <c r="M928" s="2"/>
      <c r="N928" s="2"/>
      <c r="O928" s="2"/>
      <c r="P928" s="600"/>
      <c r="Q928" s="2"/>
      <c r="R928" s="2"/>
    </row>
    <row r="929" spans="1:18" ht="15.75" customHeight="1">
      <c r="A929" s="2"/>
      <c r="B929" s="2"/>
      <c r="C929" s="2"/>
      <c r="D929" s="87"/>
      <c r="E929" s="87"/>
      <c r="F929" s="87"/>
      <c r="G929" s="87"/>
      <c r="H929" s="87"/>
      <c r="I929" s="87"/>
      <c r="J929" s="2"/>
      <c r="K929" s="2"/>
      <c r="M929" s="2"/>
      <c r="N929" s="2"/>
      <c r="O929" s="2"/>
      <c r="P929" s="600"/>
      <c r="Q929" s="2"/>
      <c r="R929" s="2"/>
    </row>
    <row r="930" spans="1:18" ht="15.75" customHeight="1">
      <c r="A930" s="2"/>
      <c r="B930" s="2"/>
      <c r="C930" s="2"/>
      <c r="D930" s="87"/>
      <c r="E930" s="87"/>
      <c r="F930" s="87"/>
      <c r="G930" s="87"/>
      <c r="H930" s="87"/>
      <c r="I930" s="87"/>
      <c r="J930" s="2"/>
      <c r="K930" s="2"/>
      <c r="M930" s="2"/>
      <c r="N930" s="2"/>
      <c r="O930" s="2"/>
      <c r="P930" s="600"/>
      <c r="Q930" s="2"/>
      <c r="R930" s="2"/>
    </row>
    <row r="931" spans="1:18" ht="15.75" customHeight="1">
      <c r="A931" s="2"/>
      <c r="B931" s="2"/>
      <c r="C931" s="2"/>
      <c r="D931" s="87"/>
      <c r="E931" s="87"/>
      <c r="F931" s="87"/>
      <c r="G931" s="87"/>
      <c r="H931" s="87"/>
      <c r="I931" s="87"/>
      <c r="J931" s="2"/>
      <c r="K931" s="2"/>
      <c r="M931" s="2"/>
      <c r="N931" s="2"/>
      <c r="O931" s="2"/>
      <c r="P931" s="600"/>
      <c r="Q931" s="2"/>
      <c r="R931" s="2"/>
    </row>
    <row r="932" spans="1:18" ht="15.75" customHeight="1">
      <c r="A932" s="2"/>
      <c r="B932" s="2"/>
      <c r="C932" s="2"/>
      <c r="D932" s="87"/>
      <c r="E932" s="87"/>
      <c r="F932" s="87"/>
      <c r="G932" s="87"/>
      <c r="H932" s="87"/>
      <c r="I932" s="87"/>
      <c r="J932" s="2"/>
      <c r="K932" s="2"/>
      <c r="M932" s="2"/>
      <c r="N932" s="2"/>
      <c r="O932" s="2"/>
      <c r="P932" s="600"/>
      <c r="Q932" s="2"/>
      <c r="R932" s="2"/>
    </row>
    <row r="933" spans="1:18" ht="15.75" customHeight="1">
      <c r="A933" s="2"/>
      <c r="B933" s="2"/>
      <c r="C933" s="2"/>
      <c r="D933" s="87"/>
      <c r="E933" s="87"/>
      <c r="F933" s="87"/>
      <c r="G933" s="87"/>
      <c r="H933" s="87"/>
      <c r="I933" s="87"/>
      <c r="J933" s="2"/>
      <c r="K933" s="2"/>
      <c r="M933" s="2"/>
      <c r="N933" s="2"/>
      <c r="O933" s="2"/>
      <c r="P933" s="600"/>
      <c r="Q933" s="2"/>
      <c r="R933" s="2"/>
    </row>
    <row r="934" spans="1:18" ht="15.75" customHeight="1">
      <c r="A934" s="2"/>
      <c r="B934" s="2"/>
      <c r="C934" s="2"/>
      <c r="D934" s="87"/>
      <c r="E934" s="87"/>
      <c r="F934" s="87"/>
      <c r="G934" s="87"/>
      <c r="H934" s="87"/>
      <c r="I934" s="87"/>
      <c r="J934" s="2"/>
      <c r="K934" s="2"/>
      <c r="M934" s="2"/>
      <c r="N934" s="2"/>
      <c r="O934" s="2"/>
      <c r="P934" s="600"/>
      <c r="Q934" s="2"/>
      <c r="R934" s="2"/>
    </row>
    <row r="935" spans="1:18" ht="15.75" customHeight="1">
      <c r="A935" s="2"/>
      <c r="B935" s="2"/>
      <c r="C935" s="2"/>
      <c r="D935" s="87"/>
      <c r="E935" s="87"/>
      <c r="F935" s="87"/>
      <c r="G935" s="87"/>
      <c r="H935" s="87"/>
      <c r="I935" s="87"/>
      <c r="J935" s="2"/>
      <c r="K935" s="2"/>
      <c r="M935" s="2"/>
      <c r="N935" s="2"/>
      <c r="O935" s="2"/>
      <c r="P935" s="600"/>
      <c r="Q935" s="2"/>
      <c r="R935" s="2"/>
    </row>
    <row r="936" spans="1:18" ht="15.75" customHeight="1">
      <c r="A936" s="2"/>
      <c r="B936" s="2"/>
      <c r="C936" s="2"/>
      <c r="D936" s="87"/>
      <c r="E936" s="87"/>
      <c r="F936" s="87"/>
      <c r="G936" s="87"/>
      <c r="H936" s="87"/>
      <c r="I936" s="87"/>
      <c r="J936" s="2"/>
      <c r="K936" s="2"/>
      <c r="M936" s="2"/>
      <c r="N936" s="2"/>
      <c r="O936" s="2"/>
      <c r="P936" s="600"/>
      <c r="Q936" s="2"/>
      <c r="R936" s="2"/>
    </row>
    <row r="937" spans="1:18" ht="15.75" customHeight="1">
      <c r="A937" s="2"/>
      <c r="B937" s="2"/>
      <c r="C937" s="2"/>
      <c r="D937" s="87"/>
      <c r="E937" s="87"/>
      <c r="F937" s="87"/>
      <c r="G937" s="87"/>
      <c r="H937" s="87"/>
      <c r="I937" s="87"/>
      <c r="J937" s="2"/>
      <c r="K937" s="2"/>
      <c r="M937" s="2"/>
      <c r="N937" s="2"/>
      <c r="O937" s="2"/>
      <c r="P937" s="600"/>
      <c r="Q937" s="2"/>
      <c r="R937" s="2"/>
    </row>
    <row r="938" spans="1:18" ht="15.75" customHeight="1">
      <c r="A938" s="2"/>
      <c r="B938" s="2"/>
      <c r="C938" s="2"/>
      <c r="D938" s="87"/>
      <c r="E938" s="87"/>
      <c r="F938" s="87"/>
      <c r="G938" s="87"/>
      <c r="H938" s="87"/>
      <c r="I938" s="87"/>
      <c r="J938" s="2"/>
      <c r="K938" s="2"/>
      <c r="M938" s="2"/>
      <c r="N938" s="2"/>
      <c r="O938" s="2"/>
      <c r="P938" s="600"/>
      <c r="Q938" s="2"/>
      <c r="R938" s="2"/>
    </row>
    <row r="939" spans="1:18" ht="15.75" customHeight="1">
      <c r="A939" s="2"/>
      <c r="B939" s="2"/>
      <c r="C939" s="2"/>
      <c r="D939" s="87"/>
      <c r="E939" s="87"/>
      <c r="F939" s="87"/>
      <c r="G939" s="87"/>
      <c r="H939" s="87"/>
      <c r="I939" s="87"/>
      <c r="J939" s="2"/>
      <c r="K939" s="2"/>
      <c r="M939" s="2"/>
      <c r="N939" s="2"/>
      <c r="O939" s="2"/>
      <c r="P939" s="600"/>
      <c r="Q939" s="2"/>
      <c r="R939" s="2"/>
    </row>
    <row r="940" spans="1:18" ht="15.75" customHeight="1">
      <c r="A940" s="2"/>
      <c r="B940" s="2"/>
      <c r="C940" s="2"/>
      <c r="D940" s="87"/>
      <c r="E940" s="87"/>
      <c r="F940" s="87"/>
      <c r="G940" s="87"/>
      <c r="H940" s="87"/>
      <c r="I940" s="87"/>
      <c r="J940" s="2"/>
      <c r="K940" s="2"/>
      <c r="M940" s="2"/>
      <c r="N940" s="2"/>
      <c r="O940" s="2"/>
      <c r="P940" s="600"/>
      <c r="Q940" s="2"/>
      <c r="R940" s="2"/>
    </row>
    <row r="941" spans="1:18" ht="15.75" customHeight="1">
      <c r="A941" s="2"/>
      <c r="B941" s="2"/>
      <c r="C941" s="2"/>
      <c r="D941" s="87"/>
      <c r="E941" s="87"/>
      <c r="F941" s="87"/>
      <c r="G941" s="87"/>
      <c r="H941" s="87"/>
      <c r="I941" s="87"/>
      <c r="J941" s="2"/>
      <c r="K941" s="2"/>
      <c r="M941" s="2"/>
      <c r="N941" s="2"/>
      <c r="O941" s="2"/>
      <c r="P941" s="600"/>
      <c r="Q941" s="2"/>
      <c r="R941" s="2"/>
    </row>
    <row r="942" spans="1:18" ht="15.75" customHeight="1">
      <c r="A942" s="2"/>
      <c r="B942" s="2"/>
      <c r="C942" s="2"/>
      <c r="D942" s="87"/>
      <c r="E942" s="87"/>
      <c r="F942" s="87"/>
      <c r="G942" s="87"/>
      <c r="H942" s="87"/>
      <c r="I942" s="87"/>
      <c r="J942" s="2"/>
      <c r="K942" s="2"/>
      <c r="M942" s="2"/>
      <c r="N942" s="2"/>
      <c r="O942" s="2"/>
      <c r="P942" s="600"/>
      <c r="Q942" s="2"/>
      <c r="R942" s="2"/>
    </row>
    <row r="943" spans="1:18" ht="15.75" customHeight="1">
      <c r="A943" s="2"/>
      <c r="B943" s="2"/>
      <c r="C943" s="2"/>
      <c r="D943" s="87"/>
      <c r="E943" s="87"/>
      <c r="F943" s="87"/>
      <c r="G943" s="87"/>
      <c r="H943" s="87"/>
      <c r="I943" s="87"/>
      <c r="J943" s="2"/>
      <c r="K943" s="2"/>
      <c r="M943" s="2"/>
      <c r="N943" s="2"/>
      <c r="O943" s="2"/>
      <c r="P943" s="600"/>
      <c r="Q943" s="2"/>
      <c r="R943" s="2"/>
    </row>
    <row r="944" spans="1:18" ht="15.75" customHeight="1">
      <c r="A944" s="2"/>
      <c r="B944" s="2"/>
      <c r="C944" s="2"/>
      <c r="D944" s="87"/>
      <c r="E944" s="87"/>
      <c r="F944" s="87"/>
      <c r="G944" s="87"/>
      <c r="H944" s="87"/>
      <c r="I944" s="87"/>
      <c r="J944" s="2"/>
      <c r="K944" s="2"/>
      <c r="M944" s="2"/>
      <c r="N944" s="2"/>
      <c r="O944" s="2"/>
      <c r="P944" s="600"/>
      <c r="Q944" s="2"/>
      <c r="R944" s="2"/>
    </row>
    <row r="945" spans="1:18" ht="15.75" customHeight="1">
      <c r="A945" s="2"/>
      <c r="B945" s="2"/>
      <c r="C945" s="2"/>
      <c r="D945" s="87"/>
      <c r="E945" s="87"/>
      <c r="F945" s="87"/>
      <c r="G945" s="87"/>
      <c r="H945" s="87"/>
      <c r="I945" s="87"/>
      <c r="J945" s="2"/>
      <c r="K945" s="2"/>
      <c r="M945" s="2"/>
      <c r="N945" s="2"/>
      <c r="O945" s="2"/>
      <c r="P945" s="600"/>
      <c r="Q945" s="2"/>
      <c r="R945" s="2"/>
    </row>
    <row r="946" spans="1:18" ht="15.75" customHeight="1">
      <c r="A946" s="2"/>
      <c r="B946" s="2"/>
      <c r="C946" s="2"/>
      <c r="D946" s="87"/>
      <c r="E946" s="87"/>
      <c r="F946" s="87"/>
      <c r="G946" s="87"/>
      <c r="H946" s="87"/>
      <c r="I946" s="87"/>
      <c r="J946" s="2"/>
      <c r="K946" s="2"/>
      <c r="M946" s="2"/>
      <c r="N946" s="2"/>
      <c r="O946" s="2"/>
      <c r="P946" s="600"/>
      <c r="Q946" s="2"/>
      <c r="R946" s="2"/>
    </row>
    <row r="947" spans="1:18" ht="15.75" customHeight="1">
      <c r="A947" s="2"/>
      <c r="B947" s="2"/>
      <c r="C947" s="2"/>
      <c r="D947" s="87"/>
      <c r="E947" s="87"/>
      <c r="F947" s="87"/>
      <c r="G947" s="87"/>
      <c r="H947" s="87"/>
      <c r="I947" s="87"/>
      <c r="J947" s="2"/>
      <c r="K947" s="2"/>
      <c r="M947" s="2"/>
      <c r="N947" s="2"/>
      <c r="O947" s="2"/>
      <c r="P947" s="600"/>
      <c r="Q947" s="2"/>
      <c r="R947" s="2"/>
    </row>
    <row r="948" spans="1:18" ht="15.75" customHeight="1">
      <c r="A948" s="2"/>
      <c r="B948" s="2"/>
      <c r="C948" s="2"/>
      <c r="D948" s="87"/>
      <c r="E948" s="87"/>
      <c r="F948" s="87"/>
      <c r="G948" s="87"/>
      <c r="H948" s="87"/>
      <c r="I948" s="87"/>
      <c r="J948" s="2"/>
      <c r="K948" s="2"/>
      <c r="M948" s="2"/>
      <c r="N948" s="2"/>
      <c r="O948" s="2"/>
      <c r="P948" s="600"/>
      <c r="Q948" s="2"/>
      <c r="R948" s="2"/>
    </row>
    <row r="949" spans="1:18" ht="15.75" customHeight="1">
      <c r="A949" s="2"/>
      <c r="B949" s="2"/>
      <c r="C949" s="2"/>
      <c r="D949" s="87"/>
      <c r="E949" s="87"/>
      <c r="F949" s="87"/>
      <c r="G949" s="87"/>
      <c r="H949" s="87"/>
      <c r="I949" s="87"/>
      <c r="J949" s="2"/>
      <c r="K949" s="2"/>
      <c r="M949" s="2"/>
      <c r="N949" s="2"/>
      <c r="O949" s="2"/>
      <c r="P949" s="600"/>
      <c r="Q949" s="2"/>
      <c r="R949" s="2"/>
    </row>
    <row r="950" spans="1:18" ht="15.75" customHeight="1">
      <c r="A950" s="2"/>
      <c r="B950" s="2"/>
      <c r="C950" s="2"/>
      <c r="D950" s="87"/>
      <c r="E950" s="87"/>
      <c r="F950" s="87"/>
      <c r="G950" s="87"/>
      <c r="H950" s="87"/>
      <c r="I950" s="87"/>
      <c r="J950" s="2"/>
      <c r="K950" s="2"/>
      <c r="M950" s="2"/>
      <c r="N950" s="2"/>
      <c r="O950" s="2"/>
      <c r="P950" s="600"/>
      <c r="Q950" s="2"/>
      <c r="R950" s="2"/>
    </row>
    <row r="951" spans="1:18" ht="15.75" customHeight="1">
      <c r="A951" s="2"/>
      <c r="B951" s="2"/>
      <c r="C951" s="2"/>
      <c r="D951" s="87"/>
      <c r="E951" s="87"/>
      <c r="F951" s="87"/>
      <c r="G951" s="87"/>
      <c r="H951" s="87"/>
      <c r="I951" s="87"/>
      <c r="J951" s="2"/>
      <c r="K951" s="2"/>
      <c r="M951" s="2"/>
      <c r="N951" s="2"/>
      <c r="O951" s="2"/>
      <c r="P951" s="600"/>
      <c r="Q951" s="2"/>
      <c r="R951" s="2"/>
    </row>
    <row r="952" spans="1:18" ht="15.75" customHeight="1">
      <c r="A952" s="2"/>
      <c r="B952" s="2"/>
      <c r="C952" s="2"/>
      <c r="D952" s="87"/>
      <c r="E952" s="87"/>
      <c r="F952" s="87"/>
      <c r="G952" s="87"/>
      <c r="H952" s="87"/>
      <c r="I952" s="87"/>
      <c r="J952" s="2"/>
      <c r="K952" s="2"/>
      <c r="M952" s="2"/>
      <c r="N952" s="2"/>
      <c r="O952" s="2"/>
      <c r="P952" s="600"/>
      <c r="Q952" s="2"/>
      <c r="R952" s="2"/>
    </row>
    <row r="953" spans="1:18" ht="15.75" customHeight="1">
      <c r="A953" s="2"/>
      <c r="B953" s="2"/>
      <c r="C953" s="2"/>
      <c r="D953" s="87"/>
      <c r="E953" s="87"/>
      <c r="F953" s="87"/>
      <c r="G953" s="87"/>
      <c r="H953" s="87"/>
      <c r="I953" s="87"/>
      <c r="J953" s="2"/>
      <c r="K953" s="2"/>
      <c r="M953" s="2"/>
      <c r="N953" s="2"/>
      <c r="O953" s="2"/>
      <c r="P953" s="600"/>
      <c r="Q953" s="2"/>
      <c r="R953" s="2"/>
    </row>
    <row r="954" spans="1:18" ht="15.75" customHeight="1">
      <c r="A954" s="2"/>
      <c r="B954" s="2"/>
      <c r="C954" s="2"/>
      <c r="D954" s="87"/>
      <c r="E954" s="87"/>
      <c r="F954" s="87"/>
      <c r="G954" s="87"/>
      <c r="H954" s="87"/>
      <c r="I954" s="87"/>
      <c r="J954" s="2"/>
      <c r="K954" s="2"/>
      <c r="M954" s="2"/>
      <c r="N954" s="2"/>
      <c r="O954" s="2"/>
      <c r="P954" s="600"/>
      <c r="Q954" s="2"/>
      <c r="R954" s="2"/>
    </row>
    <row r="955" spans="1:18" ht="15.75" customHeight="1">
      <c r="A955" s="2"/>
      <c r="B955" s="2"/>
      <c r="C955" s="2"/>
      <c r="D955" s="87"/>
      <c r="E955" s="87"/>
      <c r="F955" s="87"/>
      <c r="G955" s="87"/>
      <c r="H955" s="87"/>
      <c r="I955" s="87"/>
      <c r="J955" s="2"/>
      <c r="K955" s="2"/>
      <c r="M955" s="2"/>
      <c r="N955" s="2"/>
      <c r="O955" s="2"/>
      <c r="P955" s="600"/>
      <c r="Q955" s="2"/>
      <c r="R955" s="2"/>
    </row>
    <row r="956" spans="1:18" ht="15.75" customHeight="1">
      <c r="A956" s="2"/>
      <c r="B956" s="2"/>
      <c r="C956" s="2"/>
      <c r="D956" s="87"/>
      <c r="E956" s="87"/>
      <c r="F956" s="87"/>
      <c r="G956" s="87"/>
      <c r="H956" s="87"/>
      <c r="I956" s="87"/>
      <c r="J956" s="2"/>
      <c r="K956" s="2"/>
      <c r="M956" s="2"/>
      <c r="N956" s="2"/>
      <c r="O956" s="2"/>
      <c r="P956" s="600"/>
      <c r="Q956" s="2"/>
      <c r="R956" s="2"/>
    </row>
    <row r="957" spans="1:18" ht="15.75" customHeight="1">
      <c r="A957" s="2"/>
      <c r="B957" s="2"/>
      <c r="C957" s="2"/>
      <c r="D957" s="87"/>
      <c r="E957" s="87"/>
      <c r="F957" s="87"/>
      <c r="G957" s="87"/>
      <c r="H957" s="87"/>
      <c r="I957" s="87"/>
      <c r="J957" s="2"/>
      <c r="K957" s="2"/>
      <c r="M957" s="2"/>
      <c r="N957" s="2"/>
      <c r="O957" s="2"/>
      <c r="P957" s="600"/>
      <c r="Q957" s="2"/>
      <c r="R957" s="2"/>
    </row>
    <row r="958" spans="1:18" ht="15.75" customHeight="1">
      <c r="A958" s="2"/>
      <c r="B958" s="2"/>
      <c r="C958" s="2"/>
      <c r="D958" s="87"/>
      <c r="E958" s="87"/>
      <c r="F958" s="87"/>
      <c r="G958" s="87"/>
      <c r="H958" s="87"/>
      <c r="I958" s="87"/>
      <c r="J958" s="2"/>
      <c r="K958" s="2"/>
      <c r="M958" s="2"/>
      <c r="N958" s="2"/>
      <c r="O958" s="2"/>
      <c r="P958" s="600"/>
      <c r="Q958" s="2"/>
      <c r="R958" s="2"/>
    </row>
    <row r="959" spans="1:18" ht="15.75" customHeight="1">
      <c r="A959" s="2"/>
      <c r="B959" s="2"/>
      <c r="C959" s="2"/>
      <c r="D959" s="87"/>
      <c r="E959" s="87"/>
      <c r="F959" s="87"/>
      <c r="G959" s="87"/>
      <c r="H959" s="87"/>
      <c r="I959" s="87"/>
      <c r="J959" s="2"/>
      <c r="K959" s="2"/>
      <c r="M959" s="2"/>
      <c r="N959" s="2"/>
      <c r="O959" s="2"/>
      <c r="P959" s="600"/>
      <c r="Q959" s="2"/>
      <c r="R959" s="2"/>
    </row>
    <row r="960" spans="1:18" ht="15.75" customHeight="1">
      <c r="A960" s="2"/>
      <c r="B960" s="2"/>
      <c r="C960" s="2"/>
      <c r="D960" s="87"/>
      <c r="E960" s="87"/>
      <c r="F960" s="87"/>
      <c r="G960" s="87"/>
      <c r="H960" s="87"/>
      <c r="I960" s="87"/>
      <c r="J960" s="2"/>
      <c r="K960" s="2"/>
      <c r="M960" s="2"/>
      <c r="N960" s="2"/>
      <c r="O960" s="2"/>
      <c r="P960" s="600"/>
      <c r="Q960" s="2"/>
      <c r="R960" s="2"/>
    </row>
    <row r="961" spans="1:18" ht="15.75" customHeight="1">
      <c r="A961" s="2"/>
      <c r="B961" s="2"/>
      <c r="C961" s="2"/>
      <c r="D961" s="87"/>
      <c r="E961" s="87"/>
      <c r="F961" s="87"/>
      <c r="G961" s="87"/>
      <c r="H961" s="87"/>
      <c r="I961" s="87"/>
      <c r="J961" s="2"/>
      <c r="K961" s="2"/>
      <c r="M961" s="2"/>
      <c r="N961" s="2"/>
      <c r="O961" s="2"/>
      <c r="P961" s="600"/>
      <c r="Q961" s="2"/>
      <c r="R961" s="2"/>
    </row>
    <row r="962" spans="1:18" ht="15.75" customHeight="1">
      <c r="A962" s="2"/>
      <c r="B962" s="2"/>
      <c r="C962" s="2"/>
      <c r="D962" s="87"/>
      <c r="E962" s="87"/>
      <c r="F962" s="87"/>
      <c r="G962" s="87"/>
      <c r="H962" s="87"/>
      <c r="I962" s="87"/>
      <c r="J962" s="2"/>
      <c r="K962" s="2"/>
      <c r="M962" s="2"/>
      <c r="N962" s="2"/>
      <c r="O962" s="2"/>
      <c r="P962" s="600"/>
      <c r="Q962" s="2"/>
      <c r="R962" s="2"/>
    </row>
    <row r="963" spans="1:18" ht="15.75" customHeight="1">
      <c r="A963" s="2"/>
      <c r="B963" s="2"/>
      <c r="C963" s="2"/>
      <c r="D963" s="87"/>
      <c r="E963" s="87"/>
      <c r="F963" s="87"/>
      <c r="G963" s="87"/>
      <c r="H963" s="87"/>
      <c r="I963" s="87"/>
      <c r="J963" s="2"/>
      <c r="K963" s="2"/>
      <c r="M963" s="2"/>
      <c r="N963" s="2"/>
      <c r="O963" s="2"/>
      <c r="P963" s="600"/>
      <c r="Q963" s="2"/>
      <c r="R963" s="2"/>
    </row>
    <row r="964" spans="1:18" ht="15.75" customHeight="1">
      <c r="A964" s="2"/>
      <c r="B964" s="2"/>
      <c r="C964" s="2"/>
      <c r="D964" s="87"/>
      <c r="E964" s="87"/>
      <c r="F964" s="87"/>
      <c r="G964" s="87"/>
      <c r="H964" s="87"/>
      <c r="I964" s="87"/>
      <c r="J964" s="2"/>
      <c r="K964" s="2"/>
      <c r="M964" s="2"/>
      <c r="N964" s="2"/>
      <c r="O964" s="2"/>
      <c r="P964" s="600"/>
      <c r="Q964" s="2"/>
      <c r="R964" s="2"/>
    </row>
    <row r="965" spans="1:18" ht="15.75" customHeight="1">
      <c r="A965" s="2"/>
      <c r="B965" s="2"/>
      <c r="C965" s="2"/>
      <c r="D965" s="87"/>
      <c r="E965" s="87"/>
      <c r="F965" s="87"/>
      <c r="G965" s="87"/>
      <c r="H965" s="87"/>
      <c r="I965" s="87"/>
      <c r="J965" s="2"/>
      <c r="K965" s="2"/>
      <c r="M965" s="2"/>
      <c r="N965" s="2"/>
      <c r="O965" s="2"/>
      <c r="P965" s="600"/>
      <c r="Q965" s="2"/>
      <c r="R965" s="2"/>
    </row>
    <row r="966" spans="1:18" ht="15.75" customHeight="1">
      <c r="A966" s="2"/>
      <c r="B966" s="2"/>
      <c r="C966" s="2"/>
      <c r="D966" s="87"/>
      <c r="E966" s="87"/>
      <c r="F966" s="87"/>
      <c r="G966" s="87"/>
      <c r="H966" s="87"/>
      <c r="I966" s="87"/>
      <c r="J966" s="2"/>
      <c r="K966" s="2"/>
      <c r="M966" s="2"/>
      <c r="N966" s="2"/>
      <c r="O966" s="2"/>
      <c r="P966" s="600"/>
      <c r="Q966" s="2"/>
      <c r="R966" s="2"/>
    </row>
    <row r="967" spans="1:18" ht="15.75" customHeight="1">
      <c r="A967" s="2"/>
      <c r="B967" s="2"/>
      <c r="C967" s="2"/>
      <c r="D967" s="87"/>
      <c r="E967" s="87"/>
      <c r="F967" s="87"/>
      <c r="G967" s="87"/>
      <c r="H967" s="87"/>
      <c r="I967" s="87"/>
      <c r="J967" s="2"/>
      <c r="K967" s="2"/>
      <c r="M967" s="2"/>
      <c r="N967" s="2"/>
      <c r="O967" s="2"/>
      <c r="P967" s="600"/>
      <c r="Q967" s="2"/>
      <c r="R967" s="2"/>
    </row>
    <row r="968" spans="1:18" ht="15.75" customHeight="1">
      <c r="A968" s="2"/>
      <c r="B968" s="2"/>
      <c r="C968" s="2"/>
      <c r="D968" s="87"/>
      <c r="E968" s="87"/>
      <c r="F968" s="87"/>
      <c r="G968" s="87"/>
      <c r="H968" s="87"/>
      <c r="I968" s="87"/>
      <c r="J968" s="2"/>
      <c r="K968" s="2"/>
      <c r="M968" s="2"/>
      <c r="N968" s="2"/>
      <c r="O968" s="2"/>
      <c r="P968" s="600"/>
      <c r="Q968" s="2"/>
      <c r="R968" s="2"/>
    </row>
    <row r="969" spans="1:18" ht="15.75" customHeight="1">
      <c r="A969" s="2"/>
      <c r="B969" s="2"/>
      <c r="C969" s="2"/>
      <c r="D969" s="87"/>
      <c r="E969" s="87"/>
      <c r="F969" s="87"/>
      <c r="G969" s="87"/>
      <c r="H969" s="87"/>
      <c r="I969" s="87"/>
      <c r="J969" s="2"/>
      <c r="K969" s="2"/>
      <c r="M969" s="2"/>
      <c r="N969" s="2"/>
      <c r="O969" s="2"/>
      <c r="P969" s="600"/>
      <c r="Q969" s="2"/>
      <c r="R969" s="2"/>
    </row>
    <row r="970" spans="1:18" ht="15.75" customHeight="1">
      <c r="A970" s="2"/>
      <c r="B970" s="2"/>
      <c r="C970" s="2"/>
      <c r="D970" s="87"/>
      <c r="E970" s="87"/>
      <c r="F970" s="87"/>
      <c r="G970" s="87"/>
      <c r="H970" s="87"/>
      <c r="I970" s="87"/>
      <c r="J970" s="2"/>
      <c r="K970" s="2"/>
      <c r="M970" s="2"/>
      <c r="N970" s="2"/>
      <c r="O970" s="2"/>
      <c r="P970" s="600"/>
      <c r="Q970" s="2"/>
      <c r="R970" s="2"/>
    </row>
    <row r="971" spans="1:18" ht="15.75" customHeight="1">
      <c r="A971" s="2"/>
      <c r="B971" s="2"/>
      <c r="C971" s="2"/>
      <c r="D971" s="87"/>
      <c r="E971" s="87"/>
      <c r="F971" s="87"/>
      <c r="G971" s="87"/>
      <c r="H971" s="87"/>
      <c r="I971" s="87"/>
      <c r="J971" s="2"/>
      <c r="K971" s="2"/>
      <c r="M971" s="2"/>
      <c r="N971" s="2"/>
      <c r="O971" s="2"/>
      <c r="P971" s="600"/>
      <c r="Q971" s="2"/>
      <c r="R971" s="2"/>
    </row>
    <row r="972" spans="1:18" ht="15.75" customHeight="1">
      <c r="A972" s="2"/>
      <c r="B972" s="2"/>
      <c r="C972" s="2"/>
      <c r="D972" s="87"/>
      <c r="E972" s="87"/>
      <c r="F972" s="87"/>
      <c r="G972" s="87"/>
      <c r="H972" s="87"/>
      <c r="I972" s="87"/>
      <c r="J972" s="2"/>
      <c r="K972" s="2"/>
      <c r="M972" s="2"/>
      <c r="N972" s="2"/>
      <c r="O972" s="2"/>
      <c r="P972" s="600"/>
      <c r="Q972" s="2"/>
      <c r="R972" s="2"/>
    </row>
    <row r="973" spans="1:18" ht="15.75" customHeight="1">
      <c r="A973" s="2"/>
      <c r="B973" s="2"/>
      <c r="C973" s="2"/>
      <c r="D973" s="87"/>
      <c r="E973" s="87"/>
      <c r="F973" s="87"/>
      <c r="G973" s="87"/>
      <c r="H973" s="87"/>
      <c r="I973" s="87"/>
      <c r="J973" s="2"/>
      <c r="K973" s="2"/>
      <c r="M973" s="2"/>
      <c r="N973" s="2"/>
      <c r="O973" s="2"/>
      <c r="P973" s="600"/>
      <c r="Q973" s="2"/>
      <c r="R973" s="2"/>
    </row>
    <row r="974" spans="1:18" ht="15.75" customHeight="1">
      <c r="A974" s="2"/>
      <c r="B974" s="2"/>
      <c r="C974" s="2"/>
      <c r="D974" s="87"/>
      <c r="E974" s="87"/>
      <c r="F974" s="87"/>
      <c r="G974" s="87"/>
      <c r="H974" s="87"/>
      <c r="I974" s="87"/>
      <c r="J974" s="2"/>
      <c r="K974" s="2"/>
      <c r="M974" s="2"/>
      <c r="N974" s="2"/>
      <c r="O974" s="2"/>
      <c r="P974" s="600"/>
      <c r="Q974" s="2"/>
      <c r="R974" s="2"/>
    </row>
    <row r="975" spans="1:18" ht="15.75" customHeight="1">
      <c r="A975" s="2"/>
      <c r="B975" s="2"/>
      <c r="C975" s="2"/>
      <c r="D975" s="87"/>
      <c r="E975" s="87"/>
      <c r="F975" s="87"/>
      <c r="G975" s="87"/>
      <c r="H975" s="87"/>
      <c r="I975" s="87"/>
      <c r="J975" s="2"/>
      <c r="K975" s="2"/>
      <c r="M975" s="2"/>
      <c r="N975" s="2"/>
      <c r="O975" s="2"/>
      <c r="P975" s="600"/>
      <c r="Q975" s="2"/>
      <c r="R975" s="2"/>
    </row>
    <row r="976" spans="1:18" ht="15.75" customHeight="1">
      <c r="A976" s="2"/>
      <c r="B976" s="2"/>
      <c r="C976" s="2"/>
      <c r="D976" s="87"/>
      <c r="E976" s="87"/>
      <c r="F976" s="87"/>
      <c r="G976" s="87"/>
      <c r="H976" s="87"/>
      <c r="I976" s="87"/>
      <c r="J976" s="2"/>
      <c r="K976" s="2"/>
      <c r="M976" s="2"/>
      <c r="N976" s="2"/>
      <c r="O976" s="2"/>
      <c r="P976" s="600"/>
      <c r="Q976" s="2"/>
      <c r="R976" s="2"/>
    </row>
    <row r="977" spans="1:18" ht="15.75" customHeight="1">
      <c r="A977" s="2"/>
      <c r="B977" s="2"/>
      <c r="C977" s="2"/>
      <c r="D977" s="87"/>
      <c r="E977" s="87"/>
      <c r="F977" s="87"/>
      <c r="G977" s="87"/>
      <c r="H977" s="87"/>
      <c r="I977" s="87"/>
      <c r="J977" s="2"/>
      <c r="K977" s="2"/>
      <c r="M977" s="2"/>
      <c r="N977" s="2"/>
      <c r="O977" s="2"/>
      <c r="P977" s="600"/>
      <c r="Q977" s="2"/>
      <c r="R977" s="2"/>
    </row>
    <row r="978" spans="1:18" ht="15.75" customHeight="1">
      <c r="A978" s="2"/>
      <c r="B978" s="2"/>
      <c r="C978" s="2"/>
      <c r="D978" s="87"/>
      <c r="E978" s="87"/>
      <c r="F978" s="87"/>
      <c r="G978" s="87"/>
      <c r="H978" s="87"/>
      <c r="I978" s="87"/>
      <c r="J978" s="2"/>
      <c r="K978" s="2"/>
      <c r="M978" s="2"/>
      <c r="N978" s="2"/>
      <c r="O978" s="2"/>
      <c r="P978" s="600"/>
      <c r="Q978" s="2"/>
      <c r="R978" s="2"/>
    </row>
    <row r="979" spans="1:18" ht="15.75" customHeight="1">
      <c r="A979" s="2"/>
      <c r="B979" s="2"/>
      <c r="C979" s="2"/>
      <c r="D979" s="87"/>
      <c r="E979" s="87"/>
      <c r="F979" s="87"/>
      <c r="G979" s="87"/>
      <c r="H979" s="87"/>
      <c r="I979" s="87"/>
      <c r="J979" s="2"/>
      <c r="K979" s="2"/>
      <c r="M979" s="2"/>
      <c r="N979" s="2"/>
      <c r="O979" s="2"/>
      <c r="P979" s="600"/>
      <c r="Q979" s="2"/>
      <c r="R979" s="2"/>
    </row>
    <row r="980" spans="1:18" ht="15.75" customHeight="1">
      <c r="A980" s="2"/>
      <c r="B980" s="2"/>
      <c r="C980" s="2"/>
      <c r="D980" s="87"/>
      <c r="E980" s="87"/>
      <c r="F980" s="87"/>
      <c r="G980" s="87"/>
      <c r="H980" s="87"/>
      <c r="I980" s="87"/>
      <c r="J980" s="2"/>
      <c r="K980" s="2"/>
      <c r="M980" s="2"/>
      <c r="N980" s="2"/>
      <c r="O980" s="2"/>
      <c r="P980" s="600"/>
      <c r="Q980" s="2"/>
      <c r="R980" s="2"/>
    </row>
    <row r="981" spans="1:18" ht="15.75" customHeight="1">
      <c r="A981" s="2"/>
      <c r="B981" s="2"/>
      <c r="C981" s="2"/>
      <c r="D981" s="87"/>
      <c r="E981" s="87"/>
      <c r="F981" s="87"/>
      <c r="G981" s="87"/>
      <c r="H981" s="87"/>
      <c r="I981" s="87"/>
      <c r="J981" s="2"/>
      <c r="K981" s="2"/>
      <c r="M981" s="2"/>
      <c r="N981" s="2"/>
      <c r="O981" s="2"/>
      <c r="P981" s="600"/>
      <c r="Q981" s="2"/>
      <c r="R981" s="2"/>
    </row>
    <row r="982" spans="1:18" ht="15.75" customHeight="1">
      <c r="A982" s="2"/>
      <c r="B982" s="2"/>
      <c r="C982" s="2"/>
      <c r="D982" s="87"/>
      <c r="E982" s="87"/>
      <c r="F982" s="87"/>
      <c r="G982" s="87"/>
      <c r="H982" s="87"/>
      <c r="I982" s="87"/>
      <c r="J982" s="2"/>
      <c r="K982" s="2"/>
      <c r="M982" s="2"/>
      <c r="N982" s="2"/>
      <c r="O982" s="2"/>
      <c r="P982" s="600"/>
      <c r="Q982" s="2"/>
      <c r="R982" s="2"/>
    </row>
    <row r="983" spans="1:18" ht="15.75" customHeight="1">
      <c r="A983" s="2"/>
      <c r="B983" s="2"/>
      <c r="C983" s="2"/>
      <c r="D983" s="87"/>
      <c r="E983" s="87"/>
      <c r="F983" s="87"/>
      <c r="G983" s="87"/>
      <c r="H983" s="87"/>
      <c r="I983" s="87"/>
      <c r="J983" s="2"/>
      <c r="K983" s="2"/>
      <c r="M983" s="2"/>
      <c r="N983" s="2"/>
      <c r="O983" s="2"/>
      <c r="P983" s="600"/>
      <c r="Q983" s="2"/>
      <c r="R983" s="2"/>
    </row>
    <row r="984" spans="1:18" ht="15.75" customHeight="1">
      <c r="A984" s="2"/>
      <c r="B984" s="2"/>
      <c r="C984" s="2"/>
      <c r="D984" s="87"/>
      <c r="E984" s="87"/>
      <c r="F984" s="87"/>
      <c r="G984" s="87"/>
      <c r="H984" s="87"/>
      <c r="I984" s="87"/>
      <c r="J984" s="2"/>
      <c r="K984" s="2"/>
      <c r="M984" s="2"/>
      <c r="N984" s="2"/>
      <c r="O984" s="2"/>
      <c r="P984" s="600"/>
      <c r="Q984" s="2"/>
      <c r="R984" s="2"/>
    </row>
    <row r="985" spans="1:18" ht="15.75" customHeight="1">
      <c r="A985" s="2"/>
      <c r="B985" s="2"/>
      <c r="C985" s="2"/>
      <c r="D985" s="87"/>
      <c r="E985" s="87"/>
      <c r="F985" s="87"/>
      <c r="G985" s="87"/>
      <c r="H985" s="87"/>
      <c r="I985" s="87"/>
      <c r="J985" s="2"/>
      <c r="K985" s="2"/>
      <c r="M985" s="2"/>
      <c r="N985" s="2"/>
      <c r="O985" s="2"/>
      <c r="P985" s="600"/>
      <c r="Q985" s="2"/>
      <c r="R985" s="2"/>
    </row>
    <row r="986" spans="1:18" ht="15.75" customHeight="1">
      <c r="A986" s="2"/>
      <c r="B986" s="2"/>
      <c r="C986" s="2"/>
      <c r="D986" s="87"/>
      <c r="E986" s="87"/>
      <c r="F986" s="87"/>
      <c r="G986" s="87"/>
      <c r="H986" s="87"/>
      <c r="I986" s="87"/>
      <c r="J986" s="2"/>
      <c r="K986" s="2"/>
      <c r="M986" s="2"/>
      <c r="N986" s="2"/>
      <c r="O986" s="2"/>
      <c r="P986" s="600"/>
      <c r="Q986" s="2"/>
      <c r="R986" s="2"/>
    </row>
    <row r="987" spans="1:18" ht="15.75" customHeight="1">
      <c r="A987" s="2"/>
      <c r="B987" s="2"/>
      <c r="C987" s="2"/>
      <c r="D987" s="87"/>
      <c r="E987" s="87"/>
      <c r="F987" s="87"/>
      <c r="G987" s="87"/>
      <c r="H987" s="87"/>
      <c r="I987" s="87"/>
      <c r="J987" s="2"/>
      <c r="K987" s="2"/>
      <c r="M987" s="2"/>
      <c r="N987" s="2"/>
      <c r="O987" s="2"/>
      <c r="P987" s="600"/>
      <c r="Q987" s="2"/>
      <c r="R987" s="2"/>
    </row>
    <row r="988" spans="1:18" ht="15.75" customHeight="1">
      <c r="A988" s="2"/>
      <c r="B988" s="2"/>
      <c r="C988" s="2"/>
      <c r="D988" s="87"/>
      <c r="E988" s="87"/>
      <c r="F988" s="87"/>
      <c r="G988" s="87"/>
      <c r="H988" s="87"/>
      <c r="I988" s="87"/>
      <c r="J988" s="2"/>
      <c r="K988" s="2"/>
      <c r="M988" s="2"/>
      <c r="N988" s="2"/>
      <c r="O988" s="2"/>
      <c r="P988" s="600"/>
      <c r="Q988" s="2"/>
      <c r="R988" s="2"/>
    </row>
    <row r="989" spans="1:18" ht="15.75" customHeight="1">
      <c r="A989" s="2"/>
      <c r="B989" s="2"/>
      <c r="C989" s="2"/>
      <c r="D989" s="87"/>
      <c r="E989" s="87"/>
      <c r="F989" s="87"/>
      <c r="G989" s="87"/>
      <c r="H989" s="87"/>
      <c r="I989" s="87"/>
      <c r="J989" s="2"/>
      <c r="K989" s="2"/>
      <c r="M989" s="2"/>
      <c r="N989" s="2"/>
      <c r="O989" s="2"/>
      <c r="P989" s="600"/>
      <c r="Q989" s="2"/>
      <c r="R989" s="2"/>
    </row>
    <row r="990" spans="1:18" ht="15.75" customHeight="1">
      <c r="A990" s="2"/>
      <c r="B990" s="2"/>
      <c r="C990" s="2"/>
      <c r="D990" s="87"/>
      <c r="E990" s="87"/>
      <c r="F990" s="87"/>
      <c r="G990" s="87"/>
      <c r="H990" s="87"/>
      <c r="I990" s="87"/>
      <c r="J990" s="2"/>
      <c r="K990" s="2"/>
      <c r="M990" s="2"/>
      <c r="N990" s="2"/>
      <c r="O990" s="2"/>
      <c r="P990" s="600"/>
      <c r="Q990" s="2"/>
      <c r="R990" s="2"/>
    </row>
    <row r="991" spans="1:18" ht="15.75" customHeight="1">
      <c r="A991" s="2"/>
      <c r="B991" s="2"/>
      <c r="C991" s="2"/>
      <c r="D991" s="87"/>
      <c r="E991" s="87"/>
      <c r="F991" s="87"/>
      <c r="G991" s="87"/>
      <c r="H991" s="87"/>
      <c r="I991" s="87"/>
      <c r="J991" s="2"/>
      <c r="K991" s="2"/>
      <c r="M991" s="2"/>
      <c r="N991" s="2"/>
      <c r="O991" s="2"/>
      <c r="P991" s="600"/>
      <c r="Q991" s="2"/>
      <c r="R991" s="2"/>
    </row>
    <row r="992" spans="1:18" ht="15.75" customHeight="1">
      <c r="A992" s="2"/>
      <c r="B992" s="2"/>
      <c r="C992" s="2"/>
      <c r="D992" s="87"/>
      <c r="E992" s="87"/>
      <c r="F992" s="87"/>
      <c r="G992" s="87"/>
      <c r="H992" s="87"/>
      <c r="I992" s="87"/>
      <c r="J992" s="2"/>
      <c r="K992" s="2"/>
      <c r="M992" s="2"/>
      <c r="N992" s="2"/>
      <c r="O992" s="2"/>
      <c r="P992" s="600"/>
      <c r="Q992" s="2"/>
      <c r="R992" s="2"/>
    </row>
    <row r="993" spans="1:18" ht="15.75" customHeight="1">
      <c r="A993" s="2"/>
      <c r="B993" s="2"/>
      <c r="C993" s="2"/>
      <c r="D993" s="87"/>
      <c r="E993" s="87"/>
      <c r="F993" s="87"/>
      <c r="G993" s="87"/>
      <c r="H993" s="87"/>
      <c r="I993" s="87"/>
      <c r="J993" s="2"/>
      <c r="K993" s="2"/>
      <c r="M993" s="2"/>
      <c r="N993" s="2"/>
      <c r="O993" s="2"/>
      <c r="P993" s="600"/>
      <c r="Q993" s="2"/>
      <c r="R993" s="2"/>
    </row>
    <row r="994" spans="1:18" ht="15.75" customHeight="1">
      <c r="A994" s="2"/>
      <c r="B994" s="2"/>
      <c r="C994" s="2"/>
      <c r="D994" s="87"/>
      <c r="E994" s="87"/>
      <c r="F994" s="87"/>
      <c r="G994" s="87"/>
      <c r="H994" s="87"/>
      <c r="I994" s="87"/>
      <c r="J994" s="2"/>
      <c r="K994" s="2"/>
      <c r="M994" s="2"/>
      <c r="N994" s="2"/>
      <c r="O994" s="2"/>
      <c r="P994" s="600"/>
      <c r="Q994" s="2"/>
      <c r="R994" s="2"/>
    </row>
    <row r="995" spans="1:18" ht="15.75" customHeight="1">
      <c r="A995" s="2"/>
      <c r="B995" s="2"/>
      <c r="C995" s="2"/>
      <c r="D995" s="87"/>
      <c r="E995" s="87"/>
      <c r="F995" s="87"/>
      <c r="G995" s="87"/>
      <c r="H995" s="87"/>
      <c r="I995" s="87"/>
      <c r="J995" s="2"/>
      <c r="K995" s="2"/>
      <c r="M995" s="2"/>
      <c r="N995" s="2"/>
      <c r="O995" s="2"/>
      <c r="P995" s="600"/>
      <c r="Q995" s="2"/>
      <c r="R995" s="2"/>
    </row>
    <row r="996" spans="1:18" ht="15.75" customHeight="1">
      <c r="A996" s="2"/>
      <c r="B996" s="2"/>
      <c r="C996" s="2"/>
      <c r="D996" s="87"/>
      <c r="E996" s="87"/>
      <c r="F996" s="87"/>
      <c r="G996" s="87"/>
      <c r="H996" s="87"/>
      <c r="I996" s="87"/>
      <c r="J996" s="2"/>
      <c r="K996" s="2"/>
      <c r="M996" s="2"/>
      <c r="N996" s="2"/>
      <c r="O996" s="2"/>
      <c r="P996" s="600"/>
      <c r="Q996" s="2"/>
      <c r="R996" s="2"/>
    </row>
    <row r="997" spans="1:18" ht="15.75" customHeight="1">
      <c r="A997" s="2"/>
      <c r="B997" s="2"/>
      <c r="C997" s="2"/>
      <c r="D997" s="87"/>
      <c r="E997" s="87"/>
      <c r="F997" s="87"/>
      <c r="G997" s="87"/>
      <c r="H997" s="87"/>
      <c r="I997" s="87"/>
      <c r="J997" s="2"/>
      <c r="K997" s="2"/>
      <c r="M997" s="2"/>
      <c r="N997" s="2"/>
      <c r="O997" s="2"/>
      <c r="P997" s="600"/>
      <c r="Q997" s="2"/>
      <c r="R997" s="2"/>
    </row>
    <row r="998" spans="1:18" ht="15.75" customHeight="1">
      <c r="A998" s="2"/>
      <c r="B998" s="2"/>
      <c r="C998" s="2"/>
      <c r="D998" s="87"/>
      <c r="E998" s="87"/>
      <c r="F998" s="87"/>
      <c r="G998" s="87"/>
      <c r="H998" s="87"/>
      <c r="I998" s="87"/>
      <c r="J998" s="2"/>
      <c r="K998" s="2"/>
      <c r="M998" s="2"/>
      <c r="N998" s="2"/>
      <c r="O998" s="2"/>
      <c r="P998" s="600"/>
      <c r="Q998" s="2"/>
      <c r="R998" s="2"/>
    </row>
    <row r="999" spans="1:18" ht="12.75">
      <c r="I999" s="2"/>
    </row>
    <row r="1000" spans="1:18" ht="12.75">
      <c r="I1000" s="2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5E0B3"/>
  </sheetPr>
  <dimension ref="A1:AA1006"/>
  <sheetViews>
    <sheetView tabSelected="1" zoomScale="125" zoomScaleNormal="200" workbookViewId="0">
      <pane xSplit="3" ySplit="4" topLeftCell="D8" activePane="bottomRight" state="frozen"/>
      <selection pane="topRight" activeCell="D1" sqref="D1"/>
      <selection pane="bottomLeft" activeCell="A5" sqref="A5"/>
      <selection pane="bottomRight" activeCell="L16" sqref="L16"/>
    </sheetView>
  </sheetViews>
  <sheetFormatPr defaultColWidth="12.7109375" defaultRowHeight="15" customHeight="1" outlineLevelCol="2"/>
  <cols>
    <col min="1" max="1" width="3.28515625" customWidth="1"/>
    <col min="2" max="2" width="37.28515625" customWidth="1"/>
    <col min="3" max="3" width="4.85546875" customWidth="1"/>
    <col min="4" max="4" width="14.42578125" customWidth="1" outlineLevel="2"/>
    <col min="5" max="5" width="5.7109375" customWidth="1" outlineLevel="1"/>
    <col min="6" max="6" width="14.42578125" customWidth="1" outlineLevel="2"/>
    <col min="7" max="7" width="3.7109375" customWidth="1" outlineLevel="2"/>
    <col min="8" max="8" width="14.42578125" customWidth="1" outlineLevel="2"/>
    <col min="9" max="9" width="4" customWidth="1" outlineLevel="2"/>
    <col min="10" max="10" width="14.42578125" customWidth="1" outlineLevel="2"/>
    <col min="11" max="11" width="14.42578125" customWidth="1"/>
    <col min="12" max="12" width="14.42578125" customWidth="1" outlineLevel="2" collapsed="1"/>
    <col min="13" max="27" width="14.42578125" customWidth="1"/>
  </cols>
  <sheetData>
    <row r="1" spans="1:27">
      <c r="A1" s="1"/>
      <c r="B1" s="1"/>
      <c r="C1" s="2"/>
      <c r="D1" s="67"/>
      <c r="E1" s="1"/>
      <c r="F1" s="67"/>
      <c r="G1" s="67"/>
      <c r="H1" s="67"/>
      <c r="I1" s="67"/>
      <c r="J1" s="67"/>
      <c r="K1" s="2"/>
      <c r="L1" s="6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1"/>
      <c r="B2" s="1"/>
      <c r="C2" s="2"/>
      <c r="D2" s="67"/>
      <c r="E2" s="1"/>
      <c r="F2" s="67"/>
      <c r="G2" s="67"/>
      <c r="H2" s="67"/>
      <c r="I2" s="67"/>
      <c r="J2" s="67"/>
      <c r="K2" s="2"/>
      <c r="L2" s="6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"/>
      <c r="B3" s="1"/>
      <c r="C3" s="2"/>
      <c r="D3" s="68">
        <v>44561</v>
      </c>
      <c r="E3" s="1"/>
      <c r="F3" s="68">
        <f>D3</f>
        <v>44561</v>
      </c>
      <c r="G3" s="69"/>
      <c r="H3" s="68" t="s">
        <v>879</v>
      </c>
      <c r="I3" s="69"/>
      <c r="J3" s="68">
        <f>F3</f>
        <v>44561</v>
      </c>
      <c r="K3" s="2"/>
      <c r="L3" s="411">
        <f>J3</f>
        <v>44561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>
      <c r="A4" s="1"/>
      <c r="B4" s="1"/>
      <c r="C4" s="2"/>
      <c r="D4" s="70" t="s">
        <v>880</v>
      </c>
      <c r="E4" s="71"/>
      <c r="F4" s="70" t="s">
        <v>881</v>
      </c>
      <c r="G4" s="72"/>
      <c r="H4" s="70"/>
      <c r="I4" s="72"/>
      <c r="J4" s="70" t="s">
        <v>882</v>
      </c>
      <c r="K4" s="2"/>
      <c r="L4" s="412" t="s">
        <v>882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1"/>
      <c r="B5" s="1"/>
      <c r="C5" s="2"/>
      <c r="D5" s="73" t="s">
        <v>32</v>
      </c>
      <c r="E5" s="74"/>
      <c r="F5" s="73" t="s">
        <v>32</v>
      </c>
      <c r="G5" s="73"/>
      <c r="H5" s="73"/>
      <c r="I5" s="73"/>
      <c r="J5" s="73" t="s">
        <v>883</v>
      </c>
      <c r="K5" s="2"/>
      <c r="L5" s="73" t="s">
        <v>1125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1"/>
      <c r="B6" s="75" t="s">
        <v>884</v>
      </c>
      <c r="C6" s="2"/>
      <c r="D6" s="67"/>
      <c r="E6" s="1"/>
      <c r="F6" s="67"/>
      <c r="G6" s="67"/>
      <c r="H6" s="67"/>
      <c r="I6" s="67"/>
      <c r="J6" s="67"/>
      <c r="K6" s="2"/>
      <c r="L6" s="6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1"/>
      <c r="B7" s="76"/>
      <c r="C7" s="2"/>
      <c r="D7" s="1"/>
      <c r="E7" s="1"/>
      <c r="F7" s="1"/>
      <c r="G7" s="1"/>
      <c r="H7" s="1"/>
      <c r="I7" s="1"/>
      <c r="J7" s="1"/>
      <c r="K7" s="2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1"/>
      <c r="B8" s="54" t="s">
        <v>54</v>
      </c>
      <c r="C8" s="2"/>
      <c r="D8" s="19">
        <f>SUMIF('BS LTD USD '!B:B,'BS USD CONS '!$B8,'BS LTD USD '!F:F)</f>
        <v>12155820.939999999</v>
      </c>
      <c r="E8" s="19"/>
      <c r="F8" s="19">
        <f>SUMIF('BS &amp; P&amp;L INC '!D:D,'BS USD CONS '!$B8,'BS &amp; P&amp;L INC '!H:H)</f>
        <v>36359671.140000001</v>
      </c>
      <c r="G8" s="19"/>
      <c r="H8" s="19"/>
      <c r="I8" s="19"/>
      <c r="J8" s="19">
        <f t="shared" ref="J8:J18" si="0">+F8+D8</f>
        <v>48515492.079999998</v>
      </c>
      <c r="K8" s="77"/>
      <c r="L8" s="19">
        <f t="shared" ref="L8:L18" si="1">J8/1000</f>
        <v>48515.492079999996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1"/>
      <c r="B9" s="54" t="s">
        <v>62</v>
      </c>
      <c r="C9" s="2"/>
      <c r="D9" s="19">
        <f>SUMIF('BS LTD USD '!B:B,'BS USD CONS '!$B9,'BS LTD USD '!F:F)</f>
        <v>1196011.9100000001</v>
      </c>
      <c r="E9" s="19"/>
      <c r="F9" s="19">
        <f>SUMIF('BS &amp; P&amp;L INC '!D:D,'BS USD CONS '!$B9,'BS &amp; P&amp;L INC '!H:H)</f>
        <v>0</v>
      </c>
      <c r="G9" s="19"/>
      <c r="H9" s="19"/>
      <c r="I9" s="19"/>
      <c r="J9" s="19">
        <f t="shared" si="0"/>
        <v>1196011.9100000001</v>
      </c>
      <c r="K9" s="77"/>
      <c r="L9" s="19">
        <f t="shared" si="1"/>
        <v>1196.0119100000002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1"/>
      <c r="B10" s="54" t="s">
        <v>297</v>
      </c>
      <c r="C10" s="2"/>
      <c r="D10" s="19">
        <f>SUMIF('BS LTD USD '!B:B,'BS USD CONS '!$B10,'BS LTD USD '!F:F)</f>
        <v>32471838.766400002</v>
      </c>
      <c r="E10" s="19"/>
      <c r="F10" s="19">
        <f>SUMIF('BS &amp; P&amp;L INC '!D:D,'BS USD CONS '!$B10,'BS &amp; P&amp;L INC '!H:H)</f>
        <v>-32471840.146400005</v>
      </c>
      <c r="G10" s="19"/>
      <c r="H10" s="19"/>
      <c r="I10" s="19"/>
      <c r="J10" s="19">
        <f t="shared" si="0"/>
        <v>-1.380000002682209</v>
      </c>
      <c r="K10" s="77"/>
      <c r="L10" s="19">
        <f t="shared" si="1"/>
        <v>-1.380000002682209E-3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1"/>
      <c r="B11" s="54" t="s">
        <v>886</v>
      </c>
      <c r="C11" s="2"/>
      <c r="D11" s="19">
        <f>SUMIF('BS LTD USD '!B:B,'BS USD CONS '!$B11,'BS LTD USD '!F:F)</f>
        <v>0</v>
      </c>
      <c r="E11" s="19"/>
      <c r="F11" s="19">
        <f>SUMIF('BS &amp; P&amp;L INC '!D:D,'BS USD CONS '!$B11,'BS &amp; P&amp;L INC '!H:H)</f>
        <v>0</v>
      </c>
      <c r="G11" s="19"/>
      <c r="H11" s="19"/>
      <c r="I11" s="19"/>
      <c r="J11" s="19">
        <f t="shared" si="0"/>
        <v>0</v>
      </c>
      <c r="K11" s="2"/>
      <c r="L11" s="19">
        <f t="shared" si="1"/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1"/>
      <c r="B12" s="54" t="s">
        <v>887</v>
      </c>
      <c r="C12" s="2"/>
      <c r="D12" s="19">
        <f>SUMIF('BS LTD USD '!B:B,'BS USD CONS '!$B12,'BS LTD USD '!F:F)</f>
        <v>0</v>
      </c>
      <c r="E12" s="19"/>
      <c r="F12" s="19">
        <f>SUMIF('BS &amp; P&amp;L INC '!D:D,'BS USD CONS '!$B12,'BS &amp; P&amp;L INC '!H:H)</f>
        <v>0</v>
      </c>
      <c r="G12" s="19"/>
      <c r="H12" s="19"/>
      <c r="I12" s="19"/>
      <c r="J12" s="19">
        <f t="shared" si="0"/>
        <v>0</v>
      </c>
      <c r="K12" s="77"/>
      <c r="L12" s="19">
        <f t="shared" si="1"/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1"/>
      <c r="B13" s="54" t="s">
        <v>888</v>
      </c>
      <c r="C13" s="2"/>
      <c r="D13" s="19">
        <f>SUMIF('BS LTD USD '!B:B,'BS USD CONS '!$B13,'BS LTD USD '!F:F)</f>
        <v>0</v>
      </c>
      <c r="E13" s="19"/>
      <c r="F13" s="19">
        <f>SUMIF('BS &amp; P&amp;L INC '!D:D,'BS USD CONS '!$B13,'BS &amp; P&amp;L INC '!H:H)</f>
        <v>0</v>
      </c>
      <c r="G13" s="19"/>
      <c r="H13" s="19"/>
      <c r="I13" s="19"/>
      <c r="J13" s="19">
        <f t="shared" si="0"/>
        <v>0</v>
      </c>
      <c r="K13" s="2"/>
      <c r="L13" s="19">
        <f t="shared" si="1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1"/>
      <c r="B14" s="54" t="s">
        <v>889</v>
      </c>
      <c r="C14" s="2"/>
      <c r="D14" s="19">
        <f>SUMIF('BS LTD USD '!B:B,'BS USD CONS '!$B14,'BS LTD USD '!F:F)</f>
        <v>16077.17</v>
      </c>
      <c r="E14" s="19"/>
      <c r="F14" s="19">
        <f>SUMIF('BS &amp; P&amp;L INC '!D:D,'BS USD CONS '!$B14,'BS &amp; P&amp;L INC '!H:H)</f>
        <v>0</v>
      </c>
      <c r="G14" s="19"/>
      <c r="H14" s="19"/>
      <c r="I14" s="19"/>
      <c r="J14" s="19">
        <f t="shared" si="0"/>
        <v>16077.17</v>
      </c>
      <c r="K14" s="77"/>
      <c r="L14" s="19">
        <f t="shared" si="1"/>
        <v>16.077169999999999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54"/>
      <c r="B15" s="54" t="s">
        <v>290</v>
      </c>
      <c r="C15" s="2"/>
      <c r="D15" s="19">
        <f>SUMIF('BS LTD USD '!B:B,'BS USD CONS '!$B15,'BS LTD USD '!F:F)</f>
        <v>0</v>
      </c>
      <c r="E15" s="19"/>
      <c r="F15" s="19">
        <f>SUMIF('BS &amp; P&amp;L INC '!D:D,'BS USD CONS '!$B15,'BS &amp; P&amp;L INC '!H:H)</f>
        <v>0</v>
      </c>
      <c r="G15" s="19"/>
      <c r="H15" s="19"/>
      <c r="I15" s="19"/>
      <c r="J15" s="19">
        <f t="shared" si="0"/>
        <v>0</v>
      </c>
      <c r="K15" s="2"/>
      <c r="L15" s="19">
        <f t="shared" si="1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54"/>
      <c r="B16" s="54" t="s">
        <v>1235</v>
      </c>
      <c r="C16" s="2"/>
      <c r="D16" s="19">
        <f>SUMIF('BS LTD USD '!B:B,'BS USD CONS '!$B16,'BS LTD USD '!F:F)</f>
        <v>1034254.41</v>
      </c>
      <c r="E16" s="19"/>
      <c r="F16" s="19">
        <f>SUMIF('BS &amp; P&amp;L INC '!D:D,'BS USD CONS '!$B16,'BS &amp; P&amp;L INC '!H:H)</f>
        <v>0</v>
      </c>
      <c r="G16" s="19"/>
      <c r="H16" s="19"/>
      <c r="I16" s="19"/>
      <c r="J16" s="19">
        <f t="shared" si="0"/>
        <v>1034254.41</v>
      </c>
      <c r="K16" s="2"/>
      <c r="L16" s="19">
        <f t="shared" si="1"/>
        <v>1034.25441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1"/>
      <c r="B17" s="54" t="s">
        <v>71</v>
      </c>
      <c r="C17" s="2"/>
      <c r="D17" s="19">
        <f>SUMIF('BS LTD USD '!B:B,'BS USD CONS '!$B17,'BS LTD USD '!F:F)</f>
        <v>1450468.06</v>
      </c>
      <c r="E17" s="19"/>
      <c r="F17" s="19">
        <f>SUMIF('BS &amp; P&amp;L INC '!D:D,'BS USD CONS '!$B17,'BS &amp; P&amp;L INC '!H:H)</f>
        <v>0</v>
      </c>
      <c r="G17" s="19"/>
      <c r="H17" s="19"/>
      <c r="I17" s="19"/>
      <c r="J17" s="19">
        <f t="shared" si="0"/>
        <v>1450468.06</v>
      </c>
      <c r="K17" s="77"/>
      <c r="L17" s="19">
        <f t="shared" si="1"/>
        <v>1450.4680600000002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1"/>
      <c r="B18" s="54"/>
      <c r="C18" s="2"/>
      <c r="D18" s="78">
        <f>SUM(D8:D17)</f>
        <v>48324471.256400004</v>
      </c>
      <c r="E18" s="19"/>
      <c r="F18" s="79">
        <f>SUM(F8:F17)</f>
        <v>3887830.993599996</v>
      </c>
      <c r="G18" s="80"/>
      <c r="H18" s="79">
        <f>SUM(H8:H17)</f>
        <v>0</v>
      </c>
      <c r="I18" s="80"/>
      <c r="J18" s="79">
        <f t="shared" si="0"/>
        <v>52212302.25</v>
      </c>
      <c r="K18" s="77"/>
      <c r="L18" s="79">
        <f t="shared" si="1"/>
        <v>52212.302250000001</v>
      </c>
      <c r="M18" s="8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1"/>
      <c r="B19" s="54"/>
      <c r="C19" s="2"/>
      <c r="D19" s="19"/>
      <c r="E19" s="19"/>
      <c r="F19" s="19"/>
      <c r="G19" s="19"/>
      <c r="H19" s="19"/>
      <c r="I19" s="19"/>
      <c r="J19" s="19"/>
      <c r="K19" s="2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1"/>
      <c r="B20" s="75" t="s">
        <v>890</v>
      </c>
      <c r="C20" s="2"/>
      <c r="D20" s="19"/>
      <c r="E20" s="19"/>
      <c r="F20" s="19"/>
      <c r="G20" s="19"/>
      <c r="H20" s="19"/>
      <c r="I20" s="19"/>
      <c r="J20" s="19"/>
      <c r="K20" s="2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1"/>
      <c r="B21" s="1"/>
      <c r="C21" s="2"/>
      <c r="D21" s="19"/>
      <c r="E21" s="19"/>
      <c r="F21" s="19"/>
      <c r="G21" s="19"/>
      <c r="H21" s="19"/>
      <c r="I21" s="19"/>
      <c r="J21" s="19"/>
      <c r="K21" s="2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1"/>
      <c r="B22" s="54" t="s">
        <v>330</v>
      </c>
      <c r="C22" s="2"/>
      <c r="D22" s="19">
        <f>SUMIF('BS LTD USD '!B:B,'BS USD CONS '!$B22,'BS LTD USD '!F:F)</f>
        <v>297519.04360001447</v>
      </c>
      <c r="E22" s="19"/>
      <c r="F22" s="19">
        <f>SUMIF('BS &amp; P&amp;L INC '!D:D,'BS USD CONS '!$B22,'BS &amp; P&amp;L INC '!H:H)</f>
        <v>0</v>
      </c>
      <c r="G22" s="19"/>
      <c r="H22" s="19">
        <f>-D22</f>
        <v>-297519.04360001447</v>
      </c>
      <c r="I22" s="19"/>
      <c r="J22" s="19">
        <f>+F22+D22+H22</f>
        <v>0</v>
      </c>
      <c r="K22" s="77"/>
      <c r="L22" s="19">
        <f t="shared" ref="L22:L27" si="2">J22/1000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1"/>
      <c r="B23" s="2" t="s">
        <v>1206</v>
      </c>
      <c r="C23" s="2"/>
      <c r="D23" s="19">
        <f>SUMIF('BS LTD USD '!B:B,'BS USD CONS '!$B23,'BS LTD USD '!F:F)</f>
        <v>409121.67068222899</v>
      </c>
      <c r="E23" s="19"/>
      <c r="F23" s="19">
        <f>SUMIF('BS &amp; P&amp;L INC '!D:D,'BS USD CONS '!$B23,'BS &amp; P&amp;L INC '!H:H)</f>
        <v>0</v>
      </c>
      <c r="G23" s="19"/>
      <c r="H23" s="19"/>
      <c r="I23" s="19"/>
      <c r="J23" s="19">
        <f>+F23+D23+H23</f>
        <v>409121.67068222899</v>
      </c>
      <c r="K23" s="77"/>
      <c r="L23" s="19">
        <f t="shared" si="2"/>
        <v>409.12167068222897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1"/>
      <c r="B24" s="81" t="s">
        <v>73</v>
      </c>
      <c r="C24" s="2"/>
      <c r="D24" s="19">
        <f>SUMIF('BS LTD USD '!B:B,'BS USD CONS '!$B24,'BS LTD USD '!F:F)</f>
        <v>939408.95045432821</v>
      </c>
      <c r="E24" s="19"/>
      <c r="F24" s="19"/>
      <c r="G24" s="19"/>
      <c r="H24" s="19"/>
      <c r="I24" s="19"/>
      <c r="J24" s="19">
        <f>+F24+D24+H24</f>
        <v>939408.95045432821</v>
      </c>
      <c r="K24" s="77"/>
      <c r="L24" s="19">
        <f t="shared" si="2"/>
        <v>939.40895045432819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1"/>
      <c r="B25" s="54" t="s">
        <v>885</v>
      </c>
      <c r="C25" s="2"/>
      <c r="D25" s="19">
        <f>SUMIF('BS LTD USD '!B:B,'BS USD CONS '!$B25,'BS LTD USD '!F:F)</f>
        <v>0</v>
      </c>
      <c r="E25" s="19"/>
      <c r="F25" s="19">
        <f>SUMIF('BS &amp; P&amp;L INC '!D:D,'BS USD CONS '!$B25,'BS &amp; P&amp;L INC '!H:H)</f>
        <v>199999</v>
      </c>
      <c r="G25" s="19"/>
      <c r="H25" s="19"/>
      <c r="I25" s="19"/>
      <c r="J25" s="19">
        <f>+F25+D25+H25</f>
        <v>199999</v>
      </c>
      <c r="K25" s="77"/>
      <c r="L25" s="19">
        <f t="shared" si="2"/>
        <v>199.999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1"/>
      <c r="B26" s="54" t="s">
        <v>99</v>
      </c>
      <c r="C26" s="2"/>
      <c r="D26" s="19">
        <f>SUMIF('BS LTD USD '!B:B,'BS USD CONS '!$B26,'BS LTD USD '!F:F)</f>
        <v>501895.3</v>
      </c>
      <c r="E26" s="19"/>
      <c r="F26" s="19">
        <f>SUMIF('BS &amp; P&amp;L INC '!D:D,'BS USD CONS '!$B26,'BS &amp; P&amp;L INC '!H:H)</f>
        <v>0</v>
      </c>
      <c r="G26" s="19"/>
      <c r="H26" s="19"/>
      <c r="I26" s="19"/>
      <c r="J26" s="19">
        <f t="shared" ref="J26" si="3">+F26+D26</f>
        <v>501895.3</v>
      </c>
      <c r="K26" s="77"/>
      <c r="L26" s="19">
        <f t="shared" si="2"/>
        <v>501.89529999999996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1"/>
      <c r="B27" s="54"/>
      <c r="C27" s="2"/>
      <c r="D27" s="78">
        <f>SUM(D22:D26)</f>
        <v>2147944.9647365715</v>
      </c>
      <c r="E27" s="19"/>
      <c r="F27" s="79">
        <f>SUM(F22:F26)</f>
        <v>199999</v>
      </c>
      <c r="G27" s="80"/>
      <c r="H27" s="79">
        <f>SUM(H22:H26)</f>
        <v>-297519.04360001447</v>
      </c>
      <c r="I27" s="80"/>
      <c r="J27" s="79">
        <f>SUM(J22:J26)</f>
        <v>2050424.9211365574</v>
      </c>
      <c r="K27" s="77"/>
      <c r="L27" s="79">
        <f t="shared" si="2"/>
        <v>2050.4249211365573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54"/>
      <c r="C28" s="2"/>
      <c r="D28" s="82"/>
      <c r="E28" s="19"/>
      <c r="F28" s="82"/>
      <c r="G28" s="19"/>
      <c r="H28" s="82"/>
      <c r="I28" s="19"/>
      <c r="J28" s="82"/>
      <c r="K28" s="2"/>
      <c r="L28" s="41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83" t="s">
        <v>891</v>
      </c>
      <c r="C29" s="2"/>
      <c r="D29" s="84">
        <f>+D27+D18</f>
        <v>50472416.221136577</v>
      </c>
      <c r="E29" s="19"/>
      <c r="F29" s="84">
        <f>+F27+F18</f>
        <v>4087829.993599996</v>
      </c>
      <c r="G29" s="19"/>
      <c r="H29" s="84">
        <f>+H27+H18</f>
        <v>-297519.04360001447</v>
      </c>
      <c r="I29" s="19"/>
      <c r="J29" s="84">
        <f>J18+J27</f>
        <v>54262727.171136558</v>
      </c>
      <c r="K29" s="77"/>
      <c r="L29" s="414">
        <f>J29/1000</f>
        <v>54262.727171136561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54"/>
      <c r="C30" s="2"/>
      <c r="D30" s="19"/>
      <c r="E30" s="19"/>
      <c r="F30" s="19"/>
      <c r="G30" s="19"/>
      <c r="H30" s="19"/>
      <c r="I30" s="19"/>
      <c r="J30" s="19"/>
      <c r="K30" s="2"/>
      <c r="L30" s="1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54"/>
      <c r="C31" s="2"/>
      <c r="D31" s="19"/>
      <c r="E31" s="19"/>
      <c r="F31" s="19"/>
      <c r="G31" s="19"/>
      <c r="H31" s="19"/>
      <c r="I31" s="19"/>
      <c r="J31" s="19"/>
      <c r="K31" s="2"/>
      <c r="L31" s="1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1"/>
      <c r="B32" s="75" t="s">
        <v>892</v>
      </c>
      <c r="C32" s="2"/>
      <c r="D32" s="19"/>
      <c r="E32" s="19"/>
      <c r="F32" s="19"/>
      <c r="G32" s="19"/>
      <c r="H32" s="19"/>
      <c r="I32" s="19"/>
      <c r="J32" s="19"/>
      <c r="K32" s="2"/>
      <c r="L32" s="1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1"/>
      <c r="B33" s="54"/>
      <c r="C33" s="2"/>
      <c r="D33" s="19"/>
      <c r="E33" s="19"/>
      <c r="F33" s="19"/>
      <c r="G33" s="19"/>
      <c r="H33" s="19"/>
      <c r="I33" s="19"/>
      <c r="J33" s="19"/>
      <c r="K33" s="2"/>
      <c r="L33" s="1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1"/>
      <c r="B34" s="54" t="s">
        <v>120</v>
      </c>
      <c r="C34" s="2"/>
      <c r="D34" s="80">
        <f>SUMIF('BS LTD USD '!B:B,'BS USD CONS '!$B34,'BS LTD USD '!F:F)</f>
        <v>-10307676.149999999</v>
      </c>
      <c r="E34" s="80"/>
      <c r="F34" s="80">
        <f>SUMIF('BS &amp; P&amp;L INC '!D:D,'BS USD CONS '!$B34,'BS &amp; P&amp;L INC '!H:H)</f>
        <v>-3126158.57</v>
      </c>
      <c r="G34" s="80"/>
      <c r="H34" s="80"/>
      <c r="I34" s="80"/>
      <c r="J34" s="80">
        <f t="shared" ref="J34:J48" si="4">+F34+D34</f>
        <v>-13433834.719999999</v>
      </c>
      <c r="K34" s="77"/>
      <c r="L34" s="80">
        <f t="shared" ref="L34:L43" si="5">J34/1000</f>
        <v>-13433.834719999999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1"/>
      <c r="B35" s="54" t="s">
        <v>1239</v>
      </c>
      <c r="C35" s="2"/>
      <c r="D35" s="80">
        <f>SUMIF('BS LTD USD '!B:B,'BS USD CONS '!$B35,'BS LTD USD '!F:F)</f>
        <v>-10629163.49037037</v>
      </c>
      <c r="E35" s="80"/>
      <c r="F35" s="80">
        <f>SUMIF('BS &amp; P&amp;L INC '!D:D,'BS USD CONS '!$B35,'BS &amp; P&amp;L INC '!H:H)</f>
        <v>-562692.18999999994</v>
      </c>
      <c r="G35" s="80"/>
      <c r="H35" s="80"/>
      <c r="I35" s="80"/>
      <c r="J35" s="80">
        <f t="shared" si="4"/>
        <v>-11191855.68037037</v>
      </c>
      <c r="K35" s="77"/>
      <c r="L35" s="80">
        <f t="shared" si="5"/>
        <v>-11191.85568037037</v>
      </c>
      <c r="M35" s="2"/>
      <c r="N35" s="8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1"/>
      <c r="B36" s="54" t="s">
        <v>544</v>
      </c>
      <c r="C36" s="2"/>
      <c r="D36" s="80">
        <f>SUMIF('BS LTD USD '!B:B,'BS USD CONS '!$B36,'BS LTD USD '!F:F)</f>
        <v>-2033334</v>
      </c>
      <c r="E36" s="80"/>
      <c r="F36" s="80">
        <f>SUMIF('BS &amp; P&amp;L INC '!D:D,'BS USD CONS '!$B36,'BS &amp; P&amp;L INC '!H:H)</f>
        <v>0</v>
      </c>
      <c r="G36" s="80"/>
      <c r="H36" s="80"/>
      <c r="I36" s="80"/>
      <c r="J36" s="80">
        <f t="shared" si="4"/>
        <v>-2033334</v>
      </c>
      <c r="K36" s="77"/>
      <c r="L36" s="80">
        <f t="shared" si="5"/>
        <v>-2033.3340000000001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1"/>
      <c r="B37" s="54" t="s">
        <v>520</v>
      </c>
      <c r="C37" s="2"/>
      <c r="D37" s="80">
        <f>SUMIF('BS LTD USD '!B:B,'BS USD CONS '!$B37,'BS LTD USD '!F:F)</f>
        <v>-4087657</v>
      </c>
      <c r="E37" s="80"/>
      <c r="F37" s="80">
        <f>SUMIF('BS &amp; P&amp;L INC '!D:D,'BS USD CONS '!$B37,'BS &amp; P&amp;L INC '!H:H)</f>
        <v>0</v>
      </c>
      <c r="G37" s="80"/>
      <c r="H37" s="80"/>
      <c r="I37" s="80"/>
      <c r="J37" s="80">
        <f t="shared" si="4"/>
        <v>-4087657</v>
      </c>
      <c r="K37" s="77"/>
      <c r="L37" s="80">
        <f t="shared" si="5"/>
        <v>-4087.6570000000002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1"/>
      <c r="B38" s="54" t="s">
        <v>1243</v>
      </c>
      <c r="C38" s="2"/>
      <c r="D38" s="80">
        <f>SUMIF('BS LTD USD '!B:B,'BS USD CONS '!$B38,'BS LTD USD '!F:F)</f>
        <v>-1881953.5401929261</v>
      </c>
      <c r="E38" s="80"/>
      <c r="F38" s="80"/>
      <c r="G38" s="80"/>
      <c r="H38" s="80"/>
      <c r="I38" s="80"/>
      <c r="J38" s="80">
        <f t="shared" si="4"/>
        <v>-1881953.5401929261</v>
      </c>
      <c r="K38" s="77"/>
      <c r="L38" s="80">
        <f t="shared" si="5"/>
        <v>-1881.9535401929261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1"/>
      <c r="B39" s="54" t="s">
        <v>887</v>
      </c>
      <c r="C39" s="2"/>
      <c r="D39" s="19">
        <f>SUMIF('BS LTD USD '!B:B,'BS USD CONS '!$B39,'BS LTD USD '!F:F)</f>
        <v>0</v>
      </c>
      <c r="E39" s="19"/>
      <c r="F39" s="19">
        <f>SUMIF('BS &amp; P&amp;L INC '!D:D,'BS USD CONS '!$B39,'BS &amp; P&amp;L INC '!H:H)</f>
        <v>0</v>
      </c>
      <c r="G39" s="19"/>
      <c r="H39" s="19"/>
      <c r="I39" s="19"/>
      <c r="J39" s="19">
        <f t="shared" si="4"/>
        <v>0</v>
      </c>
      <c r="K39" s="2"/>
      <c r="L39" s="19">
        <f t="shared" si="5"/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1"/>
      <c r="B40" s="54" t="s">
        <v>1207</v>
      </c>
      <c r="C40" s="2"/>
      <c r="D40" s="19">
        <f>SUMIF('BS LTD USD '!B:B,'BS USD CONS '!$B40,'BS LTD USD '!F:F)</f>
        <v>-385359.68776446173</v>
      </c>
      <c r="E40" s="19"/>
      <c r="F40" s="19">
        <f>SUMIF('BS &amp; P&amp;L INC '!D:D,'BS USD CONS '!$B40,'BS &amp; P&amp;L INC '!H:H)</f>
        <v>0</v>
      </c>
      <c r="G40" s="19"/>
      <c r="H40" s="19"/>
      <c r="I40" s="19"/>
      <c r="J40" s="19">
        <f t="shared" si="4"/>
        <v>-385359.68776446173</v>
      </c>
      <c r="K40" s="2"/>
      <c r="L40" s="19">
        <f t="shared" si="5"/>
        <v>-385.35968776446174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1"/>
      <c r="B41" s="54" t="s">
        <v>1098</v>
      </c>
      <c r="C41" s="2"/>
      <c r="D41" s="19">
        <f>SUMIF('BS LTD USD '!B:B,'BS USD CONS '!$B41,'BS LTD USD '!F:F)</f>
        <v>0</v>
      </c>
      <c r="E41" s="19"/>
      <c r="F41" s="19">
        <f>SUMIF('BS &amp; P&amp;L INC '!D:D,'BS USD CONS '!$B41,'BS &amp; P&amp;L INC '!H:H)</f>
        <v>0</v>
      </c>
      <c r="G41" s="19"/>
      <c r="H41" s="19"/>
      <c r="I41" s="19"/>
      <c r="J41" s="19">
        <f t="shared" si="4"/>
        <v>0</v>
      </c>
      <c r="K41" s="2"/>
      <c r="L41" s="19">
        <f t="shared" si="5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1"/>
      <c r="B42" s="54" t="s">
        <v>84</v>
      </c>
      <c r="C42" s="2"/>
      <c r="D42" s="85">
        <f>SUMIF('BS LTD USD '!B:B,'BS USD CONS '!$B42,'BS LTD USD '!F:F)</f>
        <v>-7411932.769787089</v>
      </c>
      <c r="E42" s="19"/>
      <c r="F42" s="85">
        <f>SUMIF('BS &amp; P&amp;L INC '!D:D,'BS USD CONS '!$B42,'BS &amp; P&amp;L INC '!H:H)</f>
        <v>-101461.4</v>
      </c>
      <c r="G42" s="80"/>
      <c r="H42" s="85"/>
      <c r="I42" s="80"/>
      <c r="J42" s="80">
        <f t="shared" si="4"/>
        <v>-7513394.1697870893</v>
      </c>
      <c r="K42" s="77"/>
      <c r="L42" s="80">
        <f t="shared" si="5"/>
        <v>-7513.3941697870896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1"/>
      <c r="B43" s="54"/>
      <c r="C43" s="2"/>
      <c r="D43" s="80">
        <f>SUM(D34:D42)</f>
        <v>-36737076.638114847</v>
      </c>
      <c r="E43" s="19"/>
      <c r="F43" s="79">
        <f>SUM(F32:F42)</f>
        <v>-3790312.1599999997</v>
      </c>
      <c r="G43" s="80"/>
      <c r="H43" s="79">
        <f>SUM(H32:H42)</f>
        <v>0</v>
      </c>
      <c r="I43" s="80"/>
      <c r="J43" s="79">
        <f t="shared" si="4"/>
        <v>-40527388.798114844</v>
      </c>
      <c r="K43" s="77"/>
      <c r="L43" s="79">
        <f t="shared" si="5"/>
        <v>-40527.388798114844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1"/>
      <c r="B44" s="54"/>
      <c r="C44" s="2"/>
      <c r="D44" s="19"/>
      <c r="E44" s="19"/>
      <c r="F44" s="19"/>
      <c r="G44" s="19"/>
      <c r="H44" s="19"/>
      <c r="I44" s="19"/>
      <c r="J44" s="19">
        <f t="shared" si="4"/>
        <v>0</v>
      </c>
      <c r="K44" s="2"/>
      <c r="L44" s="1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1"/>
      <c r="B45" s="54" t="s">
        <v>893</v>
      </c>
      <c r="C45" s="2"/>
      <c r="D45" s="80">
        <f>SUMIF('BS LTD USD '!B:B,'BS USD CONS '!$B45,'BS LTD USD '!F:F)</f>
        <v>-533332.72</v>
      </c>
      <c r="E45" s="80"/>
      <c r="F45" s="80">
        <f>SUMIF('BS &amp; P&amp;L INC '!D:D,'BS USD CONS '!$B45,'BS &amp; P&amp;L INC '!F:F)</f>
        <v>0</v>
      </c>
      <c r="G45" s="80"/>
      <c r="H45" s="80"/>
      <c r="I45" s="80"/>
      <c r="J45" s="80">
        <f t="shared" si="4"/>
        <v>-533332.72</v>
      </c>
      <c r="K45" s="77"/>
      <c r="L45" s="80">
        <f>J45/1000</f>
        <v>-533.33271999999999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1"/>
      <c r="B46" s="54" t="s">
        <v>294</v>
      </c>
      <c r="C46" s="2"/>
      <c r="D46" s="80">
        <f>SUMIF('BS LTD USD '!B:B,'BS USD CONS '!$B46,'BS LTD USD '!F:F)</f>
        <v>-500000</v>
      </c>
      <c r="E46" s="80"/>
      <c r="F46" s="80">
        <f>SUMIF('BS &amp; P&amp;L INC '!D:D,'BS USD CONS '!$B46,'BS &amp; P&amp;L INC '!F:F)</f>
        <v>0</v>
      </c>
      <c r="G46" s="80"/>
      <c r="H46" s="80"/>
      <c r="I46" s="80"/>
      <c r="J46" s="80">
        <f t="shared" si="4"/>
        <v>-500000</v>
      </c>
      <c r="K46" s="77"/>
      <c r="L46" s="80">
        <f>J46/1000</f>
        <v>-500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1"/>
      <c r="B47" s="54" t="s">
        <v>516</v>
      </c>
      <c r="C47" s="2"/>
      <c r="D47" s="19">
        <f>SUMIF('BS LTD USD '!B:B,'BS USD CONS '!$B47,'BS LTD USD '!F:F)</f>
        <v>0</v>
      </c>
      <c r="E47" s="19"/>
      <c r="F47" s="19">
        <f>SUMIF('BS &amp; P&amp;L INC '!D:D,'BS USD CONS '!$B47,'BS &amp; P&amp;L INC '!F:F)</f>
        <v>0</v>
      </c>
      <c r="G47" s="19"/>
      <c r="H47" s="19"/>
      <c r="I47" s="19"/>
      <c r="J47" s="19">
        <f t="shared" si="4"/>
        <v>0</v>
      </c>
      <c r="K47" s="77"/>
      <c r="L47" s="19">
        <f>J47/1000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1"/>
      <c r="B48" s="54"/>
      <c r="C48" s="2"/>
      <c r="D48" s="79">
        <f>SUM(D45:D47)</f>
        <v>-1033332.72</v>
      </c>
      <c r="E48" s="19"/>
      <c r="F48" s="79">
        <f>SUM(F46:F47)</f>
        <v>0</v>
      </c>
      <c r="G48" s="80"/>
      <c r="H48" s="79"/>
      <c r="I48" s="80"/>
      <c r="J48" s="79">
        <f t="shared" si="4"/>
        <v>-1033332.72</v>
      </c>
      <c r="K48" s="77"/>
      <c r="L48" s="79">
        <f>J48/1000</f>
        <v>-1033.3327199999999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1"/>
      <c r="B49" s="86"/>
      <c r="C49" s="2"/>
      <c r="D49" s="19"/>
      <c r="E49" s="19"/>
      <c r="F49" s="87"/>
      <c r="G49" s="87"/>
      <c r="H49" s="87"/>
      <c r="I49" s="87"/>
      <c r="J49" s="87"/>
      <c r="K49" s="77"/>
      <c r="L49" s="8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1"/>
      <c r="B50" s="83" t="s">
        <v>894</v>
      </c>
      <c r="C50" s="2"/>
      <c r="D50" s="88">
        <f>+D48+D43</f>
        <v>-37770409.358114846</v>
      </c>
      <c r="E50" s="19"/>
      <c r="F50" s="88">
        <f>+F48+F43</f>
        <v>-3790312.1599999997</v>
      </c>
      <c r="G50" s="80"/>
      <c r="H50" s="88">
        <f>+H48+H43</f>
        <v>0</v>
      </c>
      <c r="I50" s="80"/>
      <c r="J50" s="88">
        <f>+F50+D50</f>
        <v>-41560721.518114842</v>
      </c>
      <c r="K50" s="77"/>
      <c r="L50" s="415">
        <f>J50/1000</f>
        <v>-41560.721518114842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1"/>
      <c r="B51" s="54"/>
      <c r="C51" s="2"/>
      <c r="D51" s="89"/>
      <c r="E51" s="1"/>
      <c r="F51" s="89"/>
      <c r="G51" s="89"/>
      <c r="H51" s="89"/>
      <c r="I51" s="89"/>
      <c r="J51" s="89"/>
      <c r="K51" s="2"/>
      <c r="L51" s="8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1"/>
      <c r="B52" s="75" t="s">
        <v>895</v>
      </c>
      <c r="C52" s="2"/>
      <c r="D52" s="89"/>
      <c r="E52" s="1"/>
      <c r="F52" s="89"/>
      <c r="G52" s="89"/>
      <c r="H52" s="89"/>
      <c r="I52" s="89"/>
      <c r="J52" s="89"/>
      <c r="K52" s="2"/>
      <c r="L52" s="8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1"/>
      <c r="B53" s="90"/>
      <c r="C53" s="2"/>
      <c r="D53" s="89"/>
      <c r="E53" s="1"/>
      <c r="F53" s="89"/>
      <c r="G53" s="89"/>
      <c r="H53" s="89"/>
      <c r="I53" s="89"/>
      <c r="J53" s="89"/>
      <c r="K53" s="2"/>
      <c r="L53" s="89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1"/>
      <c r="B54" s="54" t="s">
        <v>303</v>
      </c>
      <c r="C54" s="2"/>
      <c r="D54" s="80">
        <f>SUMIF('BS LTD USD '!B:B,'BS USD CONS '!$B54,'BS LTD USD '!F:F)</f>
        <v>-418.91999999999996</v>
      </c>
      <c r="E54" s="1"/>
      <c r="F54" s="80">
        <f>SUMIF('BS &amp; P&amp;L INC '!D:D,'BS USD CONS '!$B54,'BS &amp; P&amp;L INC '!H:H)</f>
        <v>0</v>
      </c>
      <c r="G54" s="80"/>
      <c r="H54" s="80"/>
      <c r="I54" s="80"/>
      <c r="J54" s="80">
        <f t="shared" ref="J54:J58" si="6">+F54+D54</f>
        <v>-418.91999999999996</v>
      </c>
      <c r="K54" s="77"/>
      <c r="L54" s="470">
        <f t="shared" ref="L54:L65" si="7">J54/1000</f>
        <v>-0.41891999999999996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1"/>
      <c r="B55" s="148" t="s">
        <v>333</v>
      </c>
      <c r="C55" s="2"/>
      <c r="D55" s="80">
        <f>SUMIF('BS LTD USD '!B:B,'BS USD CONS '!$B55,'BS LTD USD '!F:F)</f>
        <v>-191</v>
      </c>
      <c r="E55" s="1"/>
      <c r="F55" s="80">
        <f>SUMIF('BS &amp; P&amp;L INC '!D:D,'BS USD CONS '!$B55,'BS &amp; P&amp;L INC '!H:H)</f>
        <v>0</v>
      </c>
      <c r="G55" s="80"/>
      <c r="H55" s="80"/>
      <c r="I55" s="80"/>
      <c r="J55" s="80">
        <f t="shared" si="6"/>
        <v>-191</v>
      </c>
      <c r="K55" s="77"/>
      <c r="L55" s="470">
        <f t="shared" si="7"/>
        <v>-0.191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1"/>
      <c r="B56" s="148" t="s">
        <v>336</v>
      </c>
      <c r="C56" s="2"/>
      <c r="D56" s="80">
        <f>SUMIF('BS LTD USD '!B:B,'BS USD CONS '!$B56,'BS LTD USD '!F:F)</f>
        <v>-49.24</v>
      </c>
      <c r="E56" s="1"/>
      <c r="F56" s="80">
        <f>SUMIF('BS &amp; P&amp;L INC '!D:D,'BS USD CONS '!$B56,'BS &amp; P&amp;L INC '!H:H)</f>
        <v>0</v>
      </c>
      <c r="G56" s="80"/>
      <c r="H56" s="80"/>
      <c r="I56" s="80"/>
      <c r="J56" s="80">
        <f t="shared" si="6"/>
        <v>-49.24</v>
      </c>
      <c r="K56" s="77"/>
      <c r="L56" s="470">
        <f t="shared" si="7"/>
        <v>-4.9239999999999999E-2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1"/>
      <c r="B57" s="149" t="s">
        <v>305</v>
      </c>
      <c r="C57" s="2"/>
      <c r="D57" s="80">
        <f>SUMIF('BS LTD USD '!B:B,'BS USD CONS '!$B57,'BS LTD USD '!F:F)</f>
        <v>-8614908.1284866966</v>
      </c>
      <c r="E57" s="1"/>
      <c r="F57" s="80">
        <f>SUMIF('BS &amp; P&amp;L INC '!D:D,'BS USD CONS '!$B57,'BS &amp; P&amp;L INC '!H:H)</f>
        <v>0</v>
      </c>
      <c r="G57" s="80"/>
      <c r="H57" s="80"/>
      <c r="I57" s="80"/>
      <c r="J57" s="80">
        <f t="shared" si="6"/>
        <v>-8614908.1284866966</v>
      </c>
      <c r="K57" s="77"/>
      <c r="L57" s="80">
        <f t="shared" si="7"/>
        <v>-8614.908128486697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1"/>
      <c r="B58" s="149" t="s">
        <v>342</v>
      </c>
      <c r="C58" s="2"/>
      <c r="D58" s="80">
        <f>SUMIF('BS LTD USD '!B:B,'BS USD CONS '!$B58,'BS LTD USD '!F:F)</f>
        <v>0</v>
      </c>
      <c r="E58" s="1"/>
      <c r="F58" s="80">
        <f>SUMIF('BS &amp; P&amp;L INC '!D:D,'BS USD CONS '!$B58,'BS &amp; P&amp;L INC '!H:H)</f>
        <v>0</v>
      </c>
      <c r="G58" s="80"/>
      <c r="H58" s="80"/>
      <c r="I58" s="80"/>
      <c r="J58" s="80">
        <f t="shared" si="6"/>
        <v>0</v>
      </c>
      <c r="K58" s="77"/>
      <c r="L58" s="80">
        <f t="shared" si="7"/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1"/>
      <c r="B59" s="54" t="s">
        <v>338</v>
      </c>
      <c r="C59" s="2"/>
      <c r="D59" s="80">
        <f>SUMIF('BS LTD USD '!B:B,'BS USD CONS '!$B59,'BS LTD USD '!F:F)</f>
        <v>3981035.15</v>
      </c>
      <c r="E59" s="1"/>
      <c r="F59" s="80">
        <f>SUMIF('BS &amp; P&amp;L INC '!D:D,'BS USD CONS '!$B59,'BS &amp; P&amp;L INC '!H:H)</f>
        <v>-39372.79</v>
      </c>
      <c r="G59" s="80"/>
      <c r="H59" s="80">
        <f t="shared" ref="H59:H60" si="8">-F59</f>
        <v>39372.79</v>
      </c>
      <c r="I59" s="80"/>
      <c r="J59" s="80">
        <f>+F59+D59+H59</f>
        <v>3981035.15</v>
      </c>
      <c r="K59" s="77"/>
      <c r="L59" s="80">
        <f t="shared" si="7"/>
        <v>3981.0351499999997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1"/>
      <c r="B60" s="54" t="s">
        <v>347</v>
      </c>
      <c r="C60" s="2"/>
      <c r="D60" s="85">
        <f>'P&amp;L LTD  USD'!F83</f>
        <v>-8067474.724535034</v>
      </c>
      <c r="E60" s="1"/>
      <c r="F60" s="85">
        <f>SUMIF('BS &amp; P&amp;L INC '!D:D,'BS USD CONS '!$B60,'BS &amp; P&amp;L INC '!H:H)</f>
        <v>-258145.04359996319</v>
      </c>
      <c r="G60" s="80"/>
      <c r="H60" s="85">
        <f t="shared" si="8"/>
        <v>258145.04359996319</v>
      </c>
      <c r="I60" s="80"/>
      <c r="J60" s="85">
        <f>D60+F60+H60</f>
        <v>-8067474.724535034</v>
      </c>
      <c r="K60" s="77"/>
      <c r="L60" s="416">
        <f t="shared" si="7"/>
        <v>-8067.4747245350336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1"/>
      <c r="B61" s="1"/>
      <c r="C61" s="2"/>
      <c r="D61" s="91">
        <f>SUM(D54:D60)</f>
        <v>-12702006.863021731</v>
      </c>
      <c r="E61" s="1"/>
      <c r="F61" s="92">
        <f>SUM(F54:F60)</f>
        <v>-297517.83359996317</v>
      </c>
      <c r="G61" s="91"/>
      <c r="H61" s="92">
        <f>SUM(H54:H60)</f>
        <v>297517.83359996317</v>
      </c>
      <c r="I61" s="91"/>
      <c r="J61" s="92">
        <f>SUM(J54:J60)</f>
        <v>-12702006.863021731</v>
      </c>
      <c r="K61" s="77"/>
      <c r="L61" s="92">
        <f t="shared" si="7"/>
        <v>-12702.006863021732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1"/>
      <c r="B62" s="1"/>
      <c r="C62" s="2"/>
      <c r="D62" s="93"/>
      <c r="E62" s="1"/>
      <c r="F62" s="93"/>
      <c r="G62" s="89"/>
      <c r="H62" s="93"/>
      <c r="I62" s="89"/>
      <c r="J62" s="93">
        <f>+F62+D62</f>
        <v>0</v>
      </c>
      <c r="K62" s="77"/>
      <c r="L62" s="417">
        <f t="shared" si="7"/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thickBot="1">
      <c r="A63" s="1"/>
      <c r="B63" s="1"/>
      <c r="C63" s="2"/>
      <c r="D63" s="94">
        <f>D61+D50</f>
        <v>-50472416.221136577</v>
      </c>
      <c r="E63" s="1"/>
      <c r="F63" s="94">
        <f>F61+F50</f>
        <v>-4087829.9935999629</v>
      </c>
      <c r="G63" s="91"/>
      <c r="H63" s="94">
        <f>H61+H50</f>
        <v>297517.83359996317</v>
      </c>
      <c r="I63" s="91"/>
      <c r="J63" s="94">
        <f>J61+J50</f>
        <v>-54262728.381136574</v>
      </c>
      <c r="K63" s="77"/>
      <c r="L63" s="418">
        <f t="shared" si="7"/>
        <v>-54262.728381136571</v>
      </c>
      <c r="M63" s="55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thickTop="1">
      <c r="A64" s="1"/>
      <c r="B64" s="1"/>
      <c r="C64" s="2"/>
      <c r="D64" s="89" t="b">
        <f>+D63=-D29</f>
        <v>1</v>
      </c>
      <c r="E64" s="1"/>
      <c r="F64" s="89" t="b">
        <f>+F63=F29</f>
        <v>0</v>
      </c>
      <c r="G64" s="89"/>
      <c r="H64" s="89" t="b">
        <f>+H63=H29</f>
        <v>0</v>
      </c>
      <c r="I64" s="89"/>
      <c r="J64" s="89">
        <f>+J63+J29</f>
        <v>-1.2100000157952309</v>
      </c>
      <c r="K64" s="2"/>
      <c r="L64" s="89">
        <f t="shared" si="7"/>
        <v>-1.2100000157952309E-3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1"/>
      <c r="B65" s="1"/>
      <c r="C65" s="2"/>
      <c r="D65" s="89">
        <f>+D63+D29</f>
        <v>0</v>
      </c>
      <c r="E65" s="1"/>
      <c r="F65" s="67">
        <f>+F63+F29</f>
        <v>3.3061951398849487E-8</v>
      </c>
      <c r="G65" s="67"/>
      <c r="H65" s="67">
        <f>+H63+H29</f>
        <v>-1.210000051301904</v>
      </c>
      <c r="I65" s="67"/>
      <c r="J65" s="67">
        <f>+F65+D65</f>
        <v>3.3061951398849487E-8</v>
      </c>
      <c r="K65" s="2"/>
      <c r="L65" s="67">
        <f t="shared" si="7"/>
        <v>3.3061951398849484E-11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1"/>
      <c r="B66" s="1"/>
      <c r="C66" s="2"/>
      <c r="D66" s="67"/>
      <c r="E66" s="1"/>
      <c r="F66" s="67"/>
      <c r="G66" s="67"/>
      <c r="H66" s="67"/>
      <c r="I66" s="67"/>
      <c r="J66" s="67"/>
      <c r="K66" s="2"/>
      <c r="L66" s="6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1"/>
      <c r="B67" s="1"/>
      <c r="C67" s="2"/>
      <c r="D67" s="67"/>
      <c r="E67" s="1"/>
      <c r="F67" s="67"/>
      <c r="G67" s="67"/>
      <c r="H67" s="67"/>
      <c r="I67" s="67"/>
      <c r="J67" s="67"/>
      <c r="K67" s="2"/>
      <c r="L67" s="6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1"/>
      <c r="B68" s="1"/>
      <c r="C68" s="2"/>
      <c r="D68" s="67"/>
      <c r="E68" s="1"/>
      <c r="F68" s="67"/>
      <c r="G68" s="67"/>
      <c r="H68" s="67"/>
      <c r="I68" s="67"/>
      <c r="J68" s="67"/>
      <c r="K68" s="2"/>
      <c r="L68" s="6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1"/>
      <c r="B69" s="1"/>
      <c r="C69" s="2"/>
      <c r="D69" s="67"/>
      <c r="E69" s="1"/>
      <c r="F69" s="67"/>
      <c r="G69" s="67"/>
      <c r="H69" s="67"/>
      <c r="I69" s="67"/>
      <c r="J69" s="67"/>
      <c r="K69" s="2"/>
      <c r="L69" s="6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1"/>
      <c r="B70" s="1"/>
      <c r="C70" s="2"/>
      <c r="D70" s="67"/>
      <c r="E70" s="1"/>
      <c r="F70" s="67"/>
      <c r="G70" s="67"/>
      <c r="H70" s="67"/>
      <c r="I70" s="67"/>
      <c r="J70" s="67"/>
      <c r="K70" s="2"/>
      <c r="L70" s="6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1"/>
      <c r="B71" s="1"/>
      <c r="C71" s="2"/>
      <c r="D71" s="67"/>
      <c r="E71" s="1"/>
      <c r="F71" s="67"/>
      <c r="G71" s="67"/>
      <c r="H71" s="67"/>
      <c r="I71" s="67"/>
      <c r="J71" s="67"/>
      <c r="K71" s="2"/>
      <c r="L71" s="6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1"/>
      <c r="B72" s="1"/>
      <c r="C72" s="2"/>
      <c r="D72" s="21"/>
      <c r="E72" s="6"/>
      <c r="F72" s="21"/>
      <c r="G72" s="21"/>
      <c r="H72" s="21"/>
      <c r="I72" s="21"/>
      <c r="J72" s="21"/>
      <c r="K72" s="2"/>
      <c r="L72" s="2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1"/>
      <c r="B73" s="1"/>
      <c r="C73" s="2"/>
      <c r="D73" s="21"/>
      <c r="E73" s="1"/>
      <c r="F73" s="21"/>
      <c r="G73" s="21"/>
      <c r="H73" s="21"/>
      <c r="I73" s="21"/>
      <c r="J73" s="21"/>
      <c r="K73" s="2"/>
      <c r="L73" s="2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1"/>
      <c r="B74" s="1"/>
      <c r="C74" s="2"/>
      <c r="D74" s="21"/>
      <c r="E74" s="1"/>
      <c r="F74" s="21"/>
      <c r="G74" s="21"/>
      <c r="H74" s="21"/>
      <c r="I74" s="21"/>
      <c r="J74" s="21"/>
      <c r="K74" s="2"/>
      <c r="L74" s="2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1"/>
      <c r="B75" s="1"/>
      <c r="C75" s="2"/>
      <c r="D75" s="67"/>
      <c r="E75" s="1"/>
      <c r="F75" s="67"/>
      <c r="G75" s="67"/>
      <c r="H75" s="67"/>
      <c r="I75" s="67"/>
      <c r="J75" s="67"/>
      <c r="K75" s="2"/>
      <c r="L75" s="6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1"/>
      <c r="B76" s="1"/>
      <c r="C76" s="2"/>
      <c r="D76" s="67"/>
      <c r="E76" s="1"/>
      <c r="F76" s="67"/>
      <c r="G76" s="67"/>
      <c r="H76" s="67"/>
      <c r="I76" s="67"/>
      <c r="J76" s="67"/>
      <c r="K76" s="2"/>
      <c r="L76" s="6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1"/>
      <c r="B77" s="1"/>
      <c r="C77" s="2"/>
      <c r="D77" s="67"/>
      <c r="E77" s="1"/>
      <c r="F77" s="67"/>
      <c r="G77" s="67"/>
      <c r="H77" s="67"/>
      <c r="I77" s="67"/>
      <c r="J77" s="67"/>
      <c r="K77" s="2"/>
      <c r="L77" s="6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1"/>
      <c r="B78" s="1"/>
      <c r="C78" s="2"/>
      <c r="D78" s="67"/>
      <c r="E78" s="1"/>
      <c r="F78" s="67"/>
      <c r="G78" s="67"/>
      <c r="H78" s="67"/>
      <c r="I78" s="67"/>
      <c r="J78" s="67"/>
      <c r="K78" s="2"/>
      <c r="L78" s="6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1"/>
      <c r="B79" s="1"/>
      <c r="C79" s="2"/>
      <c r="D79" s="67"/>
      <c r="E79" s="1"/>
      <c r="F79" s="67"/>
      <c r="G79" s="67"/>
      <c r="H79" s="67"/>
      <c r="I79" s="67"/>
      <c r="J79" s="67"/>
      <c r="K79" s="2"/>
      <c r="L79" s="6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1"/>
      <c r="B80" s="1"/>
      <c r="C80" s="2"/>
      <c r="D80" s="67"/>
      <c r="E80" s="1"/>
      <c r="F80" s="67"/>
      <c r="G80" s="67"/>
      <c r="H80" s="67"/>
      <c r="I80" s="67"/>
      <c r="J80" s="67"/>
      <c r="K80" s="2"/>
      <c r="L80" s="6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1"/>
      <c r="B81" s="1"/>
      <c r="C81" s="2"/>
      <c r="D81" s="67"/>
      <c r="E81" s="1"/>
      <c r="F81" s="67"/>
      <c r="G81" s="67"/>
      <c r="H81" s="67"/>
      <c r="I81" s="67"/>
      <c r="J81" s="67"/>
      <c r="K81" s="2"/>
      <c r="L81" s="6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1"/>
      <c r="B82" s="1"/>
      <c r="C82" s="2"/>
      <c r="D82" s="67"/>
      <c r="E82" s="1"/>
      <c r="F82" s="67"/>
      <c r="G82" s="67"/>
      <c r="H82" s="67"/>
      <c r="I82" s="67"/>
      <c r="J82" s="67"/>
      <c r="K82" s="2"/>
      <c r="L82" s="6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1"/>
      <c r="B83" s="1"/>
      <c r="C83" s="2"/>
      <c r="D83" s="67"/>
      <c r="E83" s="1"/>
      <c r="F83" s="67"/>
      <c r="G83" s="67"/>
      <c r="H83" s="67"/>
      <c r="I83" s="67"/>
      <c r="J83" s="67"/>
      <c r="K83" s="2"/>
      <c r="L83" s="6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1"/>
      <c r="B84" s="1"/>
      <c r="C84" s="2"/>
      <c r="D84" s="67"/>
      <c r="E84" s="1"/>
      <c r="F84" s="67"/>
      <c r="G84" s="67"/>
      <c r="H84" s="67"/>
      <c r="I84" s="67"/>
      <c r="J84" s="67"/>
      <c r="K84" s="2"/>
      <c r="L84" s="6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1"/>
      <c r="B85" s="1"/>
      <c r="C85" s="2"/>
      <c r="D85" s="67"/>
      <c r="E85" s="1"/>
      <c r="F85" s="67"/>
      <c r="G85" s="67"/>
      <c r="H85" s="67"/>
      <c r="I85" s="67"/>
      <c r="J85" s="67"/>
      <c r="K85" s="2"/>
      <c r="L85" s="6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1"/>
      <c r="B86" s="1"/>
      <c r="C86" s="2"/>
      <c r="D86" s="67"/>
      <c r="E86" s="1"/>
      <c r="F86" s="67"/>
      <c r="G86" s="67"/>
      <c r="H86" s="67"/>
      <c r="I86" s="67"/>
      <c r="J86" s="67"/>
      <c r="K86" s="2"/>
      <c r="L86" s="6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1"/>
      <c r="B87" s="1"/>
      <c r="C87" s="2"/>
      <c r="D87" s="67"/>
      <c r="E87" s="1"/>
      <c r="F87" s="67"/>
      <c r="G87" s="67"/>
      <c r="H87" s="67"/>
      <c r="I87" s="67"/>
      <c r="J87" s="67"/>
      <c r="K87" s="2"/>
      <c r="L87" s="6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1"/>
      <c r="B88" s="1"/>
      <c r="C88" s="2"/>
      <c r="D88" s="67"/>
      <c r="E88" s="1"/>
      <c r="F88" s="67"/>
      <c r="G88" s="67"/>
      <c r="H88" s="67"/>
      <c r="I88" s="67"/>
      <c r="J88" s="67"/>
      <c r="K88" s="2"/>
      <c r="L88" s="6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1"/>
      <c r="B89" s="1"/>
      <c r="C89" s="2"/>
      <c r="D89" s="67"/>
      <c r="E89" s="1"/>
      <c r="F89" s="67"/>
      <c r="G89" s="67"/>
      <c r="H89" s="67"/>
      <c r="I89" s="67"/>
      <c r="J89" s="67"/>
      <c r="K89" s="2"/>
      <c r="L89" s="6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1"/>
      <c r="B90" s="1"/>
      <c r="C90" s="2"/>
      <c r="D90" s="67"/>
      <c r="E90" s="1"/>
      <c r="F90" s="67"/>
      <c r="G90" s="67"/>
      <c r="H90" s="67"/>
      <c r="I90" s="67"/>
      <c r="J90" s="67"/>
      <c r="K90" s="2"/>
      <c r="L90" s="6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1"/>
      <c r="B91" s="1"/>
      <c r="C91" s="2"/>
      <c r="D91" s="67"/>
      <c r="E91" s="1"/>
      <c r="F91" s="67"/>
      <c r="G91" s="67"/>
      <c r="H91" s="67"/>
      <c r="I91" s="67"/>
      <c r="J91" s="67"/>
      <c r="K91" s="2"/>
      <c r="L91" s="6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1"/>
      <c r="B92" s="1"/>
      <c r="C92" s="2"/>
      <c r="D92" s="67"/>
      <c r="E92" s="1"/>
      <c r="F92" s="67"/>
      <c r="G92" s="67"/>
      <c r="H92" s="67"/>
      <c r="I92" s="67"/>
      <c r="J92" s="67"/>
      <c r="K92" s="2"/>
      <c r="L92" s="6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1"/>
      <c r="B93" s="1"/>
      <c r="C93" s="2"/>
      <c r="D93" s="67"/>
      <c r="E93" s="1"/>
      <c r="F93" s="67"/>
      <c r="G93" s="67"/>
      <c r="H93" s="67"/>
      <c r="I93" s="67"/>
      <c r="J93" s="67"/>
      <c r="K93" s="2"/>
      <c r="L93" s="6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1"/>
      <c r="B94" s="1"/>
      <c r="C94" s="2"/>
      <c r="D94" s="67"/>
      <c r="E94" s="1"/>
      <c r="F94" s="67"/>
      <c r="G94" s="67"/>
      <c r="H94" s="67"/>
      <c r="I94" s="67"/>
      <c r="J94" s="67"/>
      <c r="K94" s="2"/>
      <c r="L94" s="6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1"/>
      <c r="B95" s="1"/>
      <c r="C95" s="2"/>
      <c r="D95" s="67"/>
      <c r="E95" s="1"/>
      <c r="F95" s="67"/>
      <c r="G95" s="67"/>
      <c r="H95" s="67"/>
      <c r="I95" s="67"/>
      <c r="J95" s="67"/>
      <c r="K95" s="2"/>
      <c r="L95" s="6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1"/>
      <c r="B96" s="1"/>
      <c r="C96" s="2"/>
      <c r="D96" s="67"/>
      <c r="E96" s="1"/>
      <c r="F96" s="67"/>
      <c r="G96" s="67"/>
      <c r="H96" s="67"/>
      <c r="I96" s="67"/>
      <c r="J96" s="67"/>
      <c r="K96" s="2"/>
      <c r="L96" s="6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1"/>
      <c r="B97" s="1"/>
      <c r="C97" s="2"/>
      <c r="D97" s="67"/>
      <c r="E97" s="1"/>
      <c r="F97" s="67"/>
      <c r="G97" s="67"/>
      <c r="H97" s="67"/>
      <c r="I97" s="67"/>
      <c r="J97" s="67"/>
      <c r="K97" s="2"/>
      <c r="L97" s="6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1"/>
      <c r="B98" s="1"/>
      <c r="C98" s="2"/>
      <c r="D98" s="67"/>
      <c r="E98" s="1"/>
      <c r="F98" s="67"/>
      <c r="G98" s="67"/>
      <c r="H98" s="67"/>
      <c r="I98" s="67"/>
      <c r="J98" s="67"/>
      <c r="K98" s="2"/>
      <c r="L98" s="6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1"/>
      <c r="B99" s="1"/>
      <c r="C99" s="2"/>
      <c r="D99" s="67"/>
      <c r="E99" s="1"/>
      <c r="F99" s="67"/>
      <c r="G99" s="67"/>
      <c r="H99" s="67"/>
      <c r="I99" s="67"/>
      <c r="J99" s="67"/>
      <c r="K99" s="2"/>
      <c r="L99" s="6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1"/>
      <c r="B100" s="1"/>
      <c r="C100" s="2"/>
      <c r="D100" s="67"/>
      <c r="E100" s="1"/>
      <c r="F100" s="67"/>
      <c r="G100" s="67"/>
      <c r="H100" s="67"/>
      <c r="I100" s="67"/>
      <c r="J100" s="67"/>
      <c r="K100" s="2"/>
      <c r="L100" s="6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1"/>
      <c r="B101" s="1"/>
      <c r="C101" s="2"/>
      <c r="D101" s="67"/>
      <c r="E101" s="1"/>
      <c r="F101" s="67"/>
      <c r="G101" s="67"/>
      <c r="H101" s="67"/>
      <c r="I101" s="67"/>
      <c r="J101" s="67"/>
      <c r="K101" s="2"/>
      <c r="L101" s="6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1"/>
      <c r="B102" s="1"/>
      <c r="C102" s="2"/>
      <c r="D102" s="67"/>
      <c r="E102" s="1"/>
      <c r="F102" s="67"/>
      <c r="G102" s="67"/>
      <c r="H102" s="67"/>
      <c r="I102" s="67"/>
      <c r="J102" s="67"/>
      <c r="K102" s="2"/>
      <c r="L102" s="6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1"/>
      <c r="B103" s="1"/>
      <c r="C103" s="2"/>
      <c r="D103" s="67"/>
      <c r="E103" s="1"/>
      <c r="F103" s="67"/>
      <c r="G103" s="67"/>
      <c r="H103" s="67"/>
      <c r="I103" s="67"/>
      <c r="J103" s="67"/>
      <c r="K103" s="2"/>
      <c r="L103" s="6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1"/>
      <c r="B104" s="1"/>
      <c r="C104" s="2"/>
      <c r="D104" s="67"/>
      <c r="E104" s="1"/>
      <c r="F104" s="67"/>
      <c r="G104" s="67"/>
      <c r="H104" s="67"/>
      <c r="I104" s="67"/>
      <c r="J104" s="67"/>
      <c r="K104" s="2"/>
      <c r="L104" s="6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1"/>
      <c r="B105" s="1"/>
      <c r="C105" s="2"/>
      <c r="D105" s="67"/>
      <c r="E105" s="1"/>
      <c r="F105" s="67"/>
      <c r="G105" s="67"/>
      <c r="H105" s="67"/>
      <c r="I105" s="67"/>
      <c r="J105" s="67"/>
      <c r="K105" s="2"/>
      <c r="L105" s="6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1"/>
      <c r="B106" s="1"/>
      <c r="C106" s="2"/>
      <c r="D106" s="67"/>
      <c r="E106" s="1"/>
      <c r="F106" s="67"/>
      <c r="G106" s="67"/>
      <c r="H106" s="67"/>
      <c r="I106" s="67"/>
      <c r="J106" s="67"/>
      <c r="K106" s="2"/>
      <c r="L106" s="6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1"/>
      <c r="B107" s="1"/>
      <c r="C107" s="2"/>
      <c r="D107" s="67"/>
      <c r="E107" s="1"/>
      <c r="F107" s="67"/>
      <c r="G107" s="67"/>
      <c r="H107" s="67"/>
      <c r="I107" s="67"/>
      <c r="J107" s="67"/>
      <c r="K107" s="2"/>
      <c r="L107" s="6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1"/>
      <c r="B108" s="1"/>
      <c r="C108" s="2"/>
      <c r="D108" s="67"/>
      <c r="E108" s="1"/>
      <c r="F108" s="67"/>
      <c r="G108" s="67"/>
      <c r="H108" s="67"/>
      <c r="I108" s="67"/>
      <c r="J108" s="67"/>
      <c r="K108" s="2"/>
      <c r="L108" s="6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1"/>
      <c r="B109" s="1"/>
      <c r="C109" s="2"/>
      <c r="D109" s="67"/>
      <c r="E109" s="1"/>
      <c r="F109" s="67"/>
      <c r="G109" s="67"/>
      <c r="H109" s="67"/>
      <c r="I109" s="67"/>
      <c r="J109" s="67"/>
      <c r="K109" s="2"/>
      <c r="L109" s="6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1"/>
      <c r="B110" s="1"/>
      <c r="C110" s="2"/>
      <c r="D110" s="67"/>
      <c r="E110" s="1"/>
      <c r="F110" s="67"/>
      <c r="G110" s="67"/>
      <c r="H110" s="67"/>
      <c r="I110" s="67"/>
      <c r="J110" s="67"/>
      <c r="K110" s="2"/>
      <c r="L110" s="6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1"/>
      <c r="B111" s="1"/>
      <c r="C111" s="2"/>
      <c r="D111" s="67"/>
      <c r="E111" s="1"/>
      <c r="F111" s="67"/>
      <c r="G111" s="67"/>
      <c r="H111" s="67"/>
      <c r="I111" s="67"/>
      <c r="J111" s="67"/>
      <c r="K111" s="2"/>
      <c r="L111" s="6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1"/>
      <c r="B112" s="1"/>
      <c r="C112" s="2"/>
      <c r="D112" s="67"/>
      <c r="E112" s="1"/>
      <c r="F112" s="67"/>
      <c r="G112" s="67"/>
      <c r="H112" s="67"/>
      <c r="I112" s="67"/>
      <c r="J112" s="67"/>
      <c r="K112" s="2"/>
      <c r="L112" s="6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1"/>
      <c r="B113" s="1"/>
      <c r="C113" s="2"/>
      <c r="D113" s="67"/>
      <c r="E113" s="1"/>
      <c r="F113" s="67"/>
      <c r="G113" s="67"/>
      <c r="H113" s="67"/>
      <c r="I113" s="67"/>
      <c r="J113" s="67"/>
      <c r="K113" s="2"/>
      <c r="L113" s="6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1"/>
      <c r="B114" s="1"/>
      <c r="C114" s="2"/>
      <c r="D114" s="67"/>
      <c r="E114" s="1"/>
      <c r="F114" s="67"/>
      <c r="G114" s="67"/>
      <c r="H114" s="67"/>
      <c r="I114" s="67"/>
      <c r="J114" s="67"/>
      <c r="K114" s="2"/>
      <c r="L114" s="6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1"/>
      <c r="B115" s="1"/>
      <c r="C115" s="2"/>
      <c r="D115" s="67"/>
      <c r="E115" s="1"/>
      <c r="F115" s="67"/>
      <c r="G115" s="67"/>
      <c r="H115" s="67"/>
      <c r="I115" s="67"/>
      <c r="J115" s="67"/>
      <c r="K115" s="2"/>
      <c r="L115" s="6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1"/>
      <c r="B116" s="1"/>
      <c r="C116" s="2"/>
      <c r="D116" s="67"/>
      <c r="E116" s="1"/>
      <c r="F116" s="67"/>
      <c r="G116" s="67"/>
      <c r="H116" s="67"/>
      <c r="I116" s="67"/>
      <c r="J116" s="67"/>
      <c r="K116" s="2"/>
      <c r="L116" s="6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1"/>
      <c r="B117" s="1"/>
      <c r="C117" s="2"/>
      <c r="D117" s="67"/>
      <c r="E117" s="1"/>
      <c r="F117" s="67"/>
      <c r="G117" s="67"/>
      <c r="H117" s="67"/>
      <c r="I117" s="67"/>
      <c r="J117" s="67"/>
      <c r="K117" s="2"/>
      <c r="L117" s="6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1"/>
      <c r="B118" s="1"/>
      <c r="C118" s="2"/>
      <c r="D118" s="67"/>
      <c r="E118" s="1"/>
      <c r="F118" s="67"/>
      <c r="G118" s="67"/>
      <c r="H118" s="67"/>
      <c r="I118" s="67"/>
      <c r="J118" s="67"/>
      <c r="K118" s="2"/>
      <c r="L118" s="6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1"/>
      <c r="B119" s="1"/>
      <c r="C119" s="2"/>
      <c r="D119" s="67"/>
      <c r="E119" s="1"/>
      <c r="F119" s="67"/>
      <c r="G119" s="67"/>
      <c r="H119" s="67"/>
      <c r="I119" s="67"/>
      <c r="J119" s="67"/>
      <c r="K119" s="2"/>
      <c r="L119" s="6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1"/>
      <c r="B120" s="1"/>
      <c r="C120" s="2"/>
      <c r="D120" s="67"/>
      <c r="E120" s="1"/>
      <c r="F120" s="67"/>
      <c r="G120" s="67"/>
      <c r="H120" s="67"/>
      <c r="I120" s="67"/>
      <c r="J120" s="67"/>
      <c r="K120" s="2"/>
      <c r="L120" s="6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1"/>
      <c r="B121" s="1"/>
      <c r="C121" s="2"/>
      <c r="D121" s="67"/>
      <c r="E121" s="1"/>
      <c r="F121" s="67"/>
      <c r="G121" s="67"/>
      <c r="H121" s="67"/>
      <c r="I121" s="67"/>
      <c r="J121" s="67"/>
      <c r="K121" s="2"/>
      <c r="L121" s="6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1"/>
      <c r="B122" s="1"/>
      <c r="C122" s="2"/>
      <c r="D122" s="67"/>
      <c r="E122" s="1"/>
      <c r="F122" s="67"/>
      <c r="G122" s="67"/>
      <c r="H122" s="67"/>
      <c r="I122" s="67"/>
      <c r="J122" s="67"/>
      <c r="K122" s="2"/>
      <c r="L122" s="6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1"/>
      <c r="B123" s="1"/>
      <c r="C123" s="2"/>
      <c r="D123" s="67"/>
      <c r="E123" s="1"/>
      <c r="F123" s="67"/>
      <c r="G123" s="67"/>
      <c r="H123" s="67"/>
      <c r="I123" s="67"/>
      <c r="J123" s="67"/>
      <c r="K123" s="2"/>
      <c r="L123" s="6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1"/>
      <c r="B124" s="1"/>
      <c r="C124" s="2"/>
      <c r="D124" s="67"/>
      <c r="E124" s="1"/>
      <c r="F124" s="67"/>
      <c r="G124" s="67"/>
      <c r="H124" s="67"/>
      <c r="I124" s="67"/>
      <c r="J124" s="67"/>
      <c r="K124" s="2"/>
      <c r="L124" s="6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1"/>
      <c r="B125" s="1"/>
      <c r="C125" s="2"/>
      <c r="D125" s="67"/>
      <c r="E125" s="1"/>
      <c r="F125" s="67"/>
      <c r="G125" s="67"/>
      <c r="H125" s="67"/>
      <c r="I125" s="67"/>
      <c r="J125" s="67"/>
      <c r="K125" s="2"/>
      <c r="L125" s="6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1"/>
      <c r="B126" s="1"/>
      <c r="C126" s="2"/>
      <c r="D126" s="67"/>
      <c r="E126" s="1"/>
      <c r="F126" s="67"/>
      <c r="G126" s="67"/>
      <c r="H126" s="67"/>
      <c r="I126" s="67"/>
      <c r="J126" s="67"/>
      <c r="K126" s="2"/>
      <c r="L126" s="6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1"/>
      <c r="B127" s="1"/>
      <c r="C127" s="2"/>
      <c r="D127" s="67"/>
      <c r="E127" s="1"/>
      <c r="F127" s="67"/>
      <c r="G127" s="67"/>
      <c r="H127" s="67"/>
      <c r="I127" s="67"/>
      <c r="J127" s="67"/>
      <c r="K127" s="2"/>
      <c r="L127" s="6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1"/>
      <c r="B128" s="1"/>
      <c r="C128" s="2"/>
      <c r="D128" s="67"/>
      <c r="E128" s="1"/>
      <c r="F128" s="67"/>
      <c r="G128" s="67"/>
      <c r="H128" s="67"/>
      <c r="I128" s="67"/>
      <c r="J128" s="67"/>
      <c r="K128" s="2"/>
      <c r="L128" s="6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1"/>
      <c r="B129" s="1"/>
      <c r="C129" s="2"/>
      <c r="D129" s="67"/>
      <c r="E129" s="1"/>
      <c r="F129" s="67"/>
      <c r="G129" s="67"/>
      <c r="H129" s="67"/>
      <c r="I129" s="67"/>
      <c r="J129" s="67"/>
      <c r="K129" s="2"/>
      <c r="L129" s="6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1"/>
      <c r="B130" s="1"/>
      <c r="C130" s="2"/>
      <c r="D130" s="67"/>
      <c r="E130" s="1"/>
      <c r="F130" s="67"/>
      <c r="G130" s="67"/>
      <c r="H130" s="67"/>
      <c r="I130" s="67"/>
      <c r="J130" s="67"/>
      <c r="K130" s="2"/>
      <c r="L130" s="6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1"/>
      <c r="B131" s="1"/>
      <c r="C131" s="2"/>
      <c r="D131" s="67"/>
      <c r="E131" s="1"/>
      <c r="F131" s="67"/>
      <c r="G131" s="67"/>
      <c r="H131" s="67"/>
      <c r="I131" s="67"/>
      <c r="J131" s="67"/>
      <c r="K131" s="2"/>
      <c r="L131" s="6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1"/>
      <c r="B132" s="1"/>
      <c r="C132" s="2"/>
      <c r="D132" s="67"/>
      <c r="E132" s="1"/>
      <c r="F132" s="67"/>
      <c r="G132" s="67"/>
      <c r="H132" s="67"/>
      <c r="I132" s="67"/>
      <c r="J132" s="67"/>
      <c r="K132" s="2"/>
      <c r="L132" s="6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1"/>
      <c r="B133" s="1"/>
      <c r="C133" s="2"/>
      <c r="D133" s="67"/>
      <c r="E133" s="1"/>
      <c r="F133" s="67"/>
      <c r="G133" s="67"/>
      <c r="H133" s="67"/>
      <c r="I133" s="67"/>
      <c r="J133" s="67"/>
      <c r="K133" s="2"/>
      <c r="L133" s="6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1"/>
      <c r="B134" s="1"/>
      <c r="C134" s="2"/>
      <c r="D134" s="67"/>
      <c r="E134" s="1"/>
      <c r="F134" s="67"/>
      <c r="G134" s="67"/>
      <c r="H134" s="67"/>
      <c r="I134" s="67"/>
      <c r="J134" s="67"/>
      <c r="K134" s="2"/>
      <c r="L134" s="6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1"/>
      <c r="B135" s="1"/>
      <c r="C135" s="2"/>
      <c r="D135" s="67"/>
      <c r="E135" s="1"/>
      <c r="F135" s="67"/>
      <c r="G135" s="67"/>
      <c r="H135" s="67"/>
      <c r="I135" s="67"/>
      <c r="J135" s="67"/>
      <c r="K135" s="2"/>
      <c r="L135" s="6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1"/>
      <c r="B136" s="1"/>
      <c r="C136" s="2"/>
      <c r="D136" s="67"/>
      <c r="E136" s="1"/>
      <c r="F136" s="67"/>
      <c r="G136" s="67"/>
      <c r="H136" s="67"/>
      <c r="I136" s="67"/>
      <c r="J136" s="67"/>
      <c r="K136" s="2"/>
      <c r="L136" s="6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1"/>
      <c r="B137" s="1"/>
      <c r="C137" s="2"/>
      <c r="D137" s="67"/>
      <c r="E137" s="1"/>
      <c r="F137" s="67"/>
      <c r="G137" s="67"/>
      <c r="H137" s="67"/>
      <c r="I137" s="67"/>
      <c r="J137" s="67"/>
      <c r="K137" s="2"/>
      <c r="L137" s="6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1"/>
      <c r="B138" s="1"/>
      <c r="C138" s="2"/>
      <c r="D138" s="67"/>
      <c r="E138" s="1"/>
      <c r="F138" s="67"/>
      <c r="G138" s="67"/>
      <c r="H138" s="67"/>
      <c r="I138" s="67"/>
      <c r="J138" s="67"/>
      <c r="K138" s="2"/>
      <c r="L138" s="6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1"/>
      <c r="B139" s="1"/>
      <c r="C139" s="2"/>
      <c r="D139" s="67"/>
      <c r="E139" s="1"/>
      <c r="F139" s="67"/>
      <c r="G139" s="67"/>
      <c r="H139" s="67"/>
      <c r="I139" s="67"/>
      <c r="J139" s="67"/>
      <c r="K139" s="2"/>
      <c r="L139" s="6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1"/>
      <c r="B140" s="1"/>
      <c r="C140" s="2"/>
      <c r="D140" s="67"/>
      <c r="E140" s="1"/>
      <c r="F140" s="67"/>
      <c r="G140" s="67"/>
      <c r="H140" s="67"/>
      <c r="I140" s="67"/>
      <c r="J140" s="67"/>
      <c r="K140" s="2"/>
      <c r="L140" s="6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1"/>
      <c r="B141" s="1"/>
      <c r="C141" s="2"/>
      <c r="D141" s="67"/>
      <c r="E141" s="1"/>
      <c r="F141" s="67"/>
      <c r="G141" s="67"/>
      <c r="H141" s="67"/>
      <c r="I141" s="67"/>
      <c r="J141" s="67"/>
      <c r="K141" s="2"/>
      <c r="L141" s="6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1"/>
      <c r="B142" s="1"/>
      <c r="C142" s="2"/>
      <c r="D142" s="67"/>
      <c r="E142" s="1"/>
      <c r="F142" s="67"/>
      <c r="G142" s="67"/>
      <c r="H142" s="67"/>
      <c r="I142" s="67"/>
      <c r="J142" s="67"/>
      <c r="K142" s="2"/>
      <c r="L142" s="6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1"/>
      <c r="B143" s="1"/>
      <c r="C143" s="2"/>
      <c r="D143" s="67"/>
      <c r="E143" s="1"/>
      <c r="F143" s="67"/>
      <c r="G143" s="67"/>
      <c r="H143" s="67"/>
      <c r="I143" s="67"/>
      <c r="J143" s="67"/>
      <c r="K143" s="2"/>
      <c r="L143" s="6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1"/>
      <c r="B144" s="1"/>
      <c r="C144" s="2"/>
      <c r="D144" s="67"/>
      <c r="E144" s="1"/>
      <c r="F144" s="67"/>
      <c r="G144" s="67"/>
      <c r="H144" s="67"/>
      <c r="I144" s="67"/>
      <c r="J144" s="67"/>
      <c r="K144" s="2"/>
      <c r="L144" s="6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1"/>
      <c r="B145" s="1"/>
      <c r="C145" s="2"/>
      <c r="D145" s="67"/>
      <c r="E145" s="1"/>
      <c r="F145" s="67"/>
      <c r="G145" s="67"/>
      <c r="H145" s="67"/>
      <c r="I145" s="67"/>
      <c r="J145" s="67"/>
      <c r="K145" s="2"/>
      <c r="L145" s="6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1"/>
      <c r="B146" s="1"/>
      <c r="C146" s="2"/>
      <c r="D146" s="67"/>
      <c r="E146" s="1"/>
      <c r="F146" s="67"/>
      <c r="G146" s="67"/>
      <c r="H146" s="67"/>
      <c r="I146" s="67"/>
      <c r="J146" s="67"/>
      <c r="K146" s="2"/>
      <c r="L146" s="6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1"/>
      <c r="B147" s="1"/>
      <c r="C147" s="2"/>
      <c r="D147" s="67"/>
      <c r="E147" s="1"/>
      <c r="F147" s="67"/>
      <c r="G147" s="67"/>
      <c r="H147" s="67"/>
      <c r="I147" s="67"/>
      <c r="J147" s="67"/>
      <c r="K147" s="2"/>
      <c r="L147" s="6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1"/>
      <c r="B148" s="1"/>
      <c r="C148" s="2"/>
      <c r="D148" s="67"/>
      <c r="E148" s="1"/>
      <c r="F148" s="67"/>
      <c r="G148" s="67"/>
      <c r="H148" s="67"/>
      <c r="I148" s="67"/>
      <c r="J148" s="67"/>
      <c r="K148" s="2"/>
      <c r="L148" s="6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1"/>
      <c r="B149" s="1"/>
      <c r="C149" s="2"/>
      <c r="D149" s="67"/>
      <c r="E149" s="1"/>
      <c r="F149" s="67"/>
      <c r="G149" s="67"/>
      <c r="H149" s="67"/>
      <c r="I149" s="67"/>
      <c r="J149" s="67"/>
      <c r="K149" s="2"/>
      <c r="L149" s="6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1"/>
      <c r="B150" s="1"/>
      <c r="C150" s="2"/>
      <c r="D150" s="67"/>
      <c r="E150" s="1"/>
      <c r="F150" s="67"/>
      <c r="G150" s="67"/>
      <c r="H150" s="67"/>
      <c r="I150" s="67"/>
      <c r="J150" s="67"/>
      <c r="K150" s="2"/>
      <c r="L150" s="6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1"/>
      <c r="B151" s="1"/>
      <c r="C151" s="2"/>
      <c r="D151" s="67"/>
      <c r="E151" s="1"/>
      <c r="F151" s="67"/>
      <c r="G151" s="67"/>
      <c r="H151" s="67"/>
      <c r="I151" s="67"/>
      <c r="J151" s="67"/>
      <c r="K151" s="2"/>
      <c r="L151" s="6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1"/>
      <c r="B152" s="1"/>
      <c r="C152" s="2"/>
      <c r="D152" s="67"/>
      <c r="E152" s="1"/>
      <c r="F152" s="67"/>
      <c r="G152" s="67"/>
      <c r="H152" s="67"/>
      <c r="I152" s="67"/>
      <c r="J152" s="67"/>
      <c r="K152" s="2"/>
      <c r="L152" s="6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1"/>
      <c r="B153" s="1"/>
      <c r="C153" s="2"/>
      <c r="D153" s="67"/>
      <c r="E153" s="1"/>
      <c r="F153" s="67"/>
      <c r="G153" s="67"/>
      <c r="H153" s="67"/>
      <c r="I153" s="67"/>
      <c r="J153" s="67"/>
      <c r="K153" s="2"/>
      <c r="L153" s="6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1"/>
      <c r="B154" s="1"/>
      <c r="C154" s="2"/>
      <c r="D154" s="67"/>
      <c r="E154" s="1"/>
      <c r="F154" s="67"/>
      <c r="G154" s="67"/>
      <c r="H154" s="67"/>
      <c r="I154" s="67"/>
      <c r="J154" s="67"/>
      <c r="K154" s="2"/>
      <c r="L154" s="6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1"/>
      <c r="B155" s="1"/>
      <c r="C155" s="2"/>
      <c r="D155" s="67"/>
      <c r="E155" s="1"/>
      <c r="F155" s="67"/>
      <c r="G155" s="67"/>
      <c r="H155" s="67"/>
      <c r="I155" s="67"/>
      <c r="J155" s="67"/>
      <c r="K155" s="2"/>
      <c r="L155" s="6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1"/>
      <c r="B156" s="1"/>
      <c r="C156" s="2"/>
      <c r="D156" s="67"/>
      <c r="E156" s="1"/>
      <c r="F156" s="67"/>
      <c r="G156" s="67"/>
      <c r="H156" s="67"/>
      <c r="I156" s="67"/>
      <c r="J156" s="67"/>
      <c r="K156" s="2"/>
      <c r="L156" s="6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1"/>
      <c r="B157" s="1"/>
      <c r="C157" s="2"/>
      <c r="D157" s="67"/>
      <c r="E157" s="1"/>
      <c r="F157" s="67"/>
      <c r="G157" s="67"/>
      <c r="H157" s="67"/>
      <c r="I157" s="67"/>
      <c r="J157" s="67"/>
      <c r="K157" s="2"/>
      <c r="L157" s="6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1"/>
      <c r="B158" s="1"/>
      <c r="C158" s="2"/>
      <c r="D158" s="67"/>
      <c r="E158" s="1"/>
      <c r="F158" s="67"/>
      <c r="G158" s="67"/>
      <c r="H158" s="67"/>
      <c r="I158" s="67"/>
      <c r="J158" s="67"/>
      <c r="K158" s="2"/>
      <c r="L158" s="6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1"/>
      <c r="B159" s="1"/>
      <c r="C159" s="2"/>
      <c r="D159" s="67"/>
      <c r="E159" s="1"/>
      <c r="F159" s="67"/>
      <c r="G159" s="67"/>
      <c r="H159" s="67"/>
      <c r="I159" s="67"/>
      <c r="J159" s="67"/>
      <c r="K159" s="2"/>
      <c r="L159" s="6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1"/>
      <c r="B160" s="1"/>
      <c r="C160" s="2"/>
      <c r="D160" s="67"/>
      <c r="E160" s="1"/>
      <c r="F160" s="67"/>
      <c r="G160" s="67"/>
      <c r="H160" s="67"/>
      <c r="I160" s="67"/>
      <c r="J160" s="67"/>
      <c r="K160" s="2"/>
      <c r="L160" s="6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1"/>
      <c r="B161" s="1"/>
      <c r="C161" s="2"/>
      <c r="D161" s="67"/>
      <c r="E161" s="1"/>
      <c r="F161" s="67"/>
      <c r="G161" s="67"/>
      <c r="H161" s="67"/>
      <c r="I161" s="67"/>
      <c r="J161" s="67"/>
      <c r="K161" s="2"/>
      <c r="L161" s="6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1"/>
      <c r="B162" s="1"/>
      <c r="C162" s="2"/>
      <c r="D162" s="67"/>
      <c r="E162" s="1"/>
      <c r="F162" s="67"/>
      <c r="G162" s="67"/>
      <c r="H162" s="67"/>
      <c r="I162" s="67"/>
      <c r="J162" s="67"/>
      <c r="K162" s="2"/>
      <c r="L162" s="6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1"/>
      <c r="B163" s="1"/>
      <c r="C163" s="2"/>
      <c r="D163" s="67"/>
      <c r="E163" s="1"/>
      <c r="F163" s="67"/>
      <c r="G163" s="67"/>
      <c r="H163" s="67"/>
      <c r="I163" s="67"/>
      <c r="J163" s="67"/>
      <c r="K163" s="2"/>
      <c r="L163" s="6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1"/>
      <c r="B164" s="1"/>
      <c r="C164" s="2"/>
      <c r="D164" s="67"/>
      <c r="E164" s="1"/>
      <c r="F164" s="67"/>
      <c r="G164" s="67"/>
      <c r="H164" s="67"/>
      <c r="I164" s="67"/>
      <c r="J164" s="67"/>
      <c r="K164" s="2"/>
      <c r="L164" s="6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1"/>
      <c r="B165" s="1"/>
      <c r="C165" s="2"/>
      <c r="D165" s="67"/>
      <c r="E165" s="1"/>
      <c r="F165" s="67"/>
      <c r="G165" s="67"/>
      <c r="H165" s="67"/>
      <c r="I165" s="67"/>
      <c r="J165" s="67"/>
      <c r="K165" s="2"/>
      <c r="L165" s="6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1"/>
      <c r="B166" s="1"/>
      <c r="C166" s="2"/>
      <c r="D166" s="67"/>
      <c r="E166" s="1"/>
      <c r="F166" s="67"/>
      <c r="G166" s="67"/>
      <c r="H166" s="67"/>
      <c r="I166" s="67"/>
      <c r="J166" s="67"/>
      <c r="K166" s="2"/>
      <c r="L166" s="6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1"/>
      <c r="B167" s="1"/>
      <c r="C167" s="2"/>
      <c r="D167" s="67"/>
      <c r="E167" s="1"/>
      <c r="F167" s="67"/>
      <c r="G167" s="67"/>
      <c r="H167" s="67"/>
      <c r="I167" s="67"/>
      <c r="J167" s="67"/>
      <c r="K167" s="2"/>
      <c r="L167" s="6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1"/>
      <c r="B168" s="1"/>
      <c r="C168" s="2"/>
      <c r="D168" s="67"/>
      <c r="E168" s="1"/>
      <c r="F168" s="67"/>
      <c r="G168" s="67"/>
      <c r="H168" s="67"/>
      <c r="I168" s="67"/>
      <c r="J168" s="67"/>
      <c r="K168" s="2"/>
      <c r="L168" s="6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1"/>
      <c r="B169" s="1"/>
      <c r="C169" s="2"/>
      <c r="D169" s="67"/>
      <c r="E169" s="1"/>
      <c r="F169" s="67"/>
      <c r="G169" s="67"/>
      <c r="H169" s="67"/>
      <c r="I169" s="67"/>
      <c r="J169" s="67"/>
      <c r="K169" s="2"/>
      <c r="L169" s="6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1"/>
      <c r="B170" s="1"/>
      <c r="C170" s="2"/>
      <c r="D170" s="67"/>
      <c r="E170" s="1"/>
      <c r="F170" s="67"/>
      <c r="G170" s="67"/>
      <c r="H170" s="67"/>
      <c r="I170" s="67"/>
      <c r="J170" s="67"/>
      <c r="K170" s="2"/>
      <c r="L170" s="6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1"/>
      <c r="B171" s="1"/>
      <c r="C171" s="2"/>
      <c r="D171" s="67"/>
      <c r="E171" s="1"/>
      <c r="F171" s="67"/>
      <c r="G171" s="67"/>
      <c r="H171" s="67"/>
      <c r="I171" s="67"/>
      <c r="J171" s="67"/>
      <c r="K171" s="2"/>
      <c r="L171" s="6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1"/>
      <c r="B172" s="1"/>
      <c r="C172" s="2"/>
      <c r="D172" s="67"/>
      <c r="E172" s="1"/>
      <c r="F172" s="67"/>
      <c r="G172" s="67"/>
      <c r="H172" s="67"/>
      <c r="I172" s="67"/>
      <c r="J172" s="67"/>
      <c r="K172" s="2"/>
      <c r="L172" s="6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1"/>
      <c r="B173" s="1"/>
      <c r="C173" s="2"/>
      <c r="D173" s="67"/>
      <c r="E173" s="1"/>
      <c r="F173" s="67"/>
      <c r="G173" s="67"/>
      <c r="H173" s="67"/>
      <c r="I173" s="67"/>
      <c r="J173" s="67"/>
      <c r="K173" s="2"/>
      <c r="L173" s="6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1"/>
      <c r="B174" s="1"/>
      <c r="C174" s="2"/>
      <c r="D174" s="67"/>
      <c r="E174" s="1"/>
      <c r="F174" s="67"/>
      <c r="G174" s="67"/>
      <c r="H174" s="67"/>
      <c r="I174" s="67"/>
      <c r="J174" s="67"/>
      <c r="K174" s="2"/>
      <c r="L174" s="6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1"/>
      <c r="B175" s="1"/>
      <c r="C175" s="2"/>
      <c r="D175" s="67"/>
      <c r="E175" s="1"/>
      <c r="F175" s="67"/>
      <c r="G175" s="67"/>
      <c r="H175" s="67"/>
      <c r="I175" s="67"/>
      <c r="J175" s="67"/>
      <c r="K175" s="2"/>
      <c r="L175" s="6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1"/>
      <c r="B176" s="1"/>
      <c r="C176" s="2"/>
      <c r="D176" s="67"/>
      <c r="E176" s="1"/>
      <c r="F176" s="67"/>
      <c r="G176" s="67"/>
      <c r="H176" s="67"/>
      <c r="I176" s="67"/>
      <c r="J176" s="67"/>
      <c r="K176" s="2"/>
      <c r="L176" s="6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1"/>
      <c r="B177" s="1"/>
      <c r="C177" s="2"/>
      <c r="D177" s="67"/>
      <c r="E177" s="1"/>
      <c r="F177" s="67"/>
      <c r="G177" s="67"/>
      <c r="H177" s="67"/>
      <c r="I177" s="67"/>
      <c r="J177" s="67"/>
      <c r="K177" s="2"/>
      <c r="L177" s="6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1"/>
      <c r="B178" s="1"/>
      <c r="C178" s="2"/>
      <c r="D178" s="67"/>
      <c r="E178" s="1"/>
      <c r="F178" s="67"/>
      <c r="G178" s="67"/>
      <c r="H178" s="67"/>
      <c r="I178" s="67"/>
      <c r="J178" s="67"/>
      <c r="K178" s="2"/>
      <c r="L178" s="6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1"/>
      <c r="B179" s="1"/>
      <c r="C179" s="2"/>
      <c r="D179" s="67"/>
      <c r="E179" s="1"/>
      <c r="F179" s="67"/>
      <c r="G179" s="67"/>
      <c r="H179" s="67"/>
      <c r="I179" s="67"/>
      <c r="J179" s="67"/>
      <c r="K179" s="2"/>
      <c r="L179" s="6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1"/>
      <c r="B180" s="1"/>
      <c r="C180" s="2"/>
      <c r="D180" s="67"/>
      <c r="E180" s="1"/>
      <c r="F180" s="67"/>
      <c r="G180" s="67"/>
      <c r="H180" s="67"/>
      <c r="I180" s="67"/>
      <c r="J180" s="67"/>
      <c r="K180" s="2"/>
      <c r="L180" s="6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1"/>
      <c r="B181" s="1"/>
      <c r="C181" s="2"/>
      <c r="D181" s="67"/>
      <c r="E181" s="1"/>
      <c r="F181" s="67"/>
      <c r="G181" s="67"/>
      <c r="H181" s="67"/>
      <c r="I181" s="67"/>
      <c r="J181" s="67"/>
      <c r="K181" s="2"/>
      <c r="L181" s="6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1"/>
      <c r="B182" s="1"/>
      <c r="C182" s="2"/>
      <c r="D182" s="67"/>
      <c r="E182" s="1"/>
      <c r="F182" s="67"/>
      <c r="G182" s="67"/>
      <c r="H182" s="67"/>
      <c r="I182" s="67"/>
      <c r="J182" s="67"/>
      <c r="K182" s="2"/>
      <c r="L182" s="6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1"/>
      <c r="B183" s="1"/>
      <c r="C183" s="2"/>
      <c r="D183" s="67"/>
      <c r="E183" s="1"/>
      <c r="F183" s="67"/>
      <c r="G183" s="67"/>
      <c r="H183" s="67"/>
      <c r="I183" s="67"/>
      <c r="J183" s="67"/>
      <c r="K183" s="2"/>
      <c r="L183" s="6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1"/>
      <c r="B184" s="1"/>
      <c r="C184" s="2"/>
      <c r="D184" s="67"/>
      <c r="E184" s="1"/>
      <c r="F184" s="67"/>
      <c r="G184" s="67"/>
      <c r="H184" s="67"/>
      <c r="I184" s="67"/>
      <c r="J184" s="67"/>
      <c r="K184" s="2"/>
      <c r="L184" s="6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1"/>
      <c r="B185" s="1"/>
      <c r="C185" s="2"/>
      <c r="D185" s="67"/>
      <c r="E185" s="1"/>
      <c r="F185" s="67"/>
      <c r="G185" s="67"/>
      <c r="H185" s="67"/>
      <c r="I185" s="67"/>
      <c r="J185" s="67"/>
      <c r="K185" s="2"/>
      <c r="L185" s="6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1"/>
      <c r="B186" s="1"/>
      <c r="C186" s="2"/>
      <c r="D186" s="67"/>
      <c r="E186" s="1"/>
      <c r="F186" s="67"/>
      <c r="G186" s="67"/>
      <c r="H186" s="67"/>
      <c r="I186" s="67"/>
      <c r="J186" s="67"/>
      <c r="K186" s="2"/>
      <c r="L186" s="6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1"/>
      <c r="B187" s="1"/>
      <c r="C187" s="2"/>
      <c r="D187" s="67"/>
      <c r="E187" s="1"/>
      <c r="F187" s="67"/>
      <c r="G187" s="67"/>
      <c r="H187" s="67"/>
      <c r="I187" s="67"/>
      <c r="J187" s="67"/>
      <c r="K187" s="2"/>
      <c r="L187" s="6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1"/>
      <c r="B188" s="1"/>
      <c r="C188" s="2"/>
      <c r="D188" s="67"/>
      <c r="E188" s="1"/>
      <c r="F188" s="67"/>
      <c r="G188" s="67"/>
      <c r="H188" s="67"/>
      <c r="I188" s="67"/>
      <c r="J188" s="67"/>
      <c r="K188" s="2"/>
      <c r="L188" s="6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1"/>
      <c r="B189" s="1"/>
      <c r="C189" s="2"/>
      <c r="D189" s="67"/>
      <c r="E189" s="1"/>
      <c r="F189" s="67"/>
      <c r="G189" s="67"/>
      <c r="H189" s="67"/>
      <c r="I189" s="67"/>
      <c r="J189" s="67"/>
      <c r="K189" s="2"/>
      <c r="L189" s="6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1"/>
      <c r="B190" s="1"/>
      <c r="C190" s="2"/>
      <c r="D190" s="67"/>
      <c r="E190" s="1"/>
      <c r="F190" s="67"/>
      <c r="G190" s="67"/>
      <c r="H190" s="67"/>
      <c r="I190" s="67"/>
      <c r="J190" s="67"/>
      <c r="K190" s="2"/>
      <c r="L190" s="6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1"/>
      <c r="B191" s="1"/>
      <c r="C191" s="2"/>
      <c r="D191" s="67"/>
      <c r="E191" s="1"/>
      <c r="F191" s="67"/>
      <c r="G191" s="67"/>
      <c r="H191" s="67"/>
      <c r="I191" s="67"/>
      <c r="J191" s="67"/>
      <c r="K191" s="2"/>
      <c r="L191" s="6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1"/>
      <c r="B192" s="1"/>
      <c r="C192" s="2"/>
      <c r="D192" s="67"/>
      <c r="E192" s="1"/>
      <c r="F192" s="67"/>
      <c r="G192" s="67"/>
      <c r="H192" s="67"/>
      <c r="I192" s="67"/>
      <c r="J192" s="67"/>
      <c r="K192" s="2"/>
      <c r="L192" s="6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1"/>
      <c r="B193" s="1"/>
      <c r="C193" s="2"/>
      <c r="D193" s="67"/>
      <c r="E193" s="1"/>
      <c r="F193" s="67"/>
      <c r="G193" s="67"/>
      <c r="H193" s="67"/>
      <c r="I193" s="67"/>
      <c r="J193" s="67"/>
      <c r="K193" s="2"/>
      <c r="L193" s="6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1"/>
      <c r="B194" s="1"/>
      <c r="C194" s="2"/>
      <c r="D194" s="67"/>
      <c r="E194" s="1"/>
      <c r="F194" s="67"/>
      <c r="G194" s="67"/>
      <c r="H194" s="67"/>
      <c r="I194" s="67"/>
      <c r="J194" s="67"/>
      <c r="K194" s="2"/>
      <c r="L194" s="6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1"/>
      <c r="B195" s="1"/>
      <c r="C195" s="2"/>
      <c r="D195" s="67"/>
      <c r="E195" s="1"/>
      <c r="F195" s="67"/>
      <c r="G195" s="67"/>
      <c r="H195" s="67"/>
      <c r="I195" s="67"/>
      <c r="J195" s="67"/>
      <c r="K195" s="2"/>
      <c r="L195" s="6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1"/>
      <c r="B196" s="1"/>
      <c r="C196" s="2"/>
      <c r="D196" s="67"/>
      <c r="E196" s="1"/>
      <c r="F196" s="67"/>
      <c r="G196" s="67"/>
      <c r="H196" s="67"/>
      <c r="I196" s="67"/>
      <c r="J196" s="67"/>
      <c r="K196" s="2"/>
      <c r="L196" s="6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1"/>
      <c r="B197" s="1"/>
      <c r="C197" s="2"/>
      <c r="D197" s="67"/>
      <c r="E197" s="1"/>
      <c r="F197" s="67"/>
      <c r="G197" s="67"/>
      <c r="H197" s="67"/>
      <c r="I197" s="67"/>
      <c r="J197" s="67"/>
      <c r="K197" s="2"/>
      <c r="L197" s="6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1"/>
      <c r="B198" s="1"/>
      <c r="C198" s="2"/>
      <c r="D198" s="67"/>
      <c r="E198" s="1"/>
      <c r="F198" s="67"/>
      <c r="G198" s="67"/>
      <c r="H198" s="67"/>
      <c r="I198" s="67"/>
      <c r="J198" s="67"/>
      <c r="K198" s="2"/>
      <c r="L198" s="6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1"/>
      <c r="B199" s="1"/>
      <c r="C199" s="2"/>
      <c r="D199" s="67"/>
      <c r="E199" s="1"/>
      <c r="F199" s="67"/>
      <c r="G199" s="67"/>
      <c r="H199" s="67"/>
      <c r="I199" s="67"/>
      <c r="J199" s="67"/>
      <c r="K199" s="2"/>
      <c r="L199" s="6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1"/>
      <c r="B200" s="1"/>
      <c r="C200" s="2"/>
      <c r="D200" s="67"/>
      <c r="E200" s="1"/>
      <c r="F200" s="67"/>
      <c r="G200" s="67"/>
      <c r="H200" s="67"/>
      <c r="I200" s="67"/>
      <c r="J200" s="67"/>
      <c r="K200" s="2"/>
      <c r="L200" s="6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1"/>
      <c r="B201" s="1"/>
      <c r="C201" s="2"/>
      <c r="D201" s="67"/>
      <c r="E201" s="1"/>
      <c r="F201" s="67"/>
      <c r="G201" s="67"/>
      <c r="H201" s="67"/>
      <c r="I201" s="67"/>
      <c r="J201" s="67"/>
      <c r="K201" s="2"/>
      <c r="L201" s="6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1"/>
      <c r="B202" s="1"/>
      <c r="C202" s="2"/>
      <c r="D202" s="67"/>
      <c r="E202" s="1"/>
      <c r="F202" s="67"/>
      <c r="G202" s="67"/>
      <c r="H202" s="67"/>
      <c r="I202" s="67"/>
      <c r="J202" s="67"/>
      <c r="K202" s="2"/>
      <c r="L202" s="6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1"/>
      <c r="B203" s="1"/>
      <c r="C203" s="2"/>
      <c r="D203" s="67"/>
      <c r="E203" s="1"/>
      <c r="F203" s="67"/>
      <c r="G203" s="67"/>
      <c r="H203" s="67"/>
      <c r="I203" s="67"/>
      <c r="J203" s="67"/>
      <c r="K203" s="2"/>
      <c r="L203" s="6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1"/>
      <c r="B204" s="1"/>
      <c r="C204" s="2"/>
      <c r="D204" s="67"/>
      <c r="E204" s="1"/>
      <c r="F204" s="67"/>
      <c r="G204" s="67"/>
      <c r="H204" s="67"/>
      <c r="I204" s="67"/>
      <c r="J204" s="67"/>
      <c r="K204" s="2"/>
      <c r="L204" s="6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1"/>
      <c r="B205" s="1"/>
      <c r="C205" s="2"/>
      <c r="D205" s="67"/>
      <c r="E205" s="1"/>
      <c r="F205" s="67"/>
      <c r="G205" s="67"/>
      <c r="H205" s="67"/>
      <c r="I205" s="67"/>
      <c r="J205" s="67"/>
      <c r="K205" s="2"/>
      <c r="L205" s="6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1"/>
      <c r="B206" s="1"/>
      <c r="C206" s="2"/>
      <c r="D206" s="67"/>
      <c r="E206" s="1"/>
      <c r="F206" s="67"/>
      <c r="G206" s="67"/>
      <c r="H206" s="67"/>
      <c r="I206" s="67"/>
      <c r="J206" s="67"/>
      <c r="K206" s="2"/>
      <c r="L206" s="6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1"/>
      <c r="B207" s="1"/>
      <c r="C207" s="2"/>
      <c r="D207" s="67"/>
      <c r="E207" s="1"/>
      <c r="F207" s="67"/>
      <c r="G207" s="67"/>
      <c r="H207" s="67"/>
      <c r="I207" s="67"/>
      <c r="J207" s="67"/>
      <c r="K207" s="2"/>
      <c r="L207" s="6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1"/>
      <c r="B208" s="1"/>
      <c r="C208" s="2"/>
      <c r="D208" s="67"/>
      <c r="E208" s="1"/>
      <c r="F208" s="67"/>
      <c r="G208" s="67"/>
      <c r="H208" s="67"/>
      <c r="I208" s="67"/>
      <c r="J208" s="67"/>
      <c r="K208" s="2"/>
      <c r="L208" s="6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1"/>
      <c r="B209" s="1"/>
      <c r="C209" s="2"/>
      <c r="D209" s="67"/>
      <c r="E209" s="1"/>
      <c r="F209" s="67"/>
      <c r="G209" s="67"/>
      <c r="H209" s="67"/>
      <c r="I209" s="67"/>
      <c r="J209" s="67"/>
      <c r="K209" s="2"/>
      <c r="L209" s="6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1"/>
      <c r="B210" s="1"/>
      <c r="C210" s="2"/>
      <c r="D210" s="67"/>
      <c r="E210" s="1"/>
      <c r="F210" s="67"/>
      <c r="G210" s="67"/>
      <c r="H210" s="67"/>
      <c r="I210" s="67"/>
      <c r="J210" s="67"/>
      <c r="K210" s="2"/>
      <c r="L210" s="6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1"/>
      <c r="B211" s="1"/>
      <c r="C211" s="2"/>
      <c r="D211" s="67"/>
      <c r="E211" s="1"/>
      <c r="F211" s="67"/>
      <c r="G211" s="67"/>
      <c r="H211" s="67"/>
      <c r="I211" s="67"/>
      <c r="J211" s="67"/>
      <c r="K211" s="2"/>
      <c r="L211" s="6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1"/>
      <c r="B212" s="1"/>
      <c r="C212" s="2"/>
      <c r="D212" s="67"/>
      <c r="E212" s="1"/>
      <c r="F212" s="67"/>
      <c r="G212" s="67"/>
      <c r="H212" s="67"/>
      <c r="I212" s="67"/>
      <c r="J212" s="67"/>
      <c r="K212" s="2"/>
      <c r="L212" s="6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1"/>
      <c r="B213" s="1"/>
      <c r="C213" s="2"/>
      <c r="D213" s="67"/>
      <c r="E213" s="1"/>
      <c r="F213" s="67"/>
      <c r="G213" s="67"/>
      <c r="H213" s="67"/>
      <c r="I213" s="67"/>
      <c r="J213" s="67"/>
      <c r="K213" s="2"/>
      <c r="L213" s="6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1"/>
      <c r="B214" s="1"/>
      <c r="C214" s="2"/>
      <c r="D214" s="67"/>
      <c r="E214" s="1"/>
      <c r="F214" s="67"/>
      <c r="G214" s="67"/>
      <c r="H214" s="67"/>
      <c r="I214" s="67"/>
      <c r="J214" s="67"/>
      <c r="K214" s="2"/>
      <c r="L214" s="6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1"/>
      <c r="B215" s="1"/>
      <c r="C215" s="2"/>
      <c r="D215" s="67"/>
      <c r="E215" s="1"/>
      <c r="F215" s="67"/>
      <c r="G215" s="67"/>
      <c r="H215" s="67"/>
      <c r="I215" s="67"/>
      <c r="J215" s="67"/>
      <c r="K215" s="2"/>
      <c r="L215" s="6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1"/>
      <c r="B216" s="1"/>
      <c r="C216" s="2"/>
      <c r="D216" s="67"/>
      <c r="E216" s="1"/>
      <c r="F216" s="67"/>
      <c r="G216" s="67"/>
      <c r="H216" s="67"/>
      <c r="I216" s="67"/>
      <c r="J216" s="67"/>
      <c r="K216" s="2"/>
      <c r="L216" s="6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1"/>
      <c r="B217" s="1"/>
      <c r="C217" s="2"/>
      <c r="D217" s="67"/>
      <c r="E217" s="1"/>
      <c r="F217" s="67"/>
      <c r="G217" s="67"/>
      <c r="H217" s="67"/>
      <c r="I217" s="67"/>
      <c r="J217" s="67"/>
      <c r="K217" s="2"/>
      <c r="L217" s="6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1"/>
      <c r="B218" s="1"/>
      <c r="C218" s="2"/>
      <c r="D218" s="67"/>
      <c r="E218" s="1"/>
      <c r="F218" s="67"/>
      <c r="G218" s="67"/>
      <c r="H218" s="67"/>
      <c r="I218" s="67"/>
      <c r="J218" s="67"/>
      <c r="K218" s="2"/>
      <c r="L218" s="6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1"/>
      <c r="B219" s="1"/>
      <c r="C219" s="2"/>
      <c r="D219" s="67"/>
      <c r="E219" s="1"/>
      <c r="F219" s="67"/>
      <c r="G219" s="67"/>
      <c r="H219" s="67"/>
      <c r="I219" s="67"/>
      <c r="J219" s="67"/>
      <c r="K219" s="2"/>
      <c r="L219" s="6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1"/>
      <c r="B220" s="1"/>
      <c r="C220" s="2"/>
      <c r="D220" s="67"/>
      <c r="E220" s="1"/>
      <c r="F220" s="67"/>
      <c r="G220" s="67"/>
      <c r="H220" s="67"/>
      <c r="I220" s="67"/>
      <c r="J220" s="67"/>
      <c r="K220" s="2"/>
      <c r="L220" s="6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1"/>
      <c r="B221" s="1"/>
      <c r="C221" s="2"/>
      <c r="D221" s="67"/>
      <c r="E221" s="1"/>
      <c r="F221" s="67"/>
      <c r="G221" s="67"/>
      <c r="H221" s="67"/>
      <c r="I221" s="67"/>
      <c r="J221" s="67"/>
      <c r="K221" s="2"/>
      <c r="L221" s="6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1"/>
      <c r="B222" s="1"/>
      <c r="C222" s="2"/>
      <c r="D222" s="67"/>
      <c r="E222" s="1"/>
      <c r="F222" s="67"/>
      <c r="G222" s="67"/>
      <c r="H222" s="67"/>
      <c r="I222" s="67"/>
      <c r="J222" s="67"/>
      <c r="K222" s="2"/>
      <c r="L222" s="6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1"/>
      <c r="B223" s="1"/>
      <c r="C223" s="2"/>
      <c r="D223" s="67"/>
      <c r="E223" s="1"/>
      <c r="F223" s="67"/>
      <c r="G223" s="67"/>
      <c r="H223" s="67"/>
      <c r="I223" s="67"/>
      <c r="J223" s="67"/>
      <c r="K223" s="2"/>
      <c r="L223" s="6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1"/>
      <c r="B224" s="1"/>
      <c r="C224" s="2"/>
      <c r="D224" s="67"/>
      <c r="E224" s="1"/>
      <c r="F224" s="67"/>
      <c r="G224" s="67"/>
      <c r="H224" s="67"/>
      <c r="I224" s="67"/>
      <c r="J224" s="67"/>
      <c r="K224" s="2"/>
      <c r="L224" s="6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1"/>
      <c r="B225" s="1"/>
      <c r="C225" s="2"/>
      <c r="D225" s="67"/>
      <c r="E225" s="1"/>
      <c r="F225" s="67"/>
      <c r="G225" s="67"/>
      <c r="H225" s="67"/>
      <c r="I225" s="67"/>
      <c r="J225" s="67"/>
      <c r="K225" s="2"/>
      <c r="L225" s="6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1"/>
      <c r="B226" s="1"/>
      <c r="C226" s="2"/>
      <c r="D226" s="67"/>
      <c r="E226" s="1"/>
      <c r="F226" s="67"/>
      <c r="G226" s="67"/>
      <c r="H226" s="67"/>
      <c r="I226" s="67"/>
      <c r="J226" s="67"/>
      <c r="K226" s="2"/>
      <c r="L226" s="6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1"/>
      <c r="B227" s="1"/>
      <c r="C227" s="2"/>
      <c r="D227" s="67"/>
      <c r="E227" s="1"/>
      <c r="F227" s="67"/>
      <c r="G227" s="67"/>
      <c r="H227" s="67"/>
      <c r="I227" s="67"/>
      <c r="J227" s="67"/>
      <c r="K227" s="2"/>
      <c r="L227" s="6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1"/>
      <c r="B228" s="1"/>
      <c r="C228" s="2"/>
      <c r="D228" s="67"/>
      <c r="E228" s="1"/>
      <c r="F228" s="67"/>
      <c r="G228" s="67"/>
      <c r="H228" s="67"/>
      <c r="I228" s="67"/>
      <c r="J228" s="67"/>
      <c r="K228" s="2"/>
      <c r="L228" s="6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1"/>
      <c r="B229" s="1"/>
      <c r="C229" s="2"/>
      <c r="D229" s="67"/>
      <c r="E229" s="1"/>
      <c r="F229" s="67"/>
      <c r="G229" s="67"/>
      <c r="H229" s="67"/>
      <c r="I229" s="67"/>
      <c r="J229" s="67"/>
      <c r="K229" s="2"/>
      <c r="L229" s="6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1"/>
      <c r="B230" s="1"/>
      <c r="C230" s="2"/>
      <c r="D230" s="67"/>
      <c r="E230" s="1"/>
      <c r="F230" s="67"/>
      <c r="G230" s="67"/>
      <c r="H230" s="67"/>
      <c r="I230" s="67"/>
      <c r="J230" s="67"/>
      <c r="K230" s="2"/>
      <c r="L230" s="6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1"/>
      <c r="B231" s="1"/>
      <c r="C231" s="2"/>
      <c r="D231" s="67"/>
      <c r="E231" s="1"/>
      <c r="F231" s="67"/>
      <c r="G231" s="67"/>
      <c r="H231" s="67"/>
      <c r="I231" s="67"/>
      <c r="J231" s="67"/>
      <c r="K231" s="2"/>
      <c r="L231" s="6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1"/>
      <c r="B232" s="1"/>
      <c r="C232" s="2"/>
      <c r="D232" s="67"/>
      <c r="E232" s="1"/>
      <c r="F232" s="67"/>
      <c r="G232" s="67"/>
      <c r="H232" s="67"/>
      <c r="I232" s="67"/>
      <c r="J232" s="67"/>
      <c r="K232" s="2"/>
      <c r="L232" s="6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1"/>
      <c r="B233" s="1"/>
      <c r="C233" s="2"/>
      <c r="D233" s="67"/>
      <c r="E233" s="1"/>
      <c r="F233" s="67"/>
      <c r="G233" s="67"/>
      <c r="H233" s="67"/>
      <c r="I233" s="67"/>
      <c r="J233" s="67"/>
      <c r="K233" s="2"/>
      <c r="L233" s="6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1"/>
      <c r="B234" s="1"/>
      <c r="C234" s="2"/>
      <c r="D234" s="67"/>
      <c r="E234" s="1"/>
      <c r="F234" s="67"/>
      <c r="G234" s="67"/>
      <c r="H234" s="67"/>
      <c r="I234" s="67"/>
      <c r="J234" s="67"/>
      <c r="K234" s="2"/>
      <c r="L234" s="6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1"/>
      <c r="B235" s="1"/>
      <c r="C235" s="2"/>
      <c r="D235" s="67"/>
      <c r="E235" s="1"/>
      <c r="F235" s="67"/>
      <c r="G235" s="67"/>
      <c r="H235" s="67"/>
      <c r="I235" s="67"/>
      <c r="J235" s="67"/>
      <c r="K235" s="2"/>
      <c r="L235" s="6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1"/>
      <c r="B236" s="1"/>
      <c r="C236" s="2"/>
      <c r="D236" s="67"/>
      <c r="E236" s="1"/>
      <c r="F236" s="67"/>
      <c r="G236" s="67"/>
      <c r="H236" s="67"/>
      <c r="I236" s="67"/>
      <c r="J236" s="67"/>
      <c r="K236" s="2"/>
      <c r="L236" s="6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1"/>
      <c r="B237" s="1"/>
      <c r="C237" s="2"/>
      <c r="D237" s="67"/>
      <c r="E237" s="1"/>
      <c r="F237" s="67"/>
      <c r="G237" s="67"/>
      <c r="H237" s="67"/>
      <c r="I237" s="67"/>
      <c r="J237" s="67"/>
      <c r="K237" s="2"/>
      <c r="L237" s="6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1"/>
      <c r="B238" s="1"/>
      <c r="C238" s="2"/>
      <c r="D238" s="67"/>
      <c r="E238" s="1"/>
      <c r="F238" s="67"/>
      <c r="G238" s="67"/>
      <c r="H238" s="67"/>
      <c r="I238" s="67"/>
      <c r="J238" s="67"/>
      <c r="K238" s="2"/>
      <c r="L238" s="6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1"/>
      <c r="B239" s="1"/>
      <c r="C239" s="2"/>
      <c r="D239" s="67"/>
      <c r="E239" s="1"/>
      <c r="F239" s="67"/>
      <c r="G239" s="67"/>
      <c r="H239" s="67"/>
      <c r="I239" s="67"/>
      <c r="J239" s="67"/>
      <c r="K239" s="2"/>
      <c r="L239" s="6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1"/>
      <c r="B240" s="1"/>
      <c r="C240" s="2"/>
      <c r="D240" s="67"/>
      <c r="E240" s="1"/>
      <c r="F240" s="67"/>
      <c r="G240" s="67"/>
      <c r="H240" s="67"/>
      <c r="I240" s="67"/>
      <c r="J240" s="67"/>
      <c r="K240" s="2"/>
      <c r="L240" s="6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1"/>
      <c r="B241" s="1"/>
      <c r="C241" s="2"/>
      <c r="D241" s="67"/>
      <c r="E241" s="1"/>
      <c r="F241" s="67"/>
      <c r="G241" s="67"/>
      <c r="H241" s="67"/>
      <c r="I241" s="67"/>
      <c r="J241" s="67"/>
      <c r="K241" s="2"/>
      <c r="L241" s="6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1"/>
      <c r="B242" s="1"/>
      <c r="C242" s="2"/>
      <c r="D242" s="67"/>
      <c r="E242" s="1"/>
      <c r="F242" s="67"/>
      <c r="G242" s="67"/>
      <c r="H242" s="67"/>
      <c r="I242" s="67"/>
      <c r="J242" s="67"/>
      <c r="K242" s="2"/>
      <c r="L242" s="6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1"/>
      <c r="B243" s="1"/>
      <c r="C243" s="2"/>
      <c r="D243" s="67"/>
      <c r="E243" s="1"/>
      <c r="F243" s="67"/>
      <c r="G243" s="67"/>
      <c r="H243" s="67"/>
      <c r="I243" s="67"/>
      <c r="J243" s="67"/>
      <c r="K243" s="2"/>
      <c r="L243" s="6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1"/>
      <c r="B244" s="1"/>
      <c r="C244" s="2"/>
      <c r="D244" s="67"/>
      <c r="E244" s="1"/>
      <c r="F244" s="67"/>
      <c r="G244" s="67"/>
      <c r="H244" s="67"/>
      <c r="I244" s="67"/>
      <c r="J244" s="67"/>
      <c r="K244" s="2"/>
      <c r="L244" s="6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1"/>
      <c r="B245" s="1"/>
      <c r="C245" s="2"/>
      <c r="D245" s="67"/>
      <c r="E245" s="1"/>
      <c r="F245" s="67"/>
      <c r="G245" s="67"/>
      <c r="H245" s="67"/>
      <c r="I245" s="67"/>
      <c r="J245" s="67"/>
      <c r="K245" s="2"/>
      <c r="L245" s="6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1"/>
      <c r="B246" s="1"/>
      <c r="C246" s="2"/>
      <c r="D246" s="67"/>
      <c r="E246" s="1"/>
      <c r="F246" s="67"/>
      <c r="G246" s="67"/>
      <c r="H246" s="67"/>
      <c r="I246" s="67"/>
      <c r="J246" s="67"/>
      <c r="K246" s="2"/>
      <c r="L246" s="6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1"/>
      <c r="B247" s="1"/>
      <c r="C247" s="2"/>
      <c r="D247" s="67"/>
      <c r="E247" s="1"/>
      <c r="F247" s="67"/>
      <c r="G247" s="67"/>
      <c r="H247" s="67"/>
      <c r="I247" s="67"/>
      <c r="J247" s="67"/>
      <c r="K247" s="2"/>
      <c r="L247" s="6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1"/>
      <c r="B248" s="1"/>
      <c r="C248" s="2"/>
      <c r="D248" s="67"/>
      <c r="E248" s="1"/>
      <c r="F248" s="67"/>
      <c r="G248" s="67"/>
      <c r="H248" s="67"/>
      <c r="I248" s="67"/>
      <c r="J248" s="67"/>
      <c r="K248" s="2"/>
      <c r="L248" s="6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1"/>
      <c r="B249" s="1"/>
      <c r="C249" s="2"/>
      <c r="D249" s="67"/>
      <c r="E249" s="1"/>
      <c r="F249" s="67"/>
      <c r="G249" s="67"/>
      <c r="H249" s="67"/>
      <c r="I249" s="67"/>
      <c r="J249" s="67"/>
      <c r="K249" s="2"/>
      <c r="L249" s="6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1"/>
      <c r="B250" s="1"/>
      <c r="C250" s="2"/>
      <c r="D250" s="67"/>
      <c r="E250" s="1"/>
      <c r="F250" s="67"/>
      <c r="G250" s="67"/>
      <c r="H250" s="67"/>
      <c r="I250" s="67"/>
      <c r="J250" s="67"/>
      <c r="K250" s="2"/>
      <c r="L250" s="6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1"/>
      <c r="B251" s="1"/>
      <c r="C251" s="2"/>
      <c r="D251" s="67"/>
      <c r="E251" s="1"/>
      <c r="F251" s="67"/>
      <c r="G251" s="67"/>
      <c r="H251" s="67"/>
      <c r="I251" s="67"/>
      <c r="J251" s="67"/>
      <c r="K251" s="2"/>
      <c r="L251" s="6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1"/>
      <c r="B252" s="1"/>
      <c r="C252" s="2"/>
      <c r="D252" s="67"/>
      <c r="E252" s="1"/>
      <c r="F252" s="67"/>
      <c r="G252" s="67"/>
      <c r="H252" s="67"/>
      <c r="I252" s="67"/>
      <c r="J252" s="67"/>
      <c r="K252" s="2"/>
      <c r="L252" s="6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1"/>
      <c r="B253" s="1"/>
      <c r="C253" s="2"/>
      <c r="D253" s="67"/>
      <c r="E253" s="1"/>
      <c r="F253" s="67"/>
      <c r="G253" s="67"/>
      <c r="H253" s="67"/>
      <c r="I253" s="67"/>
      <c r="J253" s="67"/>
      <c r="K253" s="2"/>
      <c r="L253" s="6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1"/>
      <c r="B254" s="1"/>
      <c r="C254" s="2"/>
      <c r="D254" s="67"/>
      <c r="E254" s="1"/>
      <c r="F254" s="67"/>
      <c r="G254" s="67"/>
      <c r="H254" s="67"/>
      <c r="I254" s="67"/>
      <c r="J254" s="67"/>
      <c r="K254" s="2"/>
      <c r="L254" s="6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1"/>
      <c r="B255" s="1"/>
      <c r="C255" s="2"/>
      <c r="D255" s="67"/>
      <c r="E255" s="1"/>
      <c r="F255" s="67"/>
      <c r="G255" s="67"/>
      <c r="H255" s="67"/>
      <c r="I255" s="67"/>
      <c r="J255" s="67"/>
      <c r="K255" s="2"/>
      <c r="L255" s="6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1"/>
      <c r="B256" s="1"/>
      <c r="C256" s="2"/>
      <c r="D256" s="67"/>
      <c r="E256" s="1"/>
      <c r="F256" s="67"/>
      <c r="G256" s="67"/>
      <c r="H256" s="67"/>
      <c r="I256" s="67"/>
      <c r="J256" s="67"/>
      <c r="K256" s="2"/>
      <c r="L256" s="6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1"/>
      <c r="B257" s="1"/>
      <c r="C257" s="2"/>
      <c r="D257" s="67"/>
      <c r="E257" s="1"/>
      <c r="F257" s="67"/>
      <c r="G257" s="67"/>
      <c r="H257" s="67"/>
      <c r="I257" s="67"/>
      <c r="J257" s="67"/>
      <c r="K257" s="2"/>
      <c r="L257" s="6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1"/>
      <c r="B258" s="1"/>
      <c r="C258" s="2"/>
      <c r="D258" s="67"/>
      <c r="E258" s="1"/>
      <c r="F258" s="67"/>
      <c r="G258" s="67"/>
      <c r="H258" s="67"/>
      <c r="I258" s="67"/>
      <c r="J258" s="67"/>
      <c r="K258" s="2"/>
      <c r="L258" s="6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1"/>
      <c r="B259" s="1"/>
      <c r="C259" s="2"/>
      <c r="D259" s="67"/>
      <c r="E259" s="1"/>
      <c r="F259" s="67"/>
      <c r="G259" s="67"/>
      <c r="H259" s="67"/>
      <c r="I259" s="67"/>
      <c r="J259" s="67"/>
      <c r="K259" s="2"/>
      <c r="L259" s="6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1"/>
      <c r="B260" s="1"/>
      <c r="C260" s="2"/>
      <c r="D260" s="67"/>
      <c r="E260" s="1"/>
      <c r="F260" s="67"/>
      <c r="G260" s="67"/>
      <c r="H260" s="67"/>
      <c r="I260" s="67"/>
      <c r="J260" s="67"/>
      <c r="K260" s="2"/>
      <c r="L260" s="6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1"/>
      <c r="B261" s="1"/>
      <c r="C261" s="2"/>
      <c r="D261" s="67"/>
      <c r="E261" s="1"/>
      <c r="F261" s="67"/>
      <c r="G261" s="67"/>
      <c r="H261" s="67"/>
      <c r="I261" s="67"/>
      <c r="J261" s="67"/>
      <c r="K261" s="2"/>
      <c r="L261" s="6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1"/>
      <c r="B262" s="1"/>
      <c r="C262" s="2"/>
      <c r="D262" s="67"/>
      <c r="E262" s="1"/>
      <c r="F262" s="67"/>
      <c r="G262" s="67"/>
      <c r="H262" s="67"/>
      <c r="I262" s="67"/>
      <c r="J262" s="67"/>
      <c r="K262" s="2"/>
      <c r="L262" s="6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1"/>
      <c r="B263" s="1"/>
      <c r="C263" s="2"/>
      <c r="D263" s="67"/>
      <c r="E263" s="1"/>
      <c r="F263" s="67"/>
      <c r="G263" s="67"/>
      <c r="H263" s="67"/>
      <c r="I263" s="67"/>
      <c r="J263" s="67"/>
      <c r="K263" s="2"/>
      <c r="L263" s="6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1"/>
      <c r="B264" s="1"/>
      <c r="C264" s="2"/>
      <c r="D264" s="67"/>
      <c r="E264" s="1"/>
      <c r="F264" s="67"/>
      <c r="G264" s="67"/>
      <c r="H264" s="67"/>
      <c r="I264" s="67"/>
      <c r="J264" s="67"/>
      <c r="K264" s="2"/>
      <c r="L264" s="6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1"/>
      <c r="B265" s="1"/>
      <c r="C265" s="2"/>
      <c r="D265" s="67"/>
      <c r="E265" s="1"/>
      <c r="F265" s="67"/>
      <c r="G265" s="67"/>
      <c r="H265" s="67"/>
      <c r="I265" s="67"/>
      <c r="J265" s="67"/>
      <c r="K265" s="2"/>
      <c r="L265" s="6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D965"/>
  </sheetPr>
  <dimension ref="A1:AD1005"/>
  <sheetViews>
    <sheetView zoomScale="160" zoomScaleNormal="160" workbookViewId="0">
      <pane xSplit="2" ySplit="5" topLeftCell="C8" activePane="bottomRight" state="frozen"/>
      <selection activeCell="F10" sqref="F10"/>
      <selection pane="topRight" activeCell="F10" sqref="F10"/>
      <selection pane="bottomLeft" activeCell="F10" sqref="F10"/>
      <selection pane="bottomRight" activeCell="F13" sqref="F13"/>
    </sheetView>
  </sheetViews>
  <sheetFormatPr defaultColWidth="12.7109375" defaultRowHeight="15" customHeight="1"/>
  <cols>
    <col min="1" max="1" width="23.7109375" customWidth="1"/>
    <col min="2" max="2" width="20.85546875" customWidth="1"/>
    <col min="3" max="3" width="2.42578125" customWidth="1"/>
    <col min="4" max="7" width="14.42578125" customWidth="1"/>
    <col min="8" max="8" width="3" customWidth="1"/>
    <col min="9" max="9" width="15.7109375" customWidth="1"/>
    <col min="10" max="30" width="14.42578125" customWidth="1"/>
  </cols>
  <sheetData>
    <row r="1" spans="1:30">
      <c r="A1" s="1"/>
      <c r="B1" s="1"/>
      <c r="C1" s="2"/>
      <c r="D1" s="684" t="s">
        <v>904</v>
      </c>
      <c r="E1" s="685"/>
      <c r="F1" s="686"/>
      <c r="G1" s="2"/>
      <c r="H1" s="129"/>
      <c r="I1" s="2"/>
      <c r="J1" s="684" t="s">
        <v>905</v>
      </c>
      <c r="K1" s="685"/>
      <c r="L1" s="68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1"/>
      <c r="B2" s="1"/>
      <c r="C2" s="67"/>
      <c r="D2" s="73"/>
      <c r="E2" s="2"/>
      <c r="F2" s="73"/>
      <c r="G2" s="67"/>
      <c r="H2" s="130"/>
      <c r="I2" s="2"/>
      <c r="J2" s="73"/>
      <c r="K2" s="2"/>
      <c r="L2" s="7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1"/>
      <c r="B3" s="1"/>
      <c r="C3" s="131"/>
      <c r="D3" s="132">
        <v>44561</v>
      </c>
      <c r="E3" s="133"/>
      <c r="F3" s="132">
        <v>44561</v>
      </c>
      <c r="G3" s="131"/>
      <c r="H3" s="134"/>
      <c r="I3" s="2"/>
      <c r="J3" s="132">
        <v>44561</v>
      </c>
      <c r="K3" s="133"/>
      <c r="L3" s="132">
        <v>44561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1"/>
      <c r="B4" s="1"/>
      <c r="C4" s="1"/>
      <c r="D4" s="135"/>
      <c r="E4" s="73" t="s">
        <v>906</v>
      </c>
      <c r="F4" s="135" t="s">
        <v>907</v>
      </c>
      <c r="G4" s="1"/>
      <c r="H4" s="136"/>
      <c r="I4" s="2"/>
      <c r="J4" s="135"/>
      <c r="K4" s="73" t="s">
        <v>906</v>
      </c>
      <c r="L4" s="135" t="s">
        <v>907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1"/>
      <c r="B5" s="1"/>
      <c r="C5" s="67"/>
      <c r="D5" s="73"/>
      <c r="E5" s="73"/>
      <c r="F5" s="73"/>
      <c r="G5" s="73"/>
      <c r="H5" s="137"/>
      <c r="I5" s="138"/>
      <c r="J5" s="73"/>
      <c r="K5" s="73"/>
      <c r="L5" s="7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1"/>
      <c r="B6" s="75" t="s">
        <v>884</v>
      </c>
      <c r="C6" s="67"/>
      <c r="D6" s="67"/>
      <c r="E6" s="67"/>
      <c r="F6" s="67"/>
      <c r="G6" s="67"/>
      <c r="H6" s="130"/>
      <c r="I6" s="2"/>
      <c r="J6" s="6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1"/>
      <c r="B7" s="76"/>
      <c r="C7" s="1"/>
      <c r="D7" s="1"/>
      <c r="E7" s="1"/>
      <c r="F7" s="1"/>
      <c r="G7" s="1"/>
      <c r="H7" s="136"/>
      <c r="I7" s="2"/>
      <c r="J7" s="1"/>
      <c r="K7" s="60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1"/>
      <c r="B8" s="54" t="s">
        <v>54</v>
      </c>
      <c r="C8" s="89"/>
      <c r="D8" s="89">
        <f>SUMIF('TB LTD 12.21'!I:I,B8,'TB LTD 12.21'!G:G)</f>
        <v>12155820.939999999</v>
      </c>
      <c r="E8" s="89"/>
      <c r="F8" s="89">
        <f t="shared" ref="F8:F14" si="0">D8+E8</f>
        <v>12155820.939999999</v>
      </c>
      <c r="G8" s="89"/>
      <c r="H8" s="139"/>
      <c r="I8" s="2"/>
      <c r="J8" s="89">
        <f>SUMIF('TB LTD 12.21'!I:I,B8,'TB LTD 12.21'!F:F)</f>
        <v>37804603.109999999</v>
      </c>
      <c r="K8" s="604"/>
      <c r="L8" s="89">
        <f t="shared" ref="L8:L14" si="1">J8+K8</f>
        <v>37804603.109999999</v>
      </c>
      <c r="M8" s="2"/>
      <c r="N8" s="600">
        <f>L8/1000</f>
        <v>37804.603109999996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1"/>
      <c r="B9" s="54" t="s">
        <v>62</v>
      </c>
      <c r="C9" s="89"/>
      <c r="D9" s="89">
        <f>SUMIF('TB LTD 12.21'!I:I,B9,'TB LTD 12.21'!G:G)</f>
        <v>156494</v>
      </c>
      <c r="E9" s="89">
        <f>'AJE 2021'!G25</f>
        <v>1039517.91</v>
      </c>
      <c r="F9" s="89">
        <f t="shared" si="0"/>
        <v>1196011.9100000001</v>
      </c>
      <c r="G9" s="89"/>
      <c r="H9" s="139"/>
      <c r="I9" s="2"/>
      <c r="J9" s="89">
        <f>SUMIF('TB LTD 12.21'!I:I,B9,'TB LTD 12.21'!F:F)</f>
        <v>486696.34</v>
      </c>
      <c r="K9" s="604">
        <f>'AJE 2021'!J25</f>
        <v>3232900.7001</v>
      </c>
      <c r="L9" s="89">
        <f t="shared" si="1"/>
        <v>3719597.0400999999</v>
      </c>
      <c r="M9" s="530">
        <f>K9/E9</f>
        <v>3.11</v>
      </c>
      <c r="N9" s="600">
        <f t="shared" ref="N9:N60" si="2">L9/1000</f>
        <v>3719.5970401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1"/>
      <c r="B10" s="54" t="s">
        <v>297</v>
      </c>
      <c r="C10" s="89"/>
      <c r="D10" s="89">
        <f>SUMIF('TB LTD 12.21'!I:I,B10,'TB LTD 12.21'!G:G)</f>
        <v>33417475.409999996</v>
      </c>
      <c r="E10" s="89">
        <f>'AJE 2021'!G53-'AJE 2021'!H26-'AJE 2021'!G64+'AJE 2021'!G81</f>
        <v>-945636.64359999262</v>
      </c>
      <c r="F10" s="89">
        <f t="shared" si="0"/>
        <v>32471838.766400002</v>
      </c>
      <c r="G10" s="89"/>
      <c r="H10" s="139"/>
      <c r="I10" s="2"/>
      <c r="J10" s="89">
        <f>SUMIF('TB LTD 12.21'!I:I,B10,'TB LTD 12.21'!F:F)</f>
        <v>103928348.52999997</v>
      </c>
      <c r="K10" s="604">
        <f>'AJE 2021'!J53-'AJE 2021'!K26-'AJE 2021'!J64+'AJE 2021'!J81</f>
        <v>-3514747.8252160568</v>
      </c>
      <c r="L10" s="89">
        <f t="shared" si="1"/>
        <v>100413600.70478392</v>
      </c>
      <c r="M10" s="530">
        <f>K10/E10</f>
        <v>3.7168058672468351</v>
      </c>
      <c r="N10" s="600">
        <f t="shared" si="2"/>
        <v>100413.60070478392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1"/>
      <c r="B11" s="54" t="s">
        <v>889</v>
      </c>
      <c r="C11" s="89"/>
      <c r="D11" s="89">
        <f>SUMIF('TB LTD 12.21'!I:I,B11,'TB LTD 12.21'!G:G)</f>
        <v>16077.17</v>
      </c>
      <c r="E11" s="89"/>
      <c r="F11" s="89">
        <f t="shared" si="0"/>
        <v>16077.17</v>
      </c>
      <c r="G11" s="89"/>
      <c r="H11" s="139"/>
      <c r="I11" s="2"/>
      <c r="J11" s="89">
        <f>SUMIF('TB LTD 12.21'!I:I,B11,'TB LTD 12.21'!F:F)</f>
        <v>50000</v>
      </c>
      <c r="K11" s="604"/>
      <c r="L11" s="89">
        <f t="shared" si="1"/>
        <v>50000</v>
      </c>
      <c r="M11" s="2"/>
      <c r="N11" s="600">
        <f t="shared" si="2"/>
        <v>50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54"/>
      <c r="B12" s="54" t="s">
        <v>290</v>
      </c>
      <c r="C12" s="89"/>
      <c r="D12" s="89">
        <f>SUMIF('TB LTD 12.21'!I:I,B12,'TB LTD 12.21'!G:G)</f>
        <v>0</v>
      </c>
      <c r="E12" s="89"/>
      <c r="F12" s="89">
        <f t="shared" si="0"/>
        <v>0</v>
      </c>
      <c r="G12" s="89"/>
      <c r="H12" s="139"/>
      <c r="I12" s="2"/>
      <c r="J12" s="89">
        <f>SUMIF('TB LTD 12.21'!I:I,B12,'TB LTD 12.21'!F:F)</f>
        <v>0</v>
      </c>
      <c r="K12" s="604"/>
      <c r="L12" s="89">
        <f t="shared" si="1"/>
        <v>0</v>
      </c>
      <c r="M12" s="2"/>
      <c r="N12" s="600">
        <f t="shared" si="2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54"/>
      <c r="B13" s="54" t="s">
        <v>1235</v>
      </c>
      <c r="C13" s="89"/>
      <c r="D13" s="89">
        <f>SUMIF('TB LTD 12.21'!I:I,B13,'TB LTD 12.21'!G:G)</f>
        <v>1076626.73</v>
      </c>
      <c r="E13" s="89">
        <f>-'AJE 2021'!H75+'AJE 2021'!G31</f>
        <v>-42372.32</v>
      </c>
      <c r="F13" s="89">
        <f t="shared" ref="F13" si="3">D13+E13</f>
        <v>1034254.41</v>
      </c>
      <c r="G13" s="89"/>
      <c r="H13" s="300"/>
      <c r="I13" s="2"/>
      <c r="J13" s="89">
        <f>SUMIF('TB LTD 12.21'!I:I,B13,'TB LTD 12.21'!F:F)</f>
        <v>3348309.12</v>
      </c>
      <c r="K13" s="604">
        <f>-'AJE 2021'!K75</f>
        <v>-186398.21127209696</v>
      </c>
      <c r="L13" s="89">
        <f t="shared" ref="L13" si="4">J13+K13</f>
        <v>3161910.9087279029</v>
      </c>
      <c r="M13" s="2"/>
      <c r="N13" s="600">
        <f t="shared" si="2"/>
        <v>3161.910908727903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1"/>
      <c r="B14" s="54" t="s">
        <v>71</v>
      </c>
      <c r="C14" s="89"/>
      <c r="D14" s="89">
        <f>SUMIF('TB LTD 12.21'!I:I,B14,'TB LTD 12.21'!G:G)</f>
        <v>1438335.06</v>
      </c>
      <c r="E14" s="89">
        <f>'AJE 2021'!G100</f>
        <v>12133</v>
      </c>
      <c r="F14" s="89">
        <f t="shared" si="0"/>
        <v>1450468.06</v>
      </c>
      <c r="G14" s="89"/>
      <c r="H14" s="139"/>
      <c r="I14" s="2"/>
      <c r="J14" s="89">
        <f>SUMIF('TB LTD 12.21'!I:I,B14,'TB LTD 12.21'!F:F)</f>
        <v>4488222</v>
      </c>
      <c r="K14" s="604">
        <f>'AJE 2021'!J31+'AJE 2021'!J100</f>
        <v>97368</v>
      </c>
      <c r="L14" s="89">
        <f t="shared" si="1"/>
        <v>4585590</v>
      </c>
      <c r="M14" s="530">
        <f>K14/E14</f>
        <v>8.0250556333965211</v>
      </c>
      <c r="N14" s="600">
        <f t="shared" si="2"/>
        <v>4585.59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1"/>
      <c r="B15" s="54"/>
      <c r="C15" s="100"/>
      <c r="D15" s="100">
        <f>SUM(D8:D14)</f>
        <v>48260829.309999995</v>
      </c>
      <c r="E15" s="100">
        <f>SUM(E8:E14)</f>
        <v>63641.946400007415</v>
      </c>
      <c r="F15" s="100">
        <f>SUM(F8:F14)</f>
        <v>48324471.256400004</v>
      </c>
      <c r="G15" s="100"/>
      <c r="H15" s="141"/>
      <c r="I15" s="2"/>
      <c r="J15" s="100">
        <f t="shared" ref="J15:L15" si="5">SUM(J8:J14)</f>
        <v>150106179.09999996</v>
      </c>
      <c r="K15" s="605">
        <f>SUM(K8:K14)</f>
        <v>-370877.33638815372</v>
      </c>
      <c r="L15" s="100">
        <f t="shared" si="5"/>
        <v>149735301.76361182</v>
      </c>
      <c r="M15" s="530">
        <f>K15/E15</f>
        <v>-5.8275611820085773</v>
      </c>
      <c r="N15" s="600">
        <f t="shared" si="2"/>
        <v>149735.30176361182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1"/>
      <c r="B16" s="54"/>
      <c r="C16" s="89"/>
      <c r="D16" s="89"/>
      <c r="E16" s="89"/>
      <c r="F16" s="89"/>
      <c r="G16" s="89"/>
      <c r="H16" s="139"/>
      <c r="I16" s="2"/>
      <c r="J16" s="89"/>
      <c r="K16" s="600"/>
      <c r="L16" s="89"/>
      <c r="M16" s="2"/>
      <c r="N16" s="600">
        <f t="shared" si="2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1"/>
      <c r="B17" s="75" t="s">
        <v>890</v>
      </c>
      <c r="C17" s="89"/>
      <c r="D17" s="89"/>
      <c r="E17" s="89"/>
      <c r="F17" s="89"/>
      <c r="G17" s="89"/>
      <c r="H17" s="139"/>
      <c r="I17" s="2"/>
      <c r="J17" s="89"/>
      <c r="K17" s="600"/>
      <c r="L17" s="89"/>
      <c r="M17" s="2"/>
      <c r="N17" s="600">
        <f t="shared" si="2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1"/>
      <c r="B18" s="1"/>
      <c r="C18" s="89"/>
      <c r="D18" s="89"/>
      <c r="E18" s="89"/>
      <c r="F18" s="89"/>
      <c r="G18" s="89"/>
      <c r="H18" s="139"/>
      <c r="I18" s="2"/>
      <c r="J18" s="89"/>
      <c r="K18" s="604"/>
      <c r="L18" s="89"/>
      <c r="M18" s="2"/>
      <c r="N18" s="600">
        <f t="shared" si="2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1"/>
      <c r="B19" s="54" t="s">
        <v>330</v>
      </c>
      <c r="C19" s="89"/>
      <c r="D19" s="89">
        <f>SUMIF('TB LTD 12.21'!I:I,B19,'TB LTD 12.21'!G:G)</f>
        <v>391399.71</v>
      </c>
      <c r="E19" s="89">
        <f>-'AJE 2021'!G59</f>
        <v>-93880.666399985552</v>
      </c>
      <c r="F19" s="89">
        <f t="shared" ref="F19:F21" si="6">D19+E19</f>
        <v>297519.04360001447</v>
      </c>
      <c r="G19" s="89"/>
      <c r="H19" s="139"/>
      <c r="I19" s="2"/>
      <c r="J19" s="89">
        <f>SUMIF('TB LTD 12.21'!I:I,B19,'TB LTD 12.21'!F:F)</f>
        <v>1231494.25</v>
      </c>
      <c r="K19" s="604">
        <f>-'AJE 2021'!J59</f>
        <v>-303168.83600547333</v>
      </c>
      <c r="L19" s="89">
        <f t="shared" ref="L19:L22" si="7">J19+K19</f>
        <v>928325.41399452672</v>
      </c>
      <c r="M19" s="530">
        <f>K19/E19</f>
        <v>3.2292999999999998</v>
      </c>
      <c r="N19" s="600">
        <f t="shared" si="2"/>
        <v>928.32541399452668</v>
      </c>
      <c r="O19" s="16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1"/>
      <c r="B20" s="2" t="s">
        <v>1206</v>
      </c>
      <c r="C20" s="89"/>
      <c r="D20" s="89">
        <f>SUMIF('TB LTD 12.21'!I:I,B20,'TB LTD 12.21'!G:G)</f>
        <v>0</v>
      </c>
      <c r="E20" s="89">
        <f>'AJE 2021'!G72</f>
        <v>409121.67068222899</v>
      </c>
      <c r="F20" s="89">
        <f t="shared" si="6"/>
        <v>409121.67068222899</v>
      </c>
      <c r="G20" s="89"/>
      <c r="H20" s="300"/>
      <c r="I20" s="2"/>
      <c r="J20" s="89"/>
      <c r="K20" s="604">
        <f>'AJE 2021'!J72</f>
        <v>1306529.9038966768</v>
      </c>
      <c r="L20" s="89">
        <f t="shared" si="7"/>
        <v>1306529.9038966768</v>
      </c>
      <c r="M20" s="530">
        <f>K20/E20</f>
        <v>3.1934996298728904</v>
      </c>
      <c r="N20" s="600">
        <f t="shared" si="2"/>
        <v>1306.5299038966768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1"/>
      <c r="B21" s="54" t="s">
        <v>99</v>
      </c>
      <c r="C21" s="89"/>
      <c r="D21" s="89">
        <f>SUMIF('TB LTD 12.21'!I:I,B21,'TB LTD 12.21'!G:G)</f>
        <v>501895.3</v>
      </c>
      <c r="E21" s="89"/>
      <c r="F21" s="89">
        <f t="shared" si="6"/>
        <v>501895.3</v>
      </c>
      <c r="G21" s="89"/>
      <c r="H21" s="139"/>
      <c r="I21" s="2"/>
      <c r="J21" s="89">
        <f>SUMIF('TB LTD 12.21'!I:I,B21,'TB LTD 12.21'!F:F)</f>
        <v>1630942.86</v>
      </c>
      <c r="K21" s="604"/>
      <c r="L21" s="89">
        <f t="shared" si="7"/>
        <v>1630942.86</v>
      </c>
      <c r="M21" s="530"/>
      <c r="N21" s="600">
        <f t="shared" si="2"/>
        <v>1630.9428600000001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1"/>
      <c r="B22" s="81" t="s">
        <v>73</v>
      </c>
      <c r="C22" s="89"/>
      <c r="D22" s="89">
        <f>SUMIF('TB LTD 12.21'!I:I,B22,'TB LTD 12.21'!G:G)</f>
        <v>-1766750.08</v>
      </c>
      <c r="E22" s="89">
        <f>'AJE 2021'!G85+'AJE 2021'!G94</f>
        <v>2706159.0304543283</v>
      </c>
      <c r="F22" s="89">
        <f>D22+E22</f>
        <v>939408.95045432821</v>
      </c>
      <c r="G22" s="89"/>
      <c r="H22" s="139"/>
      <c r="I22" s="2"/>
      <c r="J22" s="89">
        <f>SUMIF('TB LTD 12.21'!I:I,B22,'TB LTD 12.21'!F:F)</f>
        <v>-5494592.7599999998</v>
      </c>
      <c r="K22" s="604">
        <f>'AJE 2021'!J85+'AJE 2021'!J94</f>
        <v>8420180.7226185594</v>
      </c>
      <c r="L22" s="89">
        <f t="shared" si="7"/>
        <v>2925587.9626185596</v>
      </c>
      <c r="M22" s="2"/>
      <c r="N22" s="600">
        <f t="shared" si="2"/>
        <v>2925.5879626185597</v>
      </c>
      <c r="O22" s="164"/>
      <c r="P22" s="16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.75" customHeight="1">
      <c r="A23" s="1"/>
      <c r="B23" s="54"/>
      <c r="C23" s="100"/>
      <c r="D23" s="100">
        <f>SUM(D17:D22)</f>
        <v>-873455.07000000007</v>
      </c>
      <c r="E23" s="100">
        <f>SUM(E17:E22)</f>
        <v>3021400.0347365718</v>
      </c>
      <c r="F23" s="100">
        <f>SUM(F17:F22)</f>
        <v>2147944.9647365715</v>
      </c>
      <c r="G23" s="100"/>
      <c r="H23" s="141"/>
      <c r="I23" s="2"/>
      <c r="J23" s="100">
        <f t="shared" ref="J23:L23" si="8">SUM(J17:J22)</f>
        <v>-2632155.6499999994</v>
      </c>
      <c r="K23" s="601">
        <f>SUM(K17:K22)</f>
        <v>9423541.7905097622</v>
      </c>
      <c r="L23" s="100">
        <f t="shared" si="8"/>
        <v>6791386.1405097637</v>
      </c>
      <c r="M23" s="530">
        <f>K23/E23</f>
        <v>3.1189321778542234</v>
      </c>
      <c r="N23" s="600">
        <f t="shared" si="2"/>
        <v>6791.3861405097641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.75" customHeight="1">
      <c r="A24" s="1"/>
      <c r="B24" s="54"/>
      <c r="C24" s="89"/>
      <c r="D24" s="93"/>
      <c r="E24" s="93"/>
      <c r="F24" s="93"/>
      <c r="G24" s="89"/>
      <c r="H24" s="139"/>
      <c r="I24" s="2"/>
      <c r="J24" s="93"/>
      <c r="K24" s="2"/>
      <c r="L24" s="93"/>
      <c r="M24" s="2"/>
      <c r="N24" s="600">
        <f t="shared" si="2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>
      <c r="A25" s="1"/>
      <c r="B25" s="142" t="s">
        <v>891</v>
      </c>
      <c r="C25" s="143"/>
      <c r="D25" s="143">
        <f>+D23+D15</f>
        <v>47387374.239999995</v>
      </c>
      <c r="E25" s="143">
        <f>+E23+E15</f>
        <v>3085041.9811365791</v>
      </c>
      <c r="F25" s="143">
        <f>+F23+F15</f>
        <v>50472416.221136577</v>
      </c>
      <c r="G25" s="89"/>
      <c r="H25" s="139"/>
      <c r="I25" s="2"/>
      <c r="J25" s="143">
        <f t="shared" ref="J25:L25" si="9">+J23+J15</f>
        <v>147474023.44999996</v>
      </c>
      <c r="K25" s="143">
        <f>+K23+K15</f>
        <v>9052664.4541216083</v>
      </c>
      <c r="L25" s="143">
        <f t="shared" si="9"/>
        <v>156526687.90412158</v>
      </c>
      <c r="M25" s="530">
        <f>K25/E25</f>
        <v>2.934373181782914</v>
      </c>
      <c r="N25" s="600">
        <f t="shared" si="2"/>
        <v>156526.68790412159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>
      <c r="A26" s="1"/>
      <c r="B26" s="54"/>
      <c r="C26" s="89"/>
      <c r="D26" s="89"/>
      <c r="E26" s="89"/>
      <c r="F26" s="89"/>
      <c r="G26" s="89"/>
      <c r="H26" s="139"/>
      <c r="I26" s="2"/>
      <c r="J26" s="89"/>
      <c r="K26" s="2"/>
      <c r="L26" s="89"/>
      <c r="M26" s="2"/>
      <c r="N26" s="600">
        <f t="shared" si="2"/>
        <v>0</v>
      </c>
      <c r="O26" s="2"/>
      <c r="P26" s="16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>
      <c r="A27" s="1"/>
      <c r="B27" s="54"/>
      <c r="C27" s="89"/>
      <c r="D27" s="89"/>
      <c r="E27" s="89"/>
      <c r="F27" s="89"/>
      <c r="G27" s="89"/>
      <c r="H27" s="139"/>
      <c r="I27" s="2"/>
      <c r="J27" s="89"/>
      <c r="K27" s="2"/>
      <c r="L27" s="89"/>
      <c r="M27" s="2"/>
      <c r="N27" s="600">
        <f t="shared" si="2"/>
        <v>0</v>
      </c>
      <c r="O27" s="2"/>
      <c r="P27" s="16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>
      <c r="A28" s="1"/>
      <c r="B28" s="75" t="s">
        <v>892</v>
      </c>
      <c r="C28" s="89"/>
      <c r="D28" s="89"/>
      <c r="E28" s="89"/>
      <c r="F28" s="89"/>
      <c r="G28" s="89"/>
      <c r="H28" s="139"/>
      <c r="I28" s="2"/>
      <c r="J28" s="89"/>
      <c r="K28" s="2"/>
      <c r="L28" s="89"/>
      <c r="M28" s="2"/>
      <c r="N28" s="600">
        <f t="shared" si="2"/>
        <v>0</v>
      </c>
      <c r="O28" s="2"/>
      <c r="P28" s="16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>
      <c r="A29" s="1"/>
      <c r="B29" s="54"/>
      <c r="C29" s="89"/>
      <c r="D29" s="89"/>
      <c r="E29" s="89"/>
      <c r="F29" s="89"/>
      <c r="G29" s="89"/>
      <c r="H29" s="139"/>
      <c r="I29" s="2"/>
      <c r="J29" s="89"/>
      <c r="K29" s="2"/>
      <c r="L29" s="89"/>
      <c r="M29" s="2"/>
      <c r="N29" s="600">
        <f t="shared" si="2"/>
        <v>0</v>
      </c>
      <c r="O29" s="2"/>
      <c r="P29" s="646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>
      <c r="A30" s="1"/>
      <c r="B30" s="54" t="s">
        <v>120</v>
      </c>
      <c r="C30" s="89"/>
      <c r="D30" s="89">
        <f>SUMIF('TB LTD 12.21'!I:I,B30,'TB LTD 12.21'!G:G)</f>
        <v>-10271695.439999998</v>
      </c>
      <c r="E30" s="89">
        <f>-'AJE 2021'!H42</f>
        <v>-35980.71</v>
      </c>
      <c r="F30" s="89">
        <f t="shared" ref="F30:F36" si="10">D30+E30</f>
        <v>-10307676.149999999</v>
      </c>
      <c r="G30" s="89"/>
      <c r="H30" s="139"/>
      <c r="I30" s="2"/>
      <c r="J30" s="89">
        <f>SUMIF('TB LTD 12.21'!I:I,B30,'TB LTD 12.21'!F:F)</f>
        <v>-31944971.650000006</v>
      </c>
      <c r="K30" s="604">
        <f>-'AJE 2021'!K42</f>
        <v>-111900</v>
      </c>
      <c r="L30" s="89">
        <f t="shared" ref="L30:L36" si="11">J30+K30</f>
        <v>-32056871.650000006</v>
      </c>
      <c r="M30" s="530">
        <f>K30/E30</f>
        <v>3.1099997748793728</v>
      </c>
      <c r="N30" s="600">
        <f t="shared" si="2"/>
        <v>-32056.871650000005</v>
      </c>
      <c r="O30" s="2"/>
      <c r="P30" s="16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>
      <c r="A31" s="1"/>
      <c r="B31" s="54" t="s">
        <v>1239</v>
      </c>
      <c r="C31" s="89"/>
      <c r="D31" s="89">
        <f>SUMIF('TB LTD 12.21'!I:I,B31,'TB LTD 12.21'!G:G)</f>
        <v>-10615443.119999999</v>
      </c>
      <c r="E31" s="89">
        <f>-'AJE 2021'!H36</f>
        <v>-13720.37037037037</v>
      </c>
      <c r="F31" s="89">
        <f t="shared" si="10"/>
        <v>-10629163.49037037</v>
      </c>
      <c r="G31" s="89"/>
      <c r="H31" s="300"/>
      <c r="I31" s="2"/>
      <c r="J31" s="89">
        <f>SUMIF('TB LTD 12.21'!I:I,B31,'TB LTD 12.21'!F:F)</f>
        <v>-33014028.079999998</v>
      </c>
      <c r="K31" s="604">
        <f>-'AJE 2021'!K36</f>
        <v>-42670.351851851854</v>
      </c>
      <c r="L31" s="89">
        <f t="shared" si="11"/>
        <v>-33056698.431851849</v>
      </c>
      <c r="M31" s="530"/>
      <c r="N31" s="600">
        <f t="shared" si="2"/>
        <v>-33056.698431851852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>
      <c r="A32" s="1"/>
      <c r="B32" s="54" t="s">
        <v>544</v>
      </c>
      <c r="C32" s="89"/>
      <c r="D32" s="89">
        <f>SUMIF('TB LTD 12.21'!I:I,B32,'TB LTD 12.21'!G:G)</f>
        <v>-2033334</v>
      </c>
      <c r="E32" s="89"/>
      <c r="F32" s="89">
        <f t="shared" si="10"/>
        <v>-2033334</v>
      </c>
      <c r="G32" s="89"/>
      <c r="H32" s="139"/>
      <c r="I32" s="2"/>
      <c r="J32" s="89">
        <f>SUMIF('TB LTD 12.21'!I:I,B32,'TB LTD 12.21'!F:F)</f>
        <v>-6323668.6500000004</v>
      </c>
      <c r="K32" s="604"/>
      <c r="L32" s="89">
        <f t="shared" si="11"/>
        <v>-6323668.6500000004</v>
      </c>
      <c r="M32" s="2"/>
      <c r="N32" s="600">
        <f t="shared" si="2"/>
        <v>-6323.6686500000005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>
      <c r="A33" s="1"/>
      <c r="B33" s="54" t="s">
        <v>520</v>
      </c>
      <c r="C33" s="89"/>
      <c r="D33" s="89">
        <f>SUMIF('TB LTD 12.21'!I:I,B33,'TB LTD 12.21'!G:G)</f>
        <v>-3862324</v>
      </c>
      <c r="E33" s="89">
        <f>-'AJE 2021'!H47</f>
        <v>-225333</v>
      </c>
      <c r="F33" s="89">
        <f t="shared" si="10"/>
        <v>-4087657</v>
      </c>
      <c r="G33" s="89"/>
      <c r="H33" s="139"/>
      <c r="I33" s="2"/>
      <c r="J33" s="89">
        <f>SUMIF('TB LTD 12.21'!I:I,B33,'TB LTD 12.21'!F:F)</f>
        <v>-12011827.640000001</v>
      </c>
      <c r="K33" s="604">
        <f>-'AJE 2021'!K47</f>
        <v>-700785.63</v>
      </c>
      <c r="L33" s="89">
        <f t="shared" si="11"/>
        <v>-12712613.270000001</v>
      </c>
      <c r="M33" s="530">
        <f>K33/E33</f>
        <v>3.11</v>
      </c>
      <c r="N33" s="600">
        <f t="shared" si="2"/>
        <v>-12712.613270000002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>
      <c r="A34" s="1"/>
      <c r="B34" s="54" t="s">
        <v>1243</v>
      </c>
      <c r="C34" s="89"/>
      <c r="D34" s="89">
        <f>SUMIF('TB LTD 12.21'!I:I,B34,'TB LTD 12.21'!G:G)</f>
        <v>0</v>
      </c>
      <c r="E34" s="89">
        <f>-'AJE 2021'!H86+'AJE 2021'!G89</f>
        <v>-1881953.5401929261</v>
      </c>
      <c r="F34" s="89">
        <f t="shared" si="10"/>
        <v>-1881953.5401929261</v>
      </c>
      <c r="G34" s="89"/>
      <c r="H34" s="300"/>
      <c r="I34" s="2"/>
      <c r="J34" s="89">
        <f>SUMIF('TB LTD 12.21'!I:I,B34,'TB LTD 12.21'!F:F)</f>
        <v>0</v>
      </c>
      <c r="K34" s="604">
        <f>-'AJE 2021'!K86+'AJE 2021'!J89</f>
        <v>-5900052</v>
      </c>
      <c r="L34" s="89">
        <f t="shared" si="11"/>
        <v>-5900052</v>
      </c>
      <c r="M34" s="2"/>
      <c r="N34" s="600">
        <f t="shared" si="2"/>
        <v>-5900.0519999999997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>
      <c r="A35" s="1"/>
      <c r="B35" s="54" t="s">
        <v>1207</v>
      </c>
      <c r="C35" s="89"/>
      <c r="D35" s="89">
        <f>SUMIF('TB LTD 12.21'!I:I,B35,'TB LTD 12.21'!G:G)</f>
        <v>0</v>
      </c>
      <c r="E35" s="89">
        <f>-'AJE 2021'!H73</f>
        <v>-385359.68776446173</v>
      </c>
      <c r="F35" s="89">
        <f t="shared" si="10"/>
        <v>-385359.68776446173</v>
      </c>
      <c r="G35" s="89"/>
      <c r="H35" s="300"/>
      <c r="I35" s="2"/>
      <c r="J35" s="89"/>
      <c r="K35" s="604">
        <f>-'AJE 2021'!K73</f>
        <v>-1196813.8184170271</v>
      </c>
      <c r="L35" s="89">
        <f t="shared" si="11"/>
        <v>-1196813.8184170271</v>
      </c>
      <c r="M35" s="530">
        <f>K35/E35</f>
        <v>3.1057058027007218</v>
      </c>
      <c r="N35" s="600">
        <f t="shared" si="2"/>
        <v>-1196.8138184170271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>
      <c r="A36" s="1"/>
      <c r="B36" s="54" t="s">
        <v>84</v>
      </c>
      <c r="C36" s="89"/>
      <c r="D36" s="89">
        <f>SUMIF('TB LTD 12.21'!I:I,B36,'TB LTD 12.21'!G:G)</f>
        <v>-911211.55999999994</v>
      </c>
      <c r="E36" s="89">
        <f>-'AJE 2021'!H80-'AJE 2021'!H105</f>
        <v>-6500721.2097870894</v>
      </c>
      <c r="F36" s="89">
        <f t="shared" si="10"/>
        <v>-7411932.769787089</v>
      </c>
      <c r="G36" s="89"/>
      <c r="H36" s="139"/>
      <c r="I36" s="2"/>
      <c r="J36" s="89">
        <f>SUMIF('TB LTD 12.21'!I:I,B36,'TB LTD 12.21'!F:F)</f>
        <v>-2833802.62</v>
      </c>
      <c r="K36" s="604">
        <f>-'AJE 2021'!K80-'AJE 2021'!K105</f>
        <v>-20217242.962437846</v>
      </c>
      <c r="L36" s="89">
        <f t="shared" si="11"/>
        <v>-23051045.582437847</v>
      </c>
      <c r="M36" s="530">
        <f>K36/E36</f>
        <v>3.11</v>
      </c>
      <c r="N36" s="600">
        <f t="shared" si="2"/>
        <v>-23051.045582437848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>
      <c r="A37" s="1"/>
      <c r="B37" s="54"/>
      <c r="C37" s="89"/>
      <c r="D37" s="89"/>
      <c r="E37" s="89"/>
      <c r="F37" s="89"/>
      <c r="G37" s="89"/>
      <c r="H37" s="139"/>
      <c r="I37" s="2"/>
      <c r="J37" s="89"/>
      <c r="K37" s="604"/>
      <c r="L37" s="89"/>
      <c r="M37" s="530"/>
      <c r="N37" s="600">
        <f t="shared" si="2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>
      <c r="A38" s="1"/>
      <c r="B38" s="54"/>
      <c r="C38" s="144"/>
      <c r="D38" s="144">
        <f>SUM(D30:D37)</f>
        <v>-27694008.119999994</v>
      </c>
      <c r="E38" s="144">
        <f>SUM(E30:E37)</f>
        <v>-9043068.5181148481</v>
      </c>
      <c r="F38" s="144">
        <f>SUM(F30:F37)</f>
        <v>-36737076.638114847</v>
      </c>
      <c r="G38" s="144"/>
      <c r="H38" s="145"/>
      <c r="I38" s="2"/>
      <c r="J38" s="144">
        <f>SUM(J30:J37)</f>
        <v>-86128298.640000015</v>
      </c>
      <c r="K38" s="144">
        <f>SUM(K30:K37)</f>
        <v>-28169464.762706727</v>
      </c>
      <c r="L38" s="144">
        <f>SUM(L30:L37)</f>
        <v>-114297763.40270673</v>
      </c>
      <c r="M38" s="2"/>
      <c r="N38" s="600">
        <f t="shared" si="2"/>
        <v>-114297.76340270673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>
      <c r="A39" s="1"/>
      <c r="B39" s="54"/>
      <c r="C39" s="89"/>
      <c r="D39" s="89"/>
      <c r="E39" s="89"/>
      <c r="F39" s="89"/>
      <c r="G39" s="89"/>
      <c r="H39" s="139"/>
      <c r="I39" s="2"/>
      <c r="J39" s="89"/>
      <c r="K39" s="600"/>
      <c r="L39" s="89"/>
      <c r="M39" s="164"/>
      <c r="N39" s="600">
        <f t="shared" si="2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>
      <c r="A40" s="1"/>
      <c r="B40" s="54" t="s">
        <v>893</v>
      </c>
      <c r="C40" s="89"/>
      <c r="D40" s="89">
        <f>SUMIF('TB LTD 12.21'!I:I,B40,'TB LTD 12.21'!G:G)</f>
        <v>-533332.72</v>
      </c>
      <c r="E40" s="89"/>
      <c r="F40" s="89">
        <f t="shared" ref="F40:F41" si="12">D40+E40</f>
        <v>-533332.72</v>
      </c>
      <c r="G40" s="89"/>
      <c r="H40" s="139"/>
      <c r="I40" s="2"/>
      <c r="J40" s="89">
        <f>SUMIF('TB LTD 12.21'!I:I,B40,'TB LTD 12.21'!F:F)</f>
        <v>-1658671.98</v>
      </c>
      <c r="K40" s="600"/>
      <c r="L40" s="89">
        <f t="shared" ref="L40:L41" si="13">J40+K40</f>
        <v>-1658671.98</v>
      </c>
      <c r="M40" s="2"/>
      <c r="N40" s="600">
        <f t="shared" si="2"/>
        <v>-1658.6719800000001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>
      <c r="A41" s="1"/>
      <c r="B41" s="54" t="s">
        <v>294</v>
      </c>
      <c r="C41" s="89"/>
      <c r="D41" s="89">
        <f>SUMIF('TB LTD 12.21'!I:I,B41,'TB LTD 12.21'!G:G)</f>
        <v>-500000</v>
      </c>
      <c r="E41" s="89"/>
      <c r="F41" s="89">
        <f t="shared" si="12"/>
        <v>-500000</v>
      </c>
      <c r="G41" s="89"/>
      <c r="H41" s="139"/>
      <c r="I41" s="2"/>
      <c r="J41" s="89">
        <f>SUMIF('TB LTD 12.21'!I:I,B41,'TB LTD 12.21'!F:F)</f>
        <v>-1722778.57</v>
      </c>
      <c r="K41" s="600"/>
      <c r="L41" s="89">
        <f t="shared" si="13"/>
        <v>-1722778.57</v>
      </c>
      <c r="M41" s="2"/>
      <c r="N41" s="600">
        <f t="shared" si="2"/>
        <v>-1722.7785700000002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>
      <c r="A42" s="1"/>
      <c r="B42" s="54" t="s">
        <v>516</v>
      </c>
      <c r="C42" s="89"/>
      <c r="D42" s="89">
        <f>SUMIF('TB LTD 12.21'!I:I,B42,'TB LTD 12.21'!G:G)</f>
        <v>0</v>
      </c>
      <c r="E42" s="89"/>
      <c r="F42" s="89"/>
      <c r="G42" s="89"/>
      <c r="H42" s="139"/>
      <c r="I42" s="2"/>
      <c r="J42" s="89">
        <f>SUMIF('TB LTD 12.21'!I:I,B42,'TB LTD 12.21'!F:F)</f>
        <v>0</v>
      </c>
      <c r="K42" s="600"/>
      <c r="L42" s="89"/>
      <c r="M42" s="2"/>
      <c r="N42" s="600">
        <f t="shared" si="2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>
      <c r="A43" s="1"/>
      <c r="B43" s="54"/>
      <c r="C43" s="146"/>
      <c r="D43" s="146">
        <f>SUM(D40:D42)</f>
        <v>-1033332.72</v>
      </c>
      <c r="E43" s="146">
        <f>SUM(E40:E42)</f>
        <v>0</v>
      </c>
      <c r="F43" s="146">
        <f>SUM(F40:F42)</f>
        <v>-1033332.72</v>
      </c>
      <c r="G43" s="146"/>
      <c r="H43" s="147"/>
      <c r="I43" s="2"/>
      <c r="J43" s="146">
        <f>SUM(J40:J42)</f>
        <v>-3381450.55</v>
      </c>
      <c r="K43" s="602">
        <f>SUM(K40:K42)</f>
        <v>0</v>
      </c>
      <c r="L43" s="146">
        <f>SUM(L40:L42)</f>
        <v>-3381450.55</v>
      </c>
      <c r="M43" s="2"/>
      <c r="N43" s="600">
        <f t="shared" si="2"/>
        <v>-3381.45055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>
      <c r="A44" s="1"/>
      <c r="B44" s="86"/>
      <c r="C44" s="2"/>
      <c r="D44" s="2"/>
      <c r="E44" s="2"/>
      <c r="F44" s="2"/>
      <c r="G44" s="2"/>
      <c r="H44" s="129"/>
      <c r="I44" s="2"/>
      <c r="J44" s="2"/>
      <c r="K44" s="600"/>
      <c r="L44" s="2"/>
      <c r="M44" s="2"/>
      <c r="N44" s="600">
        <f t="shared" si="2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>
      <c r="A45" s="1"/>
      <c r="B45" s="142" t="s">
        <v>908</v>
      </c>
      <c r="C45" s="143"/>
      <c r="D45" s="143">
        <f>+D43+D38</f>
        <v>-28727340.839999992</v>
      </c>
      <c r="E45" s="143">
        <f>+E43+E38</f>
        <v>-9043068.5181148481</v>
      </c>
      <c r="F45" s="143">
        <f>+F43+F38</f>
        <v>-37770409.358114846</v>
      </c>
      <c r="G45" s="89"/>
      <c r="H45" s="139"/>
      <c r="I45" s="2"/>
      <c r="J45" s="143">
        <f>+J43+J38</f>
        <v>-89509749.190000013</v>
      </c>
      <c r="K45" s="143">
        <f>+K43+K38</f>
        <v>-28169464.762706727</v>
      </c>
      <c r="L45" s="143">
        <f>+L43+L38</f>
        <v>-117679213.95270672</v>
      </c>
      <c r="M45" s="2"/>
      <c r="N45" s="600">
        <f t="shared" si="2"/>
        <v>-117679.21395270672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>
      <c r="A46" s="1"/>
      <c r="B46" s="54"/>
      <c r="C46" s="89"/>
      <c r="D46" s="89"/>
      <c r="E46" s="89"/>
      <c r="F46" s="89"/>
      <c r="G46" s="89"/>
      <c r="H46" s="139"/>
      <c r="I46" s="2"/>
      <c r="J46" s="89"/>
      <c r="K46" s="600"/>
      <c r="L46" s="89"/>
      <c r="M46" s="2"/>
      <c r="N46" s="600">
        <f t="shared" si="2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>
      <c r="A47" s="1"/>
      <c r="B47" s="75" t="s">
        <v>895</v>
      </c>
      <c r="C47" s="89"/>
      <c r="D47" s="89"/>
      <c r="E47" s="89"/>
      <c r="F47" s="89"/>
      <c r="G47" s="89"/>
      <c r="H47" s="139"/>
      <c r="I47" s="2"/>
      <c r="J47" s="89"/>
      <c r="K47" s="600"/>
      <c r="L47" s="89"/>
      <c r="M47" s="2"/>
      <c r="N47" s="600">
        <f t="shared" si="2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>
      <c r="A48" s="1"/>
      <c r="B48" s="76"/>
      <c r="C48" s="89"/>
      <c r="D48" s="89"/>
      <c r="E48" s="89"/>
      <c r="F48" s="89"/>
      <c r="G48" s="89"/>
      <c r="H48" s="139"/>
      <c r="I48" s="2"/>
      <c r="J48" s="89"/>
      <c r="K48" s="600"/>
      <c r="L48" s="89"/>
      <c r="M48" s="2"/>
      <c r="N48" s="600">
        <f t="shared" si="2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>
      <c r="A49" s="1"/>
      <c r="B49" s="54" t="s">
        <v>303</v>
      </c>
      <c r="C49" s="89"/>
      <c r="D49" s="89">
        <f>SUMIF('TB LTD 12.21'!I:I,B49,'TB LTD 12.21'!G:G)</f>
        <v>-418.91999999999996</v>
      </c>
      <c r="E49" s="89"/>
      <c r="F49" s="89">
        <f t="shared" ref="F49:F51" si="14">D49+E49</f>
        <v>-418.91999999999996</v>
      </c>
      <c r="G49" s="89"/>
      <c r="H49" s="139"/>
      <c r="I49" s="2"/>
      <c r="J49" s="89">
        <f>SUMIF('TB LTD 12.21'!I:I,B49,'TB LTD 12.21'!F:F)</f>
        <v>-1543.15</v>
      </c>
      <c r="K49" s="600"/>
      <c r="L49" s="89">
        <f t="shared" ref="L49:L56" si="15">J49+K49</f>
        <v>-1543.15</v>
      </c>
      <c r="M49" s="2"/>
      <c r="N49" s="600">
        <f t="shared" si="2"/>
        <v>-1.54315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>
      <c r="A50" s="1"/>
      <c r="B50" s="148" t="s">
        <v>333</v>
      </c>
      <c r="C50" s="89"/>
      <c r="D50" s="89">
        <f>SUMIF('TB LTD 12.21'!I:I,B50,'TB LTD 12.21'!G:G)</f>
        <v>-191</v>
      </c>
      <c r="E50" s="89"/>
      <c r="F50" s="89">
        <f t="shared" si="14"/>
        <v>-191</v>
      </c>
      <c r="G50" s="89"/>
      <c r="H50" s="139"/>
      <c r="I50" s="2"/>
      <c r="J50" s="89">
        <f>SUMIF('TB LTD 12.21'!I:I,B50,'TB LTD 12.21'!F:F)</f>
        <v>-651</v>
      </c>
      <c r="K50" s="600"/>
      <c r="L50" s="89">
        <f t="shared" si="15"/>
        <v>-651</v>
      </c>
      <c r="M50" s="2"/>
      <c r="N50" s="600">
        <f t="shared" si="2"/>
        <v>-0.65100000000000002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>
      <c r="A51" s="1"/>
      <c r="B51" s="148" t="s">
        <v>336</v>
      </c>
      <c r="C51" s="89"/>
      <c r="D51" s="89">
        <f>SUMIF('TB LTD 12.21'!I:I,B51,'TB LTD 12.21'!G:G)</f>
        <v>-49.24</v>
      </c>
      <c r="E51" s="89"/>
      <c r="F51" s="89">
        <f t="shared" si="14"/>
        <v>-49.24</v>
      </c>
      <c r="G51" s="89"/>
      <c r="H51" s="139"/>
      <c r="I51" s="2"/>
      <c r="J51" s="89">
        <f>SUMIF('TB LTD 12.21'!I:I,B51,'TB LTD 12.21'!F:F)</f>
        <v>-169.46</v>
      </c>
      <c r="K51" s="600"/>
      <c r="L51" s="89">
        <f t="shared" si="15"/>
        <v>-169.46</v>
      </c>
      <c r="M51" s="2"/>
      <c r="N51" s="600">
        <f t="shared" si="2"/>
        <v>-0.16946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>
      <c r="A52" s="1"/>
      <c r="B52" s="149" t="s">
        <v>305</v>
      </c>
      <c r="C52" s="89"/>
      <c r="D52" s="89">
        <f>SUMIF('TB LTD 12.21'!I:I,B52,'TB LTD 12.21'!G:G)</f>
        <v>-7491270.8399999989</v>
      </c>
      <c r="E52" s="89">
        <f>-'AJE 2021'!H21</f>
        <v>-1123637.2884866977</v>
      </c>
      <c r="F52" s="89">
        <f>D52+E52</f>
        <v>-8614908.1284866966</v>
      </c>
      <c r="G52" s="89"/>
      <c r="H52" s="139"/>
      <c r="I52" s="2"/>
      <c r="J52" s="89">
        <f>SUMIF('TB LTD 12.21'!I:I,B52,'TB LTD 12.21'!F:F)</f>
        <v>-25517725.000000015</v>
      </c>
      <c r="K52" s="89">
        <f>-'AJE 2021'!K21</f>
        <v>-3628561.8957100925</v>
      </c>
      <c r="L52" s="89">
        <f t="shared" si="15"/>
        <v>-29146286.895710107</v>
      </c>
      <c r="M52" s="2"/>
      <c r="N52" s="600">
        <f t="shared" si="2"/>
        <v>-29146.286895710105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>
      <c r="A53" s="1"/>
      <c r="B53" s="149" t="s">
        <v>342</v>
      </c>
      <c r="C53" s="89"/>
      <c r="D53" s="89">
        <f>SUMIF('TB LTD 12.21'!I:I,B53,'TB LTD 12.21'!G:G)</f>
        <v>0</v>
      </c>
      <c r="E53" s="89"/>
      <c r="F53" s="89">
        <f>D53+E53</f>
        <v>0</v>
      </c>
      <c r="G53" s="89"/>
      <c r="H53" s="139"/>
      <c r="I53" s="2"/>
      <c r="J53" s="89">
        <f>SUMIF('TB LTD 12.21'!I:I,B53,'TB LTD 12.21'!F:F)</f>
        <v>0</v>
      </c>
      <c r="K53" s="600"/>
      <c r="L53" s="89">
        <f t="shared" si="15"/>
        <v>0</v>
      </c>
      <c r="M53" s="2"/>
      <c r="N53" s="600">
        <f t="shared" si="2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>
      <c r="A54" s="1"/>
      <c r="B54" s="54" t="s">
        <v>338</v>
      </c>
      <c r="C54" s="89"/>
      <c r="D54" s="89">
        <f>SUMIF('TB LTD 12.21'!I:I,B54,'TB LTD 12.21'!G:G)</f>
        <v>3981035.15</v>
      </c>
      <c r="E54" s="89"/>
      <c r="F54" s="89">
        <f>D54+E54</f>
        <v>3981035.15</v>
      </c>
      <c r="G54" s="89"/>
      <c r="H54" s="139"/>
      <c r="I54" s="2"/>
      <c r="J54" s="89">
        <f>SUMIF('TB LTD 12.21'!I:I,B54,'TB LTD 12.21'!F:F)</f>
        <v>14212768.529999999</v>
      </c>
      <c r="K54" s="600"/>
      <c r="L54" s="89">
        <f t="shared" si="15"/>
        <v>14212768.529999999</v>
      </c>
      <c r="M54" s="2"/>
      <c r="N54" s="600">
        <f t="shared" si="2"/>
        <v>14212.768529999999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>
      <c r="A55" s="1"/>
      <c r="B55" s="54" t="s">
        <v>347</v>
      </c>
      <c r="C55" s="89"/>
      <c r="D55" s="93">
        <f>'P&amp;L LTD  USD'!D83</f>
        <v>-15149138.549999986</v>
      </c>
      <c r="E55" s="93">
        <f>'P&amp;L LTD  USD'!E83</f>
        <v>7081663.8254649658</v>
      </c>
      <c r="F55" s="93">
        <f>D55+E55</f>
        <v>-8067474.7245350201</v>
      </c>
      <c r="G55" s="89">
        <f>F55-'P&amp;L LTD  USD'!F83</f>
        <v>1.3969838619232178E-8</v>
      </c>
      <c r="H55" s="139"/>
      <c r="I55" s="2"/>
      <c r="J55" s="93">
        <f>'P&amp;L LTD  USD'!J83</f>
        <v>-46656954.17999994</v>
      </c>
      <c r="K55" s="93">
        <f>'P&amp;L LTD  USD'!K83</f>
        <v>22745361.921405986</v>
      </c>
      <c r="L55" s="93">
        <f t="shared" si="15"/>
        <v>-23911592.258593954</v>
      </c>
      <c r="M55" s="164"/>
      <c r="N55" s="600">
        <f t="shared" si="2"/>
        <v>-23911.592258593955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>
      <c r="A56" s="1"/>
      <c r="B56" s="1"/>
      <c r="C56" s="89"/>
      <c r="D56" s="89">
        <f>SUM(D49:D55)</f>
        <v>-18660033.399999984</v>
      </c>
      <c r="E56" s="89">
        <f>SUM(E49:E55)</f>
        <v>5958026.5369782681</v>
      </c>
      <c r="F56" s="89">
        <f>SUM(F49:F55)</f>
        <v>-12702006.863021716</v>
      </c>
      <c r="G56" s="89"/>
      <c r="H56" s="139"/>
      <c r="I56" s="2"/>
      <c r="J56" s="89">
        <f t="shared" ref="J56" si="16">SUM(J49:J55)</f>
        <v>-57964274.259999953</v>
      </c>
      <c r="K56" s="89">
        <f>SUM(K49:K55)</f>
        <v>19116800.025695894</v>
      </c>
      <c r="L56" s="89">
        <f t="shared" si="15"/>
        <v>-38847474.234304056</v>
      </c>
      <c r="M56" s="2"/>
      <c r="N56" s="600">
        <f t="shared" si="2"/>
        <v>-38847.474234304056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>
      <c r="A57" s="1"/>
      <c r="B57" s="1"/>
      <c r="C57" s="89"/>
      <c r="D57" s="93"/>
      <c r="E57" s="93"/>
      <c r="F57" s="93"/>
      <c r="G57" s="89"/>
      <c r="H57" s="139"/>
      <c r="I57" s="2"/>
      <c r="J57" s="93"/>
      <c r="K57" s="93"/>
      <c r="L57" s="93"/>
      <c r="M57" s="2"/>
      <c r="N57" s="600">
        <f t="shared" si="2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>
      <c r="A58" s="1"/>
      <c r="B58" s="1"/>
      <c r="C58" s="89"/>
      <c r="D58" s="150">
        <f>D56+D45</f>
        <v>-47387374.23999998</v>
      </c>
      <c r="E58" s="150">
        <f>E56+E45</f>
        <v>-3085041.98113658</v>
      </c>
      <c r="F58" s="150">
        <f>F56+F45</f>
        <v>-50472416.221136563</v>
      </c>
      <c r="G58" s="89"/>
      <c r="H58" s="139"/>
      <c r="I58" s="2"/>
      <c r="J58" s="150">
        <f t="shared" ref="J58:L58" si="17">J56+J45</f>
        <v>-147474023.44999996</v>
      </c>
      <c r="K58" s="150">
        <f>K56+K45</f>
        <v>-9052664.7370108329</v>
      </c>
      <c r="L58" s="150">
        <f t="shared" si="17"/>
        <v>-156526688.18701077</v>
      </c>
      <c r="M58" s="2"/>
      <c r="N58" s="600">
        <f t="shared" si="2"/>
        <v>-156526.68818701076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>
      <c r="A59" s="1"/>
      <c r="B59" s="1"/>
      <c r="C59" s="89"/>
      <c r="D59" s="89" t="b">
        <f>+D58=-D25</f>
        <v>1</v>
      </c>
      <c r="E59" s="89" t="b">
        <f>+E58=-E25</f>
        <v>1</v>
      </c>
      <c r="F59" s="89" t="b">
        <f>+F58=-F25</f>
        <v>1</v>
      </c>
      <c r="G59" s="89"/>
      <c r="H59" s="139"/>
      <c r="I59" s="2"/>
      <c r="J59" s="89" t="b">
        <f>+J58=-J25</f>
        <v>1</v>
      </c>
      <c r="K59" s="89" t="b">
        <f>+K58=-K25</f>
        <v>0</v>
      </c>
      <c r="L59" s="89" t="b">
        <f>+L58=-L25</f>
        <v>0</v>
      </c>
      <c r="M59" s="2"/>
      <c r="N59" s="600">
        <f t="shared" si="2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>
      <c r="A60" s="1"/>
      <c r="B60" s="1"/>
      <c r="C60" s="89"/>
      <c r="D60" s="89">
        <f>+D58+D25</f>
        <v>0</v>
      </c>
      <c r="E60" s="89">
        <f>+E58+E25</f>
        <v>0</v>
      </c>
      <c r="F60" s="89">
        <f>+F58+F25</f>
        <v>0</v>
      </c>
      <c r="G60" s="89"/>
      <c r="H60" s="139"/>
      <c r="I60" s="2"/>
      <c r="J60" s="89">
        <f>+J58+J25</f>
        <v>0</v>
      </c>
      <c r="K60" s="89">
        <f>+K58+K25</f>
        <v>-0.282889224588871</v>
      </c>
      <c r="L60" s="89">
        <f>+L58+L25</f>
        <v>-0.28288918733596802</v>
      </c>
      <c r="M60" s="2"/>
      <c r="N60" s="600">
        <f t="shared" si="2"/>
        <v>-2.8288918733596801E-4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>
      <c r="A61" s="1"/>
      <c r="B61" s="1"/>
      <c r="C61" s="1"/>
      <c r="D61" s="1"/>
      <c r="E61" s="1"/>
      <c r="F61" s="1"/>
      <c r="G61" s="1"/>
      <c r="H61" s="136"/>
      <c r="I61" s="2"/>
      <c r="J61" s="1"/>
      <c r="K61" s="2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>
      <c r="A62" s="1"/>
      <c r="B62" s="1"/>
      <c r="C62" s="2"/>
      <c r="D62" s="151"/>
      <c r="E62" s="151"/>
      <c r="F62" s="151"/>
      <c r="G62" s="151"/>
      <c r="H62" s="152"/>
      <c r="I62" s="2"/>
      <c r="J62" s="151"/>
      <c r="K62" s="2"/>
      <c r="L62" s="15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>
      <c r="A63" s="1"/>
      <c r="B63" s="1"/>
      <c r="C63" s="67"/>
      <c r="D63" s="67"/>
      <c r="E63" s="67"/>
      <c r="F63" s="67"/>
      <c r="G63" s="67"/>
      <c r="H63" s="130"/>
      <c r="I63" s="2"/>
      <c r="J63" s="67"/>
      <c r="K63" s="2"/>
      <c r="L63" s="6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>
      <c r="A64" s="1"/>
      <c r="B64" s="67"/>
      <c r="C64" s="67"/>
      <c r="D64" s="67"/>
      <c r="E64" s="67"/>
      <c r="F64" s="67"/>
      <c r="G64" s="67"/>
      <c r="H64" s="130"/>
      <c r="I64" s="2"/>
      <c r="J64" s="67"/>
      <c r="K64" s="67"/>
      <c r="L64" s="67"/>
      <c r="M64" s="6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>
      <c r="A65" s="1"/>
      <c r="B65" s="1"/>
      <c r="C65" s="67"/>
      <c r="D65" s="67"/>
      <c r="E65" s="67"/>
      <c r="F65" s="67"/>
      <c r="G65" s="67"/>
      <c r="H65" s="130"/>
      <c r="I65" s="2"/>
      <c r="J65" s="67"/>
      <c r="K65" s="2"/>
      <c r="L65" s="6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>
      <c r="A66" s="1"/>
      <c r="B66" s="1"/>
      <c r="C66" s="67"/>
      <c r="D66" s="67"/>
      <c r="E66" s="67"/>
      <c r="F66" s="67"/>
      <c r="G66" s="67"/>
      <c r="H66" s="130"/>
      <c r="I66" s="2"/>
      <c r="J66" s="67"/>
      <c r="K66" s="2"/>
      <c r="L66" s="6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>
      <c r="A67" s="1"/>
      <c r="B67" s="1"/>
      <c r="C67" s="21"/>
      <c r="D67" s="21"/>
      <c r="E67" s="21"/>
      <c r="F67" s="21"/>
      <c r="G67" s="21"/>
      <c r="H67" s="153"/>
      <c r="I67" s="2"/>
      <c r="J67" s="21"/>
      <c r="K67" s="2"/>
      <c r="L67" s="2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>
      <c r="A68" s="1"/>
      <c r="B68" s="1"/>
      <c r="C68" s="21"/>
      <c r="D68" s="21"/>
      <c r="E68" s="21"/>
      <c r="F68" s="21"/>
      <c r="G68" s="21"/>
      <c r="H68" s="153"/>
      <c r="I68" s="2"/>
      <c r="J68" s="21"/>
      <c r="K68" s="2"/>
      <c r="L68" s="2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>
      <c r="A69" s="1"/>
      <c r="B69" s="1"/>
      <c r="C69" s="21"/>
      <c r="D69" s="21"/>
      <c r="E69" s="21"/>
      <c r="F69" s="21"/>
      <c r="G69" s="21"/>
      <c r="H69" s="153"/>
      <c r="I69" s="2"/>
      <c r="J69" s="21"/>
      <c r="K69" s="2"/>
      <c r="L69" s="2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>
      <c r="A70" s="1"/>
      <c r="B70" s="1"/>
      <c r="C70" s="67"/>
      <c r="D70" s="67"/>
      <c r="E70" s="67"/>
      <c r="F70" s="67"/>
      <c r="G70" s="67"/>
      <c r="H70" s="130"/>
      <c r="I70" s="2"/>
      <c r="J70" s="67"/>
      <c r="K70" s="2"/>
      <c r="L70" s="6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>
      <c r="A71" s="1"/>
      <c r="B71" s="1"/>
      <c r="C71" s="67"/>
      <c r="D71" s="67"/>
      <c r="E71" s="67"/>
      <c r="F71" s="67"/>
      <c r="G71" s="67"/>
      <c r="H71" s="130"/>
      <c r="I71" s="2"/>
      <c r="J71" s="67"/>
      <c r="K71" s="2"/>
      <c r="L71" s="6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>
      <c r="A72" s="1"/>
      <c r="B72" s="1"/>
      <c r="C72" s="67"/>
      <c r="D72" s="67"/>
      <c r="E72" s="67"/>
      <c r="F72" s="67"/>
      <c r="G72" s="67"/>
      <c r="H72" s="130"/>
      <c r="I72" s="2"/>
      <c r="J72" s="67"/>
      <c r="K72" s="2"/>
      <c r="L72" s="6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>
      <c r="A73" s="1"/>
      <c r="B73" s="1"/>
      <c r="C73" s="67"/>
      <c r="D73" s="67"/>
      <c r="E73" s="67"/>
      <c r="F73" s="67"/>
      <c r="G73" s="67"/>
      <c r="H73" s="130"/>
      <c r="I73" s="2"/>
      <c r="J73" s="67"/>
      <c r="K73" s="2"/>
      <c r="L73" s="6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>
      <c r="A74" s="1"/>
      <c r="B74" s="1"/>
      <c r="C74" s="67"/>
      <c r="D74" s="67"/>
      <c r="E74" s="67"/>
      <c r="F74" s="67"/>
      <c r="G74" s="67"/>
      <c r="H74" s="130"/>
      <c r="I74" s="2"/>
      <c r="J74" s="67"/>
      <c r="K74" s="2"/>
      <c r="L74" s="6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>
      <c r="A75" s="1"/>
      <c r="B75" s="1"/>
      <c r="C75" s="67"/>
      <c r="D75" s="67"/>
      <c r="E75" s="67"/>
      <c r="F75" s="67"/>
      <c r="G75" s="67"/>
      <c r="H75" s="130"/>
      <c r="I75" s="2"/>
      <c r="J75" s="67"/>
      <c r="K75" s="2"/>
      <c r="L75" s="6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>
      <c r="A76" s="1"/>
      <c r="B76" s="1"/>
      <c r="C76" s="67"/>
      <c r="D76" s="67"/>
      <c r="E76" s="67"/>
      <c r="F76" s="67"/>
      <c r="G76" s="67"/>
      <c r="H76" s="130"/>
      <c r="I76" s="2"/>
      <c r="J76" s="67"/>
      <c r="K76" s="2"/>
      <c r="L76" s="6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>
      <c r="A77" s="1"/>
      <c r="B77" s="1"/>
      <c r="C77" s="67"/>
      <c r="D77" s="67"/>
      <c r="E77" s="67"/>
      <c r="F77" s="67"/>
      <c r="G77" s="67"/>
      <c r="H77" s="130"/>
      <c r="I77" s="2"/>
      <c r="J77" s="67"/>
      <c r="K77" s="2"/>
      <c r="L77" s="6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>
      <c r="A78" s="1"/>
      <c r="B78" s="1"/>
      <c r="C78" s="67"/>
      <c r="D78" s="67"/>
      <c r="E78" s="67"/>
      <c r="F78" s="67"/>
      <c r="G78" s="67"/>
      <c r="H78" s="130"/>
      <c r="I78" s="2"/>
      <c r="J78" s="67"/>
      <c r="K78" s="2"/>
      <c r="L78" s="6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>
      <c r="A79" s="1"/>
      <c r="B79" s="1"/>
      <c r="C79" s="67"/>
      <c r="D79" s="67"/>
      <c r="E79" s="67"/>
      <c r="F79" s="67"/>
      <c r="G79" s="67"/>
      <c r="H79" s="130"/>
      <c r="I79" s="2"/>
      <c r="J79" s="67"/>
      <c r="K79" s="2"/>
      <c r="L79" s="6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>
      <c r="A80" s="1"/>
      <c r="B80" s="1"/>
      <c r="C80" s="67"/>
      <c r="D80" s="67"/>
      <c r="E80" s="67"/>
      <c r="F80" s="67"/>
      <c r="G80" s="67"/>
      <c r="H80" s="130"/>
      <c r="I80" s="2"/>
      <c r="J80" s="67"/>
      <c r="K80" s="2"/>
      <c r="L80" s="6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1"/>
      <c r="B81" s="1"/>
      <c r="C81" s="67"/>
      <c r="D81" s="67"/>
      <c r="E81" s="67"/>
      <c r="F81" s="67"/>
      <c r="G81" s="67"/>
      <c r="H81" s="130"/>
      <c r="I81" s="2"/>
      <c r="J81" s="67"/>
      <c r="K81" s="2"/>
      <c r="L81" s="6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1"/>
      <c r="B82" s="1"/>
      <c r="C82" s="67"/>
      <c r="D82" s="67"/>
      <c r="E82" s="67"/>
      <c r="F82" s="67"/>
      <c r="G82" s="67"/>
      <c r="H82" s="130"/>
      <c r="I82" s="2"/>
      <c r="J82" s="67"/>
      <c r="K82" s="2"/>
      <c r="L82" s="6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>
      <c r="A83" s="1"/>
      <c r="B83" s="1"/>
      <c r="C83" s="67"/>
      <c r="D83" s="67"/>
      <c r="E83" s="67"/>
      <c r="F83" s="67"/>
      <c r="G83" s="67"/>
      <c r="H83" s="130"/>
      <c r="I83" s="2"/>
      <c r="J83" s="67"/>
      <c r="K83" s="2"/>
      <c r="L83" s="6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>
      <c r="A84" s="1"/>
      <c r="B84" s="1"/>
      <c r="C84" s="67"/>
      <c r="D84" s="67"/>
      <c r="E84" s="67"/>
      <c r="F84" s="67"/>
      <c r="G84" s="67"/>
      <c r="H84" s="130"/>
      <c r="I84" s="2"/>
      <c r="J84" s="67"/>
      <c r="K84" s="2"/>
      <c r="L84" s="6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>
      <c r="A85" s="1"/>
      <c r="B85" s="1"/>
      <c r="C85" s="67"/>
      <c r="D85" s="67"/>
      <c r="E85" s="67"/>
      <c r="F85" s="67"/>
      <c r="G85" s="67"/>
      <c r="H85" s="130"/>
      <c r="I85" s="2"/>
      <c r="J85" s="67"/>
      <c r="K85" s="2"/>
      <c r="L85" s="6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>
      <c r="A86" s="1"/>
      <c r="B86" s="1"/>
      <c r="C86" s="67"/>
      <c r="D86" s="67"/>
      <c r="E86" s="67"/>
      <c r="F86" s="67"/>
      <c r="G86" s="67"/>
      <c r="H86" s="130"/>
      <c r="I86" s="2"/>
      <c r="J86" s="67"/>
      <c r="K86" s="2"/>
      <c r="L86" s="6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>
      <c r="A87" s="1"/>
      <c r="B87" s="1"/>
      <c r="C87" s="67"/>
      <c r="D87" s="67"/>
      <c r="E87" s="67"/>
      <c r="F87" s="67"/>
      <c r="G87" s="67"/>
      <c r="H87" s="130"/>
      <c r="I87" s="2"/>
      <c r="J87" s="67"/>
      <c r="K87" s="2"/>
      <c r="L87" s="6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>
      <c r="A88" s="1"/>
      <c r="B88" s="1"/>
      <c r="C88" s="67"/>
      <c r="D88" s="67"/>
      <c r="E88" s="67"/>
      <c r="F88" s="67"/>
      <c r="G88" s="67"/>
      <c r="H88" s="130"/>
      <c r="I88" s="2"/>
      <c r="J88" s="67"/>
      <c r="K88" s="2"/>
      <c r="L88" s="6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>
      <c r="A89" s="1"/>
      <c r="B89" s="1"/>
      <c r="C89" s="67"/>
      <c r="D89" s="67"/>
      <c r="E89" s="67"/>
      <c r="F89" s="67"/>
      <c r="G89" s="67"/>
      <c r="H89" s="130"/>
      <c r="I89" s="2"/>
      <c r="J89" s="67"/>
      <c r="K89" s="2"/>
      <c r="L89" s="6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>
      <c r="A90" s="1"/>
      <c r="B90" s="1"/>
      <c r="C90" s="67"/>
      <c r="D90" s="67"/>
      <c r="E90" s="67"/>
      <c r="F90" s="67"/>
      <c r="G90" s="67"/>
      <c r="H90" s="130"/>
      <c r="I90" s="2"/>
      <c r="J90" s="67"/>
      <c r="K90" s="2"/>
      <c r="L90" s="6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>
      <c r="A91" s="1"/>
      <c r="B91" s="1"/>
      <c r="C91" s="67"/>
      <c r="D91" s="67"/>
      <c r="E91" s="67"/>
      <c r="F91" s="67"/>
      <c r="G91" s="67"/>
      <c r="H91" s="130"/>
      <c r="I91" s="2"/>
      <c r="J91" s="67"/>
      <c r="K91" s="2"/>
      <c r="L91" s="6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>
      <c r="A92" s="1"/>
      <c r="B92" s="1"/>
      <c r="C92" s="67"/>
      <c r="D92" s="67"/>
      <c r="E92" s="67"/>
      <c r="F92" s="67"/>
      <c r="G92" s="67"/>
      <c r="H92" s="130"/>
      <c r="I92" s="2"/>
      <c r="J92" s="67"/>
      <c r="K92" s="2"/>
      <c r="L92" s="6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>
      <c r="A93" s="1"/>
      <c r="B93" s="1"/>
      <c r="C93" s="67"/>
      <c r="D93" s="67"/>
      <c r="E93" s="67"/>
      <c r="F93" s="67"/>
      <c r="G93" s="67"/>
      <c r="H93" s="130"/>
      <c r="I93" s="2"/>
      <c r="J93" s="67"/>
      <c r="K93" s="2"/>
      <c r="L93" s="6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>
      <c r="A94" s="1"/>
      <c r="B94" s="1"/>
      <c r="C94" s="67"/>
      <c r="D94" s="67"/>
      <c r="E94" s="67"/>
      <c r="F94" s="67"/>
      <c r="G94" s="67"/>
      <c r="H94" s="67"/>
      <c r="I94" s="2"/>
      <c r="J94" s="67"/>
      <c r="K94" s="2"/>
      <c r="L94" s="6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>
      <c r="A95" s="1"/>
      <c r="B95" s="1"/>
      <c r="C95" s="67"/>
      <c r="D95" s="67"/>
      <c r="E95" s="67"/>
      <c r="F95" s="67"/>
      <c r="G95" s="67"/>
      <c r="H95" s="67"/>
      <c r="I95" s="2"/>
      <c r="J95" s="67"/>
      <c r="K95" s="2"/>
      <c r="L95" s="6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>
      <c r="A96" s="1"/>
      <c r="B96" s="1"/>
      <c r="C96" s="67"/>
      <c r="D96" s="67"/>
      <c r="E96" s="67"/>
      <c r="F96" s="67"/>
      <c r="G96" s="67"/>
      <c r="H96" s="67"/>
      <c r="I96" s="2"/>
      <c r="J96" s="67"/>
      <c r="K96" s="2"/>
      <c r="L96" s="6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>
      <c r="A97" s="1"/>
      <c r="B97" s="1"/>
      <c r="C97" s="67"/>
      <c r="D97" s="67"/>
      <c r="E97" s="67"/>
      <c r="F97" s="67"/>
      <c r="G97" s="67"/>
      <c r="H97" s="67"/>
      <c r="I97" s="2"/>
      <c r="J97" s="67"/>
      <c r="K97" s="2"/>
      <c r="L97" s="6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>
      <c r="A98" s="1"/>
      <c r="B98" s="1"/>
      <c r="C98" s="67"/>
      <c r="D98" s="67"/>
      <c r="E98" s="67"/>
      <c r="F98" s="67"/>
      <c r="G98" s="67"/>
      <c r="H98" s="67"/>
      <c r="I98" s="2"/>
      <c r="J98" s="67"/>
      <c r="K98" s="2"/>
      <c r="L98" s="6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>
      <c r="A99" s="1"/>
      <c r="B99" s="1"/>
      <c r="C99" s="67"/>
      <c r="D99" s="67"/>
      <c r="E99" s="67"/>
      <c r="F99" s="67"/>
      <c r="G99" s="67"/>
      <c r="H99" s="67"/>
      <c r="I99" s="2"/>
      <c r="J99" s="67"/>
      <c r="K99" s="2"/>
      <c r="L99" s="6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>
      <c r="A100" s="1"/>
      <c r="B100" s="1"/>
      <c r="C100" s="67"/>
      <c r="D100" s="67"/>
      <c r="E100" s="67"/>
      <c r="F100" s="67"/>
      <c r="G100" s="67"/>
      <c r="H100" s="67"/>
      <c r="I100" s="2"/>
      <c r="J100" s="67"/>
      <c r="K100" s="2"/>
      <c r="L100" s="6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>
      <c r="A101" s="1"/>
      <c r="B101" s="1"/>
      <c r="C101" s="67"/>
      <c r="D101" s="67"/>
      <c r="E101" s="67"/>
      <c r="F101" s="67"/>
      <c r="G101" s="67"/>
      <c r="H101" s="67"/>
      <c r="I101" s="2"/>
      <c r="J101" s="67"/>
      <c r="K101" s="2"/>
      <c r="L101" s="6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>
      <c r="A102" s="1"/>
      <c r="B102" s="1"/>
      <c r="C102" s="67"/>
      <c r="D102" s="67"/>
      <c r="E102" s="67"/>
      <c r="F102" s="67"/>
      <c r="G102" s="67"/>
      <c r="H102" s="67"/>
      <c r="I102" s="2"/>
      <c r="J102" s="67"/>
      <c r="K102" s="2"/>
      <c r="L102" s="6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>
      <c r="A103" s="1"/>
      <c r="B103" s="1"/>
      <c r="C103" s="67"/>
      <c r="D103" s="67"/>
      <c r="E103" s="67"/>
      <c r="F103" s="67"/>
      <c r="G103" s="67"/>
      <c r="H103" s="67"/>
      <c r="I103" s="2"/>
      <c r="J103" s="67"/>
      <c r="K103" s="2"/>
      <c r="L103" s="6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>
      <c r="A104" s="1"/>
      <c r="B104" s="1"/>
      <c r="C104" s="67"/>
      <c r="D104" s="67"/>
      <c r="E104" s="67"/>
      <c r="F104" s="67"/>
      <c r="G104" s="67"/>
      <c r="H104" s="67"/>
      <c r="I104" s="2"/>
      <c r="J104" s="67"/>
      <c r="K104" s="2"/>
      <c r="L104" s="6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>
      <c r="A105" s="1"/>
      <c r="B105" s="1"/>
      <c r="C105" s="67"/>
      <c r="D105" s="67"/>
      <c r="E105" s="67"/>
      <c r="F105" s="67"/>
      <c r="G105" s="67"/>
      <c r="H105" s="67"/>
      <c r="I105" s="2"/>
      <c r="J105" s="67"/>
      <c r="K105" s="2"/>
      <c r="L105" s="6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>
      <c r="A106" s="1"/>
      <c r="B106" s="1"/>
      <c r="C106" s="67"/>
      <c r="D106" s="67"/>
      <c r="E106" s="67"/>
      <c r="F106" s="67"/>
      <c r="G106" s="67"/>
      <c r="H106" s="67"/>
      <c r="I106" s="2"/>
      <c r="J106" s="67"/>
      <c r="K106" s="2"/>
      <c r="L106" s="6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>
      <c r="A107" s="1"/>
      <c r="B107" s="1"/>
      <c r="C107" s="67"/>
      <c r="D107" s="67"/>
      <c r="E107" s="67"/>
      <c r="F107" s="67"/>
      <c r="G107" s="67"/>
      <c r="H107" s="67"/>
      <c r="I107" s="2"/>
      <c r="J107" s="67"/>
      <c r="K107" s="2"/>
      <c r="L107" s="6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>
      <c r="A108" s="1"/>
      <c r="B108" s="1"/>
      <c r="C108" s="67"/>
      <c r="D108" s="67"/>
      <c r="E108" s="67"/>
      <c r="F108" s="67"/>
      <c r="G108" s="67"/>
      <c r="H108" s="67"/>
      <c r="I108" s="2"/>
      <c r="J108" s="67"/>
      <c r="K108" s="2"/>
      <c r="L108" s="6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1"/>
      <c r="B109" s="1"/>
      <c r="C109" s="67"/>
      <c r="D109" s="67"/>
      <c r="E109" s="67"/>
      <c r="F109" s="67"/>
      <c r="G109" s="67"/>
      <c r="H109" s="67"/>
      <c r="I109" s="2"/>
      <c r="J109" s="67"/>
      <c r="K109" s="2"/>
      <c r="L109" s="6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>
      <c r="A110" s="1"/>
      <c r="B110" s="1"/>
      <c r="C110" s="67"/>
      <c r="D110" s="67"/>
      <c r="E110" s="67"/>
      <c r="F110" s="67"/>
      <c r="G110" s="67"/>
      <c r="H110" s="67"/>
      <c r="I110" s="2"/>
      <c r="J110" s="67"/>
      <c r="K110" s="2"/>
      <c r="L110" s="6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>
      <c r="A111" s="1"/>
      <c r="B111" s="1"/>
      <c r="C111" s="67"/>
      <c r="D111" s="67"/>
      <c r="E111" s="67"/>
      <c r="F111" s="67"/>
      <c r="G111" s="67"/>
      <c r="H111" s="67"/>
      <c r="I111" s="2"/>
      <c r="J111" s="67"/>
      <c r="K111" s="2"/>
      <c r="L111" s="6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1"/>
      <c r="B112" s="1"/>
      <c r="C112" s="67"/>
      <c r="D112" s="67"/>
      <c r="E112" s="67"/>
      <c r="F112" s="67"/>
      <c r="G112" s="67"/>
      <c r="H112" s="67"/>
      <c r="I112" s="2"/>
      <c r="J112" s="67"/>
      <c r="K112" s="2"/>
      <c r="L112" s="6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>
      <c r="A113" s="1"/>
      <c r="B113" s="1"/>
      <c r="C113" s="67"/>
      <c r="D113" s="67"/>
      <c r="E113" s="67"/>
      <c r="F113" s="67"/>
      <c r="G113" s="67"/>
      <c r="H113" s="67"/>
      <c r="I113" s="2"/>
      <c r="J113" s="67"/>
      <c r="K113" s="2"/>
      <c r="L113" s="6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>
      <c r="A114" s="1"/>
      <c r="B114" s="1"/>
      <c r="C114" s="67"/>
      <c r="D114" s="67"/>
      <c r="E114" s="67"/>
      <c r="F114" s="67"/>
      <c r="G114" s="67"/>
      <c r="H114" s="67"/>
      <c r="I114" s="2"/>
      <c r="J114" s="67"/>
      <c r="K114" s="2"/>
      <c r="L114" s="6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>
      <c r="A115" s="1"/>
      <c r="B115" s="1"/>
      <c r="C115" s="67"/>
      <c r="D115" s="67"/>
      <c r="E115" s="67"/>
      <c r="F115" s="67"/>
      <c r="G115" s="67"/>
      <c r="H115" s="67"/>
      <c r="I115" s="2"/>
      <c r="J115" s="67"/>
      <c r="K115" s="2"/>
      <c r="L115" s="6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>
      <c r="A116" s="1"/>
      <c r="B116" s="1"/>
      <c r="C116" s="67"/>
      <c r="D116" s="67"/>
      <c r="E116" s="67"/>
      <c r="F116" s="67"/>
      <c r="G116" s="67"/>
      <c r="H116" s="67"/>
      <c r="I116" s="2"/>
      <c r="J116" s="67"/>
      <c r="K116" s="2"/>
      <c r="L116" s="6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>
      <c r="A117" s="1"/>
      <c r="B117" s="1"/>
      <c r="C117" s="67"/>
      <c r="D117" s="67"/>
      <c r="E117" s="67"/>
      <c r="F117" s="67"/>
      <c r="G117" s="67"/>
      <c r="H117" s="67"/>
      <c r="I117" s="2"/>
      <c r="J117" s="67"/>
      <c r="K117" s="2"/>
      <c r="L117" s="6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>
      <c r="A118" s="1"/>
      <c r="B118" s="1"/>
      <c r="C118" s="67"/>
      <c r="D118" s="67"/>
      <c r="E118" s="67"/>
      <c r="F118" s="67"/>
      <c r="G118" s="67"/>
      <c r="H118" s="67"/>
      <c r="I118" s="2"/>
      <c r="J118" s="67"/>
      <c r="K118" s="2"/>
      <c r="L118" s="6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>
      <c r="A119" s="1"/>
      <c r="B119" s="1"/>
      <c r="C119" s="67"/>
      <c r="D119" s="67"/>
      <c r="E119" s="67"/>
      <c r="F119" s="67"/>
      <c r="G119" s="67"/>
      <c r="H119" s="67"/>
      <c r="I119" s="2"/>
      <c r="J119" s="67"/>
      <c r="K119" s="2"/>
      <c r="L119" s="6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1"/>
      <c r="B120" s="1"/>
      <c r="C120" s="67"/>
      <c r="D120" s="67"/>
      <c r="E120" s="67"/>
      <c r="F120" s="67"/>
      <c r="G120" s="67"/>
      <c r="H120" s="67"/>
      <c r="I120" s="2"/>
      <c r="J120" s="67"/>
      <c r="K120" s="2"/>
      <c r="L120" s="6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1"/>
      <c r="B121" s="1"/>
      <c r="C121" s="67"/>
      <c r="D121" s="67"/>
      <c r="E121" s="67"/>
      <c r="F121" s="67"/>
      <c r="G121" s="67"/>
      <c r="H121" s="67"/>
      <c r="I121" s="2"/>
      <c r="J121" s="67"/>
      <c r="K121" s="2"/>
      <c r="L121" s="6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>
      <c r="A122" s="1"/>
      <c r="B122" s="1"/>
      <c r="C122" s="67"/>
      <c r="D122" s="67"/>
      <c r="E122" s="67"/>
      <c r="F122" s="67"/>
      <c r="G122" s="67"/>
      <c r="H122" s="67"/>
      <c r="I122" s="2"/>
      <c r="J122" s="67"/>
      <c r="K122" s="2"/>
      <c r="L122" s="6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>
      <c r="A123" s="1"/>
      <c r="B123" s="1"/>
      <c r="C123" s="67"/>
      <c r="D123" s="67"/>
      <c r="E123" s="67"/>
      <c r="F123" s="67"/>
      <c r="G123" s="67"/>
      <c r="H123" s="67"/>
      <c r="I123" s="2"/>
      <c r="J123" s="67"/>
      <c r="K123" s="2"/>
      <c r="L123" s="6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1"/>
      <c r="B124" s="1"/>
      <c r="C124" s="67"/>
      <c r="D124" s="67"/>
      <c r="E124" s="67"/>
      <c r="F124" s="67"/>
      <c r="G124" s="67"/>
      <c r="H124" s="67"/>
      <c r="I124" s="2"/>
      <c r="J124" s="67"/>
      <c r="K124" s="2"/>
      <c r="L124" s="6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1"/>
      <c r="B125" s="1"/>
      <c r="C125" s="67"/>
      <c r="D125" s="67"/>
      <c r="E125" s="67"/>
      <c r="F125" s="67"/>
      <c r="G125" s="67"/>
      <c r="H125" s="67"/>
      <c r="I125" s="2"/>
      <c r="J125" s="67"/>
      <c r="K125" s="2"/>
      <c r="L125" s="6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1"/>
      <c r="B126" s="1"/>
      <c r="C126" s="67"/>
      <c r="D126" s="67"/>
      <c r="E126" s="67"/>
      <c r="F126" s="67"/>
      <c r="G126" s="67"/>
      <c r="H126" s="67"/>
      <c r="I126" s="2"/>
      <c r="J126" s="67"/>
      <c r="K126" s="2"/>
      <c r="L126" s="6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1"/>
      <c r="B127" s="1"/>
      <c r="C127" s="67"/>
      <c r="D127" s="67"/>
      <c r="E127" s="67"/>
      <c r="F127" s="67"/>
      <c r="G127" s="67"/>
      <c r="H127" s="67"/>
      <c r="I127" s="2"/>
      <c r="J127" s="67"/>
      <c r="K127" s="2"/>
      <c r="L127" s="6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1"/>
      <c r="B128" s="1"/>
      <c r="C128" s="67"/>
      <c r="D128" s="67"/>
      <c r="E128" s="67"/>
      <c r="F128" s="67"/>
      <c r="G128" s="67"/>
      <c r="H128" s="67"/>
      <c r="I128" s="2"/>
      <c r="J128" s="67"/>
      <c r="K128" s="2"/>
      <c r="L128" s="6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1"/>
      <c r="B129" s="1"/>
      <c r="C129" s="67"/>
      <c r="D129" s="67"/>
      <c r="E129" s="67"/>
      <c r="F129" s="67"/>
      <c r="G129" s="67"/>
      <c r="H129" s="67"/>
      <c r="I129" s="2"/>
      <c r="J129" s="67"/>
      <c r="K129" s="2"/>
      <c r="L129" s="6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1"/>
      <c r="B130" s="1"/>
      <c r="C130" s="67"/>
      <c r="D130" s="67"/>
      <c r="E130" s="67"/>
      <c r="F130" s="67"/>
      <c r="G130" s="67"/>
      <c r="H130" s="67"/>
      <c r="I130" s="2"/>
      <c r="J130" s="67"/>
      <c r="K130" s="2"/>
      <c r="L130" s="6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1"/>
      <c r="B131" s="1"/>
      <c r="C131" s="67"/>
      <c r="D131" s="67"/>
      <c r="E131" s="67"/>
      <c r="F131" s="67"/>
      <c r="G131" s="67"/>
      <c r="H131" s="67"/>
      <c r="I131" s="2"/>
      <c r="J131" s="67"/>
      <c r="K131" s="2"/>
      <c r="L131" s="6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1"/>
      <c r="B132" s="1"/>
      <c r="C132" s="67"/>
      <c r="D132" s="67"/>
      <c r="E132" s="67"/>
      <c r="F132" s="67"/>
      <c r="G132" s="67"/>
      <c r="H132" s="67"/>
      <c r="I132" s="2"/>
      <c r="J132" s="67"/>
      <c r="K132" s="2"/>
      <c r="L132" s="6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1"/>
      <c r="B133" s="1"/>
      <c r="C133" s="67"/>
      <c r="D133" s="67"/>
      <c r="E133" s="67"/>
      <c r="F133" s="67"/>
      <c r="G133" s="67"/>
      <c r="H133" s="67"/>
      <c r="I133" s="2"/>
      <c r="J133" s="67"/>
      <c r="K133" s="2"/>
      <c r="L133" s="6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1"/>
      <c r="B134" s="1"/>
      <c r="C134" s="67"/>
      <c r="D134" s="67"/>
      <c r="E134" s="67"/>
      <c r="F134" s="67"/>
      <c r="G134" s="67"/>
      <c r="H134" s="67"/>
      <c r="I134" s="2"/>
      <c r="J134" s="67"/>
      <c r="K134" s="2"/>
      <c r="L134" s="6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1"/>
      <c r="B135" s="1"/>
      <c r="C135" s="67"/>
      <c r="D135" s="67"/>
      <c r="E135" s="67"/>
      <c r="F135" s="67"/>
      <c r="G135" s="67"/>
      <c r="H135" s="67"/>
      <c r="I135" s="2"/>
      <c r="J135" s="67"/>
      <c r="K135" s="2"/>
      <c r="L135" s="6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1"/>
      <c r="B136" s="1"/>
      <c r="C136" s="67"/>
      <c r="D136" s="67"/>
      <c r="E136" s="67"/>
      <c r="F136" s="67"/>
      <c r="G136" s="67"/>
      <c r="H136" s="67"/>
      <c r="I136" s="2"/>
      <c r="J136" s="67"/>
      <c r="K136" s="2"/>
      <c r="L136" s="6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1"/>
      <c r="B137" s="1"/>
      <c r="C137" s="67"/>
      <c r="D137" s="67"/>
      <c r="E137" s="67"/>
      <c r="F137" s="67"/>
      <c r="G137" s="67"/>
      <c r="H137" s="67"/>
      <c r="I137" s="2"/>
      <c r="J137" s="67"/>
      <c r="K137" s="2"/>
      <c r="L137" s="6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1"/>
      <c r="B138" s="1"/>
      <c r="C138" s="67"/>
      <c r="D138" s="67"/>
      <c r="E138" s="67"/>
      <c r="F138" s="67"/>
      <c r="G138" s="67"/>
      <c r="H138" s="67"/>
      <c r="I138" s="2"/>
      <c r="J138" s="67"/>
      <c r="K138" s="2"/>
      <c r="L138" s="6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1"/>
      <c r="B139" s="1"/>
      <c r="C139" s="67"/>
      <c r="D139" s="67"/>
      <c r="E139" s="67"/>
      <c r="F139" s="67"/>
      <c r="G139" s="67"/>
      <c r="H139" s="67"/>
      <c r="I139" s="2"/>
      <c r="J139" s="67"/>
      <c r="K139" s="2"/>
      <c r="L139" s="6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1"/>
      <c r="B140" s="1"/>
      <c r="C140" s="67"/>
      <c r="D140" s="67"/>
      <c r="E140" s="67"/>
      <c r="F140" s="67"/>
      <c r="G140" s="67"/>
      <c r="H140" s="67"/>
      <c r="I140" s="2"/>
      <c r="J140" s="67"/>
      <c r="K140" s="2"/>
      <c r="L140" s="6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1"/>
      <c r="B141" s="1"/>
      <c r="C141" s="67"/>
      <c r="D141" s="67"/>
      <c r="E141" s="67"/>
      <c r="F141" s="67"/>
      <c r="G141" s="67"/>
      <c r="H141" s="67"/>
      <c r="I141" s="2"/>
      <c r="J141" s="67"/>
      <c r="K141" s="2"/>
      <c r="L141" s="6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1"/>
      <c r="B142" s="1"/>
      <c r="C142" s="67"/>
      <c r="D142" s="67"/>
      <c r="E142" s="67"/>
      <c r="F142" s="67"/>
      <c r="G142" s="67"/>
      <c r="H142" s="67"/>
      <c r="I142" s="2"/>
      <c r="J142" s="67"/>
      <c r="K142" s="2"/>
      <c r="L142" s="6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1"/>
      <c r="B143" s="1"/>
      <c r="C143" s="67"/>
      <c r="D143" s="67"/>
      <c r="E143" s="67"/>
      <c r="F143" s="67"/>
      <c r="G143" s="67"/>
      <c r="H143" s="67"/>
      <c r="I143" s="2"/>
      <c r="J143" s="67"/>
      <c r="K143" s="2"/>
      <c r="L143" s="6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1"/>
      <c r="B144" s="1"/>
      <c r="C144" s="67"/>
      <c r="D144" s="67"/>
      <c r="E144" s="67"/>
      <c r="F144" s="67"/>
      <c r="G144" s="67"/>
      <c r="H144" s="67"/>
      <c r="I144" s="2"/>
      <c r="J144" s="67"/>
      <c r="K144" s="2"/>
      <c r="L144" s="6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1"/>
      <c r="B145" s="1"/>
      <c r="C145" s="67"/>
      <c r="D145" s="67"/>
      <c r="E145" s="67"/>
      <c r="F145" s="67"/>
      <c r="G145" s="67"/>
      <c r="H145" s="67"/>
      <c r="I145" s="2"/>
      <c r="J145" s="67"/>
      <c r="K145" s="2"/>
      <c r="L145" s="6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1"/>
      <c r="B146" s="1"/>
      <c r="C146" s="67"/>
      <c r="D146" s="67"/>
      <c r="E146" s="67"/>
      <c r="F146" s="67"/>
      <c r="G146" s="67"/>
      <c r="H146" s="67"/>
      <c r="I146" s="2"/>
      <c r="J146" s="67"/>
      <c r="K146" s="2"/>
      <c r="L146" s="6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1"/>
      <c r="B147" s="1"/>
      <c r="C147" s="67"/>
      <c r="D147" s="67"/>
      <c r="E147" s="67"/>
      <c r="F147" s="67"/>
      <c r="G147" s="67"/>
      <c r="H147" s="67"/>
      <c r="I147" s="2"/>
      <c r="J147" s="67"/>
      <c r="K147" s="2"/>
      <c r="L147" s="6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1"/>
      <c r="B148" s="1"/>
      <c r="C148" s="67"/>
      <c r="D148" s="67"/>
      <c r="E148" s="67"/>
      <c r="F148" s="67"/>
      <c r="G148" s="67"/>
      <c r="H148" s="67"/>
      <c r="I148" s="2"/>
      <c r="J148" s="67"/>
      <c r="K148" s="2"/>
      <c r="L148" s="6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1"/>
      <c r="B149" s="1"/>
      <c r="C149" s="67"/>
      <c r="D149" s="67"/>
      <c r="E149" s="67"/>
      <c r="F149" s="67"/>
      <c r="G149" s="67"/>
      <c r="H149" s="67"/>
      <c r="I149" s="2"/>
      <c r="J149" s="67"/>
      <c r="K149" s="2"/>
      <c r="L149" s="6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1"/>
      <c r="B150" s="1"/>
      <c r="C150" s="67"/>
      <c r="D150" s="67"/>
      <c r="E150" s="67"/>
      <c r="F150" s="67"/>
      <c r="G150" s="67"/>
      <c r="H150" s="67"/>
      <c r="I150" s="2"/>
      <c r="J150" s="67"/>
      <c r="K150" s="2"/>
      <c r="L150" s="6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1"/>
      <c r="B151" s="1"/>
      <c r="C151" s="67"/>
      <c r="D151" s="67"/>
      <c r="E151" s="67"/>
      <c r="F151" s="67"/>
      <c r="G151" s="67"/>
      <c r="H151" s="67"/>
      <c r="I151" s="2"/>
      <c r="J151" s="67"/>
      <c r="K151" s="2"/>
      <c r="L151" s="6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1"/>
      <c r="B152" s="1"/>
      <c r="C152" s="67"/>
      <c r="D152" s="67"/>
      <c r="E152" s="67"/>
      <c r="F152" s="67"/>
      <c r="G152" s="67"/>
      <c r="H152" s="67"/>
      <c r="I152" s="2"/>
      <c r="J152" s="67"/>
      <c r="K152" s="2"/>
      <c r="L152" s="6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1"/>
      <c r="B153" s="1"/>
      <c r="C153" s="67"/>
      <c r="D153" s="67"/>
      <c r="E153" s="67"/>
      <c r="F153" s="67"/>
      <c r="G153" s="67"/>
      <c r="H153" s="67"/>
      <c r="I153" s="2"/>
      <c r="J153" s="67"/>
      <c r="K153" s="2"/>
      <c r="L153" s="6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1"/>
      <c r="B154" s="1"/>
      <c r="C154" s="67"/>
      <c r="D154" s="67"/>
      <c r="E154" s="67"/>
      <c r="F154" s="67"/>
      <c r="G154" s="67"/>
      <c r="H154" s="67"/>
      <c r="I154" s="2"/>
      <c r="J154" s="67"/>
      <c r="K154" s="2"/>
      <c r="L154" s="6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1"/>
      <c r="B155" s="1"/>
      <c r="C155" s="67"/>
      <c r="D155" s="67"/>
      <c r="E155" s="67"/>
      <c r="F155" s="67"/>
      <c r="G155" s="67"/>
      <c r="H155" s="67"/>
      <c r="I155" s="2"/>
      <c r="J155" s="67"/>
      <c r="K155" s="2"/>
      <c r="L155" s="6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1"/>
      <c r="B156" s="1"/>
      <c r="C156" s="67"/>
      <c r="D156" s="67"/>
      <c r="E156" s="67"/>
      <c r="F156" s="67"/>
      <c r="G156" s="67"/>
      <c r="H156" s="67"/>
      <c r="I156" s="2"/>
      <c r="J156" s="67"/>
      <c r="K156" s="2"/>
      <c r="L156" s="6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1"/>
      <c r="B157" s="1"/>
      <c r="C157" s="67"/>
      <c r="D157" s="67"/>
      <c r="E157" s="67"/>
      <c r="F157" s="67"/>
      <c r="G157" s="67"/>
      <c r="H157" s="67"/>
      <c r="I157" s="2"/>
      <c r="J157" s="67"/>
      <c r="K157" s="2"/>
      <c r="L157" s="6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1"/>
      <c r="B158" s="1"/>
      <c r="C158" s="67"/>
      <c r="D158" s="67"/>
      <c r="E158" s="67"/>
      <c r="F158" s="67"/>
      <c r="G158" s="67"/>
      <c r="H158" s="67"/>
      <c r="I158" s="2"/>
      <c r="J158" s="67"/>
      <c r="K158" s="2"/>
      <c r="L158" s="6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1"/>
      <c r="B159" s="1"/>
      <c r="C159" s="67"/>
      <c r="D159" s="67"/>
      <c r="E159" s="67"/>
      <c r="F159" s="67"/>
      <c r="G159" s="67"/>
      <c r="H159" s="67"/>
      <c r="I159" s="2"/>
      <c r="J159" s="67"/>
      <c r="K159" s="2"/>
      <c r="L159" s="6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1"/>
      <c r="B160" s="1"/>
      <c r="C160" s="67"/>
      <c r="D160" s="67"/>
      <c r="E160" s="67"/>
      <c r="F160" s="67"/>
      <c r="G160" s="67"/>
      <c r="H160" s="67"/>
      <c r="I160" s="2"/>
      <c r="J160" s="67"/>
      <c r="K160" s="2"/>
      <c r="L160" s="6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1"/>
      <c r="B161" s="1"/>
      <c r="C161" s="67"/>
      <c r="D161" s="67"/>
      <c r="E161" s="67"/>
      <c r="F161" s="67"/>
      <c r="G161" s="67"/>
      <c r="H161" s="67"/>
      <c r="I161" s="2"/>
      <c r="J161" s="67"/>
      <c r="K161" s="2"/>
      <c r="L161" s="6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1"/>
      <c r="B162" s="1"/>
      <c r="C162" s="67"/>
      <c r="D162" s="67"/>
      <c r="E162" s="67"/>
      <c r="F162" s="67"/>
      <c r="G162" s="67"/>
      <c r="H162" s="67"/>
      <c r="I162" s="2"/>
      <c r="J162" s="67"/>
      <c r="K162" s="2"/>
      <c r="L162" s="6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1"/>
      <c r="B163" s="1"/>
      <c r="C163" s="67"/>
      <c r="D163" s="67"/>
      <c r="E163" s="67"/>
      <c r="F163" s="67"/>
      <c r="G163" s="67"/>
      <c r="H163" s="67"/>
      <c r="I163" s="2"/>
      <c r="J163" s="6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1"/>
      <c r="B164" s="1"/>
      <c r="C164" s="67"/>
      <c r="D164" s="67"/>
      <c r="E164" s="67"/>
      <c r="F164" s="67"/>
      <c r="G164" s="67"/>
      <c r="H164" s="67"/>
      <c r="I164" s="2"/>
      <c r="J164" s="6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1"/>
      <c r="B165" s="1"/>
      <c r="C165" s="67"/>
      <c r="D165" s="67"/>
      <c r="E165" s="67"/>
      <c r="F165" s="67"/>
      <c r="G165" s="67"/>
      <c r="H165" s="67"/>
      <c r="I165" s="2"/>
      <c r="J165" s="6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1"/>
      <c r="B166" s="1"/>
      <c r="C166" s="67"/>
      <c r="D166" s="67"/>
      <c r="E166" s="67"/>
      <c r="F166" s="67"/>
      <c r="G166" s="67"/>
      <c r="H166" s="67"/>
      <c r="I166" s="2"/>
      <c r="J166" s="6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1"/>
      <c r="B167" s="1"/>
      <c r="C167" s="67"/>
      <c r="D167" s="67"/>
      <c r="E167" s="67"/>
      <c r="F167" s="67"/>
      <c r="G167" s="67"/>
      <c r="H167" s="67"/>
      <c r="I167" s="2"/>
      <c r="J167" s="6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1"/>
      <c r="B168" s="1"/>
      <c r="C168" s="67"/>
      <c r="D168" s="67"/>
      <c r="E168" s="67"/>
      <c r="F168" s="67"/>
      <c r="G168" s="67"/>
      <c r="H168" s="67"/>
      <c r="I168" s="2"/>
      <c r="J168" s="6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1"/>
      <c r="B169" s="1"/>
      <c r="C169" s="67"/>
      <c r="D169" s="67"/>
      <c r="E169" s="67"/>
      <c r="F169" s="67"/>
      <c r="G169" s="67"/>
      <c r="H169" s="67"/>
      <c r="I169" s="2"/>
      <c r="J169" s="6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1"/>
      <c r="B170" s="1"/>
      <c r="C170" s="67"/>
      <c r="D170" s="67"/>
      <c r="E170" s="67"/>
      <c r="F170" s="67"/>
      <c r="G170" s="67"/>
      <c r="H170" s="67"/>
      <c r="I170" s="2"/>
      <c r="J170" s="6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1"/>
      <c r="B171" s="1"/>
      <c r="C171" s="67"/>
      <c r="D171" s="67"/>
      <c r="E171" s="67"/>
      <c r="F171" s="67"/>
      <c r="G171" s="67"/>
      <c r="H171" s="67"/>
      <c r="I171" s="2"/>
      <c r="J171" s="6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1"/>
      <c r="B172" s="1"/>
      <c r="C172" s="67"/>
      <c r="D172" s="67"/>
      <c r="E172" s="67"/>
      <c r="F172" s="67"/>
      <c r="G172" s="67"/>
      <c r="H172" s="67"/>
      <c r="I172" s="2"/>
      <c r="J172" s="6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1"/>
      <c r="B173" s="1"/>
      <c r="C173" s="67"/>
      <c r="D173" s="67"/>
      <c r="E173" s="67"/>
      <c r="F173" s="67"/>
      <c r="G173" s="67"/>
      <c r="H173" s="67"/>
      <c r="I173" s="2"/>
      <c r="J173" s="6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1"/>
      <c r="B174" s="1"/>
      <c r="C174" s="67"/>
      <c r="D174" s="67"/>
      <c r="E174" s="67"/>
      <c r="F174" s="67"/>
      <c r="G174" s="67"/>
      <c r="H174" s="67"/>
      <c r="I174" s="2"/>
      <c r="J174" s="6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1"/>
      <c r="B175" s="1"/>
      <c r="C175" s="67"/>
      <c r="D175" s="67"/>
      <c r="E175" s="67"/>
      <c r="F175" s="67"/>
      <c r="G175" s="67"/>
      <c r="H175" s="67"/>
      <c r="I175" s="2"/>
      <c r="J175" s="6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1"/>
      <c r="B176" s="1"/>
      <c r="C176" s="67"/>
      <c r="D176" s="67"/>
      <c r="E176" s="67"/>
      <c r="F176" s="67"/>
      <c r="G176" s="67"/>
      <c r="H176" s="67"/>
      <c r="I176" s="2"/>
      <c r="J176" s="6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1"/>
      <c r="B177" s="1"/>
      <c r="C177" s="67"/>
      <c r="D177" s="67"/>
      <c r="E177" s="67"/>
      <c r="F177" s="67"/>
      <c r="G177" s="67"/>
      <c r="H177" s="67"/>
      <c r="I177" s="2"/>
      <c r="J177" s="6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1"/>
      <c r="B178" s="1"/>
      <c r="C178" s="67"/>
      <c r="D178" s="67"/>
      <c r="E178" s="67"/>
      <c r="F178" s="67"/>
      <c r="G178" s="67"/>
      <c r="H178" s="67"/>
      <c r="I178" s="2"/>
      <c r="J178" s="6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1"/>
      <c r="B179" s="1"/>
      <c r="C179" s="67"/>
      <c r="D179" s="67"/>
      <c r="E179" s="67"/>
      <c r="F179" s="67"/>
      <c r="G179" s="67"/>
      <c r="H179" s="67"/>
      <c r="I179" s="2"/>
      <c r="J179" s="6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1"/>
      <c r="B180" s="1"/>
      <c r="C180" s="67"/>
      <c r="D180" s="67"/>
      <c r="E180" s="67"/>
      <c r="F180" s="67"/>
      <c r="G180" s="67"/>
      <c r="H180" s="67"/>
      <c r="I180" s="2"/>
      <c r="J180" s="6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1"/>
      <c r="B181" s="1"/>
      <c r="C181" s="67"/>
      <c r="D181" s="67"/>
      <c r="E181" s="67"/>
      <c r="F181" s="67"/>
      <c r="G181" s="67"/>
      <c r="H181" s="67"/>
      <c r="I181" s="2"/>
      <c r="J181" s="6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1"/>
      <c r="B182" s="1"/>
      <c r="C182" s="67"/>
      <c r="D182" s="67"/>
      <c r="E182" s="67"/>
      <c r="F182" s="67"/>
      <c r="G182" s="67"/>
      <c r="H182" s="67"/>
      <c r="I182" s="2"/>
      <c r="J182" s="6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1"/>
      <c r="B183" s="1"/>
      <c r="C183" s="67"/>
      <c r="D183" s="67"/>
      <c r="E183" s="67"/>
      <c r="F183" s="67"/>
      <c r="G183" s="67"/>
      <c r="H183" s="67"/>
      <c r="I183" s="2"/>
      <c r="J183" s="6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1"/>
      <c r="B184" s="1"/>
      <c r="C184" s="67"/>
      <c r="D184" s="67"/>
      <c r="E184" s="67"/>
      <c r="F184" s="67"/>
      <c r="G184" s="67"/>
      <c r="H184" s="67"/>
      <c r="I184" s="2"/>
      <c r="J184" s="6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1"/>
      <c r="B185" s="1"/>
      <c r="C185" s="67"/>
      <c r="D185" s="67"/>
      <c r="E185" s="67"/>
      <c r="F185" s="67"/>
      <c r="G185" s="67"/>
      <c r="H185" s="67"/>
      <c r="I185" s="2"/>
      <c r="J185" s="6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1"/>
      <c r="B186" s="1"/>
      <c r="C186" s="67"/>
      <c r="D186" s="67"/>
      <c r="E186" s="67"/>
      <c r="F186" s="67"/>
      <c r="G186" s="67"/>
      <c r="H186" s="67"/>
      <c r="I186" s="2"/>
      <c r="J186" s="6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1"/>
      <c r="B187" s="1"/>
      <c r="C187" s="67"/>
      <c r="D187" s="67"/>
      <c r="E187" s="67"/>
      <c r="F187" s="67"/>
      <c r="G187" s="67"/>
      <c r="H187" s="67"/>
      <c r="I187" s="2"/>
      <c r="J187" s="6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1"/>
      <c r="B188" s="1"/>
      <c r="C188" s="67"/>
      <c r="D188" s="67"/>
      <c r="E188" s="67"/>
      <c r="F188" s="67"/>
      <c r="G188" s="67"/>
      <c r="H188" s="67"/>
      <c r="I188" s="2"/>
      <c r="J188" s="6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1"/>
      <c r="B189" s="1"/>
      <c r="C189" s="67"/>
      <c r="D189" s="67"/>
      <c r="E189" s="67"/>
      <c r="F189" s="67"/>
      <c r="G189" s="67"/>
      <c r="H189" s="67"/>
      <c r="I189" s="2"/>
      <c r="J189" s="6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1"/>
      <c r="B190" s="1"/>
      <c r="C190" s="67"/>
      <c r="D190" s="67"/>
      <c r="E190" s="67"/>
      <c r="F190" s="67"/>
      <c r="G190" s="67"/>
      <c r="H190" s="67"/>
      <c r="I190" s="2"/>
      <c r="J190" s="6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1"/>
      <c r="B191" s="1"/>
      <c r="C191" s="67"/>
      <c r="D191" s="67"/>
      <c r="E191" s="67"/>
      <c r="F191" s="67"/>
      <c r="G191" s="67"/>
      <c r="H191" s="67"/>
      <c r="I191" s="2"/>
      <c r="J191" s="6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1"/>
      <c r="B192" s="1"/>
      <c r="C192" s="67"/>
      <c r="D192" s="67"/>
      <c r="E192" s="67"/>
      <c r="F192" s="67"/>
      <c r="G192" s="67"/>
      <c r="H192" s="67"/>
      <c r="I192" s="2"/>
      <c r="J192" s="6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1"/>
      <c r="B193" s="1"/>
      <c r="C193" s="67"/>
      <c r="D193" s="67"/>
      <c r="E193" s="67"/>
      <c r="F193" s="67"/>
      <c r="G193" s="67"/>
      <c r="H193" s="67"/>
      <c r="I193" s="2"/>
      <c r="J193" s="6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1"/>
      <c r="B194" s="1"/>
      <c r="C194" s="67"/>
      <c r="D194" s="67"/>
      <c r="E194" s="67"/>
      <c r="F194" s="67"/>
      <c r="G194" s="67"/>
      <c r="H194" s="67"/>
      <c r="I194" s="2"/>
      <c r="J194" s="6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1"/>
      <c r="B195" s="1"/>
      <c r="C195" s="67"/>
      <c r="D195" s="67"/>
      <c r="E195" s="67"/>
      <c r="F195" s="67"/>
      <c r="G195" s="67"/>
      <c r="H195" s="67"/>
      <c r="I195" s="2"/>
      <c r="J195" s="6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1"/>
      <c r="B196" s="1"/>
      <c r="C196" s="67"/>
      <c r="D196" s="67"/>
      <c r="E196" s="67"/>
      <c r="F196" s="67"/>
      <c r="G196" s="67"/>
      <c r="H196" s="67"/>
      <c r="I196" s="2"/>
      <c r="J196" s="6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1"/>
      <c r="B197" s="1"/>
      <c r="C197" s="67"/>
      <c r="D197" s="67"/>
      <c r="E197" s="67"/>
      <c r="F197" s="67"/>
      <c r="G197" s="67"/>
      <c r="H197" s="67"/>
      <c r="I197" s="2"/>
      <c r="J197" s="6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1"/>
      <c r="B198" s="1"/>
      <c r="C198" s="67"/>
      <c r="D198" s="67"/>
      <c r="E198" s="67"/>
      <c r="F198" s="67"/>
      <c r="G198" s="67"/>
      <c r="H198" s="67"/>
      <c r="I198" s="2"/>
      <c r="J198" s="6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1"/>
      <c r="B199" s="1"/>
      <c r="C199" s="67"/>
      <c r="D199" s="67"/>
      <c r="E199" s="67"/>
      <c r="F199" s="67"/>
      <c r="G199" s="67"/>
      <c r="H199" s="67"/>
      <c r="I199" s="2"/>
      <c r="J199" s="6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1"/>
      <c r="B200" s="1"/>
      <c r="C200" s="67"/>
      <c r="D200" s="67"/>
      <c r="E200" s="67"/>
      <c r="F200" s="67"/>
      <c r="G200" s="67"/>
      <c r="H200" s="67"/>
      <c r="I200" s="2"/>
      <c r="J200" s="6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1"/>
      <c r="B201" s="1"/>
      <c r="C201" s="67"/>
      <c r="D201" s="67"/>
      <c r="E201" s="67"/>
      <c r="F201" s="67"/>
      <c r="G201" s="67"/>
      <c r="H201" s="67"/>
      <c r="I201" s="2"/>
      <c r="J201" s="6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1"/>
      <c r="B202" s="1"/>
      <c r="C202" s="67"/>
      <c r="D202" s="67"/>
      <c r="E202" s="67"/>
      <c r="F202" s="67"/>
      <c r="G202" s="67"/>
      <c r="H202" s="67"/>
      <c r="I202" s="2"/>
      <c r="J202" s="6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1"/>
      <c r="B203" s="1"/>
      <c r="C203" s="67"/>
      <c r="D203" s="67"/>
      <c r="E203" s="67"/>
      <c r="F203" s="67"/>
      <c r="G203" s="67"/>
      <c r="H203" s="67"/>
      <c r="I203" s="2"/>
      <c r="J203" s="6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1"/>
      <c r="B204" s="1"/>
      <c r="C204" s="67"/>
      <c r="D204" s="67"/>
      <c r="E204" s="67"/>
      <c r="F204" s="67"/>
      <c r="G204" s="67"/>
      <c r="H204" s="67"/>
      <c r="I204" s="2"/>
      <c r="J204" s="6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1"/>
      <c r="B205" s="1"/>
      <c r="C205" s="67"/>
      <c r="D205" s="67"/>
      <c r="E205" s="67"/>
      <c r="F205" s="67"/>
      <c r="G205" s="67"/>
      <c r="H205" s="67"/>
      <c r="I205" s="2"/>
      <c r="J205" s="6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1"/>
      <c r="B206" s="1"/>
      <c r="C206" s="67"/>
      <c r="D206" s="67"/>
      <c r="E206" s="67"/>
      <c r="F206" s="67"/>
      <c r="G206" s="67"/>
      <c r="H206" s="67"/>
      <c r="I206" s="2"/>
      <c r="J206" s="6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1"/>
      <c r="B207" s="1"/>
      <c r="C207" s="67"/>
      <c r="D207" s="67"/>
      <c r="E207" s="67"/>
      <c r="F207" s="67"/>
      <c r="G207" s="67"/>
      <c r="H207" s="67"/>
      <c r="I207" s="2"/>
      <c r="J207" s="6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1"/>
      <c r="B208" s="1"/>
      <c r="C208" s="67"/>
      <c r="D208" s="67"/>
      <c r="E208" s="67"/>
      <c r="F208" s="67"/>
      <c r="G208" s="67"/>
      <c r="H208" s="67"/>
      <c r="I208" s="2"/>
      <c r="J208" s="6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1"/>
      <c r="B209" s="1"/>
      <c r="C209" s="67"/>
      <c r="D209" s="67"/>
      <c r="E209" s="67"/>
      <c r="F209" s="67"/>
      <c r="G209" s="67"/>
      <c r="H209" s="67"/>
      <c r="I209" s="2"/>
      <c r="J209" s="6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1"/>
      <c r="B210" s="1"/>
      <c r="C210" s="67"/>
      <c r="D210" s="67"/>
      <c r="E210" s="67"/>
      <c r="F210" s="67"/>
      <c r="G210" s="67"/>
      <c r="H210" s="67"/>
      <c r="I210" s="2"/>
      <c r="J210" s="6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1"/>
      <c r="B211" s="1"/>
      <c r="C211" s="67"/>
      <c r="D211" s="67"/>
      <c r="E211" s="67"/>
      <c r="F211" s="67"/>
      <c r="G211" s="67"/>
      <c r="H211" s="67"/>
      <c r="I211" s="2"/>
      <c r="J211" s="6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1"/>
      <c r="B212" s="1"/>
      <c r="C212" s="67"/>
      <c r="D212" s="67"/>
      <c r="E212" s="67"/>
      <c r="F212" s="67"/>
      <c r="G212" s="67"/>
      <c r="H212" s="67"/>
      <c r="I212" s="2"/>
      <c r="J212" s="6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1"/>
      <c r="B213" s="1"/>
      <c r="C213" s="67"/>
      <c r="D213" s="67"/>
      <c r="E213" s="67"/>
      <c r="F213" s="67"/>
      <c r="G213" s="67"/>
      <c r="H213" s="67"/>
      <c r="I213" s="2"/>
      <c r="J213" s="6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1"/>
      <c r="B214" s="1"/>
      <c r="C214" s="67"/>
      <c r="D214" s="67"/>
      <c r="E214" s="67"/>
      <c r="F214" s="67"/>
      <c r="G214" s="67"/>
      <c r="H214" s="67"/>
      <c r="I214" s="2"/>
      <c r="J214" s="6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1"/>
      <c r="B215" s="1"/>
      <c r="C215" s="67"/>
      <c r="D215" s="67"/>
      <c r="E215" s="67"/>
      <c r="F215" s="67"/>
      <c r="G215" s="67"/>
      <c r="H215" s="67"/>
      <c r="I215" s="2"/>
      <c r="J215" s="6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1"/>
      <c r="B216" s="1"/>
      <c r="C216" s="67"/>
      <c r="D216" s="67"/>
      <c r="E216" s="67"/>
      <c r="F216" s="67"/>
      <c r="G216" s="67"/>
      <c r="H216" s="67"/>
      <c r="I216" s="2"/>
      <c r="J216" s="6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1"/>
      <c r="B217" s="1"/>
      <c r="C217" s="67"/>
      <c r="D217" s="67"/>
      <c r="E217" s="67"/>
      <c r="F217" s="67"/>
      <c r="G217" s="67"/>
      <c r="H217" s="67"/>
      <c r="I217" s="2"/>
      <c r="J217" s="6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1"/>
      <c r="B218" s="1"/>
      <c r="C218" s="67"/>
      <c r="D218" s="67"/>
      <c r="E218" s="67"/>
      <c r="F218" s="67"/>
      <c r="G218" s="67"/>
      <c r="H218" s="67"/>
      <c r="I218" s="2"/>
      <c r="J218" s="6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1"/>
      <c r="B219" s="1"/>
      <c r="C219" s="67"/>
      <c r="D219" s="67"/>
      <c r="E219" s="67"/>
      <c r="F219" s="67"/>
      <c r="G219" s="67"/>
      <c r="H219" s="67"/>
      <c r="I219" s="2"/>
      <c r="J219" s="6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1"/>
      <c r="B220" s="1"/>
      <c r="C220" s="67"/>
      <c r="D220" s="67"/>
      <c r="E220" s="67"/>
      <c r="F220" s="67"/>
      <c r="G220" s="67"/>
      <c r="H220" s="67"/>
      <c r="I220" s="2"/>
      <c r="J220" s="6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1"/>
      <c r="B221" s="1"/>
      <c r="C221" s="67"/>
      <c r="D221" s="67"/>
      <c r="E221" s="67"/>
      <c r="F221" s="67"/>
      <c r="G221" s="67"/>
      <c r="H221" s="67"/>
      <c r="I221" s="2"/>
      <c r="J221" s="6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1"/>
      <c r="B222" s="1"/>
      <c r="C222" s="67"/>
      <c r="D222" s="67"/>
      <c r="E222" s="67"/>
      <c r="F222" s="67"/>
      <c r="G222" s="67"/>
      <c r="H222" s="67"/>
      <c r="I222" s="2"/>
      <c r="J222" s="6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1"/>
      <c r="B223" s="1"/>
      <c r="C223" s="67"/>
      <c r="D223" s="67"/>
      <c r="E223" s="67"/>
      <c r="F223" s="67"/>
      <c r="G223" s="67"/>
      <c r="H223" s="67"/>
      <c r="I223" s="2"/>
      <c r="J223" s="6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1"/>
      <c r="B224" s="1"/>
      <c r="C224" s="67"/>
      <c r="D224" s="67"/>
      <c r="E224" s="67"/>
      <c r="F224" s="67"/>
      <c r="G224" s="67"/>
      <c r="H224" s="67"/>
      <c r="I224" s="2"/>
      <c r="J224" s="6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1"/>
      <c r="B225" s="1"/>
      <c r="C225" s="67"/>
      <c r="D225" s="67"/>
      <c r="E225" s="67"/>
      <c r="F225" s="67"/>
      <c r="G225" s="67"/>
      <c r="H225" s="67"/>
      <c r="I225" s="2"/>
      <c r="J225" s="6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1"/>
      <c r="B226" s="1"/>
      <c r="C226" s="67"/>
      <c r="D226" s="67"/>
      <c r="E226" s="67"/>
      <c r="F226" s="67"/>
      <c r="G226" s="67"/>
      <c r="H226" s="67"/>
      <c r="I226" s="2"/>
      <c r="J226" s="6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1"/>
      <c r="B227" s="1"/>
      <c r="C227" s="67"/>
      <c r="D227" s="67"/>
      <c r="E227" s="67"/>
      <c r="F227" s="67"/>
      <c r="G227" s="67"/>
      <c r="H227" s="67"/>
      <c r="I227" s="2"/>
      <c r="J227" s="6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1"/>
      <c r="B228" s="1"/>
      <c r="C228" s="67"/>
      <c r="D228" s="67"/>
      <c r="E228" s="67"/>
      <c r="F228" s="67"/>
      <c r="G228" s="67"/>
      <c r="H228" s="67"/>
      <c r="I228" s="2"/>
      <c r="J228" s="6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1"/>
      <c r="B229" s="1"/>
      <c r="C229" s="67"/>
      <c r="D229" s="67"/>
      <c r="E229" s="67"/>
      <c r="F229" s="67"/>
      <c r="G229" s="67"/>
      <c r="H229" s="67"/>
      <c r="I229" s="2"/>
      <c r="J229" s="6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1"/>
      <c r="B230" s="1"/>
      <c r="C230" s="67"/>
      <c r="D230" s="67"/>
      <c r="E230" s="67"/>
      <c r="F230" s="67"/>
      <c r="G230" s="67"/>
      <c r="H230" s="67"/>
      <c r="I230" s="2"/>
      <c r="J230" s="6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1"/>
      <c r="B231" s="1"/>
      <c r="C231" s="67"/>
      <c r="D231" s="67"/>
      <c r="E231" s="67"/>
      <c r="F231" s="67"/>
      <c r="G231" s="67"/>
      <c r="H231" s="67"/>
      <c r="I231" s="2"/>
      <c r="J231" s="6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1"/>
      <c r="B232" s="1"/>
      <c r="C232" s="67"/>
      <c r="D232" s="67"/>
      <c r="E232" s="67"/>
      <c r="F232" s="67"/>
      <c r="G232" s="67"/>
      <c r="H232" s="67"/>
      <c r="I232" s="2"/>
      <c r="J232" s="6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1"/>
      <c r="B233" s="1"/>
      <c r="C233" s="67"/>
      <c r="D233" s="67"/>
      <c r="E233" s="67"/>
      <c r="F233" s="67"/>
      <c r="G233" s="67"/>
      <c r="H233" s="67"/>
      <c r="I233" s="2"/>
      <c r="J233" s="6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1"/>
      <c r="B234" s="1"/>
      <c r="C234" s="67"/>
      <c r="D234" s="67"/>
      <c r="E234" s="67"/>
      <c r="F234" s="67"/>
      <c r="G234" s="67"/>
      <c r="H234" s="67"/>
      <c r="I234" s="2"/>
      <c r="J234" s="6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1"/>
      <c r="B235" s="1"/>
      <c r="C235" s="67"/>
      <c r="D235" s="67"/>
      <c r="E235" s="67"/>
      <c r="F235" s="67"/>
      <c r="G235" s="67"/>
      <c r="H235" s="67"/>
      <c r="I235" s="2"/>
      <c r="J235" s="6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1"/>
      <c r="B236" s="1"/>
      <c r="C236" s="67"/>
      <c r="D236" s="67"/>
      <c r="E236" s="67"/>
      <c r="F236" s="67"/>
      <c r="G236" s="67"/>
      <c r="H236" s="67"/>
      <c r="I236" s="2"/>
      <c r="J236" s="6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1"/>
      <c r="B237" s="1"/>
      <c r="C237" s="67"/>
      <c r="D237" s="67"/>
      <c r="E237" s="67"/>
      <c r="F237" s="67"/>
      <c r="G237" s="67"/>
      <c r="H237" s="67"/>
      <c r="I237" s="2"/>
      <c r="J237" s="6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1"/>
      <c r="B238" s="1"/>
      <c r="C238" s="67"/>
      <c r="D238" s="67"/>
      <c r="E238" s="67"/>
      <c r="F238" s="67"/>
      <c r="G238" s="67"/>
      <c r="H238" s="67"/>
      <c r="I238" s="2"/>
      <c r="J238" s="6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1"/>
      <c r="B239" s="1"/>
      <c r="C239" s="67"/>
      <c r="D239" s="67"/>
      <c r="E239" s="67"/>
      <c r="F239" s="67"/>
      <c r="G239" s="67"/>
      <c r="H239" s="67"/>
      <c r="I239" s="2"/>
      <c r="J239" s="6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1"/>
      <c r="B240" s="1"/>
      <c r="C240" s="67"/>
      <c r="D240" s="67"/>
      <c r="E240" s="67"/>
      <c r="F240" s="67"/>
      <c r="G240" s="67"/>
      <c r="H240" s="67"/>
      <c r="I240" s="2"/>
      <c r="J240" s="6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1"/>
      <c r="B241" s="1"/>
      <c r="C241" s="67"/>
      <c r="D241" s="67"/>
      <c r="E241" s="67"/>
      <c r="F241" s="67"/>
      <c r="G241" s="67"/>
      <c r="H241" s="67"/>
      <c r="I241" s="2"/>
      <c r="J241" s="6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1"/>
      <c r="B242" s="1"/>
      <c r="C242" s="67"/>
      <c r="D242" s="67"/>
      <c r="E242" s="67"/>
      <c r="F242" s="67"/>
      <c r="G242" s="67"/>
      <c r="H242" s="67"/>
      <c r="I242" s="2"/>
      <c r="J242" s="6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1"/>
      <c r="B243" s="1"/>
      <c r="C243" s="67"/>
      <c r="D243" s="67"/>
      <c r="E243" s="67"/>
      <c r="F243" s="67"/>
      <c r="G243" s="67"/>
      <c r="H243" s="67"/>
      <c r="I243" s="2"/>
      <c r="J243" s="6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1"/>
      <c r="B244" s="1"/>
      <c r="C244" s="67"/>
      <c r="D244" s="67"/>
      <c r="E244" s="67"/>
      <c r="F244" s="67"/>
      <c r="G244" s="67"/>
      <c r="H244" s="67"/>
      <c r="I244" s="2"/>
      <c r="J244" s="6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1"/>
      <c r="B245" s="1"/>
      <c r="C245" s="67"/>
      <c r="D245" s="67"/>
      <c r="E245" s="67"/>
      <c r="F245" s="67"/>
      <c r="G245" s="67"/>
      <c r="H245" s="67"/>
      <c r="I245" s="2"/>
      <c r="J245" s="6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1"/>
      <c r="B246" s="1"/>
      <c r="C246" s="67"/>
      <c r="D246" s="67"/>
      <c r="E246" s="67"/>
      <c r="F246" s="67"/>
      <c r="G246" s="67"/>
      <c r="H246" s="67"/>
      <c r="I246" s="2"/>
      <c r="J246" s="6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1"/>
      <c r="B247" s="1"/>
      <c r="C247" s="67"/>
      <c r="D247" s="67"/>
      <c r="E247" s="67"/>
      <c r="F247" s="67"/>
      <c r="G247" s="67"/>
      <c r="H247" s="67"/>
      <c r="I247" s="2"/>
      <c r="J247" s="6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1"/>
      <c r="B248" s="1"/>
      <c r="C248" s="67"/>
      <c r="D248" s="67"/>
      <c r="E248" s="67"/>
      <c r="F248" s="67"/>
      <c r="G248" s="67"/>
      <c r="H248" s="67"/>
      <c r="I248" s="2"/>
      <c r="J248" s="6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1"/>
      <c r="B249" s="1"/>
      <c r="C249" s="67"/>
      <c r="D249" s="67"/>
      <c r="E249" s="67"/>
      <c r="F249" s="67"/>
      <c r="G249" s="67"/>
      <c r="H249" s="67"/>
      <c r="I249" s="2"/>
      <c r="J249" s="6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1"/>
      <c r="B250" s="1"/>
      <c r="C250" s="67"/>
      <c r="D250" s="67"/>
      <c r="E250" s="67"/>
      <c r="F250" s="67"/>
      <c r="G250" s="67"/>
      <c r="H250" s="67"/>
      <c r="I250" s="2"/>
      <c r="J250" s="6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1"/>
      <c r="B251" s="1"/>
      <c r="C251" s="67"/>
      <c r="D251" s="67"/>
      <c r="E251" s="67"/>
      <c r="F251" s="67"/>
      <c r="G251" s="67"/>
      <c r="H251" s="67"/>
      <c r="I251" s="2"/>
      <c r="J251" s="6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1"/>
      <c r="B252" s="1"/>
      <c r="C252" s="67"/>
      <c r="D252" s="67"/>
      <c r="E252" s="67"/>
      <c r="F252" s="67"/>
      <c r="G252" s="67"/>
      <c r="H252" s="67"/>
      <c r="I252" s="2"/>
      <c r="J252" s="6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1"/>
      <c r="B253" s="1"/>
      <c r="C253" s="67"/>
      <c r="D253" s="67"/>
      <c r="E253" s="67"/>
      <c r="F253" s="67"/>
      <c r="G253" s="67"/>
      <c r="H253" s="67"/>
      <c r="I253" s="2"/>
      <c r="J253" s="6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1"/>
      <c r="B254" s="1"/>
      <c r="C254" s="67"/>
      <c r="D254" s="67"/>
      <c r="E254" s="67"/>
      <c r="F254" s="67"/>
      <c r="G254" s="67"/>
      <c r="H254" s="67"/>
      <c r="I254" s="2"/>
      <c r="J254" s="6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1"/>
      <c r="B255" s="1"/>
      <c r="C255" s="67"/>
      <c r="D255" s="67"/>
      <c r="E255" s="67"/>
      <c r="F255" s="67"/>
      <c r="G255" s="67"/>
      <c r="H255" s="67"/>
      <c r="I255" s="2"/>
      <c r="J255" s="6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1"/>
      <c r="B256" s="1"/>
      <c r="C256" s="67"/>
      <c r="D256" s="67"/>
      <c r="E256" s="67"/>
      <c r="F256" s="67"/>
      <c r="G256" s="67"/>
      <c r="H256" s="67"/>
      <c r="I256" s="2"/>
      <c r="J256" s="6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1"/>
      <c r="B257" s="1"/>
      <c r="C257" s="67"/>
      <c r="D257" s="67"/>
      <c r="E257" s="67"/>
      <c r="F257" s="67"/>
      <c r="G257" s="67"/>
      <c r="H257" s="67"/>
      <c r="I257" s="2"/>
      <c r="J257" s="6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1"/>
      <c r="B258" s="1"/>
      <c r="C258" s="67"/>
      <c r="D258" s="67"/>
      <c r="E258" s="67"/>
      <c r="F258" s="67"/>
      <c r="G258" s="67"/>
      <c r="H258" s="67"/>
      <c r="I258" s="2"/>
      <c r="J258" s="6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1"/>
      <c r="B259" s="1"/>
      <c r="C259" s="67"/>
      <c r="D259" s="67"/>
      <c r="E259" s="67"/>
      <c r="F259" s="67"/>
      <c r="G259" s="67"/>
      <c r="H259" s="67"/>
      <c r="I259" s="2"/>
      <c r="J259" s="6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1"/>
      <c r="B260" s="1"/>
      <c r="C260" s="67"/>
      <c r="D260" s="67"/>
      <c r="E260" s="67"/>
      <c r="F260" s="67"/>
      <c r="G260" s="67"/>
      <c r="H260" s="67"/>
      <c r="I260" s="2"/>
      <c r="J260" s="6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</sheetData>
  <mergeCells count="2">
    <mergeCell ref="D1:F1"/>
    <mergeCell ref="J1:L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D965"/>
  </sheetPr>
  <dimension ref="A1:AD1005"/>
  <sheetViews>
    <sheetView zoomScale="150" zoomScaleNormal="150" workbookViewId="0">
      <pane xSplit="3" ySplit="4" topLeftCell="D70" activePane="bottomRight" state="frozen"/>
      <selection activeCell="D37" sqref="D37"/>
      <selection pane="topRight" activeCell="D37" sqref="D37"/>
      <selection pane="bottomLeft" activeCell="D37" sqref="D37"/>
      <selection pane="bottomRight" activeCell="E79" sqref="E79"/>
    </sheetView>
  </sheetViews>
  <sheetFormatPr defaultColWidth="12.7109375" defaultRowHeight="15" customHeight="1" outlineLevelRow="1" outlineLevelCol="1"/>
  <cols>
    <col min="1" max="1" width="14.42578125" customWidth="1"/>
    <col min="2" max="2" width="29.85546875" customWidth="1"/>
    <col min="3" max="3" width="37.28515625" customWidth="1"/>
    <col min="4" max="5" width="14.42578125" customWidth="1" outlineLevel="1"/>
    <col min="6" max="6" width="19.28515625" customWidth="1" outlineLevel="1"/>
    <col min="7" max="7" width="14.42578125" customWidth="1" outlineLevel="1"/>
    <col min="8" max="8" width="3.28515625" customWidth="1" outlineLevel="1"/>
    <col min="9" max="11" width="14.42578125" customWidth="1" outlineLevel="1"/>
    <col min="12" max="12" width="16.42578125" customWidth="1" outlineLevel="1"/>
    <col min="13" max="30" width="14.42578125" customWidth="1"/>
  </cols>
  <sheetData>
    <row r="1" spans="1:30">
      <c r="A1" s="2"/>
      <c r="B1" s="1"/>
      <c r="C1" s="1"/>
      <c r="D1" s="684" t="s">
        <v>904</v>
      </c>
      <c r="E1" s="685"/>
      <c r="F1" s="686"/>
      <c r="G1" s="67"/>
      <c r="H1" s="154"/>
      <c r="I1" s="67"/>
      <c r="J1" s="684" t="s">
        <v>909</v>
      </c>
      <c r="K1" s="685"/>
      <c r="L1" s="68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1"/>
      <c r="C2" s="1"/>
      <c r="D2" s="73"/>
      <c r="E2" s="2"/>
      <c r="F2" s="2"/>
      <c r="G2" s="73"/>
      <c r="H2" s="137"/>
      <c r="I2" s="73"/>
      <c r="J2" s="7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/>
      <c r="B3" s="1"/>
      <c r="C3" s="1"/>
      <c r="D3" s="132">
        <v>44561</v>
      </c>
      <c r="E3" s="133"/>
      <c r="F3" s="132">
        <v>44561</v>
      </c>
      <c r="G3" s="133"/>
      <c r="H3" s="155"/>
      <c r="I3" s="133"/>
      <c r="J3" s="132">
        <v>44561</v>
      </c>
      <c r="K3" s="133"/>
      <c r="L3" s="132">
        <v>44561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/>
      <c r="B4" s="1"/>
      <c r="C4" s="1"/>
      <c r="D4" s="135"/>
      <c r="E4" s="73" t="s">
        <v>906</v>
      </c>
      <c r="F4" s="73" t="s">
        <v>907</v>
      </c>
      <c r="G4" s="135"/>
      <c r="H4" s="156"/>
      <c r="I4" s="135"/>
      <c r="J4" s="157" t="s">
        <v>880</v>
      </c>
      <c r="K4" s="158" t="s">
        <v>906</v>
      </c>
      <c r="L4" s="158" t="s">
        <v>907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2"/>
      <c r="B5" s="55" t="s">
        <v>348</v>
      </c>
      <c r="C5" s="55" t="s">
        <v>348</v>
      </c>
      <c r="D5" s="89">
        <f>SUMIFS('TB LTD 12.21'!G:G,'TB LTD 12.21'!I:I,$B5,'TB LTD 12.21'!J:J,$C5)</f>
        <v>-173420772.49000001</v>
      </c>
      <c r="E5" s="89">
        <f>'AJE 2021'!G64</f>
        <v>5389318.1997870803</v>
      </c>
      <c r="F5" s="89">
        <f t="shared" ref="F5:F8" si="0">D5+E5</f>
        <v>-168031454.29021293</v>
      </c>
      <c r="G5" s="89"/>
      <c r="H5" s="159"/>
      <c r="I5" s="89"/>
      <c r="J5" s="89">
        <f>SUMIFS('TB LTD 12.21'!F:F,'TB LTD 12.21'!I:I,$B5,'TB LTD 12.21'!J:J,$C5)</f>
        <v>-552000446.88</v>
      </c>
      <c r="K5" s="89">
        <f>'AJE 2021'!J64</f>
        <v>17403725.262572419</v>
      </c>
      <c r="L5" s="89">
        <f t="shared" ref="L5:L8" si="1">J5+K5</f>
        <v>-534596721.61742759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2"/>
      <c r="B6" s="55" t="s">
        <v>348</v>
      </c>
      <c r="C6" s="2" t="s">
        <v>349</v>
      </c>
      <c r="D6" s="89">
        <f>SUMIFS('TB LTD 12.21'!G:G,'TB LTD 12.21'!I:I,$B6,'TB LTD 12.21'!J:J,$C6)</f>
        <v>-1552581.48</v>
      </c>
      <c r="E6" s="89"/>
      <c r="F6" s="89">
        <f t="shared" si="0"/>
        <v>-1552581.48</v>
      </c>
      <c r="G6" s="89"/>
      <c r="H6" s="159"/>
      <c r="I6" s="89"/>
      <c r="J6" s="89">
        <f>SUMIFS('TB LTD 12.21'!F:F,'TB LTD 12.21'!I:I,$B6,'TB LTD 12.21'!J:J,$C6)</f>
        <v>-5007210.8699999992</v>
      </c>
      <c r="K6" s="89"/>
      <c r="L6" s="89">
        <f t="shared" si="1"/>
        <v>-5007210.8699999992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2"/>
      <c r="B7" s="55" t="s">
        <v>348</v>
      </c>
      <c r="C7" s="55" t="s">
        <v>522</v>
      </c>
      <c r="D7" s="89">
        <f>SUMIFS('TB LTD 12.21'!G:G,'TB LTD 12.21'!I:I,$B7,'TB LTD 12.21'!J:J,$C7)</f>
        <v>3260399</v>
      </c>
      <c r="E7" s="89">
        <f>'AJE 2021'!G48</f>
        <v>225333</v>
      </c>
      <c r="F7" s="89">
        <f t="shared" si="0"/>
        <v>3485732</v>
      </c>
      <c r="G7" s="89"/>
      <c r="H7" s="159"/>
      <c r="I7" s="89"/>
      <c r="J7" s="89">
        <f>SUMIFS('TB LTD 12.21'!F:F,'TB LTD 12.21'!I:I,$B7,'TB LTD 12.21'!J:J,$C7)</f>
        <v>10470022.33</v>
      </c>
      <c r="K7" s="89">
        <f>'AJE 2021'!J48</f>
        <v>700785.63</v>
      </c>
      <c r="L7" s="89">
        <f t="shared" si="1"/>
        <v>11170807.960000001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2"/>
      <c r="B8" s="55" t="s">
        <v>348</v>
      </c>
      <c r="C8" s="55" t="s">
        <v>371</v>
      </c>
      <c r="D8" s="89">
        <f>SUMIFS('TB LTD 12.21'!G:G,'TB LTD 12.21'!I:I,$B8,'TB LTD 12.21'!J:J,$C8)</f>
        <v>3028063.37</v>
      </c>
      <c r="E8" s="89"/>
      <c r="F8" s="89">
        <f t="shared" si="0"/>
        <v>3028063.37</v>
      </c>
      <c r="G8" s="89"/>
      <c r="H8" s="159"/>
      <c r="I8" s="89"/>
      <c r="J8" s="89">
        <f>SUMIFS('TB LTD 12.21'!F:F,'TB LTD 12.21'!I:I,$B8,'TB LTD 12.21'!J:J,$C8)</f>
        <v>9740065.5899999999</v>
      </c>
      <c r="K8" s="89"/>
      <c r="L8" s="89">
        <f t="shared" si="1"/>
        <v>9740065.5899999999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.75" customHeight="1">
      <c r="A9" s="2"/>
      <c r="B9" s="104" t="s">
        <v>348</v>
      </c>
      <c r="C9" s="104" t="s">
        <v>897</v>
      </c>
      <c r="D9" s="100">
        <f>SUM(D5:D8)</f>
        <v>-168684891.59999999</v>
      </c>
      <c r="E9" s="100">
        <f>SUM(E5:E8)</f>
        <v>5614651.1997870803</v>
      </c>
      <c r="F9" s="100">
        <f>SUM(F5:F8)</f>
        <v>-163070240.40021291</v>
      </c>
      <c r="G9" s="100"/>
      <c r="H9" s="160"/>
      <c r="I9" s="100"/>
      <c r="J9" s="100">
        <f>SUM(J5:J8)</f>
        <v>-536797569.82999998</v>
      </c>
      <c r="K9" s="100">
        <f>SUM(K5:K8)</f>
        <v>18104510.892572418</v>
      </c>
      <c r="L9" s="100">
        <f>SUM(L5:L8)</f>
        <v>-518693058.93742764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>
      <c r="A10" s="2"/>
      <c r="B10" s="1"/>
      <c r="C10" s="1"/>
      <c r="D10" s="89"/>
      <c r="E10" s="89"/>
      <c r="F10" s="89"/>
      <c r="G10" s="89"/>
      <c r="H10" s="159"/>
      <c r="I10" s="89"/>
      <c r="J10" s="89"/>
      <c r="K10" s="89"/>
      <c r="L10" s="8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>
      <c r="A11" s="2"/>
      <c r="B11" s="104" t="s">
        <v>358</v>
      </c>
      <c r="C11" s="104" t="s">
        <v>358</v>
      </c>
      <c r="D11" s="100">
        <f>SUM(D12:D21)</f>
        <v>13306626.09</v>
      </c>
      <c r="E11" s="100">
        <f>SUM(E12:E21)</f>
        <v>-553163.28100636159</v>
      </c>
      <c r="F11" s="100">
        <f>SUM(F12:F21)</f>
        <v>12753462.808993638</v>
      </c>
      <c r="G11" s="100"/>
      <c r="H11" s="160"/>
      <c r="I11" s="100"/>
      <c r="J11" s="100">
        <f>SUM(J12:J21)</f>
        <v>42709720.850000001</v>
      </c>
      <c r="K11" s="100">
        <f>SUM(K12:K21)</f>
        <v>-1786330.1833538434</v>
      </c>
      <c r="L11" s="100">
        <f>SUM(L12:L21)</f>
        <v>40923390.66664616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outlineLevel="1">
      <c r="A12" s="161" t="s">
        <v>910</v>
      </c>
      <c r="B12" s="104" t="s">
        <v>358</v>
      </c>
      <c r="C12" s="59" t="s">
        <v>428</v>
      </c>
      <c r="D12" s="89">
        <f>SUMIFS('TB LTD 12.21'!G:G,'TB LTD 12.21'!I:I,$B12,'TB LTD 12.21'!J:J,$C12)</f>
        <v>107488.35</v>
      </c>
      <c r="E12" s="89"/>
      <c r="F12" s="89">
        <f t="shared" ref="F12:F21" si="2">D12+E12</f>
        <v>107488.35</v>
      </c>
      <c r="G12" s="89"/>
      <c r="H12" s="159"/>
      <c r="I12" s="89"/>
      <c r="J12" s="89">
        <f>SUMIFS('TB LTD 12.21'!F:F,'TB LTD 12.21'!I:I,$B12,'TB LTD 12.21'!J:J,$C12)</f>
        <v>348109.55</v>
      </c>
      <c r="K12" s="89"/>
      <c r="L12" s="89">
        <f t="shared" ref="L12:L21" si="3">J12+K12</f>
        <v>348109.55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.75" customHeight="1" outlineLevel="1">
      <c r="A13" s="2" t="s">
        <v>911</v>
      </c>
      <c r="B13" s="104" t="s">
        <v>358</v>
      </c>
      <c r="C13" s="59" t="s">
        <v>359</v>
      </c>
      <c r="D13" s="89">
        <f>SUMIFS('TB LTD 12.21'!G:G,'TB LTD 12.21'!I:I,$B13,'TB LTD 12.21'!J:J,$C13)</f>
        <v>698868.45000000019</v>
      </c>
      <c r="E13" s="89"/>
      <c r="F13" s="89">
        <f t="shared" si="2"/>
        <v>698868.45000000019</v>
      </c>
      <c r="G13" s="89"/>
      <c r="H13" s="159"/>
      <c r="I13" s="89"/>
      <c r="J13" s="89">
        <f>SUMIFS('TB LTD 12.21'!F:F,'TB LTD 12.21'!I:I,$B13,'TB LTD 12.21'!J:J,$C13)</f>
        <v>2241056.41</v>
      </c>
      <c r="K13" s="89"/>
      <c r="L13" s="89">
        <f t="shared" si="3"/>
        <v>2241056.41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.75" customHeight="1" outlineLevel="1">
      <c r="A14" s="161" t="s">
        <v>910</v>
      </c>
      <c r="B14" s="104" t="s">
        <v>358</v>
      </c>
      <c r="C14" s="59" t="s">
        <v>409</v>
      </c>
      <c r="D14" s="89">
        <f>SUMIFS('TB LTD 12.21'!G:G,'TB LTD 12.21'!I:I,$B14,'TB LTD 12.21'!J:J,$C14)</f>
        <v>35022.79</v>
      </c>
      <c r="E14" s="89"/>
      <c r="F14" s="89">
        <f t="shared" si="2"/>
        <v>35022.79</v>
      </c>
      <c r="G14" s="89"/>
      <c r="H14" s="159"/>
      <c r="I14" s="89"/>
      <c r="J14" s="89">
        <f>SUMIFS('TB LTD 12.21'!F:F,'TB LTD 12.21'!I:I,$B14,'TB LTD 12.21'!J:J,$C14)</f>
        <v>113025.94</v>
      </c>
      <c r="K14" s="89"/>
      <c r="L14" s="89">
        <f t="shared" si="3"/>
        <v>113025.94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.75" customHeight="1" outlineLevel="1">
      <c r="A15" s="161" t="s">
        <v>910</v>
      </c>
      <c r="B15" s="104" t="s">
        <v>358</v>
      </c>
      <c r="C15" s="59" t="s">
        <v>521</v>
      </c>
      <c r="D15" s="89">
        <f>SUMIFS('TB LTD 12.21'!G:G,'TB LTD 12.21'!I:I,$B15,'TB LTD 12.21'!J:J,$C15)</f>
        <v>938775.14</v>
      </c>
      <c r="E15" s="89"/>
      <c r="F15" s="89">
        <f t="shared" si="2"/>
        <v>938775.14</v>
      </c>
      <c r="G15" s="89"/>
      <c r="H15" s="159"/>
      <c r="I15" s="89"/>
      <c r="J15" s="89">
        <f>SUMIFS('TB LTD 12.21'!F:F,'TB LTD 12.21'!I:I,$B15,'TB LTD 12.21'!J:J,$C15)</f>
        <v>3105388.15</v>
      </c>
      <c r="K15" s="89"/>
      <c r="L15" s="89">
        <f t="shared" si="3"/>
        <v>3105388.15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outlineLevel="1">
      <c r="A16" s="161" t="s">
        <v>910</v>
      </c>
      <c r="B16" s="104" t="s">
        <v>358</v>
      </c>
      <c r="C16" s="59" t="s">
        <v>515</v>
      </c>
      <c r="D16" s="89">
        <f>SUMIFS('TB LTD 12.21'!G:G,'TB LTD 12.21'!I:I,$B16,'TB LTD 12.21'!J:J,$C16)</f>
        <v>0</v>
      </c>
      <c r="E16" s="89"/>
      <c r="F16" s="89">
        <f t="shared" si="2"/>
        <v>0</v>
      </c>
      <c r="G16" s="89"/>
      <c r="H16" s="159"/>
      <c r="I16" s="89"/>
      <c r="J16" s="89">
        <f>SUMIFS('TB LTD 12.21'!F:F,'TB LTD 12.21'!I:I,$B16,'TB LTD 12.21'!J:J,$C16)</f>
        <v>0</v>
      </c>
      <c r="K16" s="89"/>
      <c r="L16" s="89">
        <f t="shared" si="3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.75" customHeight="1">
      <c r="A17" s="2"/>
      <c r="B17" s="104" t="s">
        <v>358</v>
      </c>
      <c r="C17" s="59" t="s">
        <v>371</v>
      </c>
      <c r="D17" s="89">
        <f>SUMIFS('TB LTD 12.21'!G:G,'TB LTD 12.21'!I:I,$B17,'TB LTD 12.21'!J:J,$C17)</f>
        <v>0</v>
      </c>
      <c r="E17" s="89"/>
      <c r="F17" s="89">
        <f t="shared" si="2"/>
        <v>0</v>
      </c>
      <c r="G17" s="89"/>
      <c r="H17" s="159"/>
      <c r="I17" s="89"/>
      <c r="J17" s="89">
        <f>SUMIFS('TB LTD 12.21'!F:F,'TB LTD 12.21'!I:I,$B17,'TB LTD 12.21'!J:J,$C17)</f>
        <v>0</v>
      </c>
      <c r="K17" s="89"/>
      <c r="L17" s="89">
        <f t="shared" si="3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.75" customHeight="1">
      <c r="A18" s="161" t="s">
        <v>912</v>
      </c>
      <c r="B18" s="104" t="s">
        <v>358</v>
      </c>
      <c r="C18" s="59" t="s">
        <v>524</v>
      </c>
      <c r="D18" s="89">
        <f>SUMIFS('TB LTD 12.21'!G:G,'TB LTD 12.21'!I:I,$B18,'TB LTD 12.21'!J:J,$C18)</f>
        <v>21364</v>
      </c>
      <c r="E18" s="89">
        <f>'AJE 2021'!G18</f>
        <v>-6811.1171063624588</v>
      </c>
      <c r="F18" s="89">
        <f t="shared" si="2"/>
        <v>14552.882893637541</v>
      </c>
      <c r="G18" s="89"/>
      <c r="H18" s="159"/>
      <c r="I18" s="89"/>
      <c r="J18" s="89">
        <f>SUMIFS('TB LTD 12.21'!F:F,'TB LTD 12.21'!I:I,$B18,'TB LTD 12.21'!J:J,$C18)</f>
        <v>68611.740000000005</v>
      </c>
      <c r="K18" s="89">
        <f>'AJE 2021'!J18</f>
        <v>-21995.140471576287</v>
      </c>
      <c r="L18" s="89">
        <f t="shared" si="3"/>
        <v>46616.599528423714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>
      <c r="A19" s="161" t="s">
        <v>910</v>
      </c>
      <c r="B19" s="104" t="s">
        <v>358</v>
      </c>
      <c r="C19" s="59" t="s">
        <v>551</v>
      </c>
      <c r="D19" s="89">
        <f>SUMIFS('TB LTD 12.21'!G:G,'TB LTD 12.21'!I:I,$B19,'TB LTD 12.21'!J:J,$C19)</f>
        <v>220446</v>
      </c>
      <c r="E19" s="89"/>
      <c r="F19" s="89">
        <f t="shared" si="2"/>
        <v>220446</v>
      </c>
      <c r="G19" s="89"/>
      <c r="H19" s="159"/>
      <c r="I19" s="89"/>
      <c r="J19" s="89">
        <f>SUMIFS('TB LTD 12.21'!F:F,'TB LTD 12.21'!I:I,$B19,'TB LTD 12.21'!J:J,$C19)</f>
        <v>692152.93</v>
      </c>
      <c r="K19" s="89"/>
      <c r="L19" s="89">
        <f t="shared" si="3"/>
        <v>692152.93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.75" customHeight="1">
      <c r="A20" s="2"/>
      <c r="B20" s="104" t="s">
        <v>358</v>
      </c>
      <c r="C20" s="59" t="s">
        <v>563</v>
      </c>
      <c r="D20" s="89">
        <f>SUMIFS('TB LTD 12.21'!G:G,'TB LTD 12.21'!I:I,$B20,'TB LTD 12.21'!J:J,$C20)</f>
        <v>11270061.359999999</v>
      </c>
      <c r="E20" s="89">
        <f>-'AJE 2021'!H54</f>
        <v>-546352.16389999911</v>
      </c>
      <c r="F20" s="89">
        <f t="shared" si="2"/>
        <v>10723709.1961</v>
      </c>
      <c r="G20" s="89"/>
      <c r="H20" s="159"/>
      <c r="I20" s="89"/>
      <c r="J20" s="89">
        <f>SUMIFS('TB LTD 12.21'!F:F,'TB LTD 12.21'!I:I,$B20,'TB LTD 12.21'!J:J,$C20)</f>
        <v>36093859.93</v>
      </c>
      <c r="K20" s="89">
        <f>-'AJE 2021'!K54</f>
        <v>-1764335.0428822672</v>
      </c>
      <c r="L20" s="89">
        <f t="shared" si="3"/>
        <v>34329524.887117736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5.75" customHeight="1">
      <c r="A21" s="161" t="s">
        <v>910</v>
      </c>
      <c r="B21" s="104" t="s">
        <v>358</v>
      </c>
      <c r="C21" s="59" t="s">
        <v>487</v>
      </c>
      <c r="D21" s="89">
        <f>SUMIFS('TB LTD 12.21'!G:G,'TB LTD 12.21'!I:I,$B21,'TB LTD 12.21'!J:J,$C21)</f>
        <v>14600</v>
      </c>
      <c r="E21" s="89"/>
      <c r="F21" s="89">
        <f t="shared" si="2"/>
        <v>14600</v>
      </c>
      <c r="G21" s="89"/>
      <c r="H21" s="159"/>
      <c r="I21" s="89"/>
      <c r="J21" s="89">
        <f>SUMIFS('TB LTD 12.21'!F:F,'TB LTD 12.21'!I:I,$B21,'TB LTD 12.21'!J:J,$C21)</f>
        <v>47516.2</v>
      </c>
      <c r="K21" s="89"/>
      <c r="L21" s="89">
        <f t="shared" si="3"/>
        <v>47516.2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.75" customHeight="1" thickBot="1">
      <c r="A22" s="2"/>
      <c r="B22" s="1"/>
      <c r="C22" s="55" t="s">
        <v>898</v>
      </c>
      <c r="D22" s="162">
        <f>D9+D11</f>
        <v>-155378265.50999999</v>
      </c>
      <c r="E22" s="162">
        <f>E9+E11</f>
        <v>5061487.9187807189</v>
      </c>
      <c r="F22" s="162">
        <f>F9+F11</f>
        <v>-150316777.59121928</v>
      </c>
      <c r="G22" s="89"/>
      <c r="H22" s="159"/>
      <c r="I22" s="89"/>
      <c r="J22" s="162">
        <f>J9+J11</f>
        <v>-494087848.97999996</v>
      </c>
      <c r="K22" s="162">
        <f>K9+K11</f>
        <v>16318180.709218575</v>
      </c>
      <c r="L22" s="162">
        <f>L9+L11</f>
        <v>-477769668.27078146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.75" customHeight="1">
      <c r="A23" s="2"/>
      <c r="B23" s="1"/>
      <c r="C23" s="55"/>
      <c r="D23" s="89"/>
      <c r="E23" s="89"/>
      <c r="F23" s="89"/>
      <c r="G23" s="89"/>
      <c r="H23" s="159"/>
      <c r="I23" s="89"/>
      <c r="J23" s="89"/>
      <c r="K23" s="89"/>
      <c r="L23" s="8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.75" customHeight="1">
      <c r="A24" s="2"/>
      <c r="B24" s="1"/>
      <c r="C24" s="7"/>
      <c r="D24" s="89"/>
      <c r="E24" s="89"/>
      <c r="F24" s="89"/>
      <c r="G24" s="89"/>
      <c r="H24" s="159"/>
      <c r="I24" s="89"/>
      <c r="J24" s="89"/>
      <c r="K24" s="89"/>
      <c r="L24" s="8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>
      <c r="A25" s="2"/>
      <c r="B25" s="104" t="s">
        <v>374</v>
      </c>
      <c r="C25" s="104" t="s">
        <v>374</v>
      </c>
      <c r="D25" s="100">
        <f>SUM(D26:D35)</f>
        <v>10570626.780000003</v>
      </c>
      <c r="E25" s="100">
        <f>SUM(E26:E35)</f>
        <v>539214</v>
      </c>
      <c r="F25" s="100">
        <f>SUM(F26:F35)</f>
        <v>11109840.780000003</v>
      </c>
      <c r="G25" s="100"/>
      <c r="H25" s="160"/>
      <c r="I25" s="100"/>
      <c r="J25" s="100">
        <f>SUM(J26:J35)</f>
        <v>33751917.849999994</v>
      </c>
      <c r="K25" s="100">
        <f>SUM(K26:K35)</f>
        <v>1741283.7701999999</v>
      </c>
      <c r="L25" s="100">
        <f>SUM(L26:L35)</f>
        <v>35493201.620199993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 outlineLevel="1">
      <c r="A26" s="161" t="s">
        <v>910</v>
      </c>
      <c r="B26" s="104" t="s">
        <v>374</v>
      </c>
      <c r="C26" s="59" t="s">
        <v>428</v>
      </c>
      <c r="D26" s="89">
        <f>SUMIFS('TB LTD 12.21'!G:G,'TB LTD 12.21'!I:I,$B26,'TB LTD 12.21'!J:J,$C26)</f>
        <v>325465.62</v>
      </c>
      <c r="E26" s="89"/>
      <c r="F26" s="89">
        <f t="shared" ref="F26:F35" si="4">D26+E26</f>
        <v>325465.62</v>
      </c>
      <c r="G26" s="89"/>
      <c r="H26" s="159"/>
      <c r="I26" s="89"/>
      <c r="J26" s="89">
        <f>SUMIFS('TB LTD 12.21'!F:F,'TB LTD 12.21'!I:I,$B26,'TB LTD 12.21'!J:J,$C26)</f>
        <v>1179403.06</v>
      </c>
      <c r="K26" s="89"/>
      <c r="L26" s="89">
        <f t="shared" ref="L26:L35" si="5">J26+K26</f>
        <v>1179403.06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 outlineLevel="1">
      <c r="A27" s="2" t="s">
        <v>911</v>
      </c>
      <c r="B27" s="104" t="s">
        <v>374</v>
      </c>
      <c r="C27" s="59" t="s">
        <v>359</v>
      </c>
      <c r="D27" s="89">
        <f>SUMIFS('TB LTD 12.21'!G:G,'TB LTD 12.21'!I:I,$B27,'TB LTD 12.21'!J:J,$C27)</f>
        <v>7099737.9000000013</v>
      </c>
      <c r="E27" s="89"/>
      <c r="F27" s="89">
        <f t="shared" si="4"/>
        <v>7099737.9000000013</v>
      </c>
      <c r="G27" s="89"/>
      <c r="H27" s="159"/>
      <c r="I27" s="89"/>
      <c r="J27" s="89">
        <f>SUMIFS('TB LTD 12.21'!F:F,'TB LTD 12.21'!I:I,$B27,'TB LTD 12.21'!J:J,$C27)</f>
        <v>22611083.610000003</v>
      </c>
      <c r="K27" s="89"/>
      <c r="L27" s="89">
        <f t="shared" si="5"/>
        <v>22611083.610000003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 outlineLevel="1">
      <c r="A28" s="161" t="s">
        <v>910</v>
      </c>
      <c r="B28" s="104" t="s">
        <v>374</v>
      </c>
      <c r="C28" s="59" t="s">
        <v>409</v>
      </c>
      <c r="D28" s="89">
        <f>SUMIFS('TB LTD 12.21'!G:G,'TB LTD 12.21'!I:I,$B28,'TB LTD 12.21'!J:J,$C28)</f>
        <v>1018247.59</v>
      </c>
      <c r="E28" s="89"/>
      <c r="F28" s="89">
        <f>D28+E28</f>
        <v>1018247.59</v>
      </c>
      <c r="G28" s="89"/>
      <c r="H28" s="159"/>
      <c r="I28" s="89"/>
      <c r="J28" s="89">
        <f>SUMIFS('TB LTD 12.21'!F:F,'TB LTD 12.21'!I:I,$B28,'TB LTD 12.21'!J:J,$C28)</f>
        <v>3294839.09</v>
      </c>
      <c r="K28" s="89"/>
      <c r="L28" s="89">
        <f t="shared" si="5"/>
        <v>3294839.09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outlineLevel="1">
      <c r="A29" s="161" t="s">
        <v>910</v>
      </c>
      <c r="B29" s="104" t="s">
        <v>374</v>
      </c>
      <c r="C29" s="59" t="s">
        <v>521</v>
      </c>
      <c r="D29" s="89">
        <f>SUMIFS('TB LTD 12.21'!G:G,'TB LTD 12.21'!I:I,$B29,'TB LTD 12.21'!J:J,$C29)</f>
        <v>683881.4</v>
      </c>
      <c r="E29" s="89"/>
      <c r="F29" s="89">
        <f t="shared" si="4"/>
        <v>683881.4</v>
      </c>
      <c r="G29" s="89"/>
      <c r="H29" s="159"/>
      <c r="I29" s="89"/>
      <c r="J29" s="89">
        <f>SUMIFS('TB LTD 12.21'!F:F,'TB LTD 12.21'!I:I,$B29,'TB LTD 12.21'!J:J,$C29)</f>
        <v>2126871.15</v>
      </c>
      <c r="K29" s="89"/>
      <c r="L29" s="89">
        <f t="shared" si="5"/>
        <v>2126871.15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>
      <c r="A30" s="161" t="s">
        <v>912</v>
      </c>
      <c r="B30" s="104" t="s">
        <v>374</v>
      </c>
      <c r="C30" s="59" t="s">
        <v>524</v>
      </c>
      <c r="D30" s="89">
        <f>SUMIFS('TB LTD 12.21'!G:G,'TB LTD 12.21'!I:I,$B30,'TB LTD 12.21'!J:J,$C30)</f>
        <v>474606</v>
      </c>
      <c r="E30" s="89">
        <f>'AJE 2021'!G19</f>
        <v>539214</v>
      </c>
      <c r="F30" s="89">
        <f t="shared" si="4"/>
        <v>1013820</v>
      </c>
      <c r="G30" s="89"/>
      <c r="H30" s="159"/>
      <c r="I30" s="89"/>
      <c r="J30" s="89">
        <f>SUMIFS('TB LTD 12.21'!F:F,'TB LTD 12.21'!I:I,$B30,'TB LTD 12.21'!J:J,$C30)</f>
        <v>1523877.43</v>
      </c>
      <c r="K30" s="89">
        <f>'AJE 2021'!J19</f>
        <v>1741283.7701999999</v>
      </c>
      <c r="L30" s="89">
        <f t="shared" si="5"/>
        <v>3265161.2001999998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>
      <c r="A31" s="161" t="s">
        <v>910</v>
      </c>
      <c r="B31" s="104" t="s">
        <v>374</v>
      </c>
      <c r="C31" s="59" t="s">
        <v>492</v>
      </c>
      <c r="D31" s="89">
        <f>SUMIFS('TB LTD 12.21'!G:G,'TB LTD 12.21'!I:I,$B31,'TB LTD 12.21'!J:J,$C31)</f>
        <v>0</v>
      </c>
      <c r="E31" s="89"/>
      <c r="F31" s="89">
        <f t="shared" si="4"/>
        <v>0</v>
      </c>
      <c r="G31" s="89"/>
      <c r="H31" s="159"/>
      <c r="I31" s="89"/>
      <c r="J31" s="89">
        <f>SUMIFS('TB LTD 12.21'!F:F,'TB LTD 12.21'!I:I,$B31,'TB LTD 12.21'!J:J,$C31)</f>
        <v>0</v>
      </c>
      <c r="K31" s="89"/>
      <c r="L31" s="89">
        <f t="shared" si="5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>
      <c r="A32" s="161" t="s">
        <v>910</v>
      </c>
      <c r="B32" s="104" t="s">
        <v>374</v>
      </c>
      <c r="C32" s="59" t="s">
        <v>551</v>
      </c>
      <c r="D32" s="89">
        <f>SUMIFS('TB LTD 12.21'!G:G,'TB LTD 12.21'!I:I,$B32,'TB LTD 12.21'!J:J,$C32)</f>
        <v>840030</v>
      </c>
      <c r="E32" s="89"/>
      <c r="F32" s="89">
        <f t="shared" si="4"/>
        <v>840030</v>
      </c>
      <c r="G32" s="89"/>
      <c r="H32" s="159"/>
      <c r="I32" s="89"/>
      <c r="J32" s="89">
        <f>SUMIFS('TB LTD 12.21'!F:F,'TB LTD 12.21'!I:I,$B32,'TB LTD 12.21'!J:J,$C32)</f>
        <v>2604306.42</v>
      </c>
      <c r="K32" s="89"/>
      <c r="L32" s="89">
        <f t="shared" si="5"/>
        <v>2604306.42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>
      <c r="A33" s="161" t="s">
        <v>910</v>
      </c>
      <c r="B33" s="104" t="s">
        <v>374</v>
      </c>
      <c r="C33" s="59" t="s">
        <v>487</v>
      </c>
      <c r="D33" s="89">
        <f>SUMIFS('TB LTD 12.21'!G:G,'TB LTD 12.21'!I:I,$B33,'TB LTD 12.21'!J:J,$C33)</f>
        <v>124269.29999999999</v>
      </c>
      <c r="E33" s="89"/>
      <c r="F33" s="89">
        <f t="shared" si="4"/>
        <v>124269.29999999999</v>
      </c>
      <c r="G33" s="89"/>
      <c r="H33" s="159"/>
      <c r="I33" s="89"/>
      <c r="J33" s="89">
        <f>SUMIFS('TB LTD 12.21'!F:F,'TB LTD 12.21'!I:I,$B33,'TB LTD 12.21'!J:J,$C33)</f>
        <v>397758.91000000003</v>
      </c>
      <c r="K33" s="89"/>
      <c r="L33" s="89">
        <f t="shared" si="5"/>
        <v>397758.91000000003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>
      <c r="A34" s="161" t="s">
        <v>910</v>
      </c>
      <c r="B34" s="104" t="s">
        <v>374</v>
      </c>
      <c r="C34" s="59" t="s">
        <v>469</v>
      </c>
      <c r="D34" s="89">
        <f>SUMIFS('TB LTD 12.21'!G:G,'TB LTD 12.21'!I:I,$B34,'TB LTD 12.21'!J:J,$C34)</f>
        <v>4388.9699999999993</v>
      </c>
      <c r="E34" s="89"/>
      <c r="F34" s="89">
        <f t="shared" si="4"/>
        <v>4388.9699999999993</v>
      </c>
      <c r="G34" s="89"/>
      <c r="H34" s="159"/>
      <c r="I34" s="89"/>
      <c r="J34" s="89">
        <f>SUMIFS('TB LTD 12.21'!F:F,'TB LTD 12.21'!I:I,$B34,'TB LTD 12.21'!J:J,$C34)</f>
        <v>13778.18</v>
      </c>
      <c r="K34" s="89"/>
      <c r="L34" s="89">
        <f t="shared" si="5"/>
        <v>13778.18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>
      <c r="A35" s="2"/>
      <c r="B35" s="104" t="s">
        <v>374</v>
      </c>
      <c r="C35" s="59" t="s">
        <v>563</v>
      </c>
      <c r="D35" s="89">
        <f>SUMIFS('TB LTD 12.21'!G:G,'TB LTD 12.21'!I:I,$B35,'TB LTD 12.21'!J:J,$C35)</f>
        <v>0</v>
      </c>
      <c r="E35" s="89"/>
      <c r="F35" s="89">
        <f t="shared" si="4"/>
        <v>0</v>
      </c>
      <c r="G35" s="89"/>
      <c r="H35" s="159"/>
      <c r="I35" s="89"/>
      <c r="J35" s="89">
        <f>SUMIFS('TB LTD 12.21'!F:F,'TB LTD 12.21'!I:I,$B35,'TB LTD 12.21'!J:J,$C35)</f>
        <v>0</v>
      </c>
      <c r="K35" s="89"/>
      <c r="L35" s="89">
        <f t="shared" si="5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>
      <c r="A36" s="2"/>
      <c r="B36" s="104"/>
      <c r="C36" s="59"/>
      <c r="D36" s="89"/>
      <c r="E36" s="89"/>
      <c r="F36" s="89"/>
      <c r="G36" s="89"/>
      <c r="H36" s="159"/>
      <c r="I36" s="89"/>
      <c r="J36" s="89"/>
      <c r="K36" s="89"/>
      <c r="L36" s="8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>
      <c r="A37" s="2"/>
      <c r="B37" s="1"/>
      <c r="C37" s="104" t="s">
        <v>364</v>
      </c>
      <c r="D37" s="100">
        <f>SUM(D38:D47)</f>
        <v>124309140.66</v>
      </c>
      <c r="E37" s="100">
        <f>SUM(E38:E47)</f>
        <v>-22807.610201542113</v>
      </c>
      <c r="F37" s="100">
        <f>SUM(F38:F47)</f>
        <v>124286333.04979846</v>
      </c>
      <c r="G37" s="100"/>
      <c r="H37" s="160"/>
      <c r="I37" s="100"/>
      <c r="J37" s="100">
        <f>SUM(J38:J47)</f>
        <v>397742172.20000005</v>
      </c>
      <c r="K37" s="100">
        <f>SUM(K38:K47)</f>
        <v>-73652.615623839942</v>
      </c>
      <c r="L37" s="100">
        <f>SUM(L38:L47)</f>
        <v>397668519.58437622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 outlineLevel="1">
      <c r="A38" s="2" t="s">
        <v>911</v>
      </c>
      <c r="B38" s="104" t="s">
        <v>364</v>
      </c>
      <c r="C38" s="477" t="s">
        <v>359</v>
      </c>
      <c r="D38" s="89">
        <f>SUMIFS('TB LTD 12.21'!G:G,'TB LTD 12.21'!I:I,$B38,'TB LTD 12.21'!J:J,$C38)</f>
        <v>993651.78</v>
      </c>
      <c r="E38" s="89"/>
      <c r="F38" s="89">
        <f>D38+E38</f>
        <v>993651.78</v>
      </c>
      <c r="G38" s="89"/>
      <c r="H38" s="159"/>
      <c r="I38" s="89"/>
      <c r="J38" s="89">
        <f>SUMIFS('TB LTD 12.21'!F:F,'TB LTD 12.21'!I:I,$B38,'TB LTD 12.21'!J:J,$C38)</f>
        <v>3186571.4099999997</v>
      </c>
      <c r="K38" s="89"/>
      <c r="L38" s="89">
        <f t="shared" ref="L38:L47" si="6">J38+K38</f>
        <v>3186571.4099999997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outlineLevel="1">
      <c r="A39" s="2" t="s">
        <v>913</v>
      </c>
      <c r="B39" s="104" t="s">
        <v>364</v>
      </c>
      <c r="C39" s="477" t="s">
        <v>432</v>
      </c>
      <c r="D39" s="89">
        <f>SUMIFS('TB LTD 12.21'!G:G,'TB LTD 12.21'!I:I,$B39,'TB LTD 12.21'!J:J,$C39)</f>
        <v>105871768.5</v>
      </c>
      <c r="E39" s="89"/>
      <c r="F39" s="89">
        <f t="shared" ref="F39:F47" si="7">D39+E39</f>
        <v>105871768.5</v>
      </c>
      <c r="G39" s="89"/>
      <c r="H39" s="159"/>
      <c r="I39" s="89"/>
      <c r="J39" s="89">
        <f>SUMIFS('TB LTD 12.21'!F:F,'TB LTD 12.21'!I:I,$B39,'TB LTD 12.21'!J:J,$C39)</f>
        <v>338664676.04000002</v>
      </c>
      <c r="K39" s="89"/>
      <c r="L39" s="89">
        <f t="shared" si="6"/>
        <v>338664676.04000002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outlineLevel="1">
      <c r="A40" s="582" t="s">
        <v>1216</v>
      </c>
      <c r="B40" s="104" t="s">
        <v>364</v>
      </c>
      <c r="C40" s="59" t="s">
        <v>409</v>
      </c>
      <c r="D40" s="89">
        <f>SUMIFS('TB LTD 12.21'!G:G,'TB LTD 12.21'!I:I,$B40,'TB LTD 12.21'!J:J,$C40)</f>
        <v>419274.89</v>
      </c>
      <c r="E40" s="89"/>
      <c r="F40" s="89">
        <f t="shared" si="7"/>
        <v>419274.89</v>
      </c>
      <c r="G40" s="89"/>
      <c r="H40" s="159"/>
      <c r="I40" s="89"/>
      <c r="J40" s="89">
        <f>SUMIFS('TB LTD 12.21'!F:F,'TB LTD 12.21'!I:I,$B40,'TB LTD 12.21'!J:J,$C40)</f>
        <v>1357908.95</v>
      </c>
      <c r="K40" s="89"/>
      <c r="L40" s="89">
        <f t="shared" si="6"/>
        <v>1357908.95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>
      <c r="A41" s="161" t="s">
        <v>912</v>
      </c>
      <c r="B41" s="104" t="s">
        <v>364</v>
      </c>
      <c r="C41" s="59" t="s">
        <v>524</v>
      </c>
      <c r="D41" s="89">
        <f>SUMIFS('TB LTD 12.21'!G:G,'TB LTD 12.21'!I:I,$B41,'TB LTD 12.21'!J:J,$C41)</f>
        <v>27657</v>
      </c>
      <c r="E41" s="89">
        <f>'AJE 2021'!G20</f>
        <v>-22807.610201542113</v>
      </c>
      <c r="F41" s="89">
        <f t="shared" si="7"/>
        <v>4849.3897984578871</v>
      </c>
      <c r="G41" s="89"/>
      <c r="H41" s="159"/>
      <c r="I41" s="89"/>
      <c r="J41" s="89">
        <f>SUMIFS('TB LTD 12.21'!F:F,'TB LTD 12.21'!I:I,$B41,'TB LTD 12.21'!J:J,$C41)</f>
        <v>88061.77</v>
      </c>
      <c r="K41" s="89">
        <f>'AJE 2021'!J20</f>
        <v>-73652.615623839942</v>
      </c>
      <c r="L41" s="89">
        <f t="shared" si="6"/>
        <v>14409.154376160062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outlineLevel="1">
      <c r="A42" s="582" t="s">
        <v>1216</v>
      </c>
      <c r="B42" s="104" t="s">
        <v>364</v>
      </c>
      <c r="C42" s="59" t="s">
        <v>547</v>
      </c>
      <c r="D42" s="89">
        <f>SUMIFS('TB LTD 12.21'!G:G,'TB LTD 12.21'!I:I,$B42,'TB LTD 12.21'!J:J,$C42)</f>
        <v>533167.78999999992</v>
      </c>
      <c r="E42" s="89"/>
      <c r="F42" s="89">
        <f t="shared" si="7"/>
        <v>533167.78999999992</v>
      </c>
      <c r="G42" s="89"/>
      <c r="H42" s="159"/>
      <c r="I42" s="89"/>
      <c r="J42" s="89">
        <f>SUMIFS('TB LTD 12.21'!F:F,'TB LTD 12.21'!I:I,$B42,'TB LTD 12.21'!J:J,$C42)</f>
        <v>1708666.67</v>
      </c>
      <c r="K42" s="89"/>
      <c r="L42" s="89">
        <f t="shared" si="6"/>
        <v>1708666.67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 outlineLevel="1">
      <c r="A43" s="582" t="s">
        <v>1216</v>
      </c>
      <c r="B43" s="104" t="s">
        <v>364</v>
      </c>
      <c r="C43" s="59" t="s">
        <v>656</v>
      </c>
      <c r="D43" s="89">
        <f>SUMIFS('TB LTD 12.21'!G:G,'TB LTD 12.21'!I:I,$B43,'TB LTD 12.21'!J:J,$C43)</f>
        <v>65345.8</v>
      </c>
      <c r="E43" s="89"/>
      <c r="F43" s="89">
        <f t="shared" si="7"/>
        <v>65345.8</v>
      </c>
      <c r="G43" s="89"/>
      <c r="H43" s="159"/>
      <c r="I43" s="89"/>
      <c r="J43" s="89">
        <f>SUMIFS('TB LTD 12.21'!F:F,'TB LTD 12.21'!I:I,$B43,'TB LTD 12.21'!J:J,$C43)</f>
        <v>201944.48</v>
      </c>
      <c r="K43" s="89"/>
      <c r="L43" s="89">
        <f t="shared" si="6"/>
        <v>201944.48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 outlineLevel="1">
      <c r="A44" s="161" t="s">
        <v>910</v>
      </c>
      <c r="B44" s="104" t="s">
        <v>364</v>
      </c>
      <c r="C44" s="59" t="s">
        <v>551</v>
      </c>
      <c r="D44" s="89">
        <f>SUMIFS('TB LTD 12.21'!G:G,'TB LTD 12.21'!I:I,$B44,'TB LTD 12.21'!J:J,$C44)</f>
        <v>143693</v>
      </c>
      <c r="E44" s="89"/>
      <c r="F44" s="89">
        <f t="shared" si="7"/>
        <v>143693</v>
      </c>
      <c r="G44" s="89"/>
      <c r="H44" s="159"/>
      <c r="I44" s="89"/>
      <c r="J44" s="89">
        <f>SUMIFS('TB LTD 12.21'!F:F,'TB LTD 12.21'!I:I,$B44,'TB LTD 12.21'!J:J,$C44)</f>
        <v>427219.73</v>
      </c>
      <c r="K44" s="89"/>
      <c r="L44" s="89">
        <f t="shared" si="6"/>
        <v>427219.73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 outlineLevel="1">
      <c r="A45" s="582" t="s">
        <v>1216</v>
      </c>
      <c r="B45" s="104" t="s">
        <v>364</v>
      </c>
      <c r="C45" s="59" t="s">
        <v>658</v>
      </c>
      <c r="D45" s="89">
        <f>SUMIFS('TB LTD 12.21'!G:G,'TB LTD 12.21'!I:I,$B45,'TB LTD 12.21'!J:J,$C45)</f>
        <v>79348.759999999995</v>
      </c>
      <c r="E45" s="89"/>
      <c r="F45" s="89">
        <f t="shared" si="7"/>
        <v>79348.759999999995</v>
      </c>
      <c r="G45" s="89"/>
      <c r="H45" s="159"/>
      <c r="I45" s="89"/>
      <c r="J45" s="89">
        <f>SUMIFS('TB LTD 12.21'!F:F,'TB LTD 12.21'!I:I,$B45,'TB LTD 12.21'!J:J,$C45)</f>
        <v>254800</v>
      </c>
      <c r="K45" s="89"/>
      <c r="L45" s="89">
        <f t="shared" si="6"/>
        <v>254800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>
      <c r="A46" s="161" t="s">
        <v>910</v>
      </c>
      <c r="B46" s="104" t="s">
        <v>364</v>
      </c>
      <c r="C46" s="59" t="s">
        <v>487</v>
      </c>
      <c r="D46" s="89">
        <f>SUMIFS('TB LTD 12.21'!G:G,'TB LTD 12.21'!I:I,$B46,'TB LTD 12.21'!J:J,$C46)</f>
        <v>23010.1</v>
      </c>
      <c r="E46" s="89"/>
      <c r="F46" s="89">
        <f t="shared" si="7"/>
        <v>23010.1</v>
      </c>
      <c r="G46" s="89"/>
      <c r="H46" s="159"/>
      <c r="I46" s="89"/>
      <c r="J46" s="89">
        <f>SUMIFS('TB LTD 12.21'!F:F,'TB LTD 12.21'!I:I,$B46,'TB LTD 12.21'!J:J,$C46)</f>
        <v>74500</v>
      </c>
      <c r="K46" s="89"/>
      <c r="L46" s="89">
        <f t="shared" si="6"/>
        <v>74500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>
      <c r="A47" s="2"/>
      <c r="B47" s="104" t="s">
        <v>364</v>
      </c>
      <c r="C47" s="59" t="s">
        <v>563</v>
      </c>
      <c r="D47" s="89">
        <f>SUMIFS('TB LTD 12.21'!G:G,'TB LTD 12.21'!I:I,$B47,'TB LTD 12.21'!J:J,$C47)</f>
        <v>16152223.039999999</v>
      </c>
      <c r="E47" s="89"/>
      <c r="F47" s="89">
        <f t="shared" si="7"/>
        <v>16152223.039999999</v>
      </c>
      <c r="G47" s="89"/>
      <c r="H47" s="159"/>
      <c r="I47" s="89"/>
      <c r="J47" s="89">
        <f>SUMIFS('TB LTD 12.21'!F:F,'TB LTD 12.21'!I:I,$B47,'TB LTD 12.21'!J:J,$C47)</f>
        <v>51777823.149999999</v>
      </c>
      <c r="K47" s="89"/>
      <c r="L47" s="89">
        <f t="shared" si="6"/>
        <v>51777823.149999999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>
      <c r="A48" s="2"/>
      <c r="B48" s="104"/>
      <c r="C48" s="59"/>
      <c r="D48" s="89"/>
      <c r="E48" s="89"/>
      <c r="F48" s="89"/>
      <c r="G48" s="89"/>
      <c r="H48" s="159"/>
      <c r="I48" s="89"/>
      <c r="J48" s="89"/>
      <c r="K48" s="89"/>
      <c r="L48" s="8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>
      <c r="A49" s="2"/>
      <c r="B49" s="1"/>
      <c r="C49" s="104" t="s">
        <v>406</v>
      </c>
      <c r="D49" s="100">
        <f>SUM(D50:D70)</f>
        <v>3243758.9299999983</v>
      </c>
      <c r="E49" s="100">
        <f>SUM(E50:E70)</f>
        <v>634184.50928990555</v>
      </c>
      <c r="F49" s="100">
        <f>SUM(F50:F70)</f>
        <v>3877943.4392899051</v>
      </c>
      <c r="G49" s="100"/>
      <c r="H49" s="160"/>
      <c r="I49" s="100"/>
      <c r="J49" s="100">
        <f>SUM(J50:J70)</f>
        <v>10612938.300000001</v>
      </c>
      <c r="K49" s="100">
        <f>SUM(K50:K70)</f>
        <v>2009040.782172485</v>
      </c>
      <c r="L49" s="100">
        <f>SUM(L50:L70)</f>
        <v>12621979.082172485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 outlineLevel="1">
      <c r="A50" s="2" t="s">
        <v>911</v>
      </c>
      <c r="B50" s="104" t="s">
        <v>406</v>
      </c>
      <c r="C50" s="59" t="s">
        <v>359</v>
      </c>
      <c r="D50" s="89">
        <f>SUMIFS('TB LTD 12.21'!G:G,'TB LTD 12.21'!I:I,$B50,'TB LTD 12.21'!J:J,$C50)</f>
        <v>1913052.6299999994</v>
      </c>
      <c r="E50" s="89"/>
      <c r="F50" s="89">
        <f t="shared" ref="F50:F70" si="8">D50+E50</f>
        <v>1913052.6299999994</v>
      </c>
      <c r="G50" s="89"/>
      <c r="H50" s="159"/>
      <c r="I50" s="89"/>
      <c r="J50" s="89">
        <f>SUMIFS('TB LTD 12.21'!F:F,'TB LTD 12.21'!I:I,$B50,'TB LTD 12.21'!J:J,$C50)</f>
        <v>6045006.3500000006</v>
      </c>
      <c r="K50" s="89"/>
      <c r="L50" s="89">
        <f t="shared" ref="L50:L70" si="9">J50+K50</f>
        <v>6045006.3500000006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 outlineLevel="1">
      <c r="A51" s="161" t="s">
        <v>910</v>
      </c>
      <c r="B51" s="104" t="s">
        <v>406</v>
      </c>
      <c r="C51" s="59" t="s">
        <v>428</v>
      </c>
      <c r="D51" s="89">
        <f>SUMIFS('TB LTD 12.21'!G:G,'TB LTD 12.21'!I:I,$B51,'TB LTD 12.21'!J:J,$C51)</f>
        <v>538878.34000000008</v>
      </c>
      <c r="E51" s="89">
        <f>-'AJE 2021'!H30+'AJE 2021'!G43</f>
        <v>18374.629999999997</v>
      </c>
      <c r="F51" s="89">
        <f t="shared" si="8"/>
        <v>557252.97000000009</v>
      </c>
      <c r="G51" s="89"/>
      <c r="H51" s="159"/>
      <c r="I51" s="89"/>
      <c r="J51" s="89">
        <f>SUMIFS('TB LTD 12.21'!F:F,'TB LTD 12.21'!I:I,$B51,'TB LTD 12.21'!J:J,$C51)</f>
        <v>1787515.25</v>
      </c>
      <c r="K51" s="89">
        <f>-'AJE 2021'!K30+'AJE 2021'!J43</f>
        <v>56300</v>
      </c>
      <c r="L51" s="89">
        <f t="shared" si="9"/>
        <v>1843815.25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 outlineLevel="1">
      <c r="A52" s="161" t="s">
        <v>910</v>
      </c>
      <c r="B52" s="104" t="s">
        <v>406</v>
      </c>
      <c r="C52" s="59" t="s">
        <v>448</v>
      </c>
      <c r="D52" s="89">
        <f>SUMIFS('TB LTD 12.21'!G:G,'TB LTD 12.21'!I:I,$B52,'TB LTD 12.21'!J:J,$C52)</f>
        <v>365178.32999999996</v>
      </c>
      <c r="E52" s="89">
        <f>'AJE 2021'!G74</f>
        <v>34860.775995303353</v>
      </c>
      <c r="F52" s="89">
        <f t="shared" si="8"/>
        <v>400039.10599530331</v>
      </c>
      <c r="G52" s="89"/>
      <c r="H52" s="159"/>
      <c r="I52" s="89"/>
      <c r="J52" s="89">
        <f>SUMIFS('TB LTD 12.21'!F:F,'TB LTD 12.21'!I:I,$B52,'TB LTD 12.21'!J:J,$C52)</f>
        <v>1176642.01</v>
      </c>
      <c r="K52" s="89">
        <f>'AJE 2021'!J74</f>
        <v>76681.842903225799</v>
      </c>
      <c r="L52" s="89">
        <f t="shared" si="9"/>
        <v>1253323.8529032259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 outlineLevel="1">
      <c r="A53" s="161" t="s">
        <v>910</v>
      </c>
      <c r="B53" s="104" t="s">
        <v>406</v>
      </c>
      <c r="C53" s="59" t="s">
        <v>474</v>
      </c>
      <c r="D53" s="89">
        <f>SUMIFS('TB LTD 12.21'!G:G,'TB LTD 12.21'!I:I,$B53,'TB LTD 12.21'!J:J,$C53)</f>
        <v>242018.36</v>
      </c>
      <c r="E53" s="89"/>
      <c r="F53" s="89">
        <f t="shared" si="8"/>
        <v>242018.36</v>
      </c>
      <c r="G53" s="89"/>
      <c r="H53" s="159"/>
      <c r="I53" s="89"/>
      <c r="J53" s="89">
        <f>SUMIFS('TB LTD 12.21'!F:F,'TB LTD 12.21'!I:I,$B53,'TB LTD 12.21'!J:J,$C53)</f>
        <v>778158.31</v>
      </c>
      <c r="K53" s="89"/>
      <c r="L53" s="89">
        <f t="shared" si="9"/>
        <v>778158.31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 outlineLevel="1">
      <c r="A54" s="161" t="s">
        <v>910</v>
      </c>
      <c r="B54" s="104" t="s">
        <v>406</v>
      </c>
      <c r="C54" s="59" t="s">
        <v>484</v>
      </c>
      <c r="D54" s="89">
        <f>SUMIFS('TB LTD 12.21'!G:G,'TB LTD 12.21'!I:I,$B54,'TB LTD 12.21'!J:J,$C54)</f>
        <v>413177.21</v>
      </c>
      <c r="E54" s="89"/>
      <c r="F54" s="89">
        <f t="shared" si="8"/>
        <v>413177.21</v>
      </c>
      <c r="G54" s="89"/>
      <c r="H54" s="159"/>
      <c r="I54" s="89"/>
      <c r="J54" s="89">
        <f>SUMIFS('TB LTD 12.21'!F:F,'TB LTD 12.21'!I:I,$B54,'TB LTD 12.21'!J:J,$C54)</f>
        <v>1324117.97</v>
      </c>
      <c r="K54" s="89"/>
      <c r="L54" s="89">
        <f t="shared" si="9"/>
        <v>1324117.97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 outlineLevel="1">
      <c r="A55" s="161" t="s">
        <v>910</v>
      </c>
      <c r="B55" s="104" t="s">
        <v>406</v>
      </c>
      <c r="C55" s="59" t="s">
        <v>480</v>
      </c>
      <c r="D55" s="89">
        <f>SUMIFS('TB LTD 12.21'!G:G,'TB LTD 12.21'!I:I,$B55,'TB LTD 12.21'!J:J,$C55)</f>
        <v>14103.4</v>
      </c>
      <c r="E55" s="89"/>
      <c r="F55" s="89">
        <f t="shared" si="8"/>
        <v>14103.4</v>
      </c>
      <c r="G55" s="89"/>
      <c r="H55" s="159"/>
      <c r="I55" s="89"/>
      <c r="J55" s="89">
        <f>SUMIFS('TB LTD 12.21'!F:F,'TB LTD 12.21'!I:I,$B55,'TB LTD 12.21'!J:J,$C55)</f>
        <v>45689.34</v>
      </c>
      <c r="K55" s="89"/>
      <c r="L55" s="89">
        <f t="shared" si="9"/>
        <v>45689.34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 outlineLevel="1">
      <c r="A56" s="161" t="s">
        <v>1231</v>
      </c>
      <c r="B56" s="104" t="s">
        <v>406</v>
      </c>
      <c r="C56" s="59" t="s">
        <v>461</v>
      </c>
      <c r="D56" s="89">
        <f>SUMIFS('TB LTD 12.21'!G:G,'TB LTD 12.21'!I:I,$B56,'TB LTD 12.21'!J:J,$C56)</f>
        <v>83930.849999999977</v>
      </c>
      <c r="E56" s="89">
        <f>+'AJE 2021'!G70</f>
        <v>0</v>
      </c>
      <c r="F56" s="89">
        <f t="shared" si="8"/>
        <v>83930.849999999977</v>
      </c>
      <c r="G56" s="89"/>
      <c r="H56" s="159"/>
      <c r="I56" s="89"/>
      <c r="J56" s="89">
        <f>SUMIFS('TB LTD 12.21'!F:F,'TB LTD 12.21'!I:I,$B56,'TB LTD 12.21'!J:J,$C56)</f>
        <v>269792.46000000002</v>
      </c>
      <c r="K56" s="89">
        <f>'AJE 2021'!J70</f>
        <v>0</v>
      </c>
      <c r="L56" s="89">
        <f t="shared" si="9"/>
        <v>269792.46000000002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 outlineLevel="1">
      <c r="A57" s="161" t="s">
        <v>910</v>
      </c>
      <c r="B57" s="104" t="s">
        <v>406</v>
      </c>
      <c r="C57" s="59" t="s">
        <v>407</v>
      </c>
      <c r="D57" s="89">
        <f>SUMIFS('TB LTD 12.21'!G:G,'TB LTD 12.21'!I:I,$B57,'TB LTD 12.21'!J:J,$C57)</f>
        <v>13648.44</v>
      </c>
      <c r="E57" s="89"/>
      <c r="F57" s="89">
        <f t="shared" si="8"/>
        <v>13648.44</v>
      </c>
      <c r="G57" s="89"/>
      <c r="H57" s="159"/>
      <c r="I57" s="89"/>
      <c r="J57" s="89">
        <f>SUMIFS('TB LTD 12.21'!F:F,'TB LTD 12.21'!I:I,$B57,'TB LTD 12.21'!J:J,$C57)</f>
        <v>44232.79</v>
      </c>
      <c r="K57" s="89"/>
      <c r="L57" s="89">
        <f t="shared" si="9"/>
        <v>44232.79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 outlineLevel="1">
      <c r="A58" s="161" t="s">
        <v>910</v>
      </c>
      <c r="B58" s="104" t="s">
        <v>406</v>
      </c>
      <c r="C58" s="59" t="s">
        <v>473</v>
      </c>
      <c r="D58" s="89">
        <f>SUMIFS('TB LTD 12.21'!G:G,'TB LTD 12.21'!I:I,$B58,'TB LTD 12.21'!J:J,$C58)</f>
        <v>92387.340000000011</v>
      </c>
      <c r="E58" s="89"/>
      <c r="F58" s="89">
        <f t="shared" si="8"/>
        <v>92387.340000000011</v>
      </c>
      <c r="G58" s="89"/>
      <c r="H58" s="159"/>
      <c r="I58" s="89"/>
      <c r="J58" s="89">
        <f>SUMIFS('TB LTD 12.21'!F:F,'TB LTD 12.21'!I:I,$B58,'TB LTD 12.21'!J:J,$C58)</f>
        <v>297617.58999999997</v>
      </c>
      <c r="K58" s="89"/>
      <c r="L58" s="89">
        <f t="shared" si="9"/>
        <v>297617.58999999997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 outlineLevel="1">
      <c r="A59" s="161" t="s">
        <v>910</v>
      </c>
      <c r="B59" s="104" t="s">
        <v>406</v>
      </c>
      <c r="C59" s="59" t="s">
        <v>492</v>
      </c>
      <c r="D59" s="89">
        <f>SUMIFS('TB LTD 12.21'!G:G,'TB LTD 12.21'!I:I,$B59,'TB LTD 12.21'!J:J,$C59)</f>
        <v>28237.86</v>
      </c>
      <c r="E59" s="89"/>
      <c r="F59" s="89">
        <f t="shared" si="8"/>
        <v>28237.86</v>
      </c>
      <c r="G59" s="89"/>
      <c r="H59" s="159"/>
      <c r="I59" s="89"/>
      <c r="J59" s="89">
        <f>SUMIFS('TB LTD 12.21'!F:F,'TB LTD 12.21'!I:I,$B59,'TB LTD 12.21'!J:J,$C59)</f>
        <v>92315.87</v>
      </c>
      <c r="K59" s="89"/>
      <c r="L59" s="89">
        <f t="shared" si="9"/>
        <v>92315.87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 outlineLevel="1">
      <c r="A60" s="161" t="s">
        <v>910</v>
      </c>
      <c r="B60" s="104" t="s">
        <v>406</v>
      </c>
      <c r="C60" s="59" t="s">
        <v>472</v>
      </c>
      <c r="D60" s="89">
        <f>SUMIFS('TB LTD 12.21'!G:G,'TB LTD 12.21'!I:I,$B60,'TB LTD 12.21'!J:J,$C60)</f>
        <v>52069.57</v>
      </c>
      <c r="E60" s="89"/>
      <c r="F60" s="89">
        <f t="shared" si="8"/>
        <v>52069.57</v>
      </c>
      <c r="G60" s="89"/>
      <c r="H60" s="159"/>
      <c r="I60" s="89"/>
      <c r="J60" s="89">
        <f>SUMIFS('TB LTD 12.21'!F:F,'TB LTD 12.21'!I:I,$B60,'TB LTD 12.21'!J:J,$C60)</f>
        <v>166380.37</v>
      </c>
      <c r="K60" s="89"/>
      <c r="L60" s="89">
        <f t="shared" si="9"/>
        <v>166380.37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 outlineLevel="1">
      <c r="A61" s="161" t="s">
        <v>910</v>
      </c>
      <c r="B61" s="104" t="s">
        <v>406</v>
      </c>
      <c r="C61" s="59" t="s">
        <v>409</v>
      </c>
      <c r="D61" s="89">
        <f>SUMIFS('TB LTD 12.21'!G:G,'TB LTD 12.21'!I:I,$B61,'TB LTD 12.21'!J:J,$C61)</f>
        <v>84440.260000000009</v>
      </c>
      <c r="E61" s="89"/>
      <c r="F61" s="89">
        <f t="shared" si="8"/>
        <v>84440.260000000009</v>
      </c>
      <c r="G61" s="89"/>
      <c r="H61" s="159"/>
      <c r="I61" s="89"/>
      <c r="J61" s="89">
        <f>SUMIFS('TB LTD 12.21'!F:F,'TB LTD 12.21'!I:I,$B61,'TB LTD 12.21'!J:J,$C61)</f>
        <v>275148.99</v>
      </c>
      <c r="K61" s="89"/>
      <c r="L61" s="89">
        <f t="shared" si="9"/>
        <v>275148.99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 outlineLevel="1">
      <c r="A62" s="161" t="s">
        <v>910</v>
      </c>
      <c r="B62" s="104" t="s">
        <v>406</v>
      </c>
      <c r="C62" s="59" t="s">
        <v>476</v>
      </c>
      <c r="D62" s="89">
        <f>SUMIFS('TB LTD 12.21'!G:G,'TB LTD 12.21'!I:I,$B62,'TB LTD 12.21'!J:J,$C62)</f>
        <v>239323.39</v>
      </c>
      <c r="E62" s="89"/>
      <c r="F62" s="89">
        <f t="shared" si="8"/>
        <v>239323.39</v>
      </c>
      <c r="G62" s="89"/>
      <c r="H62" s="159"/>
      <c r="I62" s="89"/>
      <c r="J62" s="89">
        <f>SUMIFS('TB LTD 12.21'!F:F,'TB LTD 12.21'!I:I,$B62,'TB LTD 12.21'!J:J,$C62)</f>
        <v>755093.65</v>
      </c>
      <c r="K62" s="89"/>
      <c r="L62" s="89">
        <f t="shared" si="9"/>
        <v>755093.65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 outlineLevel="1">
      <c r="A63" s="161" t="s">
        <v>910</v>
      </c>
      <c r="B63" s="104" t="s">
        <v>406</v>
      </c>
      <c r="C63" s="59" t="s">
        <v>469</v>
      </c>
      <c r="D63" s="89">
        <f>SUMIFS('TB LTD 12.21'!G:G,'TB LTD 12.21'!I:I,$B63,'TB LTD 12.21'!J:J,$C63)</f>
        <v>94539.07</v>
      </c>
      <c r="E63" s="89"/>
      <c r="F63" s="89">
        <f t="shared" si="8"/>
        <v>94539.07</v>
      </c>
      <c r="G63" s="89"/>
      <c r="H63" s="159"/>
      <c r="I63" s="89"/>
      <c r="J63" s="89">
        <f>SUMIFS('TB LTD 12.21'!F:F,'TB LTD 12.21'!I:I,$B63,'TB LTD 12.21'!J:J,$C63)</f>
        <v>301086.98</v>
      </c>
      <c r="K63" s="89"/>
      <c r="L63" s="89">
        <f t="shared" si="9"/>
        <v>301086.98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 outlineLevel="1">
      <c r="A64" s="161" t="s">
        <v>910</v>
      </c>
      <c r="B64" s="104" t="s">
        <v>406</v>
      </c>
      <c r="C64" s="59" t="s">
        <v>453</v>
      </c>
      <c r="D64" s="89">
        <f>SUMIFS('TB LTD 12.21'!G:G,'TB LTD 12.21'!I:I,$B64,'TB LTD 12.21'!J:J,$C64)</f>
        <v>4071.9</v>
      </c>
      <c r="E64" s="89"/>
      <c r="F64" s="89">
        <f t="shared" si="8"/>
        <v>4071.9</v>
      </c>
      <c r="G64" s="89"/>
      <c r="H64" s="159"/>
      <c r="I64" s="89"/>
      <c r="J64" s="89">
        <f>SUMIFS('TB LTD 12.21'!F:F,'TB LTD 12.21'!I:I,$B64,'TB LTD 12.21'!J:J,$C64)</f>
        <v>13030.97</v>
      </c>
      <c r="K64" s="89"/>
      <c r="L64" s="89">
        <f t="shared" si="9"/>
        <v>13030.97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 outlineLevel="1">
      <c r="A65" s="161" t="s">
        <v>910</v>
      </c>
      <c r="B65" s="104" t="s">
        <v>406</v>
      </c>
      <c r="C65" s="59" t="s">
        <v>815</v>
      </c>
      <c r="D65" s="89">
        <f>SUMIFS('TB LTD 12.21'!G:G,'TB LTD 12.21'!I:I,$B65,'TB LTD 12.21'!J:J,$C65)</f>
        <v>5532.59</v>
      </c>
      <c r="E65" s="89"/>
      <c r="F65" s="89">
        <f t="shared" si="8"/>
        <v>5532.59</v>
      </c>
      <c r="G65" s="89"/>
      <c r="H65" s="159"/>
      <c r="I65" s="89"/>
      <c r="J65" s="89">
        <f>SUMIFS('TB LTD 12.21'!F:F,'TB LTD 12.21'!I:I,$B65,'TB LTD 12.21'!J:J,$C65)</f>
        <v>17902</v>
      </c>
      <c r="K65" s="89"/>
      <c r="L65" s="89">
        <f t="shared" si="9"/>
        <v>17902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 outlineLevel="1">
      <c r="A66" s="161" t="s">
        <v>910</v>
      </c>
      <c r="B66" s="104" t="s">
        <v>406</v>
      </c>
      <c r="C66" s="59" t="s">
        <v>487</v>
      </c>
      <c r="D66" s="89">
        <f>SUMIFS('TB LTD 12.21'!G:G,'TB LTD 12.21'!I:I,$B66,'TB LTD 12.21'!J:J,$C66)</f>
        <v>0</v>
      </c>
      <c r="E66" s="89"/>
      <c r="F66" s="89">
        <f t="shared" si="8"/>
        <v>0</v>
      </c>
      <c r="G66" s="89"/>
      <c r="H66" s="159"/>
      <c r="I66" s="89"/>
      <c r="J66" s="89">
        <f>SUMIFS('TB LTD 12.21'!F:F,'TB LTD 12.21'!I:I,$B66,'TB LTD 12.21'!J:J,$C66)</f>
        <v>0</v>
      </c>
      <c r="K66" s="89"/>
      <c r="L66" s="89">
        <f t="shared" si="9"/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 outlineLevel="1">
      <c r="A67" s="161" t="s">
        <v>910</v>
      </c>
      <c r="B67" s="104" t="s">
        <v>406</v>
      </c>
      <c r="C67" s="59" t="s">
        <v>450</v>
      </c>
      <c r="D67" s="89">
        <f>SUMIFS('TB LTD 12.21'!G:G,'TB LTD 12.21'!I:I,$B67,'TB LTD 12.21'!J:J,$C67)</f>
        <v>28148.449999999997</v>
      </c>
      <c r="E67" s="89"/>
      <c r="F67" s="89">
        <f t="shared" si="8"/>
        <v>28148.449999999997</v>
      </c>
      <c r="G67" s="89"/>
      <c r="H67" s="159"/>
      <c r="I67" s="89"/>
      <c r="J67" s="89">
        <f>SUMIFS('TB LTD 12.21'!F:F,'TB LTD 12.21'!I:I,$B67,'TB LTD 12.21'!J:J,$C67)</f>
        <v>90225.2</v>
      </c>
      <c r="K67" s="89"/>
      <c r="L67" s="89">
        <f t="shared" si="9"/>
        <v>90225.2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 outlineLevel="1">
      <c r="A68" s="161" t="s">
        <v>912</v>
      </c>
      <c r="B68" s="104" t="s">
        <v>406</v>
      </c>
      <c r="C68" s="59" t="s">
        <v>524</v>
      </c>
      <c r="D68" s="89">
        <f>SUMIFS('TB LTD 12.21'!G:G,'TB LTD 12.21'!I:I,$B68,'TB LTD 12.21'!J:J,$C68)</f>
        <v>152451</v>
      </c>
      <c r="E68" s="89">
        <f>'AJE 2021'!G17</f>
        <v>614042.01579460222</v>
      </c>
      <c r="F68" s="89">
        <f>D68+E68</f>
        <v>766493.01579460222</v>
      </c>
      <c r="G68" s="89"/>
      <c r="H68" s="159"/>
      <c r="I68" s="89"/>
      <c r="J68" s="89">
        <f>SUMIFS('TB LTD 12.21'!F:F,'TB LTD 12.21'!I:I,$B68,'TB LTD 12.21'!J:J,$C68)</f>
        <v>592674.04</v>
      </c>
      <c r="K68" s="89">
        <f>'AJE 2021'!J17</f>
        <v>1982925.881605509</v>
      </c>
      <c r="L68" s="89">
        <f t="shared" si="9"/>
        <v>2575599.9216055088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 outlineLevel="1">
      <c r="A69" s="161" t="s">
        <v>910</v>
      </c>
      <c r="B69" s="104" t="s">
        <v>406</v>
      </c>
      <c r="C69" s="59" t="s">
        <v>551</v>
      </c>
      <c r="D69" s="89">
        <f>SUMIFS('TB LTD 12.21'!G:G,'TB LTD 12.21'!I:I,$B69,'TB LTD 12.21'!J:J,$C69)</f>
        <v>-1195488</v>
      </c>
      <c r="E69" s="89"/>
      <c r="F69" s="89">
        <f t="shared" si="8"/>
        <v>-1195488</v>
      </c>
      <c r="G69" s="89"/>
      <c r="H69" s="159"/>
      <c r="I69" s="89"/>
      <c r="J69" s="89">
        <f>SUMIFS('TB LTD 12.21'!F:F,'TB LTD 12.21'!I:I,$B69,'TB LTD 12.21'!J:J,$C69)</f>
        <v>-3696681.17</v>
      </c>
      <c r="K69" s="89"/>
      <c r="L69" s="89">
        <f t="shared" si="9"/>
        <v>-3696681.17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 outlineLevel="1">
      <c r="A70" s="2"/>
      <c r="B70" s="104" t="s">
        <v>406</v>
      </c>
      <c r="C70" s="59" t="s">
        <v>563</v>
      </c>
      <c r="D70" s="89">
        <f>SUMIFS('TB LTD 12.21'!G:G,'TB LTD 12.21'!I:I,$B70,'TB LTD 12.21'!J:J,$C70)</f>
        <v>74057.94</v>
      </c>
      <c r="E70" s="89">
        <f>-'AJE 2021'!H55</f>
        <v>-33092.912499999991</v>
      </c>
      <c r="F70" s="89">
        <f t="shared" si="8"/>
        <v>40965.027500000011</v>
      </c>
      <c r="G70" s="163"/>
      <c r="H70" s="159"/>
      <c r="I70" s="89"/>
      <c r="J70" s="89">
        <f>SUMIFS('TB LTD 12.21'!F:F,'TB LTD 12.21'!I:I,$B70,'TB LTD 12.21'!J:J,$C70)</f>
        <v>236989.33</v>
      </c>
      <c r="K70" s="89">
        <f>-'AJE 2021'!K55</f>
        <v>-106866.94233624997</v>
      </c>
      <c r="L70" s="89">
        <f t="shared" si="9"/>
        <v>130122.38766375002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 thickBot="1">
      <c r="A71" s="2"/>
      <c r="B71" s="1"/>
      <c r="C71" s="55" t="s">
        <v>899</v>
      </c>
      <c r="D71" s="165">
        <f>D49+D37+D25</f>
        <v>138123526.37</v>
      </c>
      <c r="E71" s="165">
        <f>E49+E37+E25</f>
        <v>1150590.8990883634</v>
      </c>
      <c r="F71" s="165">
        <f>F49+F37+F25</f>
        <v>139274117.26908836</v>
      </c>
      <c r="G71" s="100"/>
      <c r="H71" s="160"/>
      <c r="I71" s="100"/>
      <c r="J71" s="165">
        <f>J49+J37+J25</f>
        <v>442107028.35000002</v>
      </c>
      <c r="K71" s="165">
        <f>K49+K37+K25</f>
        <v>3676671.9367486453</v>
      </c>
      <c r="L71" s="165">
        <f>L49+L37+L25</f>
        <v>445783700.28674871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>
      <c r="A72" s="2"/>
      <c r="B72" s="1"/>
      <c r="C72" s="56"/>
      <c r="D72" s="166"/>
      <c r="E72" s="166"/>
      <c r="F72" s="166"/>
      <c r="G72" s="166"/>
      <c r="H72" s="167"/>
      <c r="I72" s="166"/>
      <c r="J72" s="166"/>
      <c r="K72" s="166"/>
      <c r="L72" s="16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 thickBot="1">
      <c r="A73" s="2"/>
      <c r="B73" s="1"/>
      <c r="C73" s="55" t="s">
        <v>900</v>
      </c>
      <c r="D73" s="150">
        <f>D71+D22</f>
        <v>-17254739.139999986</v>
      </c>
      <c r="E73" s="150">
        <f>E71+E22</f>
        <v>6212078.8178690821</v>
      </c>
      <c r="F73" s="150">
        <f>F71+F22</f>
        <v>-11042660.322130919</v>
      </c>
      <c r="G73" s="89"/>
      <c r="H73" s="159"/>
      <c r="I73" s="89"/>
      <c r="J73" s="150">
        <f>J71+J22</f>
        <v>-51980820.629999936</v>
      </c>
      <c r="K73" s="150">
        <f>K71+K22</f>
        <v>19994852.645967219</v>
      </c>
      <c r="L73" s="150">
        <f>L71+L22</f>
        <v>-31985967.98403275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 thickTop="1">
      <c r="A74" s="2"/>
      <c r="B74" s="1"/>
      <c r="C74" s="55"/>
      <c r="D74" s="89"/>
      <c r="E74" s="89"/>
      <c r="F74" s="89"/>
      <c r="G74" s="89"/>
      <c r="H74" s="159"/>
      <c r="I74" s="89"/>
      <c r="J74" s="89"/>
      <c r="K74" s="89"/>
      <c r="L74" s="8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>
      <c r="A75" s="2"/>
      <c r="B75" s="1"/>
      <c r="C75" s="104" t="s">
        <v>500</v>
      </c>
      <c r="D75" s="100">
        <f>SUM(D76:D80)</f>
        <v>322235.48</v>
      </c>
      <c r="E75" s="100">
        <f>SUM(E76:E80)</f>
        <v>1612042.8314572999</v>
      </c>
      <c r="F75" s="100">
        <f>SUM(F76:F80)</f>
        <v>1934278.3114572999</v>
      </c>
      <c r="G75" s="100"/>
      <c r="H75" s="160"/>
      <c r="I75" s="100"/>
      <c r="J75" s="100">
        <f>SUM(J76:J80)</f>
        <v>-520397.58999999985</v>
      </c>
      <c r="K75" s="100">
        <f>SUM(K76:K80)</f>
        <v>5009237.1620518519</v>
      </c>
      <c r="L75" s="100">
        <f>SUM(L76:L80)</f>
        <v>4488839.572051852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 outlineLevel="1">
      <c r="A76" s="161" t="s">
        <v>914</v>
      </c>
      <c r="B76" s="104" t="s">
        <v>500</v>
      </c>
      <c r="C76" s="59" t="s">
        <v>501</v>
      </c>
      <c r="D76" s="89">
        <f>SUMIFS('TB LTD 12.21'!G:G,'TB LTD 12.21'!I:I,$B76,'TB LTD 12.21'!J:J,$C76)</f>
        <v>85665.14</v>
      </c>
      <c r="E76" s="89"/>
      <c r="F76" s="89">
        <f t="shared" ref="F76:F82" si="10">D76+E76</f>
        <v>85665.14</v>
      </c>
      <c r="G76" s="89"/>
      <c r="H76" s="159"/>
      <c r="I76" s="89"/>
      <c r="J76" s="89">
        <f>SUMIFS('TB LTD 12.21'!F:F,'TB LTD 12.21'!I:I,$B76,'TB LTD 12.21'!J:J,$C76)</f>
        <v>278103.23</v>
      </c>
      <c r="K76" s="89"/>
      <c r="L76" s="89">
        <f t="shared" ref="L76:L82" si="11">J76+K76</f>
        <v>278103.23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 outlineLevel="1">
      <c r="A77" s="161" t="s">
        <v>914</v>
      </c>
      <c r="B77" s="104" t="s">
        <v>500</v>
      </c>
      <c r="C77" s="59" t="s">
        <v>503</v>
      </c>
      <c r="D77" s="89">
        <f>SUMIFS('TB LTD 12.21'!G:G,'TB LTD 12.21'!I:I,$B77,'TB LTD 12.21'!J:J,$C77)</f>
        <v>266889.07999999996</v>
      </c>
      <c r="E77" s="89">
        <f>'AJE 2021'!G37+'AJE 2021'!G38+'AJE 2021'!G39</f>
        <v>13720.37037037037</v>
      </c>
      <c r="F77" s="89">
        <f t="shared" si="10"/>
        <v>280609.45037037035</v>
      </c>
      <c r="G77" s="89"/>
      <c r="H77" s="159"/>
      <c r="I77" s="89"/>
      <c r="J77" s="89">
        <f>SUMIFS('TB LTD 12.21'!F:F,'TB LTD 12.21'!I:I,$B77,'TB LTD 12.21'!J:J,$C77)</f>
        <v>868949.83</v>
      </c>
      <c r="K77" s="89">
        <f>'AJE 2021'!J37+'AJE 2021'!J38+'AJE 2021'!J39</f>
        <v>42670.351851851854</v>
      </c>
      <c r="L77" s="89">
        <f>J77+K77</f>
        <v>911620.18185185175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 outlineLevel="1">
      <c r="A78" s="161" t="s">
        <v>914</v>
      </c>
      <c r="B78" s="104" t="s">
        <v>500</v>
      </c>
      <c r="C78" s="59" t="s">
        <v>508</v>
      </c>
      <c r="D78" s="89">
        <f>SUMIFS('TB LTD 12.21'!G:G,'TB LTD 12.21'!I:I,$B78,'TB LTD 12.21'!J:J,$C78)</f>
        <v>-30318.74</v>
      </c>
      <c r="E78" s="89"/>
      <c r="F78" s="89">
        <f t="shared" si="10"/>
        <v>-30318.74</v>
      </c>
      <c r="G78" s="89"/>
      <c r="H78" s="159"/>
      <c r="I78" s="89"/>
      <c r="J78" s="89">
        <f>SUMIFS('TB LTD 12.21'!F:F,'TB LTD 12.21'!I:I,$B78,'TB LTD 12.21'!J:J,$C78)</f>
        <v>-1667450.65</v>
      </c>
      <c r="K78" s="89"/>
      <c r="L78" s="89">
        <f t="shared" si="11"/>
        <v>-1667450.65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 outlineLevel="1">
      <c r="A79" s="161" t="s">
        <v>914</v>
      </c>
      <c r="B79" s="104" t="s">
        <v>500</v>
      </c>
      <c r="C79" s="59" t="s">
        <v>1285</v>
      </c>
      <c r="D79" s="89">
        <f>SUMIFS('TB LTD 12.21'!G:G,'TB LTD 12.21'!I:I,$B79,'TB LTD 12.21'!J:J,$C79)</f>
        <v>0</v>
      </c>
      <c r="E79" s="89">
        <f>'AJE 2021'!G104</f>
        <v>1596966.82</v>
      </c>
      <c r="F79" s="89">
        <f t="shared" si="10"/>
        <v>1596966.82</v>
      </c>
      <c r="G79" s="89"/>
      <c r="H79" s="680"/>
      <c r="I79" s="89"/>
      <c r="J79" s="89">
        <f>SUMIFS('TB LTD 12.21'!F:F,'TB LTD 12.21'!I:I,$B79,'TB LTD 12.21'!J:J,$C79)</f>
        <v>0</v>
      </c>
      <c r="K79" s="89">
        <f>'AJE 2021'!J104</f>
        <v>4966566.8102000002</v>
      </c>
      <c r="L79" s="89">
        <f t="shared" si="11"/>
        <v>4966566.8102000002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 outlineLevel="1">
      <c r="A80" s="161" t="s">
        <v>914</v>
      </c>
      <c r="B80" s="104" t="s">
        <v>500</v>
      </c>
      <c r="C80" s="59" t="s">
        <v>914</v>
      </c>
      <c r="D80" s="89">
        <f>SUMIFS('TB LTD 12.21'!G:G,'TB LTD 12.21'!I:I,$B80,'TB LTD 12.21'!J:J,$C80)</f>
        <v>0</v>
      </c>
      <c r="E80" s="89">
        <f>'AJE 2021'!G71</f>
        <v>1355.6410869294</v>
      </c>
      <c r="F80" s="89">
        <f t="shared" si="10"/>
        <v>1355.6410869294</v>
      </c>
      <c r="G80" s="89"/>
      <c r="H80" s="159"/>
      <c r="I80" s="89"/>
      <c r="J80" s="89">
        <f>SUMIFS('TB LTD 12.21'!F:F,'TB LTD 12.21'!I:I,$B80,'TB LTD 12.21'!J:J,$C80)</f>
        <v>0</v>
      </c>
      <c r="K80" s="89">
        <f>-'AJE 2021'!K71</f>
        <v>0</v>
      </c>
      <c r="L80" s="89">
        <f t="shared" si="11"/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161" t="s">
        <v>915</v>
      </c>
      <c r="B81" s="104" t="s">
        <v>549</v>
      </c>
      <c r="C81" s="59" t="s">
        <v>549</v>
      </c>
      <c r="D81" s="89">
        <f>SUMIFS('TB LTD 12.21'!G:G,'TB LTD 12.21'!I:I,$B81,'TB LTD 12.21'!J:J,$C81)</f>
        <v>2135390.8199999998</v>
      </c>
      <c r="E81" s="89">
        <f>-'AJE 2021'!H90-'AJE 2021'!H95-'AJE 2021'!H99</f>
        <v>-836338.4902614021</v>
      </c>
      <c r="F81" s="89">
        <f t="shared" si="10"/>
        <v>1299052.3297385979</v>
      </c>
      <c r="G81" s="89"/>
      <c r="H81" s="159"/>
      <c r="I81" s="89"/>
      <c r="J81" s="89">
        <f>SUMIFS('TB LTD 12.21'!F:F,'TB LTD 12.21'!I:I,$B81,'TB LTD 12.21'!J:J,$C81)</f>
        <v>6939064</v>
      </c>
      <c r="K81" s="89">
        <f>-'AJE 2021'!K90-'AJE 2021'!K95-'AJE 2021'!K99</f>
        <v>-2561896.7226185584</v>
      </c>
      <c r="L81" s="89">
        <f t="shared" si="11"/>
        <v>4377167.2773814416</v>
      </c>
      <c r="M81" s="164"/>
      <c r="N81" s="16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2"/>
      <c r="B82" s="55" t="s">
        <v>813</v>
      </c>
      <c r="C82" s="55" t="s">
        <v>813</v>
      </c>
      <c r="D82" s="89">
        <f>SUMIFS('TB LTD 12.21'!G:G,'TB LTD 12.21'!I:I,$B82,'TB LTD 12.21'!J:J,$C82)</f>
        <v>-352025.71</v>
      </c>
      <c r="E82" s="89">
        <f>'AJE 2021'!H60</f>
        <v>93880.666399985552</v>
      </c>
      <c r="F82" s="89">
        <f t="shared" si="10"/>
        <v>-258145.04360001447</v>
      </c>
      <c r="G82" s="89"/>
      <c r="H82" s="159"/>
      <c r="I82" s="89"/>
      <c r="J82" s="89">
        <f>SUMIFS('TB LTD 12.21'!F:F,'TB LTD 12.21'!I:I,$B82,'TB LTD 12.21'!J:J,$C82)</f>
        <v>-1094799.96</v>
      </c>
      <c r="K82" s="89">
        <f>'AJE 2021'!K60</f>
        <v>303168.83600547333</v>
      </c>
      <c r="L82" s="89">
        <f t="shared" si="11"/>
        <v>-791631.12399452669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 thickBot="1">
      <c r="A83" s="2"/>
      <c r="B83" s="1"/>
      <c r="C83" s="104" t="s">
        <v>903</v>
      </c>
      <c r="D83" s="150">
        <f t="shared" ref="D83:F83" si="12">+D73+D75+D81+D82</f>
        <v>-15149138.549999986</v>
      </c>
      <c r="E83" s="150">
        <f>+E73+E75+E81+E82</f>
        <v>7081663.8254649658</v>
      </c>
      <c r="F83" s="150">
        <f t="shared" si="12"/>
        <v>-8067474.724535034</v>
      </c>
      <c r="G83" s="89"/>
      <c r="H83" s="159"/>
      <c r="I83" s="89"/>
      <c r="J83" s="150">
        <f>+J73+J75+J81+J82</f>
        <v>-46656954.17999994</v>
      </c>
      <c r="K83" s="150">
        <f>+K73+K75+K81+K82</f>
        <v>22745361.921405986</v>
      </c>
      <c r="L83" s="150">
        <f>+L73+L75+L81+L82</f>
        <v>-23911592.25859398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 thickTop="1">
      <c r="A84" s="2"/>
      <c r="B84" s="1"/>
      <c r="C84" s="1"/>
      <c r="D84" s="168"/>
      <c r="E84" s="168"/>
      <c r="F84" s="168"/>
      <c r="G84" s="168"/>
      <c r="H84" s="169"/>
      <c r="I84" s="168"/>
      <c r="J84" s="168"/>
      <c r="K84" s="168"/>
      <c r="L84" s="16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>
      <c r="A85" s="2"/>
      <c r="B85" s="1"/>
      <c r="C85" s="1"/>
      <c r="D85" s="151"/>
      <c r="E85" s="89"/>
      <c r="F85" s="151"/>
      <c r="G85" s="151"/>
      <c r="H85" s="170"/>
      <c r="I85" s="151"/>
      <c r="J85" s="151"/>
      <c r="K85" s="151"/>
      <c r="L85" s="15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>
      <c r="A86" s="2"/>
      <c r="B86" s="1"/>
      <c r="C86" s="1"/>
      <c r="D86" s="171"/>
      <c r="E86" s="171"/>
      <c r="F86" s="171"/>
      <c r="G86" s="171"/>
      <c r="H86" s="172"/>
      <c r="I86" s="171"/>
      <c r="J86" s="151"/>
      <c r="K86" s="171"/>
      <c r="L86" s="17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>
      <c r="A87" s="2"/>
      <c r="B87" s="1"/>
      <c r="C87" s="59" t="s">
        <v>1199</v>
      </c>
      <c r="D87" s="19">
        <f>D18+D30+D41+D68</f>
        <v>676078</v>
      </c>
      <c r="E87" s="19"/>
      <c r="F87" s="19">
        <f>F18+F30+F41+F68</f>
        <v>1799715.2884866977</v>
      </c>
      <c r="G87" s="19"/>
      <c r="H87" s="173"/>
      <c r="I87" s="19"/>
      <c r="J87" s="67"/>
      <c r="K87" s="19"/>
      <c r="L87" s="1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>
      <c r="A88" s="2"/>
      <c r="B88" s="1"/>
      <c r="C88" s="1"/>
      <c r="D88" s="171"/>
      <c r="E88" s="171"/>
      <c r="F88" s="171"/>
      <c r="G88" s="171"/>
      <c r="H88" s="172"/>
      <c r="I88" s="171"/>
      <c r="J88" s="171"/>
      <c r="K88" s="171"/>
      <c r="L88" s="17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>
      <c r="A89" s="2"/>
      <c r="B89" s="1"/>
      <c r="C89" s="1"/>
      <c r="D89" s="171"/>
      <c r="E89" s="171"/>
      <c r="F89" s="171"/>
      <c r="G89" s="171"/>
      <c r="H89" s="172"/>
      <c r="I89" s="171"/>
      <c r="J89" s="171"/>
      <c r="K89" s="171"/>
      <c r="L89" s="17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>
      <c r="A90" s="2"/>
      <c r="B90" s="1"/>
      <c r="C90" s="1"/>
      <c r="D90" s="67"/>
      <c r="E90" s="67"/>
      <c r="F90" s="67"/>
      <c r="G90" s="67"/>
      <c r="H90" s="154"/>
      <c r="I90" s="67"/>
      <c r="J90" s="67"/>
      <c r="K90" s="67"/>
      <c r="L90" s="6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>
      <c r="A91" s="2"/>
      <c r="B91" s="1"/>
      <c r="C91" s="1"/>
      <c r="D91" s="67"/>
      <c r="E91" s="67"/>
      <c r="F91" s="67"/>
      <c r="G91" s="67"/>
      <c r="H91" s="154"/>
      <c r="I91" s="67"/>
      <c r="J91" s="67"/>
      <c r="K91" s="67"/>
      <c r="L91" s="6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>
      <c r="A92" s="2"/>
      <c r="B92" s="1"/>
      <c r="C92" s="1"/>
      <c r="D92" s="67"/>
      <c r="E92" s="67"/>
      <c r="F92" s="67"/>
      <c r="G92" s="67"/>
      <c r="H92" s="154"/>
      <c r="I92" s="67"/>
      <c r="J92" s="67"/>
      <c r="K92" s="67"/>
      <c r="L92" s="6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>
      <c r="A93" s="2"/>
      <c r="B93" s="1"/>
      <c r="C93" s="1"/>
      <c r="D93" s="67"/>
      <c r="E93" s="67"/>
      <c r="F93" s="67"/>
      <c r="G93" s="67"/>
      <c r="H93" s="154"/>
      <c r="I93" s="67"/>
      <c r="J93" s="67"/>
      <c r="K93" s="67"/>
      <c r="L93" s="6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>
      <c r="A94" s="2"/>
      <c r="B94" s="1"/>
      <c r="C94" s="1"/>
      <c r="D94" s="67"/>
      <c r="E94" s="67"/>
      <c r="F94" s="67"/>
      <c r="G94" s="67"/>
      <c r="H94" s="154"/>
      <c r="I94" s="67"/>
      <c r="J94" s="67"/>
      <c r="K94" s="67"/>
      <c r="L94" s="6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>
      <c r="A95" s="2"/>
      <c r="B95" s="1"/>
      <c r="C95" s="1"/>
      <c r="D95" s="67"/>
      <c r="E95" s="67"/>
      <c r="F95" s="67"/>
      <c r="G95" s="67"/>
      <c r="H95" s="154"/>
      <c r="I95" s="67"/>
      <c r="J95" s="67"/>
      <c r="K95" s="67"/>
      <c r="L95" s="6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>
      <c r="A96" s="2"/>
      <c r="B96" s="1"/>
      <c r="C96" s="1"/>
      <c r="D96" s="67"/>
      <c r="E96" s="67"/>
      <c r="F96" s="67"/>
      <c r="G96" s="67"/>
      <c r="H96" s="154"/>
      <c r="I96" s="67"/>
      <c r="J96" s="67"/>
      <c r="K96" s="67"/>
      <c r="L96" s="6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>
      <c r="A97" s="2"/>
      <c r="B97" s="1"/>
      <c r="C97" s="1"/>
      <c r="D97" s="67"/>
      <c r="E97" s="67"/>
      <c r="F97" s="67"/>
      <c r="G97" s="67"/>
      <c r="H97" s="154"/>
      <c r="I97" s="67"/>
      <c r="J97" s="67"/>
      <c r="K97" s="67"/>
      <c r="L97" s="6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>
      <c r="A98" s="2"/>
      <c r="B98" s="1"/>
      <c r="C98" s="1"/>
      <c r="D98" s="67"/>
      <c r="E98" s="67"/>
      <c r="F98" s="67"/>
      <c r="G98" s="67"/>
      <c r="H98" s="154"/>
      <c r="I98" s="67"/>
      <c r="J98" s="67"/>
      <c r="K98" s="67"/>
      <c r="L98" s="6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>
      <c r="A99" s="2"/>
      <c r="B99" s="1"/>
      <c r="C99" s="1"/>
      <c r="D99" s="67"/>
      <c r="E99" s="67"/>
      <c r="F99" s="67"/>
      <c r="G99" s="67"/>
      <c r="H99" s="154"/>
      <c r="I99" s="67"/>
      <c r="J99" s="67"/>
      <c r="K99" s="67"/>
      <c r="L99" s="6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>
      <c r="A100" s="2"/>
      <c r="B100" s="1"/>
      <c r="C100" s="1"/>
      <c r="D100" s="67"/>
      <c r="E100" s="67"/>
      <c r="F100" s="67"/>
      <c r="G100" s="67"/>
      <c r="H100" s="154"/>
      <c r="I100" s="67"/>
      <c r="J100" s="67"/>
      <c r="K100" s="67"/>
      <c r="L100" s="6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>
      <c r="A101" s="2"/>
      <c r="B101" s="1"/>
      <c r="C101" s="1"/>
      <c r="D101" s="67"/>
      <c r="E101" s="67"/>
      <c r="F101" s="67"/>
      <c r="G101" s="67"/>
      <c r="H101" s="154"/>
      <c r="I101" s="67"/>
      <c r="J101" s="67"/>
      <c r="K101" s="67"/>
      <c r="L101" s="6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>
      <c r="A102" s="2"/>
      <c r="B102" s="1"/>
      <c r="C102" s="1"/>
      <c r="D102" s="67"/>
      <c r="E102" s="67"/>
      <c r="F102" s="67"/>
      <c r="G102" s="67"/>
      <c r="H102" s="154"/>
      <c r="I102" s="67"/>
      <c r="J102" s="67"/>
      <c r="K102" s="67"/>
      <c r="L102" s="6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>
      <c r="A103" s="2"/>
      <c r="B103" s="1"/>
      <c r="C103" s="1"/>
      <c r="D103" s="67"/>
      <c r="E103" s="67"/>
      <c r="F103" s="67"/>
      <c r="G103" s="67"/>
      <c r="H103" s="154"/>
      <c r="I103" s="67"/>
      <c r="J103" s="67"/>
      <c r="K103" s="67"/>
      <c r="L103" s="6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>
      <c r="A104" s="2"/>
      <c r="B104" s="1"/>
      <c r="C104" s="1"/>
      <c r="D104" s="67"/>
      <c r="E104" s="67"/>
      <c r="F104" s="67"/>
      <c r="G104" s="67"/>
      <c r="H104" s="154"/>
      <c r="I104" s="67"/>
      <c r="J104" s="67"/>
      <c r="K104" s="67"/>
      <c r="L104" s="6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>
      <c r="A105" s="2"/>
      <c r="B105" s="1"/>
      <c r="C105" s="1"/>
      <c r="D105" s="67"/>
      <c r="E105" s="67"/>
      <c r="F105" s="67"/>
      <c r="G105" s="67"/>
      <c r="H105" s="154"/>
      <c r="I105" s="67"/>
      <c r="J105" s="67"/>
      <c r="K105" s="67"/>
      <c r="L105" s="6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>
      <c r="A106" s="2"/>
      <c r="B106" s="1"/>
      <c r="C106" s="1"/>
      <c r="D106" s="67"/>
      <c r="E106" s="67"/>
      <c r="F106" s="67"/>
      <c r="G106" s="67"/>
      <c r="H106" s="154"/>
      <c r="I106" s="67"/>
      <c r="J106" s="67"/>
      <c r="K106" s="67"/>
      <c r="L106" s="6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>
      <c r="A107" s="2"/>
      <c r="B107" s="1"/>
      <c r="C107" s="1"/>
      <c r="D107" s="67"/>
      <c r="E107" s="67"/>
      <c r="F107" s="67"/>
      <c r="G107" s="67"/>
      <c r="H107" s="154"/>
      <c r="I107" s="67"/>
      <c r="J107" s="67"/>
      <c r="K107" s="67"/>
      <c r="L107" s="6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>
      <c r="A108" s="2"/>
      <c r="B108" s="1"/>
      <c r="C108" s="1"/>
      <c r="D108" s="67"/>
      <c r="E108" s="67"/>
      <c r="F108" s="67"/>
      <c r="G108" s="67"/>
      <c r="H108" s="154"/>
      <c r="I108" s="67"/>
      <c r="J108" s="67"/>
      <c r="K108" s="67"/>
      <c r="L108" s="6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2"/>
      <c r="B109" s="1"/>
      <c r="C109" s="1"/>
      <c r="D109" s="67"/>
      <c r="E109" s="67"/>
      <c r="F109" s="67"/>
      <c r="G109" s="67"/>
      <c r="H109" s="154"/>
      <c r="I109" s="67"/>
      <c r="J109" s="67"/>
      <c r="K109" s="67"/>
      <c r="L109" s="6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>
      <c r="A110" s="2"/>
      <c r="B110" s="1"/>
      <c r="C110" s="1"/>
      <c r="D110" s="67"/>
      <c r="E110" s="67"/>
      <c r="F110" s="67"/>
      <c r="G110" s="67"/>
      <c r="H110" s="154"/>
      <c r="I110" s="67"/>
      <c r="J110" s="67"/>
      <c r="K110" s="67"/>
      <c r="L110" s="6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>
      <c r="A111" s="2"/>
      <c r="B111" s="1"/>
      <c r="C111" s="1"/>
      <c r="D111" s="67"/>
      <c r="E111" s="67"/>
      <c r="F111" s="67"/>
      <c r="G111" s="67"/>
      <c r="H111" s="154"/>
      <c r="I111" s="67"/>
      <c r="J111" s="67"/>
      <c r="K111" s="67"/>
      <c r="L111" s="6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2"/>
      <c r="B112" s="1"/>
      <c r="C112" s="1"/>
      <c r="D112" s="67"/>
      <c r="E112" s="67"/>
      <c r="F112" s="67"/>
      <c r="G112" s="67"/>
      <c r="H112" s="154"/>
      <c r="I112" s="67"/>
      <c r="J112" s="67"/>
      <c r="K112" s="67"/>
      <c r="L112" s="6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>
      <c r="A113" s="2"/>
      <c r="B113" s="1"/>
      <c r="C113" s="1"/>
      <c r="D113" s="67"/>
      <c r="E113" s="67"/>
      <c r="F113" s="67"/>
      <c r="G113" s="67"/>
      <c r="H113" s="154"/>
      <c r="I113" s="67"/>
      <c r="J113" s="67"/>
      <c r="K113" s="67"/>
      <c r="L113" s="6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>
      <c r="A114" s="2"/>
      <c r="B114" s="1"/>
      <c r="C114" s="1"/>
      <c r="D114" s="67"/>
      <c r="E114" s="67"/>
      <c r="F114" s="67"/>
      <c r="G114" s="67"/>
      <c r="H114" s="154"/>
      <c r="I114" s="67"/>
      <c r="J114" s="67"/>
      <c r="K114" s="67"/>
      <c r="L114" s="6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>
      <c r="A115" s="2"/>
      <c r="B115" s="1"/>
      <c r="C115" s="1"/>
      <c r="D115" s="67"/>
      <c r="E115" s="67"/>
      <c r="F115" s="67"/>
      <c r="G115" s="67"/>
      <c r="H115" s="154"/>
      <c r="I115" s="67"/>
      <c r="J115" s="67"/>
      <c r="K115" s="67"/>
      <c r="L115" s="6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>
      <c r="A116" s="2"/>
      <c r="B116" s="1"/>
      <c r="C116" s="1"/>
      <c r="D116" s="67"/>
      <c r="E116" s="67"/>
      <c r="F116" s="67"/>
      <c r="G116" s="67"/>
      <c r="H116" s="154"/>
      <c r="I116" s="67"/>
      <c r="J116" s="67"/>
      <c r="K116" s="67"/>
      <c r="L116" s="6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>
      <c r="A117" s="2"/>
      <c r="B117" s="1"/>
      <c r="C117" s="1"/>
      <c r="D117" s="67"/>
      <c r="E117" s="67"/>
      <c r="F117" s="67"/>
      <c r="G117" s="67"/>
      <c r="H117" s="154"/>
      <c r="I117" s="67"/>
      <c r="J117" s="67"/>
      <c r="K117" s="67"/>
      <c r="L117" s="6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>
      <c r="A118" s="2"/>
      <c r="B118" s="1"/>
      <c r="C118" s="1"/>
      <c r="D118" s="67"/>
      <c r="E118" s="67"/>
      <c r="F118" s="67"/>
      <c r="G118" s="67"/>
      <c r="H118" s="154"/>
      <c r="I118" s="67"/>
      <c r="J118" s="67"/>
      <c r="K118" s="67"/>
      <c r="L118" s="6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>
      <c r="A119" s="2"/>
      <c r="B119" s="1"/>
      <c r="C119" s="1"/>
      <c r="D119" s="67"/>
      <c r="E119" s="67"/>
      <c r="F119" s="67"/>
      <c r="G119" s="67"/>
      <c r="H119" s="154"/>
      <c r="I119" s="67"/>
      <c r="J119" s="67"/>
      <c r="K119" s="67"/>
      <c r="L119" s="6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2"/>
      <c r="B120" s="1"/>
      <c r="C120" s="1"/>
      <c r="D120" s="67"/>
      <c r="E120" s="67"/>
      <c r="F120" s="67"/>
      <c r="G120" s="67"/>
      <c r="H120" s="154"/>
      <c r="I120" s="67"/>
      <c r="J120" s="67"/>
      <c r="K120" s="67"/>
      <c r="L120" s="6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2"/>
      <c r="B121" s="1"/>
      <c r="C121" s="1"/>
      <c r="D121" s="67"/>
      <c r="E121" s="67"/>
      <c r="F121" s="67"/>
      <c r="G121" s="67"/>
      <c r="H121" s="154"/>
      <c r="I121" s="67"/>
      <c r="J121" s="67"/>
      <c r="K121" s="67"/>
      <c r="L121" s="6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>
      <c r="A122" s="2"/>
      <c r="B122" s="1"/>
      <c r="C122" s="1"/>
      <c r="D122" s="67"/>
      <c r="E122" s="67"/>
      <c r="F122" s="67"/>
      <c r="G122" s="67"/>
      <c r="H122" s="154"/>
      <c r="I122" s="67"/>
      <c r="J122" s="67"/>
      <c r="K122" s="67"/>
      <c r="L122" s="6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>
      <c r="A123" s="2"/>
      <c r="B123" s="1"/>
      <c r="C123" s="1"/>
      <c r="D123" s="67"/>
      <c r="E123" s="67"/>
      <c r="F123" s="67"/>
      <c r="G123" s="67"/>
      <c r="H123" s="154"/>
      <c r="I123" s="67"/>
      <c r="J123" s="67"/>
      <c r="K123" s="67"/>
      <c r="L123" s="6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2"/>
      <c r="B124" s="1"/>
      <c r="C124" s="1"/>
      <c r="D124" s="67"/>
      <c r="E124" s="67"/>
      <c r="F124" s="67"/>
      <c r="G124" s="67"/>
      <c r="H124" s="154"/>
      <c r="I124" s="67"/>
      <c r="J124" s="67"/>
      <c r="K124" s="67"/>
      <c r="L124" s="6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2"/>
      <c r="B125" s="1"/>
      <c r="C125" s="1"/>
      <c r="D125" s="67"/>
      <c r="E125" s="67"/>
      <c r="F125" s="67"/>
      <c r="G125" s="67"/>
      <c r="H125" s="154"/>
      <c r="I125" s="67"/>
      <c r="J125" s="67"/>
      <c r="K125" s="67"/>
      <c r="L125" s="6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2"/>
      <c r="B126" s="1"/>
      <c r="C126" s="1"/>
      <c r="D126" s="67"/>
      <c r="E126" s="67"/>
      <c r="F126" s="67"/>
      <c r="G126" s="67"/>
      <c r="H126" s="154"/>
      <c r="I126" s="67"/>
      <c r="J126" s="67"/>
      <c r="K126" s="67"/>
      <c r="L126" s="6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2"/>
      <c r="B127" s="1"/>
      <c r="C127" s="1"/>
      <c r="D127" s="67"/>
      <c r="E127" s="67"/>
      <c r="F127" s="67"/>
      <c r="G127" s="67"/>
      <c r="H127" s="154"/>
      <c r="I127" s="67"/>
      <c r="J127" s="67"/>
      <c r="K127" s="67"/>
      <c r="L127" s="6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2"/>
      <c r="B128" s="1"/>
      <c r="C128" s="1"/>
      <c r="D128" s="67"/>
      <c r="E128" s="67"/>
      <c r="F128" s="67"/>
      <c r="G128" s="67"/>
      <c r="H128" s="154"/>
      <c r="I128" s="67"/>
      <c r="J128" s="67"/>
      <c r="K128" s="67"/>
      <c r="L128" s="6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2"/>
      <c r="B129" s="1"/>
      <c r="C129" s="1"/>
      <c r="D129" s="67"/>
      <c r="E129" s="67"/>
      <c r="F129" s="67"/>
      <c r="G129" s="67"/>
      <c r="H129" s="154"/>
      <c r="I129" s="67"/>
      <c r="J129" s="67"/>
      <c r="K129" s="67"/>
      <c r="L129" s="6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2"/>
      <c r="B130" s="1"/>
      <c r="C130" s="1"/>
      <c r="D130" s="67"/>
      <c r="E130" s="67"/>
      <c r="F130" s="67"/>
      <c r="G130" s="67"/>
      <c r="H130" s="154"/>
      <c r="I130" s="67"/>
      <c r="J130" s="67"/>
      <c r="K130" s="67"/>
      <c r="L130" s="6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2"/>
      <c r="B131" s="1"/>
      <c r="C131" s="1"/>
      <c r="D131" s="67"/>
      <c r="E131" s="67"/>
      <c r="F131" s="67"/>
      <c r="G131" s="67"/>
      <c r="H131" s="154"/>
      <c r="I131" s="67"/>
      <c r="J131" s="67"/>
      <c r="K131" s="67"/>
      <c r="L131" s="6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2"/>
      <c r="B132" s="1"/>
      <c r="C132" s="1"/>
      <c r="D132" s="67"/>
      <c r="E132" s="67"/>
      <c r="F132" s="67"/>
      <c r="G132" s="67"/>
      <c r="H132" s="154"/>
      <c r="I132" s="67"/>
      <c r="J132" s="67"/>
      <c r="K132" s="67"/>
      <c r="L132" s="6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2"/>
      <c r="B133" s="1"/>
      <c r="C133" s="1"/>
      <c r="D133" s="67"/>
      <c r="E133" s="67"/>
      <c r="F133" s="67"/>
      <c r="G133" s="67"/>
      <c r="H133" s="154"/>
      <c r="I133" s="67"/>
      <c r="J133" s="67"/>
      <c r="K133" s="67"/>
      <c r="L133" s="6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2"/>
      <c r="B134" s="1"/>
      <c r="C134" s="1"/>
      <c r="D134" s="67"/>
      <c r="E134" s="67"/>
      <c r="F134" s="67"/>
      <c r="G134" s="67"/>
      <c r="H134" s="154"/>
      <c r="I134" s="67"/>
      <c r="J134" s="67"/>
      <c r="K134" s="67"/>
      <c r="L134" s="6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2"/>
      <c r="B135" s="1"/>
      <c r="C135" s="1"/>
      <c r="D135" s="67"/>
      <c r="E135" s="67"/>
      <c r="F135" s="67"/>
      <c r="G135" s="67"/>
      <c r="H135" s="154"/>
      <c r="I135" s="67"/>
      <c r="J135" s="67"/>
      <c r="K135" s="67"/>
      <c r="L135" s="6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2"/>
      <c r="B136" s="1"/>
      <c r="C136" s="1"/>
      <c r="D136" s="67"/>
      <c r="E136" s="67"/>
      <c r="F136" s="67"/>
      <c r="G136" s="67"/>
      <c r="H136" s="154"/>
      <c r="I136" s="67"/>
      <c r="J136" s="67"/>
      <c r="K136" s="67"/>
      <c r="L136" s="6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2"/>
      <c r="B137" s="1"/>
      <c r="C137" s="1"/>
      <c r="D137" s="67"/>
      <c r="E137" s="67"/>
      <c r="F137" s="67"/>
      <c r="G137" s="67"/>
      <c r="H137" s="154"/>
      <c r="I137" s="67"/>
      <c r="J137" s="67"/>
      <c r="K137" s="67"/>
      <c r="L137" s="6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2"/>
      <c r="B138" s="1"/>
      <c r="C138" s="1"/>
      <c r="D138" s="67"/>
      <c r="E138" s="67"/>
      <c r="F138" s="67"/>
      <c r="G138" s="67"/>
      <c r="H138" s="154"/>
      <c r="I138" s="67"/>
      <c r="J138" s="67"/>
      <c r="K138" s="67"/>
      <c r="L138" s="6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2"/>
      <c r="B139" s="1"/>
      <c r="C139" s="1"/>
      <c r="D139" s="67"/>
      <c r="E139" s="67"/>
      <c r="F139" s="67"/>
      <c r="G139" s="67"/>
      <c r="H139" s="154"/>
      <c r="I139" s="67"/>
      <c r="J139" s="67"/>
      <c r="K139" s="67"/>
      <c r="L139" s="6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2"/>
      <c r="B140" s="1"/>
      <c r="C140" s="1"/>
      <c r="D140" s="67"/>
      <c r="E140" s="67"/>
      <c r="F140" s="67"/>
      <c r="G140" s="67"/>
      <c r="H140" s="154"/>
      <c r="I140" s="67"/>
      <c r="J140" s="67"/>
      <c r="K140" s="67"/>
      <c r="L140" s="6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2"/>
      <c r="B141" s="1"/>
      <c r="C141" s="1"/>
      <c r="D141" s="67"/>
      <c r="E141" s="67"/>
      <c r="F141" s="67"/>
      <c r="G141" s="67"/>
      <c r="H141" s="154"/>
      <c r="I141" s="67"/>
      <c r="J141" s="67"/>
      <c r="K141" s="67"/>
      <c r="L141" s="6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2"/>
      <c r="B142" s="1"/>
      <c r="C142" s="1"/>
      <c r="D142" s="67"/>
      <c r="E142" s="67"/>
      <c r="F142" s="67"/>
      <c r="G142" s="67"/>
      <c r="H142" s="154"/>
      <c r="I142" s="67"/>
      <c r="J142" s="67"/>
      <c r="K142" s="67"/>
      <c r="L142" s="6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2"/>
      <c r="B143" s="1"/>
      <c r="C143" s="1"/>
      <c r="D143" s="67"/>
      <c r="E143" s="67"/>
      <c r="F143" s="67"/>
      <c r="G143" s="67"/>
      <c r="H143" s="154"/>
      <c r="I143" s="67"/>
      <c r="J143" s="67"/>
      <c r="K143" s="67"/>
      <c r="L143" s="6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2"/>
      <c r="B144" s="1"/>
      <c r="C144" s="1"/>
      <c r="D144" s="67"/>
      <c r="E144" s="67"/>
      <c r="F144" s="67"/>
      <c r="G144" s="67"/>
      <c r="H144" s="154"/>
      <c r="I144" s="67"/>
      <c r="J144" s="67"/>
      <c r="K144" s="67"/>
      <c r="L144" s="6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2"/>
      <c r="B145" s="1"/>
      <c r="C145" s="1"/>
      <c r="D145" s="67"/>
      <c r="E145" s="67"/>
      <c r="F145" s="67"/>
      <c r="G145" s="67"/>
      <c r="H145" s="154"/>
      <c r="I145" s="67"/>
      <c r="J145" s="67"/>
      <c r="K145" s="67"/>
      <c r="L145" s="6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2"/>
      <c r="B146" s="1"/>
      <c r="C146" s="1"/>
      <c r="D146" s="67"/>
      <c r="E146" s="67"/>
      <c r="F146" s="67"/>
      <c r="G146" s="67"/>
      <c r="H146" s="154"/>
      <c r="I146" s="67"/>
      <c r="J146" s="67"/>
      <c r="K146" s="67"/>
      <c r="L146" s="6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2"/>
      <c r="B147" s="1"/>
      <c r="C147" s="1"/>
      <c r="D147" s="67"/>
      <c r="E147" s="67"/>
      <c r="F147" s="67"/>
      <c r="G147" s="67"/>
      <c r="H147" s="154"/>
      <c r="I147" s="67"/>
      <c r="J147" s="67"/>
      <c r="K147" s="67"/>
      <c r="L147" s="6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2"/>
      <c r="B148" s="1"/>
      <c r="C148" s="1"/>
      <c r="D148" s="67"/>
      <c r="E148" s="67"/>
      <c r="F148" s="67"/>
      <c r="G148" s="67"/>
      <c r="H148" s="154"/>
      <c r="I148" s="67"/>
      <c r="J148" s="67"/>
      <c r="K148" s="67"/>
      <c r="L148" s="6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2"/>
      <c r="B149" s="1"/>
      <c r="C149" s="1"/>
      <c r="D149" s="67"/>
      <c r="E149" s="67"/>
      <c r="F149" s="67"/>
      <c r="G149" s="67"/>
      <c r="H149" s="154"/>
      <c r="I149" s="67"/>
      <c r="J149" s="67"/>
      <c r="K149" s="67"/>
      <c r="L149" s="6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2"/>
      <c r="B150" s="1"/>
      <c r="C150" s="1"/>
      <c r="D150" s="67"/>
      <c r="E150" s="67"/>
      <c r="F150" s="67"/>
      <c r="G150" s="67"/>
      <c r="H150" s="154"/>
      <c r="I150" s="67"/>
      <c r="J150" s="67"/>
      <c r="K150" s="67"/>
      <c r="L150" s="6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2"/>
      <c r="B151" s="1"/>
      <c r="C151" s="1"/>
      <c r="D151" s="67"/>
      <c r="E151" s="67"/>
      <c r="F151" s="67"/>
      <c r="G151" s="67"/>
      <c r="H151" s="154"/>
      <c r="I151" s="67"/>
      <c r="J151" s="67"/>
      <c r="K151" s="67"/>
      <c r="L151" s="6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2"/>
      <c r="B152" s="1"/>
      <c r="C152" s="1"/>
      <c r="D152" s="67"/>
      <c r="E152" s="67"/>
      <c r="F152" s="67"/>
      <c r="G152" s="67"/>
      <c r="H152" s="154"/>
      <c r="I152" s="67"/>
      <c r="J152" s="67"/>
      <c r="K152" s="67"/>
      <c r="L152" s="6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2"/>
      <c r="B153" s="1"/>
      <c r="C153" s="1"/>
      <c r="D153" s="67"/>
      <c r="E153" s="67"/>
      <c r="F153" s="67"/>
      <c r="G153" s="67"/>
      <c r="H153" s="154"/>
      <c r="I153" s="67"/>
      <c r="J153" s="67"/>
      <c r="K153" s="67"/>
      <c r="L153" s="6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2"/>
      <c r="B154" s="1"/>
      <c r="C154" s="1"/>
      <c r="D154" s="67"/>
      <c r="E154" s="67"/>
      <c r="F154" s="67"/>
      <c r="G154" s="67"/>
      <c r="H154" s="154"/>
      <c r="I154" s="67"/>
      <c r="J154" s="67"/>
      <c r="K154" s="67"/>
      <c r="L154" s="6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2"/>
      <c r="B155" s="1"/>
      <c r="C155" s="1"/>
      <c r="D155" s="67"/>
      <c r="E155" s="67"/>
      <c r="F155" s="67"/>
      <c r="G155" s="67"/>
      <c r="H155" s="154"/>
      <c r="I155" s="67"/>
      <c r="J155" s="67"/>
      <c r="K155" s="67"/>
      <c r="L155" s="6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2"/>
      <c r="B156" s="1"/>
      <c r="C156" s="1"/>
      <c r="D156" s="67"/>
      <c r="E156" s="67"/>
      <c r="F156" s="67"/>
      <c r="G156" s="67"/>
      <c r="H156" s="154"/>
      <c r="I156" s="67"/>
      <c r="J156" s="67"/>
      <c r="K156" s="67"/>
      <c r="L156" s="6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2"/>
      <c r="B157" s="1"/>
      <c r="C157" s="1"/>
      <c r="D157" s="67"/>
      <c r="E157" s="67"/>
      <c r="F157" s="67"/>
      <c r="G157" s="67"/>
      <c r="H157" s="154"/>
      <c r="I157" s="67"/>
      <c r="J157" s="67"/>
      <c r="K157" s="67"/>
      <c r="L157" s="6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2"/>
      <c r="B158" s="1"/>
      <c r="C158" s="1"/>
      <c r="D158" s="67"/>
      <c r="E158" s="67"/>
      <c r="F158" s="67"/>
      <c r="G158" s="67"/>
      <c r="H158" s="154"/>
      <c r="I158" s="67"/>
      <c r="J158" s="67"/>
      <c r="K158" s="67"/>
      <c r="L158" s="6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2"/>
      <c r="B159" s="1"/>
      <c r="C159" s="1"/>
      <c r="D159" s="67"/>
      <c r="E159" s="67"/>
      <c r="F159" s="67"/>
      <c r="G159" s="67"/>
      <c r="H159" s="154"/>
      <c r="I159" s="67"/>
      <c r="J159" s="67"/>
      <c r="K159" s="67"/>
      <c r="L159" s="6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2"/>
      <c r="B160" s="1"/>
      <c r="C160" s="1"/>
      <c r="D160" s="67"/>
      <c r="E160" s="67"/>
      <c r="F160" s="67"/>
      <c r="G160" s="67"/>
      <c r="H160" s="67"/>
      <c r="I160" s="67"/>
      <c r="J160" s="67"/>
      <c r="K160" s="67"/>
      <c r="L160" s="6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2"/>
      <c r="B161" s="1"/>
      <c r="C161" s="1"/>
      <c r="D161" s="67"/>
      <c r="E161" s="67"/>
      <c r="F161" s="67"/>
      <c r="G161" s="67"/>
      <c r="H161" s="67"/>
      <c r="I161" s="67"/>
      <c r="J161" s="67"/>
      <c r="K161" s="67"/>
      <c r="L161" s="6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2"/>
      <c r="B162" s="1"/>
      <c r="C162" s="1"/>
      <c r="D162" s="67"/>
      <c r="E162" s="67"/>
      <c r="F162" s="67"/>
      <c r="G162" s="67"/>
      <c r="H162" s="67"/>
      <c r="I162" s="67"/>
      <c r="J162" s="67"/>
      <c r="K162" s="67"/>
      <c r="L162" s="6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2"/>
      <c r="B163" s="1"/>
      <c r="C163" s="1"/>
      <c r="D163" s="67"/>
      <c r="E163" s="67"/>
      <c r="F163" s="67"/>
      <c r="G163" s="67"/>
      <c r="H163" s="67"/>
      <c r="I163" s="67"/>
      <c r="J163" s="67"/>
      <c r="K163" s="67"/>
      <c r="L163" s="6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2"/>
      <c r="B164" s="1"/>
      <c r="C164" s="1"/>
      <c r="D164" s="67"/>
      <c r="E164" s="67"/>
      <c r="F164" s="67"/>
      <c r="G164" s="67"/>
      <c r="H164" s="67"/>
      <c r="I164" s="67"/>
      <c r="J164" s="67"/>
      <c r="K164" s="67"/>
      <c r="L164" s="6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2"/>
      <c r="B165" s="1"/>
      <c r="C165" s="1"/>
      <c r="D165" s="67"/>
      <c r="E165" s="67"/>
      <c r="F165" s="67"/>
      <c r="G165" s="67"/>
      <c r="H165" s="67"/>
      <c r="I165" s="67"/>
      <c r="J165" s="67"/>
      <c r="K165" s="67"/>
      <c r="L165" s="6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2"/>
      <c r="B166" s="1"/>
      <c r="C166" s="1"/>
      <c r="D166" s="67"/>
      <c r="E166" s="67"/>
      <c r="F166" s="67"/>
      <c r="G166" s="67"/>
      <c r="H166" s="67"/>
      <c r="I166" s="67"/>
      <c r="J166" s="67"/>
      <c r="K166" s="67"/>
      <c r="L166" s="6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2"/>
      <c r="B167" s="1"/>
      <c r="C167" s="1"/>
      <c r="D167" s="67"/>
      <c r="E167" s="67"/>
      <c r="F167" s="67"/>
      <c r="G167" s="67"/>
      <c r="H167" s="67"/>
      <c r="I167" s="67"/>
      <c r="J167" s="67"/>
      <c r="K167" s="67"/>
      <c r="L167" s="6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2"/>
      <c r="B168" s="1"/>
      <c r="C168" s="1"/>
      <c r="D168" s="67"/>
      <c r="E168" s="67"/>
      <c r="F168" s="67"/>
      <c r="G168" s="67"/>
      <c r="H168" s="67"/>
      <c r="I168" s="67"/>
      <c r="J168" s="67"/>
      <c r="K168" s="67"/>
      <c r="L168" s="6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2"/>
      <c r="B169" s="1"/>
      <c r="C169" s="1"/>
      <c r="D169" s="67"/>
      <c r="E169" s="67"/>
      <c r="F169" s="67"/>
      <c r="G169" s="67"/>
      <c r="H169" s="67"/>
      <c r="I169" s="67"/>
      <c r="J169" s="67"/>
      <c r="K169" s="67"/>
      <c r="L169" s="6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2"/>
      <c r="B170" s="1"/>
      <c r="C170" s="1"/>
      <c r="D170" s="67"/>
      <c r="E170" s="67"/>
      <c r="F170" s="67"/>
      <c r="G170" s="67"/>
      <c r="H170" s="67"/>
      <c r="I170" s="67"/>
      <c r="J170" s="67"/>
      <c r="K170" s="67"/>
      <c r="L170" s="6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2"/>
      <c r="B171" s="1"/>
      <c r="C171" s="1"/>
      <c r="D171" s="67"/>
      <c r="E171" s="67"/>
      <c r="F171" s="67"/>
      <c r="G171" s="67"/>
      <c r="H171" s="67"/>
      <c r="I171" s="67"/>
      <c r="J171" s="67"/>
      <c r="K171" s="67"/>
      <c r="L171" s="6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2"/>
      <c r="B172" s="1"/>
      <c r="C172" s="1"/>
      <c r="D172" s="67"/>
      <c r="E172" s="67"/>
      <c r="F172" s="67"/>
      <c r="G172" s="67"/>
      <c r="H172" s="67"/>
      <c r="I172" s="67"/>
      <c r="J172" s="67"/>
      <c r="K172" s="67"/>
      <c r="L172" s="6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2"/>
      <c r="B173" s="1"/>
      <c r="C173" s="1"/>
      <c r="D173" s="67"/>
      <c r="E173" s="67"/>
      <c r="F173" s="67"/>
      <c r="G173" s="67"/>
      <c r="H173" s="67"/>
      <c r="I173" s="67"/>
      <c r="J173" s="67"/>
      <c r="K173" s="67"/>
      <c r="L173" s="6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2"/>
      <c r="B174" s="1"/>
      <c r="C174" s="1"/>
      <c r="D174" s="67"/>
      <c r="E174" s="67"/>
      <c r="F174" s="67"/>
      <c r="G174" s="67"/>
      <c r="H174" s="67"/>
      <c r="I174" s="67"/>
      <c r="J174" s="67"/>
      <c r="K174" s="67"/>
      <c r="L174" s="6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2"/>
      <c r="B175" s="1"/>
      <c r="C175" s="1"/>
      <c r="D175" s="67"/>
      <c r="E175" s="67"/>
      <c r="F175" s="67"/>
      <c r="G175" s="67"/>
      <c r="H175" s="67"/>
      <c r="I175" s="67"/>
      <c r="J175" s="67"/>
      <c r="K175" s="67"/>
      <c r="L175" s="6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2"/>
      <c r="B176" s="1"/>
      <c r="C176" s="1"/>
      <c r="D176" s="67"/>
      <c r="E176" s="67"/>
      <c r="F176" s="67"/>
      <c r="G176" s="67"/>
      <c r="H176" s="67"/>
      <c r="I176" s="67"/>
      <c r="J176" s="67"/>
      <c r="K176" s="67"/>
      <c r="L176" s="6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2"/>
      <c r="B177" s="1"/>
      <c r="C177" s="1"/>
      <c r="D177" s="67"/>
      <c r="E177" s="67"/>
      <c r="F177" s="67"/>
      <c r="G177" s="67"/>
      <c r="H177" s="67"/>
      <c r="I177" s="67"/>
      <c r="J177" s="67"/>
      <c r="K177" s="67"/>
      <c r="L177" s="6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2"/>
      <c r="B178" s="1"/>
      <c r="C178" s="1"/>
      <c r="D178" s="67"/>
      <c r="E178" s="67"/>
      <c r="F178" s="67"/>
      <c r="G178" s="67"/>
      <c r="H178" s="67"/>
      <c r="I178" s="67"/>
      <c r="J178" s="67"/>
      <c r="K178" s="67"/>
      <c r="L178" s="6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2"/>
      <c r="B179" s="1"/>
      <c r="C179" s="1"/>
      <c r="D179" s="67"/>
      <c r="E179" s="67"/>
      <c r="F179" s="67"/>
      <c r="G179" s="67"/>
      <c r="H179" s="67"/>
      <c r="I179" s="67"/>
      <c r="J179" s="67"/>
      <c r="K179" s="67"/>
      <c r="L179" s="6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2"/>
      <c r="B180" s="1"/>
      <c r="C180" s="1"/>
      <c r="D180" s="67"/>
      <c r="E180" s="67"/>
      <c r="F180" s="67"/>
      <c r="G180" s="67"/>
      <c r="H180" s="67"/>
      <c r="I180" s="67"/>
      <c r="J180" s="67"/>
      <c r="K180" s="67"/>
      <c r="L180" s="6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2"/>
      <c r="B181" s="1"/>
      <c r="C181" s="1"/>
      <c r="D181" s="67"/>
      <c r="E181" s="67"/>
      <c r="F181" s="67"/>
      <c r="G181" s="67"/>
      <c r="H181" s="67"/>
      <c r="I181" s="67"/>
      <c r="J181" s="67"/>
      <c r="K181" s="67"/>
      <c r="L181" s="6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2"/>
      <c r="B182" s="1"/>
      <c r="C182" s="1"/>
      <c r="D182" s="67"/>
      <c r="E182" s="67"/>
      <c r="F182" s="67"/>
      <c r="G182" s="67"/>
      <c r="H182" s="67"/>
      <c r="I182" s="67"/>
      <c r="J182" s="67"/>
      <c r="K182" s="67"/>
      <c r="L182" s="6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2"/>
      <c r="B183" s="1"/>
      <c r="C183" s="1"/>
      <c r="D183" s="67"/>
      <c r="E183" s="67"/>
      <c r="F183" s="67"/>
      <c r="G183" s="67"/>
      <c r="H183" s="67"/>
      <c r="I183" s="67"/>
      <c r="J183" s="67"/>
      <c r="K183" s="67"/>
      <c r="L183" s="6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2"/>
      <c r="B184" s="1"/>
      <c r="C184" s="1"/>
      <c r="D184" s="67"/>
      <c r="E184" s="67"/>
      <c r="F184" s="67"/>
      <c r="G184" s="67"/>
      <c r="H184" s="67"/>
      <c r="I184" s="67"/>
      <c r="J184" s="67"/>
      <c r="K184" s="67"/>
      <c r="L184" s="6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2"/>
      <c r="B185" s="1"/>
      <c r="C185" s="1"/>
      <c r="D185" s="67"/>
      <c r="E185" s="67"/>
      <c r="F185" s="67"/>
      <c r="G185" s="67"/>
      <c r="H185" s="67"/>
      <c r="I185" s="67"/>
      <c r="J185" s="67"/>
      <c r="K185" s="67"/>
      <c r="L185" s="6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2"/>
      <c r="B186" s="1"/>
      <c r="C186" s="1"/>
      <c r="D186" s="67"/>
      <c r="E186" s="67"/>
      <c r="F186" s="67"/>
      <c r="G186" s="67"/>
      <c r="H186" s="67"/>
      <c r="I186" s="67"/>
      <c r="J186" s="67"/>
      <c r="K186" s="67"/>
      <c r="L186" s="6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2"/>
      <c r="B187" s="1"/>
      <c r="C187" s="1"/>
      <c r="D187" s="67"/>
      <c r="E187" s="67"/>
      <c r="F187" s="67"/>
      <c r="G187" s="67"/>
      <c r="H187" s="67"/>
      <c r="I187" s="67"/>
      <c r="J187" s="67"/>
      <c r="K187" s="67"/>
      <c r="L187" s="6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2"/>
      <c r="B188" s="1"/>
      <c r="C188" s="1"/>
      <c r="D188" s="67"/>
      <c r="E188" s="67"/>
      <c r="F188" s="67"/>
      <c r="G188" s="67"/>
      <c r="H188" s="67"/>
      <c r="I188" s="67"/>
      <c r="J188" s="67"/>
      <c r="K188" s="67"/>
      <c r="L188" s="6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2"/>
      <c r="B189" s="1"/>
      <c r="C189" s="1"/>
      <c r="D189" s="67"/>
      <c r="E189" s="67"/>
      <c r="F189" s="67"/>
      <c r="G189" s="67"/>
      <c r="H189" s="67"/>
      <c r="I189" s="67"/>
      <c r="J189" s="67"/>
      <c r="K189" s="67"/>
      <c r="L189" s="6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2"/>
      <c r="B190" s="1"/>
      <c r="C190" s="1"/>
      <c r="D190" s="67"/>
      <c r="E190" s="67"/>
      <c r="F190" s="67"/>
      <c r="G190" s="67"/>
      <c r="H190" s="67"/>
      <c r="I190" s="67"/>
      <c r="J190" s="67"/>
      <c r="K190" s="67"/>
      <c r="L190" s="6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2"/>
      <c r="B191" s="1"/>
      <c r="C191" s="1"/>
      <c r="D191" s="67"/>
      <c r="E191" s="67"/>
      <c r="F191" s="67"/>
      <c r="G191" s="67"/>
      <c r="H191" s="67"/>
      <c r="I191" s="67"/>
      <c r="J191" s="67"/>
      <c r="K191" s="67"/>
      <c r="L191" s="6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2"/>
      <c r="B192" s="1"/>
      <c r="C192" s="1"/>
      <c r="D192" s="67"/>
      <c r="E192" s="67"/>
      <c r="F192" s="67"/>
      <c r="G192" s="67"/>
      <c r="H192" s="67"/>
      <c r="I192" s="67"/>
      <c r="J192" s="67"/>
      <c r="K192" s="67"/>
      <c r="L192" s="6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2"/>
      <c r="B193" s="1"/>
      <c r="C193" s="1"/>
      <c r="D193" s="67"/>
      <c r="E193" s="67"/>
      <c r="F193" s="67"/>
      <c r="G193" s="67"/>
      <c r="H193" s="67"/>
      <c r="I193" s="67"/>
      <c r="J193" s="67"/>
      <c r="K193" s="67"/>
      <c r="L193" s="6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2"/>
      <c r="B194" s="1"/>
      <c r="C194" s="1"/>
      <c r="D194" s="67"/>
      <c r="E194" s="67"/>
      <c r="F194" s="67"/>
      <c r="G194" s="67"/>
      <c r="H194" s="67"/>
      <c r="I194" s="67"/>
      <c r="J194" s="67"/>
      <c r="K194" s="67"/>
      <c r="L194" s="6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2"/>
      <c r="B195" s="1"/>
      <c r="C195" s="1"/>
      <c r="D195" s="67"/>
      <c r="E195" s="67"/>
      <c r="F195" s="67"/>
      <c r="G195" s="67"/>
      <c r="H195" s="67"/>
      <c r="I195" s="67"/>
      <c r="J195" s="67"/>
      <c r="K195" s="67"/>
      <c r="L195" s="6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2"/>
      <c r="B196" s="1"/>
      <c r="C196" s="1"/>
      <c r="D196" s="67"/>
      <c r="E196" s="67"/>
      <c r="F196" s="67"/>
      <c r="G196" s="67"/>
      <c r="H196" s="67"/>
      <c r="I196" s="67"/>
      <c r="J196" s="67"/>
      <c r="K196" s="67"/>
      <c r="L196" s="6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2"/>
      <c r="B197" s="1"/>
      <c r="C197" s="1"/>
      <c r="D197" s="67"/>
      <c r="E197" s="67"/>
      <c r="F197" s="67"/>
      <c r="G197" s="67"/>
      <c r="H197" s="67"/>
      <c r="I197" s="67"/>
      <c r="J197" s="67"/>
      <c r="K197" s="67"/>
      <c r="L197" s="6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2"/>
      <c r="B198" s="1"/>
      <c r="C198" s="1"/>
      <c r="D198" s="67"/>
      <c r="E198" s="67"/>
      <c r="F198" s="67"/>
      <c r="G198" s="67"/>
      <c r="H198" s="67"/>
      <c r="I198" s="67"/>
      <c r="J198" s="67"/>
      <c r="K198" s="67"/>
      <c r="L198" s="6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2"/>
      <c r="B199" s="1"/>
      <c r="C199" s="1"/>
      <c r="D199" s="67"/>
      <c r="E199" s="67"/>
      <c r="F199" s="67"/>
      <c r="G199" s="67"/>
      <c r="H199" s="67"/>
      <c r="I199" s="67"/>
      <c r="J199" s="67"/>
      <c r="K199" s="67"/>
      <c r="L199" s="6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2"/>
      <c r="B200" s="1"/>
      <c r="C200" s="1"/>
      <c r="D200" s="67"/>
      <c r="E200" s="67"/>
      <c r="F200" s="67"/>
      <c r="G200" s="67"/>
      <c r="H200" s="67"/>
      <c r="I200" s="67"/>
      <c r="J200" s="67"/>
      <c r="K200" s="67"/>
      <c r="L200" s="6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2"/>
      <c r="B201" s="1"/>
      <c r="C201" s="1"/>
      <c r="D201" s="67"/>
      <c r="E201" s="67"/>
      <c r="F201" s="67"/>
      <c r="G201" s="67"/>
      <c r="H201" s="67"/>
      <c r="I201" s="67"/>
      <c r="J201" s="67"/>
      <c r="K201" s="67"/>
      <c r="L201" s="6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2"/>
      <c r="B202" s="1"/>
      <c r="C202" s="1"/>
      <c r="D202" s="67"/>
      <c r="E202" s="67"/>
      <c r="F202" s="67"/>
      <c r="G202" s="67"/>
      <c r="H202" s="67"/>
      <c r="I202" s="67"/>
      <c r="J202" s="67"/>
      <c r="K202" s="67"/>
      <c r="L202" s="6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2"/>
      <c r="B203" s="1"/>
      <c r="C203" s="1"/>
      <c r="D203" s="67"/>
      <c r="E203" s="67"/>
      <c r="F203" s="67"/>
      <c r="G203" s="67"/>
      <c r="H203" s="67"/>
      <c r="I203" s="67"/>
      <c r="J203" s="67"/>
      <c r="K203" s="67"/>
      <c r="L203" s="6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2"/>
      <c r="B204" s="1"/>
      <c r="C204" s="1"/>
      <c r="D204" s="67"/>
      <c r="E204" s="67"/>
      <c r="F204" s="67"/>
      <c r="G204" s="67"/>
      <c r="H204" s="67"/>
      <c r="I204" s="67"/>
      <c r="J204" s="67"/>
      <c r="K204" s="67"/>
      <c r="L204" s="6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2"/>
      <c r="B205" s="1"/>
      <c r="C205" s="1"/>
      <c r="D205" s="67"/>
      <c r="E205" s="67"/>
      <c r="F205" s="67"/>
      <c r="G205" s="67"/>
      <c r="H205" s="67"/>
      <c r="I205" s="67"/>
      <c r="J205" s="67"/>
      <c r="K205" s="67"/>
      <c r="L205" s="6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2"/>
      <c r="B206" s="1"/>
      <c r="C206" s="1"/>
      <c r="D206" s="67"/>
      <c r="E206" s="67"/>
      <c r="F206" s="67"/>
      <c r="G206" s="67"/>
      <c r="H206" s="67"/>
      <c r="I206" s="67"/>
      <c r="J206" s="67"/>
      <c r="K206" s="67"/>
      <c r="L206" s="6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2"/>
      <c r="B207" s="1"/>
      <c r="C207" s="1"/>
      <c r="D207" s="67"/>
      <c r="E207" s="67"/>
      <c r="F207" s="67"/>
      <c r="G207" s="67"/>
      <c r="H207" s="67"/>
      <c r="I207" s="67"/>
      <c r="J207" s="67"/>
      <c r="K207" s="67"/>
      <c r="L207" s="6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2"/>
      <c r="B208" s="1"/>
      <c r="C208" s="1"/>
      <c r="D208" s="67"/>
      <c r="E208" s="67"/>
      <c r="F208" s="67"/>
      <c r="G208" s="67"/>
      <c r="H208" s="67"/>
      <c r="I208" s="67"/>
      <c r="J208" s="67"/>
      <c r="K208" s="67"/>
      <c r="L208" s="6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2"/>
      <c r="B209" s="1"/>
      <c r="C209" s="1"/>
      <c r="D209" s="67"/>
      <c r="E209" s="67"/>
      <c r="F209" s="67"/>
      <c r="G209" s="67"/>
      <c r="H209" s="67"/>
      <c r="I209" s="67"/>
      <c r="J209" s="67"/>
      <c r="K209" s="67"/>
      <c r="L209" s="6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2"/>
      <c r="B210" s="1"/>
      <c r="C210" s="1"/>
      <c r="D210" s="67"/>
      <c r="E210" s="67"/>
      <c r="F210" s="67"/>
      <c r="G210" s="67"/>
      <c r="H210" s="67"/>
      <c r="I210" s="67"/>
      <c r="J210" s="67"/>
      <c r="K210" s="67"/>
      <c r="L210" s="6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2"/>
      <c r="B211" s="1"/>
      <c r="C211" s="1"/>
      <c r="D211" s="67"/>
      <c r="E211" s="67"/>
      <c r="F211" s="67"/>
      <c r="G211" s="67"/>
      <c r="H211" s="67"/>
      <c r="I211" s="67"/>
      <c r="J211" s="67"/>
      <c r="K211" s="67"/>
      <c r="L211" s="6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2"/>
      <c r="B212" s="1"/>
      <c r="C212" s="1"/>
      <c r="D212" s="67"/>
      <c r="E212" s="67"/>
      <c r="F212" s="67"/>
      <c r="G212" s="67"/>
      <c r="H212" s="67"/>
      <c r="I212" s="67"/>
      <c r="J212" s="67"/>
      <c r="K212" s="67"/>
      <c r="L212" s="6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2"/>
      <c r="B213" s="1"/>
      <c r="C213" s="1"/>
      <c r="D213" s="67"/>
      <c r="E213" s="67"/>
      <c r="F213" s="67"/>
      <c r="G213" s="67"/>
      <c r="H213" s="67"/>
      <c r="I213" s="67"/>
      <c r="J213" s="67"/>
      <c r="K213" s="67"/>
      <c r="L213" s="6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2"/>
      <c r="B214" s="1"/>
      <c r="C214" s="1"/>
      <c r="D214" s="67"/>
      <c r="E214" s="67"/>
      <c r="F214" s="67"/>
      <c r="G214" s="67"/>
      <c r="H214" s="67"/>
      <c r="I214" s="67"/>
      <c r="J214" s="67"/>
      <c r="K214" s="67"/>
      <c r="L214" s="6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2"/>
      <c r="B215" s="1"/>
      <c r="C215" s="1"/>
      <c r="D215" s="67"/>
      <c r="E215" s="67"/>
      <c r="F215" s="67"/>
      <c r="G215" s="67"/>
      <c r="H215" s="67"/>
      <c r="I215" s="67"/>
      <c r="J215" s="67"/>
      <c r="K215" s="67"/>
      <c r="L215" s="6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2"/>
      <c r="B216" s="1"/>
      <c r="C216" s="1"/>
      <c r="D216" s="67"/>
      <c r="E216" s="67"/>
      <c r="F216" s="67"/>
      <c r="G216" s="67"/>
      <c r="H216" s="67"/>
      <c r="I216" s="67"/>
      <c r="J216" s="67"/>
      <c r="K216" s="67"/>
      <c r="L216" s="6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2"/>
      <c r="B217" s="1"/>
      <c r="C217" s="1"/>
      <c r="D217" s="67"/>
      <c r="E217" s="67"/>
      <c r="F217" s="67"/>
      <c r="G217" s="67"/>
      <c r="H217" s="67"/>
      <c r="I217" s="67"/>
      <c r="J217" s="67"/>
      <c r="K217" s="67"/>
      <c r="L217" s="6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2"/>
      <c r="B218" s="1"/>
      <c r="C218" s="1"/>
      <c r="D218" s="67"/>
      <c r="E218" s="67"/>
      <c r="F218" s="67"/>
      <c r="G218" s="67"/>
      <c r="H218" s="67"/>
      <c r="I218" s="67"/>
      <c r="J218" s="67"/>
      <c r="K218" s="67"/>
      <c r="L218" s="6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2"/>
      <c r="B219" s="1"/>
      <c r="C219" s="1"/>
      <c r="D219" s="67"/>
      <c r="E219" s="67"/>
      <c r="F219" s="67"/>
      <c r="G219" s="67"/>
      <c r="H219" s="67"/>
      <c r="I219" s="67"/>
      <c r="J219" s="67"/>
      <c r="K219" s="67"/>
      <c r="L219" s="6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2"/>
      <c r="B220" s="1"/>
      <c r="C220" s="1"/>
      <c r="D220" s="67"/>
      <c r="E220" s="67"/>
      <c r="F220" s="67"/>
      <c r="G220" s="67"/>
      <c r="H220" s="67"/>
      <c r="I220" s="67"/>
      <c r="J220" s="67"/>
      <c r="K220" s="67"/>
      <c r="L220" s="6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2"/>
      <c r="B221" s="1"/>
      <c r="C221" s="1"/>
      <c r="D221" s="67"/>
      <c r="E221" s="67"/>
      <c r="F221" s="67"/>
      <c r="G221" s="67"/>
      <c r="H221" s="67"/>
      <c r="I221" s="67"/>
      <c r="J221" s="67"/>
      <c r="K221" s="67"/>
      <c r="L221" s="6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2"/>
      <c r="B222" s="1"/>
      <c r="C222" s="1"/>
      <c r="D222" s="67"/>
      <c r="E222" s="67"/>
      <c r="F222" s="67"/>
      <c r="G222" s="67"/>
      <c r="H222" s="67"/>
      <c r="I222" s="67"/>
      <c r="J222" s="67"/>
      <c r="K222" s="67"/>
      <c r="L222" s="6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2"/>
      <c r="B223" s="1"/>
      <c r="C223" s="1"/>
      <c r="D223" s="67"/>
      <c r="E223" s="67"/>
      <c r="F223" s="67"/>
      <c r="G223" s="67"/>
      <c r="H223" s="67"/>
      <c r="I223" s="67"/>
      <c r="J223" s="67"/>
      <c r="K223" s="67"/>
      <c r="L223" s="6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2"/>
      <c r="B224" s="1"/>
      <c r="C224" s="1"/>
      <c r="D224" s="67"/>
      <c r="E224" s="67"/>
      <c r="F224" s="67"/>
      <c r="G224" s="67"/>
      <c r="H224" s="67"/>
      <c r="I224" s="67"/>
      <c r="J224" s="67"/>
      <c r="K224" s="67"/>
      <c r="L224" s="6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2"/>
      <c r="B225" s="1"/>
      <c r="C225" s="1"/>
      <c r="D225" s="67"/>
      <c r="E225" s="67"/>
      <c r="F225" s="67"/>
      <c r="G225" s="67"/>
      <c r="H225" s="67"/>
      <c r="I225" s="67"/>
      <c r="J225" s="67"/>
      <c r="K225" s="67"/>
      <c r="L225" s="6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2"/>
      <c r="B226" s="1"/>
      <c r="C226" s="1"/>
      <c r="D226" s="67"/>
      <c r="E226" s="67"/>
      <c r="F226" s="67"/>
      <c r="G226" s="67"/>
      <c r="H226" s="67"/>
      <c r="I226" s="67"/>
      <c r="J226" s="67"/>
      <c r="K226" s="67"/>
      <c r="L226" s="6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2"/>
      <c r="B227" s="1"/>
      <c r="C227" s="1"/>
      <c r="D227" s="67"/>
      <c r="E227" s="67"/>
      <c r="F227" s="67"/>
      <c r="G227" s="67"/>
      <c r="H227" s="67"/>
      <c r="I227" s="67"/>
      <c r="J227" s="67"/>
      <c r="K227" s="67"/>
      <c r="L227" s="6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2"/>
      <c r="B228" s="1"/>
      <c r="C228" s="1"/>
      <c r="D228" s="67"/>
      <c r="E228" s="67"/>
      <c r="F228" s="67"/>
      <c r="G228" s="67"/>
      <c r="H228" s="67"/>
      <c r="I228" s="67"/>
      <c r="J228" s="67"/>
      <c r="K228" s="67"/>
      <c r="L228" s="6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2"/>
      <c r="B229" s="1"/>
      <c r="C229" s="1"/>
      <c r="D229" s="67"/>
      <c r="E229" s="67"/>
      <c r="F229" s="67"/>
      <c r="G229" s="67"/>
      <c r="H229" s="67"/>
      <c r="I229" s="67"/>
      <c r="J229" s="67"/>
      <c r="K229" s="67"/>
      <c r="L229" s="6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2"/>
      <c r="B230" s="1"/>
      <c r="C230" s="1"/>
      <c r="D230" s="67"/>
      <c r="E230" s="67"/>
      <c r="F230" s="67"/>
      <c r="G230" s="67"/>
      <c r="H230" s="67"/>
      <c r="I230" s="67"/>
      <c r="J230" s="67"/>
      <c r="K230" s="67"/>
      <c r="L230" s="6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2"/>
      <c r="B231" s="1"/>
      <c r="C231" s="1"/>
      <c r="D231" s="67"/>
      <c r="E231" s="67"/>
      <c r="F231" s="67"/>
      <c r="G231" s="67"/>
      <c r="H231" s="67"/>
      <c r="I231" s="67"/>
      <c r="J231" s="67"/>
      <c r="K231" s="67"/>
      <c r="L231" s="6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2"/>
      <c r="B232" s="1"/>
      <c r="C232" s="1"/>
      <c r="D232" s="67"/>
      <c r="E232" s="67"/>
      <c r="F232" s="67"/>
      <c r="G232" s="67"/>
      <c r="H232" s="67"/>
      <c r="I232" s="67"/>
      <c r="J232" s="67"/>
      <c r="K232" s="67"/>
      <c r="L232" s="6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2"/>
      <c r="B233" s="1"/>
      <c r="C233" s="1"/>
      <c r="D233" s="67"/>
      <c r="E233" s="67"/>
      <c r="F233" s="67"/>
      <c r="G233" s="67"/>
      <c r="H233" s="67"/>
      <c r="I233" s="67"/>
      <c r="J233" s="67"/>
      <c r="K233" s="67"/>
      <c r="L233" s="6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2"/>
      <c r="B234" s="1"/>
      <c r="C234" s="1"/>
      <c r="D234" s="67"/>
      <c r="E234" s="67"/>
      <c r="F234" s="67"/>
      <c r="G234" s="67"/>
      <c r="H234" s="67"/>
      <c r="I234" s="67"/>
      <c r="J234" s="67"/>
      <c r="K234" s="67"/>
      <c r="L234" s="6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2"/>
      <c r="B235" s="1"/>
      <c r="C235" s="1"/>
      <c r="D235" s="67"/>
      <c r="E235" s="67"/>
      <c r="F235" s="67"/>
      <c r="G235" s="67"/>
      <c r="H235" s="67"/>
      <c r="I235" s="67"/>
      <c r="J235" s="67"/>
      <c r="K235" s="67"/>
      <c r="L235" s="6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2"/>
      <c r="B236" s="1"/>
      <c r="C236" s="1"/>
      <c r="D236" s="67"/>
      <c r="E236" s="67"/>
      <c r="F236" s="67"/>
      <c r="G236" s="67"/>
      <c r="H236" s="67"/>
      <c r="I236" s="67"/>
      <c r="J236" s="67"/>
      <c r="K236" s="67"/>
      <c r="L236" s="6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2"/>
      <c r="B237" s="1"/>
      <c r="C237" s="1"/>
      <c r="D237" s="67"/>
      <c r="E237" s="67"/>
      <c r="F237" s="67"/>
      <c r="G237" s="67"/>
      <c r="H237" s="67"/>
      <c r="I237" s="67"/>
      <c r="J237" s="67"/>
      <c r="K237" s="67"/>
      <c r="L237" s="6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2"/>
      <c r="B238" s="1"/>
      <c r="C238" s="1"/>
      <c r="D238" s="67"/>
      <c r="E238" s="67"/>
      <c r="F238" s="67"/>
      <c r="G238" s="67"/>
      <c r="H238" s="67"/>
      <c r="I238" s="67"/>
      <c r="J238" s="67"/>
      <c r="K238" s="67"/>
      <c r="L238" s="6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2"/>
      <c r="B239" s="1"/>
      <c r="C239" s="1"/>
      <c r="D239" s="67"/>
      <c r="E239" s="67"/>
      <c r="F239" s="67"/>
      <c r="G239" s="67"/>
      <c r="H239" s="67"/>
      <c r="I239" s="67"/>
      <c r="J239" s="67"/>
      <c r="K239" s="67"/>
      <c r="L239" s="6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2"/>
      <c r="B240" s="1"/>
      <c r="C240" s="1"/>
      <c r="D240" s="67"/>
      <c r="E240" s="67"/>
      <c r="F240" s="67"/>
      <c r="G240" s="67"/>
      <c r="H240" s="67"/>
      <c r="I240" s="67"/>
      <c r="J240" s="67"/>
      <c r="K240" s="67"/>
      <c r="L240" s="6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2"/>
      <c r="B241" s="1"/>
      <c r="C241" s="1"/>
      <c r="D241" s="67"/>
      <c r="E241" s="67"/>
      <c r="F241" s="67"/>
      <c r="G241" s="67"/>
      <c r="H241" s="67"/>
      <c r="I241" s="67"/>
      <c r="J241" s="67"/>
      <c r="K241" s="67"/>
      <c r="L241" s="6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2"/>
      <c r="B242" s="1"/>
      <c r="C242" s="1"/>
      <c r="D242" s="67"/>
      <c r="E242" s="67"/>
      <c r="F242" s="67"/>
      <c r="G242" s="67"/>
      <c r="H242" s="67"/>
      <c r="I242" s="67"/>
      <c r="J242" s="67"/>
      <c r="K242" s="67"/>
      <c r="L242" s="6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2"/>
      <c r="B243" s="1"/>
      <c r="C243" s="1"/>
      <c r="D243" s="67"/>
      <c r="E243" s="67"/>
      <c r="F243" s="67"/>
      <c r="G243" s="67"/>
      <c r="H243" s="67"/>
      <c r="I243" s="67"/>
      <c r="J243" s="67"/>
      <c r="K243" s="67"/>
      <c r="L243" s="6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2"/>
      <c r="B244" s="1"/>
      <c r="C244" s="1"/>
      <c r="D244" s="67"/>
      <c r="E244" s="67"/>
      <c r="F244" s="67"/>
      <c r="G244" s="67"/>
      <c r="H244" s="67"/>
      <c r="I244" s="67"/>
      <c r="J244" s="67"/>
      <c r="K244" s="67"/>
      <c r="L244" s="6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2"/>
      <c r="B245" s="1"/>
      <c r="C245" s="1"/>
      <c r="D245" s="67"/>
      <c r="E245" s="67"/>
      <c r="F245" s="67"/>
      <c r="G245" s="67"/>
      <c r="H245" s="67"/>
      <c r="I245" s="67"/>
      <c r="J245" s="67"/>
      <c r="K245" s="67"/>
      <c r="L245" s="6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2"/>
      <c r="B246" s="1"/>
      <c r="C246" s="1"/>
      <c r="D246" s="67"/>
      <c r="E246" s="67"/>
      <c r="F246" s="67"/>
      <c r="G246" s="67"/>
      <c r="H246" s="67"/>
      <c r="I246" s="67"/>
      <c r="J246" s="67"/>
      <c r="K246" s="67"/>
      <c r="L246" s="6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2"/>
      <c r="B247" s="1"/>
      <c r="C247" s="1"/>
      <c r="D247" s="67"/>
      <c r="E247" s="67"/>
      <c r="F247" s="67"/>
      <c r="G247" s="67"/>
      <c r="H247" s="67"/>
      <c r="I247" s="67"/>
      <c r="J247" s="67"/>
      <c r="K247" s="67"/>
      <c r="L247" s="6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2"/>
      <c r="B248" s="1"/>
      <c r="C248" s="1"/>
      <c r="D248" s="67"/>
      <c r="E248" s="67"/>
      <c r="F248" s="67"/>
      <c r="G248" s="67"/>
      <c r="H248" s="67"/>
      <c r="I248" s="67"/>
      <c r="J248" s="67"/>
      <c r="K248" s="67"/>
      <c r="L248" s="6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2"/>
      <c r="B249" s="1"/>
      <c r="C249" s="1"/>
      <c r="D249" s="67"/>
      <c r="E249" s="67"/>
      <c r="F249" s="67"/>
      <c r="G249" s="67"/>
      <c r="H249" s="67"/>
      <c r="I249" s="67"/>
      <c r="J249" s="67"/>
      <c r="K249" s="67"/>
      <c r="L249" s="6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2"/>
      <c r="B250" s="1"/>
      <c r="C250" s="1"/>
      <c r="D250" s="67"/>
      <c r="E250" s="67"/>
      <c r="F250" s="67"/>
      <c r="G250" s="67"/>
      <c r="H250" s="67"/>
      <c r="I250" s="67"/>
      <c r="J250" s="67"/>
      <c r="K250" s="67"/>
      <c r="L250" s="6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2"/>
      <c r="B251" s="1"/>
      <c r="C251" s="1"/>
      <c r="D251" s="67"/>
      <c r="E251" s="67"/>
      <c r="F251" s="67"/>
      <c r="G251" s="67"/>
      <c r="H251" s="67"/>
      <c r="I251" s="67"/>
      <c r="J251" s="67"/>
      <c r="K251" s="67"/>
      <c r="L251" s="6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2"/>
      <c r="B252" s="1"/>
      <c r="C252" s="1"/>
      <c r="D252" s="67"/>
      <c r="E252" s="67"/>
      <c r="F252" s="67"/>
      <c r="G252" s="67"/>
      <c r="H252" s="67"/>
      <c r="I252" s="67"/>
      <c r="J252" s="67"/>
      <c r="K252" s="67"/>
      <c r="L252" s="6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2"/>
      <c r="B253" s="1"/>
      <c r="C253" s="1"/>
      <c r="D253" s="67"/>
      <c r="E253" s="67"/>
      <c r="F253" s="67"/>
      <c r="G253" s="67"/>
      <c r="H253" s="67"/>
      <c r="I253" s="67"/>
      <c r="J253" s="67"/>
      <c r="K253" s="67"/>
      <c r="L253" s="6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2"/>
      <c r="B254" s="1"/>
      <c r="C254" s="1"/>
      <c r="D254" s="67"/>
      <c r="E254" s="67"/>
      <c r="F254" s="67"/>
      <c r="G254" s="67"/>
      <c r="H254" s="67"/>
      <c r="I254" s="67"/>
      <c r="J254" s="67"/>
      <c r="K254" s="67"/>
      <c r="L254" s="6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2"/>
      <c r="B255" s="1"/>
      <c r="C255" s="1"/>
      <c r="D255" s="67"/>
      <c r="E255" s="67"/>
      <c r="F255" s="67"/>
      <c r="G255" s="67"/>
      <c r="H255" s="67"/>
      <c r="I255" s="67"/>
      <c r="J255" s="67"/>
      <c r="K255" s="67"/>
      <c r="L255" s="6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2"/>
      <c r="B256" s="1"/>
      <c r="C256" s="1"/>
      <c r="D256" s="67"/>
      <c r="E256" s="67"/>
      <c r="F256" s="67"/>
      <c r="G256" s="67"/>
      <c r="H256" s="67"/>
      <c r="I256" s="67"/>
      <c r="J256" s="67"/>
      <c r="K256" s="67"/>
      <c r="L256" s="6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2"/>
      <c r="B257" s="1"/>
      <c r="C257" s="1"/>
      <c r="D257" s="67"/>
      <c r="E257" s="67"/>
      <c r="F257" s="67"/>
      <c r="G257" s="67"/>
      <c r="H257" s="67"/>
      <c r="I257" s="67"/>
      <c r="J257" s="67"/>
      <c r="K257" s="67"/>
      <c r="L257" s="6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2"/>
      <c r="B258" s="1"/>
      <c r="C258" s="1"/>
      <c r="D258" s="67"/>
      <c r="E258" s="67"/>
      <c r="F258" s="67"/>
      <c r="G258" s="67"/>
      <c r="H258" s="67"/>
      <c r="I258" s="67"/>
      <c r="J258" s="67"/>
      <c r="K258" s="67"/>
      <c r="L258" s="6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2"/>
      <c r="B259" s="1"/>
      <c r="C259" s="1"/>
      <c r="D259" s="67"/>
      <c r="E259" s="67"/>
      <c r="F259" s="67"/>
      <c r="G259" s="67"/>
      <c r="H259" s="67"/>
      <c r="I259" s="67"/>
      <c r="J259" s="67"/>
      <c r="K259" s="67"/>
      <c r="L259" s="6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2"/>
      <c r="B260" s="1"/>
      <c r="C260" s="1"/>
      <c r="D260" s="67"/>
      <c r="E260" s="67"/>
      <c r="F260" s="67"/>
      <c r="G260" s="67"/>
      <c r="H260" s="67"/>
      <c r="I260" s="67"/>
      <c r="J260" s="67"/>
      <c r="K260" s="67"/>
      <c r="L260" s="6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1"/>
      <c r="C261" s="1"/>
      <c r="D261" s="67"/>
      <c r="E261" s="67"/>
      <c r="F261" s="67"/>
      <c r="G261" s="67"/>
      <c r="H261" s="67"/>
      <c r="I261" s="67"/>
      <c r="J261" s="67"/>
      <c r="K261" s="67"/>
      <c r="L261" s="6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1"/>
      <c r="C262" s="1"/>
      <c r="D262" s="67"/>
      <c r="E262" s="67"/>
      <c r="F262" s="67"/>
      <c r="G262" s="67"/>
      <c r="H262" s="67"/>
      <c r="I262" s="67"/>
      <c r="J262" s="67"/>
      <c r="K262" s="67"/>
      <c r="L262" s="6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1"/>
      <c r="C263" s="1"/>
      <c r="D263" s="67"/>
      <c r="E263" s="67"/>
      <c r="F263" s="67"/>
      <c r="G263" s="67"/>
      <c r="H263" s="67"/>
      <c r="I263" s="67"/>
      <c r="J263" s="67"/>
      <c r="K263" s="67"/>
      <c r="L263" s="6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1"/>
      <c r="C264" s="1"/>
      <c r="D264" s="67"/>
      <c r="E264" s="67"/>
      <c r="F264" s="67"/>
      <c r="G264" s="67"/>
      <c r="H264" s="67"/>
      <c r="I264" s="67"/>
      <c r="J264" s="67"/>
      <c r="K264" s="67"/>
      <c r="L264" s="6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1"/>
      <c r="C265" s="1"/>
      <c r="D265" s="67"/>
      <c r="E265" s="67"/>
      <c r="F265" s="67"/>
      <c r="G265" s="67"/>
      <c r="H265" s="67"/>
      <c r="I265" s="67"/>
      <c r="J265" s="67"/>
      <c r="K265" s="67"/>
      <c r="L265" s="6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1"/>
      <c r="C266" s="1"/>
      <c r="D266" s="67"/>
      <c r="E266" s="67"/>
      <c r="F266" s="67"/>
      <c r="G266" s="67"/>
      <c r="H266" s="67"/>
      <c r="I266" s="67"/>
      <c r="J266" s="67"/>
      <c r="K266" s="67"/>
      <c r="L266" s="6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1"/>
      <c r="C267" s="1"/>
      <c r="D267" s="67"/>
      <c r="E267" s="67"/>
      <c r="F267" s="67"/>
      <c r="G267" s="67"/>
      <c r="H267" s="67"/>
      <c r="I267" s="67"/>
      <c r="J267" s="67"/>
      <c r="K267" s="67"/>
      <c r="L267" s="6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1"/>
      <c r="C268" s="1"/>
      <c r="D268" s="67"/>
      <c r="E268" s="67"/>
      <c r="F268" s="67"/>
      <c r="G268" s="67"/>
      <c r="H268" s="67"/>
      <c r="I268" s="67"/>
      <c r="J268" s="67"/>
      <c r="K268" s="67"/>
      <c r="L268" s="6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1"/>
      <c r="C269" s="1"/>
      <c r="D269" s="67"/>
      <c r="E269" s="67"/>
      <c r="F269" s="67"/>
      <c r="G269" s="67"/>
      <c r="H269" s="67"/>
      <c r="I269" s="67"/>
      <c r="J269" s="67"/>
      <c r="K269" s="67"/>
      <c r="L269" s="6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1"/>
      <c r="C270" s="1"/>
      <c r="D270" s="67"/>
      <c r="E270" s="67"/>
      <c r="F270" s="67"/>
      <c r="G270" s="67"/>
      <c r="H270" s="67"/>
      <c r="I270" s="67"/>
      <c r="J270" s="67"/>
      <c r="K270" s="67"/>
      <c r="L270" s="6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1"/>
      <c r="C271" s="1"/>
      <c r="D271" s="67"/>
      <c r="E271" s="67"/>
      <c r="F271" s="67"/>
      <c r="G271" s="67"/>
      <c r="H271" s="67"/>
      <c r="I271" s="67"/>
      <c r="J271" s="67"/>
      <c r="K271" s="67"/>
      <c r="L271" s="6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1"/>
      <c r="C272" s="1"/>
      <c r="D272" s="67"/>
      <c r="E272" s="67"/>
      <c r="F272" s="67"/>
      <c r="G272" s="67"/>
      <c r="H272" s="67"/>
      <c r="I272" s="67"/>
      <c r="J272" s="67"/>
      <c r="K272" s="67"/>
      <c r="L272" s="6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1"/>
      <c r="C273" s="1"/>
      <c r="D273" s="67"/>
      <c r="E273" s="67"/>
      <c r="F273" s="67"/>
      <c r="G273" s="67"/>
      <c r="H273" s="67"/>
      <c r="I273" s="67"/>
      <c r="J273" s="67"/>
      <c r="K273" s="67"/>
      <c r="L273" s="6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1"/>
      <c r="C274" s="1"/>
      <c r="D274" s="67"/>
      <c r="E274" s="67"/>
      <c r="F274" s="67"/>
      <c r="G274" s="67"/>
      <c r="H274" s="67"/>
      <c r="I274" s="67"/>
      <c r="J274" s="67"/>
      <c r="K274" s="67"/>
      <c r="L274" s="6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1"/>
      <c r="C275" s="1"/>
      <c r="D275" s="67"/>
      <c r="E275" s="67"/>
      <c r="F275" s="67"/>
      <c r="G275" s="67"/>
      <c r="H275" s="67"/>
      <c r="I275" s="67"/>
      <c r="J275" s="67"/>
      <c r="K275" s="67"/>
      <c r="L275" s="6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1"/>
      <c r="C276" s="1"/>
      <c r="D276" s="67"/>
      <c r="E276" s="67"/>
      <c r="F276" s="67"/>
      <c r="G276" s="67"/>
      <c r="H276" s="67"/>
      <c r="I276" s="67"/>
      <c r="J276" s="67"/>
      <c r="K276" s="67"/>
      <c r="L276" s="6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1"/>
      <c r="C277" s="1"/>
      <c r="D277" s="67"/>
      <c r="E277" s="67"/>
      <c r="F277" s="67"/>
      <c r="G277" s="67"/>
      <c r="H277" s="67"/>
      <c r="I277" s="67"/>
      <c r="J277" s="67"/>
      <c r="K277" s="67"/>
      <c r="L277" s="6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1"/>
      <c r="C278" s="1"/>
      <c r="D278" s="67"/>
      <c r="E278" s="67"/>
      <c r="F278" s="67"/>
      <c r="G278" s="67"/>
      <c r="H278" s="67"/>
      <c r="I278" s="67"/>
      <c r="J278" s="67"/>
      <c r="K278" s="67"/>
      <c r="L278" s="6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1"/>
      <c r="C279" s="1"/>
      <c r="D279" s="67"/>
      <c r="E279" s="67"/>
      <c r="F279" s="67"/>
      <c r="G279" s="67"/>
      <c r="H279" s="67"/>
      <c r="I279" s="67"/>
      <c r="J279" s="67"/>
      <c r="K279" s="67"/>
      <c r="L279" s="6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1"/>
      <c r="C280" s="1"/>
      <c r="D280" s="67"/>
      <c r="E280" s="67"/>
      <c r="F280" s="67"/>
      <c r="G280" s="67"/>
      <c r="H280" s="67"/>
      <c r="I280" s="67"/>
      <c r="J280" s="67"/>
      <c r="K280" s="67"/>
      <c r="L280" s="6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1"/>
      <c r="C281" s="1"/>
      <c r="D281" s="67"/>
      <c r="E281" s="67"/>
      <c r="F281" s="67"/>
      <c r="G281" s="67"/>
      <c r="H281" s="67"/>
      <c r="I281" s="67"/>
      <c r="J281" s="67"/>
      <c r="K281" s="67"/>
      <c r="L281" s="6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1"/>
      <c r="C282" s="1"/>
      <c r="D282" s="67"/>
      <c r="E282" s="67"/>
      <c r="F282" s="67"/>
      <c r="G282" s="67"/>
      <c r="H282" s="67"/>
      <c r="I282" s="67"/>
      <c r="J282" s="67"/>
      <c r="K282" s="67"/>
      <c r="L282" s="6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1"/>
      <c r="C283" s="1"/>
      <c r="D283" s="67"/>
      <c r="E283" s="67"/>
      <c r="F283" s="67"/>
      <c r="G283" s="67"/>
      <c r="H283" s="67"/>
      <c r="I283" s="67"/>
      <c r="J283" s="67"/>
      <c r="K283" s="67"/>
      <c r="L283" s="6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6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6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6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6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6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6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6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6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6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6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6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6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6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6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6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6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6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6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6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6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6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6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6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6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6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6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6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6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6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6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6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6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6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6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6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6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6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6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6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6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6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6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6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6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6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6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6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6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6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6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6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6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6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6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6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6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6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6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6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6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6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6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6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6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6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6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6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6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6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6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6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6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6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6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6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6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6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6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6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6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6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6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6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6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6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6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6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6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6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6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6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6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6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6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6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6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6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6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6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6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6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6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6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6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6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6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6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6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6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6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6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6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6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6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6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6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6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6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6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6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6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6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6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6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6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6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6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6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6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6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6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6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6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6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6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6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6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6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6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6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6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6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6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6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6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6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6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6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6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6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6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6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6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6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6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6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6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6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6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6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6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6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6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6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6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6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6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6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6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6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6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6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6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6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6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6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6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6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6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6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6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6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6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6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6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6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6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6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6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6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6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6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6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6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6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6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6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6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6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6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6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6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6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6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6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6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6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6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6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6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6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6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6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6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6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6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6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6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6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6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6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6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6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6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6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6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6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6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6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6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6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6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6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6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6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6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6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6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6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6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6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6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6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6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6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6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6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6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6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6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6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6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6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6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6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6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6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6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6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6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6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6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6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6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6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6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6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6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6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6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6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6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6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6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6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6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6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6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6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6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6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6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6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6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6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6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6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6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6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6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6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6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6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6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6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6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6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6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6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6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6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6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6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6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6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6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6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6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6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6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6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6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6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6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6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6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6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6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6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6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6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6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6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6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6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6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6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6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6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6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6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6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6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6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6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6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6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6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6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6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6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6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6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6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6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6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6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6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6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6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6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6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6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6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6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6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6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6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6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6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6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6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6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6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6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6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6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6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6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6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6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6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6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6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6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6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6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6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6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6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6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6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6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6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6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6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6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6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6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6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6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6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6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6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6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6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6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6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6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6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6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6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6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6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6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6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6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6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6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6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6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6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6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6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6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6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6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6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6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6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6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6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6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6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6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6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6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6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6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6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6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6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6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6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6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6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6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6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6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6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6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6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6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6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6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6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6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6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6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6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6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6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6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6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6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6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6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6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6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6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6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6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6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6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6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6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6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6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6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6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6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6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6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6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6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6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6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6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6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6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6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6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6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6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6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6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6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6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6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6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6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6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6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6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6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6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6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6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6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6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6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6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6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6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6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6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6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6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6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6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6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6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6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6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6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6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6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6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6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6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6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6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6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6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6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6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6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6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6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6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6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6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6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6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6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6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6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6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6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6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6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6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6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6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6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6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6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6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6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6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6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6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6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6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6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6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6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6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6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6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6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6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6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6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6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6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6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6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6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6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6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6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6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6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6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6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6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6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6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6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6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6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6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6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6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6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6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6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6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6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6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6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6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6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6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6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6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6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6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6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6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6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6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6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6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6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6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6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6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6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6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6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6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6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6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6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6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6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6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6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6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6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6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6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6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6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6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6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6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6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6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6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6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6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6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6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6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6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6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6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6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6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6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6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6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6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6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6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6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6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6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6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6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6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6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6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6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6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6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6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6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6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6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6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6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6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6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6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6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6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6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6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6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6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6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6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6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6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6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6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6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6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6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6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6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6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6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6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6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6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6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6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6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6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6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6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6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6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6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6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6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6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6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6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6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6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6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6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6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75" customHeight="1">
      <c r="A993" s="2"/>
      <c r="B993" s="6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75" customHeight="1">
      <c r="A994" s="2"/>
      <c r="B994" s="6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75" customHeight="1">
      <c r="A995" s="2"/>
      <c r="B995" s="6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75" customHeight="1">
      <c r="A996" s="2"/>
      <c r="B996" s="6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75" customHeight="1">
      <c r="A997" s="2"/>
      <c r="B997" s="6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75" customHeight="1">
      <c r="A998" s="2"/>
      <c r="B998" s="6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75" customHeight="1">
      <c r="A999" s="2"/>
      <c r="B999" s="6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75" customHeight="1">
      <c r="A1000" s="2"/>
      <c r="B1000" s="6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75" customHeight="1">
      <c r="A1001" s="2"/>
      <c r="B1001" s="6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75" customHeight="1">
      <c r="A1002" s="2"/>
      <c r="B1002" s="6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5.75" customHeight="1">
      <c r="A1003" s="2"/>
      <c r="B1003" s="6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.75" customHeight="1">
      <c r="A1004" s="2"/>
      <c r="B1004" s="6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5.75" customHeight="1">
      <c r="A1005" s="2"/>
      <c r="B1005" s="6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</sheetData>
  <mergeCells count="2">
    <mergeCell ref="D1:F1"/>
    <mergeCell ref="J1:L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D9E2F3"/>
  </sheetPr>
  <dimension ref="A1:AB1009"/>
  <sheetViews>
    <sheetView zoomScale="150" zoomScaleNormal="12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80" sqref="H80"/>
    </sheetView>
  </sheetViews>
  <sheetFormatPr defaultColWidth="12.7109375" defaultRowHeight="15" customHeight="1"/>
  <cols>
    <col min="1" max="1" width="14.42578125" hidden="1" customWidth="1"/>
    <col min="2" max="2" width="10.85546875" customWidth="1"/>
    <col min="3" max="3" width="32.85546875" style="304" customWidth="1"/>
    <col min="4" max="4" width="26.85546875" style="304" customWidth="1"/>
    <col min="5" max="5" width="38.7109375" style="304" customWidth="1"/>
    <col min="6" max="6" width="15.42578125" style="323" customWidth="1"/>
    <col min="7" max="7" width="12.42578125" style="323" customWidth="1"/>
    <col min="8" max="8" width="15.42578125" style="323" customWidth="1"/>
    <col min="9" max="9" width="14.42578125" customWidth="1"/>
    <col min="10" max="10" width="17.7109375" customWidth="1"/>
    <col min="11" max="13" width="14.42578125" customWidth="1"/>
    <col min="14" max="14" width="15.42578125" customWidth="1"/>
    <col min="15" max="28" width="14.42578125" customWidth="1"/>
  </cols>
  <sheetData>
    <row r="1" spans="1:28" ht="15" customHeight="1">
      <c r="A1" s="2"/>
      <c r="B1" s="2"/>
      <c r="C1" s="302"/>
      <c r="D1" s="302"/>
      <c r="E1" s="174" t="s">
        <v>558</v>
      </c>
      <c r="F1" s="306"/>
      <c r="G1" s="306"/>
      <c r="H1" s="30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customHeight="1">
      <c r="A2" s="2"/>
      <c r="B2" s="2"/>
      <c r="C2" s="302"/>
      <c r="D2" s="302"/>
      <c r="E2" s="174" t="s">
        <v>916</v>
      </c>
      <c r="F2" s="306"/>
      <c r="G2" s="306"/>
      <c r="H2" s="30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customHeight="1">
      <c r="A3" s="2"/>
      <c r="B3" s="2"/>
      <c r="C3" s="302"/>
      <c r="D3" s="302"/>
      <c r="E3" s="175"/>
      <c r="F3" s="307">
        <v>44561</v>
      </c>
      <c r="G3" s="328" t="s">
        <v>917</v>
      </c>
      <c r="H3" s="307">
        <v>44561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" customHeight="1">
      <c r="A4" s="2"/>
      <c r="B4" s="2"/>
      <c r="C4" s="302"/>
      <c r="D4" s="302"/>
      <c r="E4" s="176"/>
      <c r="F4" s="308"/>
      <c r="G4" s="324"/>
      <c r="H4" s="32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customHeight="1">
      <c r="A5" s="2"/>
      <c r="B5" s="2"/>
      <c r="C5" s="302"/>
      <c r="D5" s="302"/>
      <c r="E5" s="54" t="s">
        <v>918</v>
      </c>
      <c r="F5" s="309"/>
      <c r="G5" s="309"/>
      <c r="H5" s="30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" customHeight="1">
      <c r="A6" s="2"/>
      <c r="B6" s="2"/>
      <c r="C6" s="302"/>
      <c r="D6" s="302"/>
      <c r="E6" s="54" t="s">
        <v>919</v>
      </c>
      <c r="F6" s="309"/>
      <c r="G6" s="309"/>
      <c r="H6" s="30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" customHeight="1">
      <c r="A7" s="2"/>
      <c r="B7" s="2"/>
      <c r="C7" s="302"/>
      <c r="D7" s="302" t="s">
        <v>54</v>
      </c>
      <c r="E7" s="54" t="s">
        <v>920</v>
      </c>
      <c r="F7" s="310">
        <v>205675.8</v>
      </c>
      <c r="G7" s="315"/>
      <c r="H7" s="310">
        <f t="shared" ref="H7:H11" si="0">F7+G7</f>
        <v>205675.8</v>
      </c>
      <c r="I7" s="17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" customHeight="1">
      <c r="A8" s="2"/>
      <c r="B8" s="2"/>
      <c r="C8" s="302"/>
      <c r="D8" s="302" t="s">
        <v>54</v>
      </c>
      <c r="E8" s="606" t="s">
        <v>921</v>
      </c>
      <c r="F8" s="585">
        <f>36153995.34</f>
        <v>36153995.340000004</v>
      </c>
      <c r="G8" s="607"/>
      <c r="H8" s="585">
        <f t="shared" si="0"/>
        <v>36153995.340000004</v>
      </c>
      <c r="I8" s="177">
        <v>7300</v>
      </c>
      <c r="J8" s="2">
        <v>19907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>
      <c r="A9" s="2"/>
      <c r="B9" s="2"/>
      <c r="C9" s="302"/>
      <c r="D9" s="302" t="s">
        <v>297</v>
      </c>
      <c r="E9" s="54" t="s">
        <v>922</v>
      </c>
      <c r="F9" s="310">
        <v>29975832.359999999</v>
      </c>
      <c r="G9" s="310">
        <f>'AJE 2021'!W17+'AJE 2021'!V31-'AJE 2021'!W36-'AJE 2021'!V27</f>
        <v>945637.24359998852</v>
      </c>
      <c r="H9" s="310">
        <f t="shared" si="0"/>
        <v>30921469.603599988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" customHeight="1">
      <c r="A10" s="2"/>
      <c r="B10" s="2"/>
      <c r="C10" s="302"/>
      <c r="D10" s="302" t="s">
        <v>62</v>
      </c>
      <c r="E10" s="54" t="s">
        <v>923</v>
      </c>
      <c r="F10" s="310">
        <v>1039517.91</v>
      </c>
      <c r="G10" s="315">
        <f>-'AJE 2021'!V16</f>
        <v>-1039517.91</v>
      </c>
      <c r="H10" s="310">
        <f t="shared" si="0"/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" customHeight="1">
      <c r="A11" s="2"/>
      <c r="B11" s="2"/>
      <c r="C11" s="302"/>
      <c r="D11" s="54" t="s">
        <v>885</v>
      </c>
      <c r="E11" s="54" t="s">
        <v>924</v>
      </c>
      <c r="F11" s="310">
        <f>199999</f>
        <v>199999</v>
      </c>
      <c r="G11" s="316"/>
      <c r="H11" s="310">
        <f t="shared" si="0"/>
        <v>199999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" customHeight="1" thickBot="1">
      <c r="A12" s="2"/>
      <c r="B12" s="2"/>
      <c r="C12" s="302"/>
      <c r="D12" s="302"/>
      <c r="E12" s="305" t="s">
        <v>925</v>
      </c>
      <c r="F12" s="305">
        <f>SUM(F7:F11)</f>
        <v>67575020.409999996</v>
      </c>
      <c r="G12" s="329"/>
      <c r="H12" s="305">
        <f>SUM(H7:H11)</f>
        <v>67481139.743599981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" customHeight="1">
      <c r="A13" s="2"/>
      <c r="B13" s="2"/>
      <c r="C13" s="302"/>
      <c r="D13" s="302"/>
      <c r="E13" s="54" t="s">
        <v>926</v>
      </c>
      <c r="F13" s="309"/>
      <c r="G13" s="309"/>
      <c r="H13" s="30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" customHeight="1">
      <c r="A14" s="2"/>
      <c r="B14" s="2"/>
      <c r="C14" s="302"/>
      <c r="D14" s="302"/>
      <c r="E14" s="54" t="s">
        <v>927</v>
      </c>
      <c r="F14" s="309"/>
      <c r="G14" s="309"/>
      <c r="H14" s="30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 customHeight="1">
      <c r="A15" s="2"/>
      <c r="B15" s="2"/>
      <c r="C15" s="302"/>
      <c r="D15" s="302"/>
      <c r="E15" s="54" t="s">
        <v>928</v>
      </c>
      <c r="F15" s="309"/>
      <c r="G15" s="309"/>
      <c r="H15" s="30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" customHeight="1">
      <c r="A16" s="178"/>
      <c r="B16" s="178"/>
      <c r="C16" s="302"/>
      <c r="D16" s="302" t="s">
        <v>120</v>
      </c>
      <c r="E16" s="54" t="s">
        <v>929</v>
      </c>
      <c r="F16" s="310">
        <v>0</v>
      </c>
      <c r="G16" s="316"/>
      <c r="H16" s="310">
        <v>0</v>
      </c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</row>
    <row r="17" spans="1:28" ht="15" customHeight="1">
      <c r="A17" s="2"/>
      <c r="B17" s="2"/>
      <c r="C17" s="302"/>
      <c r="D17" s="302" t="s">
        <v>120</v>
      </c>
      <c r="E17" s="54" t="s">
        <v>929</v>
      </c>
      <c r="F17" s="310">
        <v>-2510837.0499999998</v>
      </c>
      <c r="G17" s="316"/>
      <c r="H17" s="310">
        <f>F17+G17</f>
        <v>-2510837.0499999998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" customHeight="1" thickBot="1">
      <c r="A18" s="2"/>
      <c r="B18" s="2"/>
      <c r="C18" s="302"/>
      <c r="D18" s="302"/>
      <c r="E18" s="305" t="s">
        <v>930</v>
      </c>
      <c r="F18" s="305">
        <f>F17+F15+F16</f>
        <v>-2510837.0499999998</v>
      </c>
      <c r="G18" s="329"/>
      <c r="H18" s="305">
        <f>H17+H15+H16</f>
        <v>-2510837.0499999998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" customHeight="1">
      <c r="A19" s="2"/>
      <c r="B19" s="2"/>
      <c r="C19" s="302"/>
      <c r="D19" s="302" t="s">
        <v>120</v>
      </c>
      <c r="E19" s="54" t="s">
        <v>931</v>
      </c>
      <c r="F19" s="310">
        <f>-615321.52</f>
        <v>-615321.52</v>
      </c>
      <c r="G19" s="316"/>
      <c r="H19" s="310">
        <f t="shared" ref="H19:H24" si="1">F19+G19</f>
        <v>-615321.52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" customHeight="1">
      <c r="A20" s="2"/>
      <c r="B20" s="2"/>
      <c r="C20" s="302"/>
      <c r="D20" s="302" t="s">
        <v>1239</v>
      </c>
      <c r="E20" s="54" t="s">
        <v>932</v>
      </c>
      <c r="F20" s="310">
        <v>-562692.18999999994</v>
      </c>
      <c r="G20" s="316"/>
      <c r="H20" s="310">
        <f t="shared" si="1"/>
        <v>-562692.18999999994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" customHeight="1">
      <c r="A21" s="2"/>
      <c r="B21" s="2"/>
      <c r="C21" s="302"/>
      <c r="D21" s="302" t="s">
        <v>297</v>
      </c>
      <c r="E21" s="54" t="s">
        <v>933</v>
      </c>
      <c r="F21" s="310">
        <v>123650458.75</v>
      </c>
      <c r="G21" s="316"/>
      <c r="H21" s="310">
        <f t="shared" si="1"/>
        <v>123650458.75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" customHeight="1">
      <c r="A22" s="2"/>
      <c r="B22" s="2"/>
      <c r="C22" s="302"/>
      <c r="D22" s="302" t="s">
        <v>84</v>
      </c>
      <c r="E22" s="54" t="s">
        <v>1191</v>
      </c>
      <c r="F22" s="310"/>
      <c r="G22" s="316">
        <f>-'AJE 2021'!V23+'AJE 2021'!V27</f>
        <v>0</v>
      </c>
      <c r="H22" s="310">
        <f t="shared" si="1"/>
        <v>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" customHeight="1">
      <c r="A23" s="2"/>
      <c r="B23" s="2"/>
      <c r="C23" s="302"/>
      <c r="D23" s="302" t="s">
        <v>84</v>
      </c>
      <c r="E23" s="606" t="s">
        <v>934</v>
      </c>
      <c r="F23" s="585">
        <v>-101461.4</v>
      </c>
      <c r="G23" s="316"/>
      <c r="H23" s="310">
        <f t="shared" si="1"/>
        <v>-101461.4</v>
      </c>
      <c r="I23" s="2">
        <v>7300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" customHeight="1">
      <c r="A24" s="2"/>
      <c r="B24" s="2"/>
      <c r="C24" s="302"/>
      <c r="D24" s="302" t="s">
        <v>297</v>
      </c>
      <c r="E24" s="54" t="s">
        <v>935</v>
      </c>
      <c r="F24" s="310">
        <v>-187043768.5</v>
      </c>
      <c r="G24" s="316"/>
      <c r="H24" s="310">
        <f t="shared" si="1"/>
        <v>-187043768.5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" customHeight="1" thickBot="1">
      <c r="A25" s="2"/>
      <c r="B25" s="2"/>
      <c r="C25" s="302"/>
      <c r="D25" s="302"/>
      <c r="E25" s="305" t="s">
        <v>936</v>
      </c>
      <c r="F25" s="305">
        <f>(((F18)+(F20))+(F21))+(F23)+F24+F19+F22</f>
        <v>-67183621.909999996</v>
      </c>
      <c r="G25" s="329"/>
      <c r="H25" s="305">
        <f>(((H18)+(H20))+(H21))+(H23)+H24+H19+H22</f>
        <v>-67183621.909999996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" customHeight="1">
      <c r="A26" s="2"/>
      <c r="B26" s="2"/>
      <c r="C26" s="302"/>
      <c r="D26" s="302"/>
      <c r="E26" s="54" t="s">
        <v>937</v>
      </c>
      <c r="F26" s="309"/>
      <c r="G26" s="309"/>
      <c r="H26" s="309"/>
      <c r="I26" s="87"/>
      <c r="J26" s="8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" customHeight="1">
      <c r="A27" s="2"/>
      <c r="B27" s="2"/>
      <c r="C27" s="302"/>
      <c r="D27" s="302" t="s">
        <v>347</v>
      </c>
      <c r="E27" s="54" t="s">
        <v>938</v>
      </c>
      <c r="F27" s="310">
        <v>-352025.71</v>
      </c>
      <c r="G27" s="316"/>
      <c r="H27" s="310">
        <f>-H82</f>
        <v>-258145.04359996319</v>
      </c>
      <c r="I27" s="17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" customHeight="1">
      <c r="A28" s="2"/>
      <c r="B28" s="2"/>
      <c r="C28" s="302"/>
      <c r="D28" s="302" t="s">
        <v>338</v>
      </c>
      <c r="E28" s="54" t="s">
        <v>939</v>
      </c>
      <c r="F28" s="310">
        <f>-39372.79</f>
        <v>-39372.79</v>
      </c>
      <c r="G28" s="316"/>
      <c r="H28" s="310">
        <f>F28+G28</f>
        <v>-39372.79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" customHeight="1" thickBot="1">
      <c r="A29" s="2"/>
      <c r="B29" s="2"/>
      <c r="C29" s="302"/>
      <c r="D29" s="302"/>
      <c r="E29" s="305" t="s">
        <v>940</v>
      </c>
      <c r="F29" s="305">
        <f>(F27)+(F28)</f>
        <v>-391398.5</v>
      </c>
      <c r="G29" s="329"/>
      <c r="H29" s="305">
        <f>(H27)+(H28)</f>
        <v>-297517.83359996317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" customHeight="1">
      <c r="A30" s="2"/>
      <c r="B30" s="2"/>
      <c r="C30" s="302"/>
      <c r="D30" s="302"/>
      <c r="E30" s="76" t="s">
        <v>941</v>
      </c>
      <c r="F30" s="309">
        <f>(F25)+(F29)</f>
        <v>-67575020.409999996</v>
      </c>
      <c r="G30" s="309"/>
      <c r="H30" s="309">
        <f>(H25)+(H29)</f>
        <v>-67481139.743599966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" customHeight="1">
      <c r="A31" s="2"/>
      <c r="B31" s="2"/>
      <c r="C31" s="302"/>
      <c r="D31" s="302"/>
      <c r="E31" s="54"/>
      <c r="F31" s="311">
        <f>F30+F12</f>
        <v>0</v>
      </c>
      <c r="G31" s="311"/>
      <c r="H31" s="311">
        <f>H30+H12</f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" customHeight="1">
      <c r="A32" s="2"/>
      <c r="B32" s="2"/>
      <c r="C32" s="302"/>
      <c r="D32" s="302"/>
      <c r="E32" s="54"/>
      <c r="F32" s="309"/>
      <c r="G32" s="309"/>
      <c r="H32" s="309"/>
      <c r="I32" s="2"/>
      <c r="J32" s="2"/>
      <c r="K32" s="2"/>
      <c r="L32" s="8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2"/>
      <c r="B33" s="2"/>
      <c r="C33" s="302"/>
      <c r="D33" s="302"/>
      <c r="E33" s="59"/>
      <c r="F33" s="312"/>
      <c r="G33" s="312"/>
      <c r="H33" s="3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" customHeight="1">
      <c r="A34" s="2"/>
      <c r="B34" s="2"/>
      <c r="C34" s="302"/>
      <c r="D34" s="302"/>
      <c r="E34" s="174"/>
      <c r="F34" s="312"/>
      <c r="G34" s="312"/>
      <c r="H34" s="3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" customHeight="1">
      <c r="A35" s="2"/>
      <c r="B35" s="2"/>
      <c r="C35" s="504" t="s">
        <v>942</v>
      </c>
      <c r="D35" s="504"/>
      <c r="E35" s="504"/>
      <c r="F35" s="504"/>
      <c r="G35" s="504"/>
      <c r="H35" s="504"/>
      <c r="I35" s="504"/>
      <c r="J35" s="50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" customHeight="1">
      <c r="A36" s="2"/>
      <c r="B36" s="2"/>
      <c r="C36" s="302"/>
      <c r="D36" s="302"/>
      <c r="E36" s="59"/>
      <c r="F36" s="312"/>
      <c r="G36" s="312"/>
      <c r="H36" s="3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" customHeight="1">
      <c r="A37" s="181"/>
      <c r="B37" s="181"/>
      <c r="C37" s="303"/>
      <c r="D37" s="303"/>
      <c r="E37" s="182"/>
      <c r="F37" s="313" t="s">
        <v>943</v>
      </c>
      <c r="G37" s="330"/>
      <c r="H37" s="313" t="s">
        <v>943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" customHeight="1">
      <c r="A38" s="181"/>
      <c r="B38" s="181"/>
      <c r="C38" s="303"/>
      <c r="D38" s="303"/>
      <c r="E38" s="59" t="s">
        <v>944</v>
      </c>
      <c r="F38" s="314"/>
      <c r="G38" s="314"/>
      <c r="H38" s="31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" customHeight="1">
      <c r="A39" s="181"/>
      <c r="B39" s="181"/>
      <c r="C39" s="303"/>
      <c r="D39" s="303"/>
      <c r="E39" s="59" t="s">
        <v>945</v>
      </c>
      <c r="F39" s="310">
        <f>27496341.36</f>
        <v>27496341.359999999</v>
      </c>
      <c r="G39" s="315">
        <f>-'AJE 2021'!V35</f>
        <v>-579444.47640000284</v>
      </c>
      <c r="H39" s="310">
        <f t="shared" ref="H39:H45" si="2">F39+G39</f>
        <v>26916896.883599997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" customHeight="1">
      <c r="A40" s="181"/>
      <c r="B40" s="181"/>
      <c r="C40" s="303"/>
      <c r="D40" s="303"/>
      <c r="E40" s="59" t="s">
        <v>946</v>
      </c>
      <c r="F40" s="310">
        <v>88038642.239999995</v>
      </c>
      <c r="G40" s="315">
        <f>-'AJE 2021'!V86</f>
        <v>-328087</v>
      </c>
      <c r="H40" s="310">
        <f>F40+G40</f>
        <v>87710555.239999995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" customHeight="1">
      <c r="A41" s="181"/>
      <c r="B41" s="181"/>
      <c r="C41" s="303"/>
      <c r="D41" s="303"/>
      <c r="E41" s="59" t="s">
        <v>1188</v>
      </c>
      <c r="F41" s="310">
        <v>53900733.579999998</v>
      </c>
      <c r="G41" s="315">
        <f>-'AJE 2021'!V87</f>
        <v>-34927</v>
      </c>
      <c r="H41" s="310">
        <f t="shared" si="2"/>
        <v>53865806.579999998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" customHeight="1">
      <c r="A42" s="181"/>
      <c r="B42" s="181"/>
      <c r="C42" s="303"/>
      <c r="D42" s="303"/>
      <c r="E42" s="59" t="s">
        <v>947</v>
      </c>
      <c r="F42" s="310">
        <v>219465.75</v>
      </c>
      <c r="G42" s="315">
        <f>-'AJE 2021'!V11</f>
        <v>-1253.8399999999999</v>
      </c>
      <c r="H42" s="310">
        <f t="shared" si="2"/>
        <v>218211.91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" customHeight="1">
      <c r="A43" s="181"/>
      <c r="B43" s="181"/>
      <c r="C43" s="303"/>
      <c r="D43" s="303"/>
      <c r="E43" s="59" t="s">
        <v>948</v>
      </c>
      <c r="F43" s="310">
        <v>406507.57</v>
      </c>
      <c r="G43" s="315"/>
      <c r="H43" s="310">
        <f t="shared" si="2"/>
        <v>406507.57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" customHeight="1">
      <c r="A44" s="181"/>
      <c r="B44" s="181"/>
      <c r="C44" s="303"/>
      <c r="D44" s="303"/>
      <c r="E44" s="59" t="s">
        <v>949</v>
      </c>
      <c r="F44" s="310">
        <v>30730303.390000001</v>
      </c>
      <c r="G44" s="315">
        <f>-'AJE 2021'!V12</f>
        <v>-121298</v>
      </c>
      <c r="H44" s="310">
        <f t="shared" si="2"/>
        <v>30609005.390000001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" customHeight="1">
      <c r="A45" s="181"/>
      <c r="B45" s="181"/>
      <c r="C45" s="303"/>
      <c r="D45" s="303"/>
      <c r="E45" s="59" t="s">
        <v>1189</v>
      </c>
      <c r="F45" s="310">
        <v>0</v>
      </c>
      <c r="G45" s="315">
        <f>-'AJE 2021'!W24</f>
        <v>-4903754.3897870891</v>
      </c>
      <c r="H45" s="310">
        <f t="shared" si="2"/>
        <v>-4903754.3897870891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" customHeight="1">
      <c r="A46" s="181"/>
      <c r="B46" s="181"/>
      <c r="C46" s="104" t="s">
        <v>897</v>
      </c>
      <c r="D46" s="104" t="s">
        <v>897</v>
      </c>
      <c r="E46" s="59" t="s">
        <v>950</v>
      </c>
      <c r="F46" s="183">
        <f>SUM(F39:F45)</f>
        <v>200791993.88999999</v>
      </c>
      <c r="G46" s="315"/>
      <c r="H46" s="183">
        <f>SUM(H39:H45)</f>
        <v>194823229.18381292</v>
      </c>
      <c r="I46" s="87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" customHeight="1">
      <c r="A47" s="181"/>
      <c r="B47" s="181"/>
      <c r="C47" s="303"/>
      <c r="D47" s="303"/>
      <c r="E47" s="59" t="s">
        <v>951</v>
      </c>
      <c r="F47" s="314"/>
      <c r="G47" s="314"/>
      <c r="H47" s="314"/>
      <c r="I47" s="87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" customHeight="1">
      <c r="A48" s="2"/>
      <c r="B48" s="59" t="s">
        <v>515</v>
      </c>
      <c r="C48" s="59" t="s">
        <v>358</v>
      </c>
      <c r="D48" s="59" t="s">
        <v>515</v>
      </c>
      <c r="E48" s="59" t="s">
        <v>952</v>
      </c>
      <c r="F48" s="310">
        <v>328087</v>
      </c>
      <c r="G48" s="315">
        <f>-'AJE 2021'!W8</f>
        <v>-328087</v>
      </c>
      <c r="H48" s="585">
        <f t="shared" ref="H48:H54" si="3">F48+G48</f>
        <v>0</v>
      </c>
      <c r="I48" s="18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" customHeight="1">
      <c r="A49" s="2"/>
      <c r="B49" s="59" t="s">
        <v>515</v>
      </c>
      <c r="C49" s="59" t="s">
        <v>358</v>
      </c>
      <c r="D49" s="59" t="s">
        <v>515</v>
      </c>
      <c r="E49" s="59" t="s">
        <v>953</v>
      </c>
      <c r="F49" s="310">
        <v>121298</v>
      </c>
      <c r="G49" s="315">
        <f>-'AJE 2021'!W9</f>
        <v>-121298</v>
      </c>
      <c r="H49" s="585">
        <f t="shared" si="3"/>
        <v>0</v>
      </c>
      <c r="I49" s="184">
        <f>SUM(G48:G51)</f>
        <v>-485565.84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" customHeight="1">
      <c r="A50" s="2"/>
      <c r="B50" s="59" t="s">
        <v>515</v>
      </c>
      <c r="C50" s="59" t="s">
        <v>358</v>
      </c>
      <c r="D50" s="59" t="s">
        <v>515</v>
      </c>
      <c r="E50" s="59" t="s">
        <v>954</v>
      </c>
      <c r="F50" s="310">
        <v>1253.8399999999999</v>
      </c>
      <c r="G50" s="315">
        <f>-'AJE 2021'!W10</f>
        <v>-1253.8399999999999</v>
      </c>
      <c r="H50" s="585">
        <f t="shared" si="3"/>
        <v>0</v>
      </c>
      <c r="I50" s="184">
        <f>I49*1.054</f>
        <v>-511786.39536000002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" customHeight="1">
      <c r="A51" s="2"/>
      <c r="B51" s="59" t="s">
        <v>515</v>
      </c>
      <c r="C51" s="59" t="s">
        <v>358</v>
      </c>
      <c r="D51" s="59" t="s">
        <v>515</v>
      </c>
      <c r="E51" s="59" t="s">
        <v>955</v>
      </c>
      <c r="F51" s="310">
        <v>34927</v>
      </c>
      <c r="G51" s="315">
        <f>-'AJE 2021'!W85</f>
        <v>-34927</v>
      </c>
      <c r="H51" s="585">
        <f t="shared" si="3"/>
        <v>0</v>
      </c>
      <c r="I51" s="18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" customHeight="1">
      <c r="A52" s="2" t="s">
        <v>956</v>
      </c>
      <c r="B52" s="59" t="s">
        <v>515</v>
      </c>
      <c r="C52" s="59" t="s">
        <v>358</v>
      </c>
      <c r="D52" s="59" t="s">
        <v>515</v>
      </c>
      <c r="E52" s="59" t="s">
        <v>957</v>
      </c>
      <c r="F52" s="310">
        <v>674759.5</v>
      </c>
      <c r="G52" s="316"/>
      <c r="H52" s="585">
        <f t="shared" si="3"/>
        <v>674759.5</v>
      </c>
      <c r="I52" s="18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" customHeight="1">
      <c r="A53" s="2" t="s">
        <v>956</v>
      </c>
      <c r="B53" s="59" t="s">
        <v>515</v>
      </c>
      <c r="C53" s="59" t="s">
        <v>358</v>
      </c>
      <c r="D53" s="59" t="s">
        <v>515</v>
      </c>
      <c r="E53" s="59" t="s">
        <v>958</v>
      </c>
      <c r="F53" s="310">
        <v>1849874.3</v>
      </c>
      <c r="G53" s="316"/>
      <c r="H53" s="585">
        <f t="shared" si="3"/>
        <v>1849874.3</v>
      </c>
      <c r="I53" s="184"/>
      <c r="J53" s="8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" customHeight="1">
      <c r="A54" s="181"/>
      <c r="B54" s="59" t="s">
        <v>515</v>
      </c>
      <c r="C54" s="59" t="s">
        <v>358</v>
      </c>
      <c r="D54" s="59" t="s">
        <v>515</v>
      </c>
      <c r="E54" s="59" t="s">
        <v>959</v>
      </c>
      <c r="F54" s="315">
        <v>12536.11</v>
      </c>
      <c r="G54" s="315"/>
      <c r="H54" s="586">
        <f t="shared" si="3"/>
        <v>12536.11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" customHeight="1">
      <c r="A55" s="181"/>
      <c r="B55" s="181"/>
      <c r="C55" s="59"/>
      <c r="D55" s="59"/>
      <c r="E55" s="59" t="s">
        <v>960</v>
      </c>
      <c r="F55" s="183">
        <f>SUM(F48:F54)</f>
        <v>3022735.75</v>
      </c>
      <c r="G55" s="331"/>
      <c r="H55" s="183">
        <f>SUM(H48:H54)</f>
        <v>2537169.9099999997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" customHeight="1">
      <c r="A56" s="181"/>
      <c r="B56" s="181"/>
      <c r="C56" s="59"/>
      <c r="D56" s="59"/>
      <c r="E56" s="59" t="s">
        <v>961</v>
      </c>
      <c r="F56" s="185">
        <f>F46-F55</f>
        <v>197769258.13999999</v>
      </c>
      <c r="G56" s="332"/>
      <c r="H56" s="185">
        <f>H46-H55</f>
        <v>192286059.27381292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" customHeight="1">
      <c r="A57" s="181"/>
      <c r="B57" s="181"/>
      <c r="C57" s="59"/>
      <c r="D57" s="59"/>
      <c r="E57" s="59" t="s">
        <v>962</v>
      </c>
      <c r="F57" s="314"/>
      <c r="G57" s="314"/>
      <c r="H57" s="3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" customHeight="1">
      <c r="A58" s="181" t="s">
        <v>913</v>
      </c>
      <c r="B58" s="2" t="s">
        <v>913</v>
      </c>
      <c r="C58" s="59" t="s">
        <v>364</v>
      </c>
      <c r="D58" s="59" t="s">
        <v>432</v>
      </c>
      <c r="E58" s="59" t="s">
        <v>963</v>
      </c>
      <c r="F58" s="310">
        <v>16153403.93</v>
      </c>
      <c r="G58" s="316"/>
      <c r="H58" s="585">
        <f t="shared" ref="H58:H77" si="4">F58+G58</f>
        <v>16153403.93</v>
      </c>
      <c r="I58" s="18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" customHeight="1">
      <c r="A59" s="161" t="s">
        <v>914</v>
      </c>
      <c r="B59" s="161" t="s">
        <v>914</v>
      </c>
      <c r="C59" s="361" t="s">
        <v>500</v>
      </c>
      <c r="D59" s="361" t="s">
        <v>500</v>
      </c>
      <c r="E59" s="59" t="s">
        <v>964</v>
      </c>
      <c r="F59" s="310">
        <v>1446.01</v>
      </c>
      <c r="G59" s="316"/>
      <c r="H59" s="585">
        <f t="shared" si="4"/>
        <v>1446.01</v>
      </c>
      <c r="I59" s="186"/>
      <c r="J59" s="8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" customHeight="1">
      <c r="A60" s="2" t="s">
        <v>956</v>
      </c>
      <c r="B60" s="59" t="s">
        <v>515</v>
      </c>
      <c r="C60" s="59" t="s">
        <v>358</v>
      </c>
      <c r="D60" s="59" t="s">
        <v>515</v>
      </c>
      <c r="E60" s="59" t="s">
        <v>965</v>
      </c>
      <c r="F60" s="310">
        <v>7437127.2400000002</v>
      </c>
      <c r="G60" s="315"/>
      <c r="H60" s="585">
        <f t="shared" si="4"/>
        <v>7437127.2400000002</v>
      </c>
      <c r="I60" s="186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" customHeight="1">
      <c r="A61" s="161" t="s">
        <v>910</v>
      </c>
      <c r="B61" s="576" t="s">
        <v>910</v>
      </c>
      <c r="C61" s="361" t="s">
        <v>406</v>
      </c>
      <c r="D61" s="361" t="s">
        <v>428</v>
      </c>
      <c r="E61" s="59" t="s">
        <v>966</v>
      </c>
      <c r="F61" s="310">
        <v>7092.78</v>
      </c>
      <c r="G61" s="316"/>
      <c r="H61" s="585">
        <f t="shared" si="4"/>
        <v>7092.78</v>
      </c>
      <c r="I61" s="1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" customHeight="1">
      <c r="A62" s="181"/>
      <c r="B62" s="161" t="s">
        <v>914</v>
      </c>
      <c r="C62" s="361" t="s">
        <v>500</v>
      </c>
      <c r="D62" s="361" t="s">
        <v>500</v>
      </c>
      <c r="E62" s="59" t="s">
        <v>967</v>
      </c>
      <c r="F62" s="310">
        <v>111676</v>
      </c>
      <c r="G62" s="315"/>
      <c r="H62" s="310">
        <f t="shared" si="4"/>
        <v>111676</v>
      </c>
      <c r="I62" s="186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" customHeight="1">
      <c r="A63" s="181"/>
      <c r="B63" s="161" t="s">
        <v>914</v>
      </c>
      <c r="C63" s="361" t="s">
        <v>500</v>
      </c>
      <c r="D63" s="361" t="s">
        <v>500</v>
      </c>
      <c r="E63" s="59" t="s">
        <v>968</v>
      </c>
      <c r="F63" s="310">
        <v>48647</v>
      </c>
      <c r="G63" s="315"/>
      <c r="H63" s="310">
        <f t="shared" si="4"/>
        <v>48647</v>
      </c>
      <c r="I63" s="186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" customHeight="1">
      <c r="A64" s="181"/>
      <c r="B64" s="181"/>
      <c r="C64" s="59" t="s">
        <v>901</v>
      </c>
      <c r="D64" s="59" t="s">
        <v>901</v>
      </c>
      <c r="E64" s="59" t="s">
        <v>969</v>
      </c>
      <c r="F64" s="310">
        <v>173259950.5</v>
      </c>
      <c r="G64" s="315">
        <f>N93</f>
        <v>-5389318.1997870803</v>
      </c>
      <c r="H64" s="310">
        <f t="shared" si="4"/>
        <v>167870632.30021292</v>
      </c>
      <c r="I64" s="186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" customHeight="1">
      <c r="A65" s="181"/>
      <c r="B65" s="181"/>
      <c r="C65" s="59" t="s">
        <v>901</v>
      </c>
      <c r="D65" s="59" t="s">
        <v>901</v>
      </c>
      <c r="E65" s="59" t="s">
        <v>970</v>
      </c>
      <c r="F65" s="310">
        <v>35700</v>
      </c>
      <c r="G65" s="316"/>
      <c r="H65" s="310">
        <f t="shared" si="4"/>
        <v>35700</v>
      </c>
      <c r="I65" s="186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" customHeight="1">
      <c r="A66" s="161" t="s">
        <v>915</v>
      </c>
      <c r="B66" s="161" t="s">
        <v>915</v>
      </c>
      <c r="C66" s="361" t="s">
        <v>549</v>
      </c>
      <c r="D66" s="361" t="s">
        <v>549</v>
      </c>
      <c r="E66" s="59" t="s">
        <v>971</v>
      </c>
      <c r="F66" s="310">
        <v>117369</v>
      </c>
      <c r="G66" s="316"/>
      <c r="H66" s="585">
        <f t="shared" si="4"/>
        <v>117369</v>
      </c>
      <c r="I66" s="186"/>
      <c r="J66" s="177"/>
      <c r="K66" s="186"/>
      <c r="L66" s="186"/>
      <c r="M66" s="18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" customHeight="1">
      <c r="A67" s="161" t="s">
        <v>910</v>
      </c>
      <c r="B67" s="576" t="s">
        <v>910</v>
      </c>
      <c r="C67" s="361" t="s">
        <v>406</v>
      </c>
      <c r="D67" s="361" t="s">
        <v>428</v>
      </c>
      <c r="E67" s="59" t="s">
        <v>972</v>
      </c>
      <c r="F67" s="310">
        <v>0</v>
      </c>
      <c r="G67" s="316"/>
      <c r="H67" s="585">
        <f t="shared" si="4"/>
        <v>0</v>
      </c>
      <c r="I67" s="186"/>
      <c r="J67" s="177"/>
      <c r="K67" s="177"/>
      <c r="L67" s="177"/>
      <c r="M67" s="17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" customHeight="1">
      <c r="A68" s="161" t="s">
        <v>910</v>
      </c>
      <c r="B68" s="576" t="s">
        <v>910</v>
      </c>
      <c r="C68" s="361" t="s">
        <v>406</v>
      </c>
      <c r="D68" s="361" t="s">
        <v>428</v>
      </c>
      <c r="E68" s="59" t="s">
        <v>973</v>
      </c>
      <c r="F68" s="310">
        <v>6069</v>
      </c>
      <c r="G68" s="316"/>
      <c r="H68" s="585">
        <f t="shared" si="4"/>
        <v>6069</v>
      </c>
      <c r="I68" s="186"/>
      <c r="J68" s="186"/>
      <c r="K68" s="177"/>
      <c r="L68" s="177"/>
      <c r="M68" s="180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" customHeight="1">
      <c r="A69" s="161" t="s">
        <v>910</v>
      </c>
      <c r="B69" s="576" t="s">
        <v>910</v>
      </c>
      <c r="C69" s="361" t="s">
        <v>406</v>
      </c>
      <c r="D69" s="361" t="s">
        <v>428</v>
      </c>
      <c r="E69" s="59" t="s">
        <v>974</v>
      </c>
      <c r="F69" s="310">
        <v>8333.33</v>
      </c>
      <c r="G69" s="316"/>
      <c r="H69" s="585">
        <f t="shared" si="4"/>
        <v>8333.33</v>
      </c>
      <c r="I69" s="186"/>
      <c r="J69" s="186"/>
      <c r="K69" s="177"/>
      <c r="L69" s="177"/>
      <c r="M69" s="180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" customHeight="1">
      <c r="A70" s="161" t="s">
        <v>910</v>
      </c>
      <c r="B70" s="576" t="s">
        <v>910</v>
      </c>
      <c r="C70" s="361" t="s">
        <v>406</v>
      </c>
      <c r="D70" s="361" t="s">
        <v>484</v>
      </c>
      <c r="E70" s="59" t="s">
        <v>975</v>
      </c>
      <c r="F70" s="310">
        <v>12314.44</v>
      </c>
      <c r="G70" s="316"/>
      <c r="H70" s="585">
        <f t="shared" si="4"/>
        <v>12314.44</v>
      </c>
      <c r="I70" s="186"/>
      <c r="J70" s="186"/>
      <c r="K70" s="177"/>
      <c r="L70" s="186"/>
      <c r="M70" s="180"/>
      <c r="N70" s="8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" customHeight="1">
      <c r="A71" s="2" t="s">
        <v>913</v>
      </c>
      <c r="B71" s="582" t="s">
        <v>1216</v>
      </c>
      <c r="C71" s="59" t="s">
        <v>364</v>
      </c>
      <c r="D71" s="59" t="s">
        <v>409</v>
      </c>
      <c r="E71" s="59" t="s">
        <v>976</v>
      </c>
      <c r="F71" s="310">
        <v>-1181.27</v>
      </c>
      <c r="G71" s="316"/>
      <c r="H71" s="585">
        <f t="shared" si="4"/>
        <v>-1181.27</v>
      </c>
      <c r="I71" s="186"/>
      <c r="J71" s="177"/>
      <c r="K71" s="177"/>
      <c r="L71" s="180"/>
      <c r="M71" s="180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" customHeight="1">
      <c r="A72" s="161" t="s">
        <v>910</v>
      </c>
      <c r="B72" s="576" t="s">
        <v>910</v>
      </c>
      <c r="C72" s="361" t="s">
        <v>406</v>
      </c>
      <c r="D72" s="361" t="s">
        <v>450</v>
      </c>
      <c r="E72" s="59" t="s">
        <v>977</v>
      </c>
      <c r="F72" s="310">
        <v>-6000</v>
      </c>
      <c r="G72" s="310"/>
      <c r="H72" s="585">
        <f t="shared" si="4"/>
        <v>-6000</v>
      </c>
      <c r="I72" s="186"/>
      <c r="J72" s="177"/>
      <c r="K72" s="177"/>
      <c r="L72" s="177"/>
      <c r="M72" s="180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" customHeight="1">
      <c r="A73" s="161" t="s">
        <v>910</v>
      </c>
      <c r="B73" s="576" t="s">
        <v>910</v>
      </c>
      <c r="C73" s="361" t="s">
        <v>406</v>
      </c>
      <c r="D73" s="361" t="s">
        <v>450</v>
      </c>
      <c r="E73" s="59" t="s">
        <v>978</v>
      </c>
      <c r="F73" s="310">
        <v>10733.87</v>
      </c>
      <c r="G73" s="310"/>
      <c r="H73" s="585">
        <f t="shared" si="4"/>
        <v>10733.87</v>
      </c>
      <c r="I73" s="186"/>
      <c r="J73" s="177"/>
      <c r="K73" s="177"/>
      <c r="L73" s="186"/>
      <c r="M73" s="180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" customHeight="1">
      <c r="A74" s="161" t="s">
        <v>910</v>
      </c>
      <c r="B74" s="576" t="s">
        <v>910</v>
      </c>
      <c r="C74" s="361" t="s">
        <v>406</v>
      </c>
      <c r="D74" s="361" t="s">
        <v>450</v>
      </c>
      <c r="E74" s="59" t="s">
        <v>979</v>
      </c>
      <c r="F74" s="310">
        <v>100</v>
      </c>
      <c r="G74" s="310"/>
      <c r="H74" s="585">
        <f t="shared" si="4"/>
        <v>100</v>
      </c>
      <c r="I74" s="186"/>
      <c r="J74" s="177"/>
      <c r="K74" s="186"/>
      <c r="L74" s="186"/>
      <c r="M74" s="180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" customHeight="1">
      <c r="A75" s="161" t="s">
        <v>910</v>
      </c>
      <c r="B75" s="576" t="s">
        <v>910</v>
      </c>
      <c r="C75" s="59" t="s">
        <v>358</v>
      </c>
      <c r="D75" s="59" t="s">
        <v>409</v>
      </c>
      <c r="E75" s="59" t="s">
        <v>980</v>
      </c>
      <c r="F75" s="310">
        <v>200000</v>
      </c>
      <c r="G75" s="310"/>
      <c r="H75" s="585">
        <f t="shared" si="4"/>
        <v>200000</v>
      </c>
      <c r="I75" s="186"/>
      <c r="J75" s="186"/>
      <c r="K75" s="186"/>
      <c r="L75" s="186"/>
      <c r="M75" s="180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" customHeight="1">
      <c r="A76" s="161" t="s">
        <v>915</v>
      </c>
      <c r="B76" s="161" t="s">
        <v>915</v>
      </c>
      <c r="C76" s="361" t="s">
        <v>549</v>
      </c>
      <c r="D76" s="361" t="s">
        <v>549</v>
      </c>
      <c r="E76" s="59" t="s">
        <v>981</v>
      </c>
      <c r="F76" s="310">
        <v>14227.77</v>
      </c>
      <c r="G76" s="310"/>
      <c r="H76" s="585">
        <f t="shared" si="4"/>
        <v>14227.77</v>
      </c>
      <c r="I76" s="186"/>
      <c r="J76" s="36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" customHeight="1">
      <c r="A77" s="161" t="s">
        <v>910</v>
      </c>
      <c r="B77" s="576" t="s">
        <v>910</v>
      </c>
      <c r="C77" s="361" t="s">
        <v>406</v>
      </c>
      <c r="D77" s="361" t="s">
        <v>450</v>
      </c>
      <c r="E77" s="59" t="s">
        <v>982</v>
      </c>
      <c r="F77" s="310">
        <v>222.83</v>
      </c>
      <c r="G77" s="310"/>
      <c r="H77" s="585">
        <f t="shared" si="4"/>
        <v>222.83</v>
      </c>
      <c r="I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" customHeight="1">
      <c r="A78" s="181"/>
      <c r="B78" s="181"/>
      <c r="C78" s="59"/>
      <c r="D78" s="59"/>
      <c r="E78" s="59" t="s">
        <v>983</v>
      </c>
      <c r="F78" s="183">
        <f>SUM(F58:F77)</f>
        <v>197417232.43000004</v>
      </c>
      <c r="G78" s="331"/>
      <c r="H78" s="183">
        <f>SUM(H58:H77)</f>
        <v>192027914.23021296</v>
      </c>
      <c r="I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" customHeight="1">
      <c r="A79" s="181"/>
      <c r="B79" s="181"/>
      <c r="C79" s="59"/>
      <c r="D79" s="59"/>
      <c r="E79" s="59" t="s">
        <v>984</v>
      </c>
      <c r="F79" s="314"/>
      <c r="G79" s="314"/>
      <c r="H79" s="314"/>
      <c r="I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" customHeight="1">
      <c r="A80" s="181"/>
      <c r="B80" s="181"/>
      <c r="C80" s="303"/>
      <c r="D80" s="303"/>
      <c r="E80" s="59" t="s">
        <v>985</v>
      </c>
      <c r="F80" s="316">
        <v>0</v>
      </c>
      <c r="G80" s="316"/>
      <c r="H80" s="316">
        <v>0</v>
      </c>
      <c r="I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" customHeight="1">
      <c r="A81" s="181"/>
      <c r="B81" s="181"/>
      <c r="C81" s="303"/>
      <c r="D81" s="303"/>
      <c r="E81" s="59" t="s">
        <v>986</v>
      </c>
      <c r="F81" s="183">
        <v>0</v>
      </c>
      <c r="G81" s="331"/>
      <c r="H81" s="183">
        <v>0</v>
      </c>
      <c r="I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" customHeight="1">
      <c r="A82" s="181"/>
      <c r="B82" s="181"/>
      <c r="C82" s="303"/>
      <c r="D82" s="303"/>
      <c r="E82" s="59" t="s">
        <v>987</v>
      </c>
      <c r="F82" s="185">
        <f>F56-F78</f>
        <v>352025.70999994874</v>
      </c>
      <c r="G82" s="332"/>
      <c r="H82" s="185">
        <f>H56-H78</f>
        <v>258145.04359996319</v>
      </c>
      <c r="I82" s="87">
        <f>H82-F82</f>
        <v>-93880.666399985552</v>
      </c>
      <c r="J82" s="2"/>
      <c r="K82" s="2"/>
      <c r="L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" customHeight="1">
      <c r="A83" s="2"/>
      <c r="B83" s="2"/>
      <c r="C83" s="302"/>
      <c r="D83" s="302"/>
      <c r="E83" s="59"/>
      <c r="F83" s="317"/>
      <c r="G83" s="317"/>
      <c r="H83" s="317"/>
      <c r="I83" s="2"/>
      <c r="J83" s="2"/>
      <c r="K83" s="2"/>
      <c r="L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" customHeight="1" thickBot="1">
      <c r="A84" s="2"/>
      <c r="B84" s="2"/>
      <c r="C84" s="302"/>
      <c r="D84" s="302"/>
      <c r="E84" s="59"/>
      <c r="F84" s="312"/>
      <c r="G84" s="312"/>
      <c r="H84" s="312"/>
      <c r="I84" s="2"/>
      <c r="J84" s="2"/>
      <c r="K84" s="2"/>
      <c r="L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" customHeight="1">
      <c r="A85" s="2"/>
      <c r="B85" s="2"/>
      <c r="C85" s="302"/>
      <c r="D85" s="302"/>
      <c r="E85" s="59" t="s">
        <v>988</v>
      </c>
      <c r="F85" s="318">
        <f>SUM(F48:F54)+F60+F61+F69+F70+F72+F73+F74+F75+F77+F68</f>
        <v>10698729.239999998</v>
      </c>
      <c r="G85" s="311"/>
      <c r="H85" s="325">
        <f>SUM(H48:H54)+H60+H61+H69+H70+H72+H73+H74+H75+H77+H68</f>
        <v>10213163.399999999</v>
      </c>
      <c r="I85" s="2"/>
      <c r="J85" s="187"/>
      <c r="K85" s="188"/>
      <c r="L85" s="189" t="s">
        <v>989</v>
      </c>
      <c r="M85" s="189" t="s">
        <v>990</v>
      </c>
      <c r="N85" s="188"/>
      <c r="O85" s="19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" customHeight="1">
      <c r="A86" s="2"/>
      <c r="B86" s="2"/>
      <c r="C86" s="302"/>
      <c r="D86" s="302"/>
      <c r="E86" s="59" t="s">
        <v>991</v>
      </c>
      <c r="F86" s="319">
        <f>F85*1.054</f>
        <v>11276460.618959999</v>
      </c>
      <c r="G86" s="312"/>
      <c r="H86" s="326">
        <f>H85*1.054</f>
        <v>10764674.223599998</v>
      </c>
      <c r="I86" s="2"/>
      <c r="J86" s="191" t="s">
        <v>992</v>
      </c>
      <c r="K86" s="177">
        <f>SUM(H48:H54)+H60+H75</f>
        <v>10174297.15</v>
      </c>
      <c r="L86" s="177">
        <f>K86*1.054</f>
        <v>10723709.1961</v>
      </c>
      <c r="M86" s="177">
        <f>'P&amp;L LTD  USD'!D20</f>
        <v>11270061.359999999</v>
      </c>
      <c r="N86" s="87">
        <f t="shared" ref="N86:N88" si="5">L86-M86</f>
        <v>-546352.16389999911</v>
      </c>
      <c r="O86" s="192"/>
      <c r="P86" s="87"/>
      <c r="Q86" s="87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" customHeight="1">
      <c r="A87" s="2"/>
      <c r="B87" s="2"/>
      <c r="C87" s="302"/>
      <c r="D87" s="302"/>
      <c r="E87" s="59" t="s">
        <v>1194</v>
      </c>
      <c r="F87" s="319">
        <f>F58+F71+F86</f>
        <v>27428683.278959997</v>
      </c>
      <c r="G87" s="312"/>
      <c r="H87" s="326">
        <f>H58+H71+H86</f>
        <v>26916896.883599997</v>
      </c>
      <c r="I87" s="87"/>
      <c r="J87" s="191" t="s">
        <v>993</v>
      </c>
      <c r="K87" s="177">
        <f>F58+F71</f>
        <v>16152222.66</v>
      </c>
      <c r="L87" s="177">
        <f>K87</f>
        <v>16152222.66</v>
      </c>
      <c r="M87" s="177">
        <f>'P&amp;L LTD  USD'!D47</f>
        <v>16152223.039999999</v>
      </c>
      <c r="N87" s="87">
        <f t="shared" si="5"/>
        <v>-0.37999999895691872</v>
      </c>
      <c r="O87" s="192"/>
      <c r="P87" s="87"/>
      <c r="Q87" s="87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2"/>
      <c r="B88" s="2"/>
      <c r="C88" s="302"/>
      <c r="D88" s="302"/>
      <c r="E88" s="59" t="s">
        <v>1195</v>
      </c>
      <c r="F88" s="512">
        <f>F39</f>
        <v>27496341.359999999</v>
      </c>
      <c r="H88" s="512">
        <f>F39</f>
        <v>27496341.359999999</v>
      </c>
      <c r="I88" s="87"/>
      <c r="J88" s="191" t="s">
        <v>994</v>
      </c>
      <c r="K88" s="177">
        <f>H61+H68+H69+H70+H72+H73+H74+H77</f>
        <v>38866.250000000007</v>
      </c>
      <c r="L88" s="177">
        <f>K88*1.054</f>
        <v>40965.027500000011</v>
      </c>
      <c r="M88" s="177">
        <f>'P&amp;L LTD  USD'!D70</f>
        <v>74057.94</v>
      </c>
      <c r="N88" s="87">
        <f t="shared" si="5"/>
        <v>-33092.912499999991</v>
      </c>
      <c r="O88" s="19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" customHeight="1">
      <c r="A89" s="2"/>
      <c r="B89" s="2"/>
      <c r="C89" s="302"/>
      <c r="D89" s="302"/>
      <c r="E89" s="59"/>
      <c r="F89" s="320">
        <f>F87-F88</f>
        <v>-67658.081040002406</v>
      </c>
      <c r="G89" s="312"/>
      <c r="H89" s="528">
        <f>H87-H88</f>
        <v>-579444.47640000284</v>
      </c>
      <c r="I89" s="87"/>
      <c r="J89" s="191"/>
      <c r="K89" s="177"/>
      <c r="L89" s="177"/>
      <c r="M89" s="177"/>
      <c r="N89" s="2"/>
      <c r="O89" s="19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" customHeight="1" thickBot="1">
      <c r="A90" s="2"/>
      <c r="B90" s="2"/>
      <c r="C90" s="302"/>
      <c r="D90" s="302"/>
      <c r="E90" s="59"/>
      <c r="F90" s="319"/>
      <c r="G90" s="312"/>
      <c r="H90" s="326"/>
      <c r="I90" s="2"/>
      <c r="J90" s="193"/>
      <c r="K90" s="194"/>
      <c r="L90" s="194"/>
      <c r="M90" s="194"/>
      <c r="N90" s="195">
        <f>SUM(N86:N89)</f>
        <v>-579445.45639999805</v>
      </c>
      <c r="O90" s="196" t="s">
        <v>996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thickBot="1">
      <c r="A91" s="2"/>
      <c r="B91" s="2"/>
      <c r="C91" s="302"/>
      <c r="D91" s="302"/>
      <c r="E91" s="59" t="s">
        <v>995</v>
      </c>
      <c r="F91" s="319">
        <f>SUM(F40:F44)</f>
        <v>173295652.52999997</v>
      </c>
      <c r="G91" s="312"/>
      <c r="H91" s="326">
        <f>SUM(H40:H45)</f>
        <v>167906332.30021292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thickBot="1">
      <c r="A92" s="2"/>
      <c r="B92" s="2"/>
      <c r="C92" s="302"/>
      <c r="D92" s="302"/>
      <c r="E92" s="59" t="s">
        <v>997</v>
      </c>
      <c r="F92" s="321">
        <f>F64+F65</f>
        <v>173295650.5</v>
      </c>
      <c r="G92" s="312"/>
      <c r="H92" s="327">
        <f>H64+H65</f>
        <v>167906332.30021292</v>
      </c>
      <c r="I92" s="87"/>
      <c r="J92" s="498"/>
      <c r="K92" s="395"/>
      <c r="L92" s="395" t="s">
        <v>989</v>
      </c>
      <c r="M92" s="395" t="s">
        <v>990</v>
      </c>
      <c r="N92" s="395"/>
      <c r="O92" s="499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thickBot="1">
      <c r="A93" s="2"/>
      <c r="B93" s="2"/>
      <c r="C93" s="302"/>
      <c r="D93" s="302"/>
      <c r="E93" s="59"/>
      <c r="F93" s="321">
        <f>F91-F92</f>
        <v>2.0299999713897705</v>
      </c>
      <c r="G93" s="312"/>
      <c r="H93" s="527">
        <f>H91-H92</f>
        <v>0</v>
      </c>
      <c r="I93" s="2"/>
      <c r="J93" s="500" t="s">
        <v>1192</v>
      </c>
      <c r="K93" s="496"/>
      <c r="L93" s="496">
        <f>SUM(H40:H45)</f>
        <v>167906332.30021292</v>
      </c>
      <c r="M93" s="496">
        <f>F64+F65</f>
        <v>173295650.5</v>
      </c>
      <c r="N93" s="497">
        <f>L93-M93</f>
        <v>-5389318.1997870803</v>
      </c>
      <c r="O93" s="501" t="s">
        <v>996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2"/>
      <c r="B94" s="2"/>
      <c r="C94" s="302"/>
      <c r="D94" s="302"/>
      <c r="E94" s="59"/>
      <c r="F94" s="312"/>
      <c r="G94" s="312"/>
      <c r="H94" s="312"/>
      <c r="I94" s="2"/>
      <c r="J94" s="500"/>
      <c r="K94" s="496"/>
      <c r="L94" s="496"/>
      <c r="M94" s="496"/>
      <c r="N94" s="322"/>
      <c r="O94" s="40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thickBot="1">
      <c r="A95" s="2"/>
      <c r="B95" s="2"/>
      <c r="C95" s="302"/>
      <c r="D95" s="302"/>
      <c r="E95" s="59"/>
      <c r="F95" s="322"/>
      <c r="G95" s="322"/>
      <c r="H95" s="322"/>
      <c r="J95" s="502"/>
      <c r="K95" s="503"/>
      <c r="L95" s="503"/>
      <c r="M95" s="503"/>
      <c r="N95" s="486"/>
      <c r="O95" s="49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2"/>
      <c r="B96" s="2"/>
      <c r="C96" s="302"/>
      <c r="D96" s="302"/>
      <c r="E96" s="59"/>
      <c r="F96" s="322"/>
      <c r="G96" s="322"/>
      <c r="H96" s="32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2"/>
      <c r="B97" s="2"/>
      <c r="C97" s="302"/>
      <c r="D97" s="302"/>
      <c r="E97" s="59"/>
      <c r="F97" s="322"/>
      <c r="G97" s="322"/>
      <c r="H97" s="32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2"/>
      <c r="B98" s="2"/>
      <c r="C98" s="302"/>
      <c r="D98" s="302"/>
      <c r="E98" s="59"/>
      <c r="F98" s="322"/>
      <c r="G98" s="322"/>
      <c r="H98" s="322"/>
      <c r="J98" s="65"/>
      <c r="K98" s="65"/>
      <c r="L98" s="66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2"/>
      <c r="B99" s="2"/>
      <c r="C99" s="302"/>
      <c r="D99" s="302"/>
      <c r="E99" s="59"/>
      <c r="F99" s="322"/>
      <c r="G99" s="322"/>
      <c r="H99" s="322"/>
      <c r="J99" s="65"/>
      <c r="K99" s="65"/>
      <c r="L99" s="66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2"/>
      <c r="B100" s="2"/>
      <c r="C100" s="302"/>
      <c r="D100" s="302"/>
      <c r="E100" s="59"/>
      <c r="F100" s="322"/>
      <c r="G100" s="322"/>
      <c r="H100" s="322"/>
      <c r="J100" s="65"/>
      <c r="K100" s="65"/>
      <c r="L100" s="66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2"/>
      <c r="B101" s="2"/>
      <c r="C101" s="302"/>
      <c r="D101" s="302"/>
      <c r="E101" s="59"/>
      <c r="F101" s="322"/>
      <c r="G101" s="322"/>
      <c r="H101" s="322"/>
      <c r="J101" s="65"/>
      <c r="K101" s="65"/>
      <c r="L101" s="66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2"/>
      <c r="B102" s="2"/>
      <c r="C102" s="302"/>
      <c r="D102" s="302"/>
      <c r="E102" s="59"/>
      <c r="F102" s="322"/>
      <c r="G102" s="322"/>
      <c r="H102" s="32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2"/>
      <c r="B103" s="2"/>
      <c r="C103" s="302"/>
      <c r="D103" s="302"/>
      <c r="E103" s="59"/>
      <c r="F103" s="322"/>
      <c r="G103" s="322"/>
      <c r="H103" s="32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2"/>
      <c r="B104" s="2"/>
      <c r="C104" s="302"/>
      <c r="D104" s="302"/>
      <c r="E104" s="59"/>
      <c r="F104" s="312"/>
      <c r="G104" s="312"/>
      <c r="H104" s="31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2"/>
      <c r="B105" s="2"/>
      <c r="C105" s="302"/>
      <c r="D105" s="302"/>
      <c r="E105" s="59"/>
      <c r="F105" s="312"/>
      <c r="G105" s="312"/>
      <c r="H105" s="31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2"/>
      <c r="B106" s="2"/>
      <c r="C106" s="302"/>
      <c r="D106" s="302"/>
      <c r="E106" s="59"/>
      <c r="F106" s="312"/>
      <c r="G106" s="312"/>
      <c r="H106" s="31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2"/>
      <c r="B107" s="2"/>
      <c r="C107" s="302"/>
      <c r="D107" s="302"/>
      <c r="E107" s="59"/>
      <c r="F107" s="312"/>
      <c r="G107" s="312"/>
      <c r="H107" s="31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2"/>
      <c r="B108" s="2"/>
      <c r="C108" s="302"/>
      <c r="D108" s="302"/>
      <c r="E108" s="59"/>
      <c r="F108" s="312"/>
      <c r="G108" s="312"/>
      <c r="H108" s="31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2"/>
      <c r="B109" s="2"/>
      <c r="C109" s="302"/>
      <c r="D109" s="302"/>
      <c r="E109" s="59"/>
      <c r="F109" s="312"/>
      <c r="G109" s="312"/>
      <c r="H109" s="31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2"/>
      <c r="B110" s="2"/>
      <c r="C110" s="302"/>
      <c r="D110" s="302"/>
      <c r="E110" s="59"/>
      <c r="F110" s="312"/>
      <c r="G110" s="312"/>
      <c r="H110" s="31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2"/>
      <c r="B111" s="2"/>
      <c r="C111" s="302"/>
      <c r="D111" s="302"/>
      <c r="E111" s="59"/>
      <c r="F111" s="312"/>
      <c r="G111" s="312"/>
      <c r="H111" s="31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2"/>
      <c r="B112" s="2"/>
      <c r="C112" s="302"/>
      <c r="D112" s="302"/>
      <c r="E112" s="59"/>
      <c r="F112" s="312"/>
      <c r="G112" s="312"/>
      <c r="H112" s="31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2"/>
      <c r="B113" s="2"/>
      <c r="C113" s="302"/>
      <c r="D113" s="302"/>
      <c r="E113" s="59"/>
      <c r="F113" s="312"/>
      <c r="G113" s="312"/>
      <c r="H113" s="31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2"/>
      <c r="B114" s="2"/>
      <c r="C114" s="302"/>
      <c r="D114" s="302"/>
      <c r="E114" s="59"/>
      <c r="F114" s="312"/>
      <c r="G114" s="312"/>
      <c r="H114" s="31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2"/>
      <c r="B115" s="2"/>
      <c r="C115" s="302"/>
      <c r="D115" s="302"/>
      <c r="E115" s="59"/>
      <c r="F115" s="312"/>
      <c r="G115" s="312"/>
      <c r="H115" s="31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2"/>
      <c r="B116" s="2"/>
      <c r="C116" s="302"/>
      <c r="D116" s="302"/>
      <c r="E116" s="59"/>
      <c r="F116" s="312"/>
      <c r="G116" s="312"/>
      <c r="H116" s="31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2"/>
      <c r="B117" s="2"/>
      <c r="C117" s="302"/>
      <c r="D117" s="302"/>
      <c r="E117" s="59"/>
      <c r="F117" s="312"/>
      <c r="G117" s="312"/>
      <c r="H117" s="31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2"/>
      <c r="B118" s="2"/>
      <c r="C118" s="302"/>
      <c r="D118" s="302"/>
      <c r="E118" s="59"/>
      <c r="F118" s="312"/>
      <c r="G118" s="312"/>
      <c r="H118" s="31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2"/>
      <c r="B119" s="2"/>
      <c r="C119" s="302"/>
      <c r="D119" s="302"/>
      <c r="E119" s="59"/>
      <c r="F119" s="312"/>
      <c r="G119" s="312"/>
      <c r="H119" s="31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2"/>
      <c r="B120" s="2"/>
      <c r="C120" s="302"/>
      <c r="D120" s="302"/>
      <c r="E120" s="59"/>
      <c r="F120" s="312"/>
      <c r="G120" s="312"/>
      <c r="H120" s="31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2"/>
      <c r="B121" s="2"/>
      <c r="C121" s="302"/>
      <c r="D121" s="302"/>
      <c r="E121" s="59"/>
      <c r="F121" s="312"/>
      <c r="G121" s="312"/>
      <c r="H121" s="31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2"/>
      <c r="B122" s="2"/>
      <c r="C122" s="302"/>
      <c r="D122" s="302"/>
      <c r="E122" s="59"/>
      <c r="F122" s="312"/>
      <c r="G122" s="312"/>
      <c r="H122" s="31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2"/>
      <c r="B123" s="2"/>
      <c r="C123" s="302"/>
      <c r="D123" s="302"/>
      <c r="E123" s="59"/>
      <c r="F123" s="312"/>
      <c r="G123" s="312"/>
      <c r="H123" s="31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2"/>
      <c r="B124" s="2"/>
      <c r="C124" s="302"/>
      <c r="D124" s="302"/>
      <c r="E124" s="59"/>
      <c r="F124" s="312"/>
      <c r="G124" s="312"/>
      <c r="H124" s="31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2"/>
      <c r="B125" s="2"/>
      <c r="C125" s="302"/>
      <c r="D125" s="302"/>
      <c r="E125" s="59"/>
      <c r="F125" s="312"/>
      <c r="G125" s="312"/>
      <c r="H125" s="31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2"/>
      <c r="B126" s="2"/>
      <c r="C126" s="302"/>
      <c r="D126" s="302"/>
      <c r="E126" s="59"/>
      <c r="F126" s="312"/>
      <c r="G126" s="312"/>
      <c r="H126" s="31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2"/>
      <c r="B127" s="2"/>
      <c r="C127" s="302"/>
      <c r="D127" s="302"/>
      <c r="E127" s="59"/>
      <c r="F127" s="312"/>
      <c r="G127" s="312"/>
      <c r="H127" s="31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2"/>
      <c r="B128" s="2"/>
      <c r="C128" s="302"/>
      <c r="D128" s="302"/>
      <c r="E128" s="59"/>
      <c r="F128" s="312"/>
      <c r="G128" s="312"/>
      <c r="H128" s="31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2"/>
      <c r="B129" s="2"/>
      <c r="C129" s="302"/>
      <c r="D129" s="302"/>
      <c r="E129" s="59"/>
      <c r="F129" s="312"/>
      <c r="G129" s="312"/>
      <c r="H129" s="31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2"/>
      <c r="B130" s="2"/>
      <c r="C130" s="302"/>
      <c r="D130" s="302"/>
      <c r="E130" s="59"/>
      <c r="F130" s="312"/>
      <c r="G130" s="312"/>
      <c r="H130" s="31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2"/>
      <c r="B131" s="2"/>
      <c r="C131" s="302"/>
      <c r="D131" s="302"/>
      <c r="E131" s="59"/>
      <c r="F131" s="312"/>
      <c r="G131" s="312"/>
      <c r="H131" s="31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2"/>
      <c r="B132" s="2"/>
      <c r="C132" s="302"/>
      <c r="D132" s="302"/>
      <c r="E132" s="59"/>
      <c r="F132" s="312"/>
      <c r="G132" s="312"/>
      <c r="H132" s="31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2"/>
      <c r="B133" s="2"/>
      <c r="C133" s="302"/>
      <c r="D133" s="302"/>
      <c r="E133" s="59"/>
      <c r="F133" s="312"/>
      <c r="G133" s="312"/>
      <c r="H133" s="31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2"/>
      <c r="B134" s="2"/>
      <c r="C134" s="302"/>
      <c r="D134" s="302"/>
      <c r="E134" s="59"/>
      <c r="F134" s="312"/>
      <c r="G134" s="312"/>
      <c r="H134" s="31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2"/>
      <c r="B135" s="2"/>
      <c r="C135" s="302"/>
      <c r="D135" s="302"/>
      <c r="E135" s="59"/>
      <c r="F135" s="312"/>
      <c r="G135" s="312"/>
      <c r="H135" s="31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2"/>
      <c r="B136" s="2"/>
      <c r="C136" s="302"/>
      <c r="D136" s="302"/>
      <c r="E136" s="59"/>
      <c r="F136" s="312"/>
      <c r="G136" s="312"/>
      <c r="H136" s="31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2"/>
      <c r="B137" s="2"/>
      <c r="C137" s="302"/>
      <c r="D137" s="302"/>
      <c r="E137" s="59"/>
      <c r="F137" s="312"/>
      <c r="G137" s="312"/>
      <c r="H137" s="31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2"/>
      <c r="B138" s="2"/>
      <c r="C138" s="302"/>
      <c r="D138" s="302"/>
      <c r="E138" s="59"/>
      <c r="F138" s="312"/>
      <c r="G138" s="312"/>
      <c r="H138" s="31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2"/>
      <c r="B139" s="2"/>
      <c r="C139" s="302"/>
      <c r="D139" s="302"/>
      <c r="E139" s="59"/>
      <c r="F139" s="312"/>
      <c r="G139" s="312"/>
      <c r="H139" s="31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2"/>
      <c r="B140" s="2"/>
      <c r="C140" s="302"/>
      <c r="D140" s="302"/>
      <c r="E140" s="59"/>
      <c r="F140" s="312"/>
      <c r="G140" s="312"/>
      <c r="H140" s="31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2"/>
      <c r="B141" s="2"/>
      <c r="C141" s="302"/>
      <c r="D141" s="302"/>
      <c r="E141" s="59"/>
      <c r="F141" s="312"/>
      <c r="G141" s="312"/>
      <c r="H141" s="31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2"/>
      <c r="B142" s="2"/>
      <c r="C142" s="302"/>
      <c r="D142" s="302"/>
      <c r="E142" s="59"/>
      <c r="F142" s="312"/>
      <c r="G142" s="312"/>
      <c r="H142" s="31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2"/>
      <c r="B143" s="2"/>
      <c r="C143" s="302"/>
      <c r="D143" s="302"/>
      <c r="E143" s="59"/>
      <c r="F143" s="312"/>
      <c r="G143" s="312"/>
      <c r="H143" s="31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2"/>
      <c r="B144" s="2"/>
      <c r="C144" s="302"/>
      <c r="D144" s="302"/>
      <c r="E144" s="59"/>
      <c r="F144" s="312"/>
      <c r="G144" s="312"/>
      <c r="H144" s="31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2"/>
      <c r="B145" s="2"/>
      <c r="C145" s="302"/>
      <c r="D145" s="302"/>
      <c r="E145" s="59"/>
      <c r="F145" s="312"/>
      <c r="G145" s="312"/>
      <c r="H145" s="31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2"/>
      <c r="B146" s="2"/>
      <c r="C146" s="302"/>
      <c r="D146" s="302"/>
      <c r="E146" s="59"/>
      <c r="F146" s="312"/>
      <c r="G146" s="312"/>
      <c r="H146" s="31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2"/>
      <c r="B147" s="2"/>
      <c r="C147" s="302"/>
      <c r="D147" s="302"/>
      <c r="E147" s="59"/>
      <c r="F147" s="312"/>
      <c r="G147" s="312"/>
      <c r="H147" s="31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2"/>
      <c r="B148" s="2"/>
      <c r="C148" s="302"/>
      <c r="D148" s="302"/>
      <c r="E148" s="59"/>
      <c r="F148" s="312"/>
      <c r="G148" s="312"/>
      <c r="H148" s="31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2"/>
      <c r="B149" s="2"/>
      <c r="C149" s="302"/>
      <c r="D149" s="302"/>
      <c r="E149" s="59"/>
      <c r="F149" s="312"/>
      <c r="G149" s="312"/>
      <c r="H149" s="31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2"/>
      <c r="B150" s="2"/>
      <c r="C150" s="302"/>
      <c r="D150" s="302"/>
      <c r="E150" s="59"/>
      <c r="F150" s="312"/>
      <c r="G150" s="312"/>
      <c r="H150" s="31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2"/>
      <c r="B151" s="2"/>
      <c r="C151" s="302"/>
      <c r="D151" s="302"/>
      <c r="E151" s="59"/>
      <c r="F151" s="312"/>
      <c r="G151" s="312"/>
      <c r="H151" s="31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2"/>
      <c r="B152" s="2"/>
      <c r="C152" s="302"/>
      <c r="D152" s="302"/>
      <c r="E152" s="59"/>
      <c r="F152" s="312"/>
      <c r="G152" s="312"/>
      <c r="H152" s="31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2"/>
      <c r="B153" s="2"/>
      <c r="C153" s="302"/>
      <c r="D153" s="302"/>
      <c r="E153" s="59"/>
      <c r="F153" s="312"/>
      <c r="G153" s="312"/>
      <c r="H153" s="31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2"/>
      <c r="B154" s="2"/>
      <c r="C154" s="302"/>
      <c r="D154" s="302"/>
      <c r="E154" s="59"/>
      <c r="F154" s="312"/>
      <c r="G154" s="312"/>
      <c r="H154" s="31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2"/>
      <c r="B155" s="2"/>
      <c r="C155" s="302"/>
      <c r="D155" s="302"/>
      <c r="E155" s="59"/>
      <c r="F155" s="312"/>
      <c r="G155" s="312"/>
      <c r="H155" s="31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2"/>
      <c r="B156" s="2"/>
      <c r="C156" s="302"/>
      <c r="D156" s="302"/>
      <c r="E156" s="59"/>
      <c r="F156" s="312"/>
      <c r="G156" s="312"/>
      <c r="H156" s="31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2"/>
      <c r="B157" s="2"/>
      <c r="C157" s="302"/>
      <c r="D157" s="302"/>
      <c r="E157" s="59"/>
      <c r="F157" s="312"/>
      <c r="G157" s="312"/>
      <c r="H157" s="31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2"/>
      <c r="B158" s="2"/>
      <c r="C158" s="302"/>
      <c r="D158" s="302"/>
      <c r="E158" s="59"/>
      <c r="F158" s="312"/>
      <c r="G158" s="312"/>
      <c r="H158" s="31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2"/>
      <c r="B159" s="2"/>
      <c r="C159" s="302"/>
      <c r="D159" s="302"/>
      <c r="E159" s="59"/>
      <c r="F159" s="312"/>
      <c r="G159" s="312"/>
      <c r="H159" s="31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2"/>
      <c r="B160" s="2"/>
      <c r="C160" s="302"/>
      <c r="D160" s="302"/>
      <c r="E160" s="59"/>
      <c r="F160" s="312"/>
      <c r="G160" s="312"/>
      <c r="H160" s="31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2"/>
      <c r="B161" s="2"/>
      <c r="C161" s="302"/>
      <c r="D161" s="302"/>
      <c r="E161" s="59"/>
      <c r="F161" s="312"/>
      <c r="G161" s="312"/>
      <c r="H161" s="31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2"/>
      <c r="B162" s="2"/>
      <c r="C162" s="302"/>
      <c r="D162" s="302"/>
      <c r="E162" s="59"/>
      <c r="F162" s="312"/>
      <c r="G162" s="312"/>
      <c r="H162" s="31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2"/>
      <c r="B163" s="2"/>
      <c r="C163" s="302"/>
      <c r="D163" s="302"/>
      <c r="E163" s="59"/>
      <c r="F163" s="312"/>
      <c r="G163" s="312"/>
      <c r="H163" s="31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2"/>
      <c r="B164" s="2"/>
      <c r="C164" s="302"/>
      <c r="D164" s="302"/>
      <c r="E164" s="59"/>
      <c r="F164" s="312"/>
      <c r="G164" s="312"/>
      <c r="H164" s="31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2"/>
      <c r="B165" s="2"/>
      <c r="C165" s="302"/>
      <c r="D165" s="302"/>
      <c r="E165" s="59"/>
      <c r="F165" s="312"/>
      <c r="G165" s="312"/>
      <c r="H165" s="31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2"/>
      <c r="B166" s="2"/>
      <c r="C166" s="302"/>
      <c r="D166" s="302"/>
      <c r="E166" s="59"/>
      <c r="F166" s="312"/>
      <c r="G166" s="312"/>
      <c r="H166" s="31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2"/>
      <c r="B167" s="2"/>
      <c r="C167" s="302"/>
      <c r="D167" s="302"/>
      <c r="E167" s="59"/>
      <c r="F167" s="312"/>
      <c r="G167" s="312"/>
      <c r="H167" s="31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2"/>
      <c r="B168" s="2"/>
      <c r="C168" s="302"/>
      <c r="D168" s="302"/>
      <c r="E168" s="59"/>
      <c r="F168" s="312"/>
      <c r="G168" s="312"/>
      <c r="H168" s="31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2"/>
      <c r="B169" s="2"/>
      <c r="C169" s="302"/>
      <c r="D169" s="302"/>
      <c r="E169" s="59"/>
      <c r="F169" s="312"/>
      <c r="G169" s="312"/>
      <c r="H169" s="31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2"/>
      <c r="B170" s="2"/>
      <c r="C170" s="302"/>
      <c r="D170" s="302"/>
      <c r="E170" s="59"/>
      <c r="F170" s="312"/>
      <c r="G170" s="312"/>
      <c r="H170" s="31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2"/>
      <c r="B171" s="2"/>
      <c r="C171" s="302"/>
      <c r="D171" s="302"/>
      <c r="E171" s="59"/>
      <c r="F171" s="312"/>
      <c r="G171" s="312"/>
      <c r="H171" s="31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2"/>
      <c r="B172" s="2"/>
      <c r="C172" s="302"/>
      <c r="D172" s="302"/>
      <c r="E172" s="59"/>
      <c r="F172" s="312"/>
      <c r="G172" s="312"/>
      <c r="H172" s="31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2"/>
      <c r="B173" s="2"/>
      <c r="C173" s="302"/>
      <c r="D173" s="302"/>
      <c r="E173" s="59"/>
      <c r="F173" s="312"/>
      <c r="G173" s="312"/>
      <c r="H173" s="31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2"/>
      <c r="B174" s="2"/>
      <c r="C174" s="302"/>
      <c r="D174" s="302"/>
      <c r="E174" s="59"/>
      <c r="F174" s="312"/>
      <c r="G174" s="312"/>
      <c r="H174" s="31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2"/>
      <c r="B175" s="2"/>
      <c r="C175" s="302"/>
      <c r="D175" s="302"/>
      <c r="E175" s="59"/>
      <c r="F175" s="312"/>
      <c r="G175" s="312"/>
      <c r="H175" s="31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2"/>
      <c r="B176" s="2"/>
      <c r="C176" s="302"/>
      <c r="D176" s="302"/>
      <c r="E176" s="59"/>
      <c r="F176" s="312"/>
      <c r="G176" s="312"/>
      <c r="H176" s="31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2"/>
      <c r="B177" s="2"/>
      <c r="C177" s="302"/>
      <c r="D177" s="302"/>
      <c r="E177" s="59"/>
      <c r="F177" s="312"/>
      <c r="G177" s="312"/>
      <c r="H177" s="31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2"/>
      <c r="B178" s="2"/>
      <c r="C178" s="302"/>
      <c r="D178" s="302"/>
      <c r="E178" s="59"/>
      <c r="F178" s="312"/>
      <c r="G178" s="312"/>
      <c r="H178" s="31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2"/>
      <c r="B179" s="2"/>
      <c r="C179" s="302"/>
      <c r="D179" s="302"/>
      <c r="E179" s="59"/>
      <c r="F179" s="312"/>
      <c r="G179" s="312"/>
      <c r="H179" s="31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2"/>
      <c r="B180" s="2"/>
      <c r="C180" s="302"/>
      <c r="D180" s="302"/>
      <c r="E180" s="59"/>
      <c r="F180" s="312"/>
      <c r="G180" s="312"/>
      <c r="H180" s="31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2"/>
      <c r="B181" s="2"/>
      <c r="C181" s="302"/>
      <c r="D181" s="302"/>
      <c r="E181" s="59"/>
      <c r="F181" s="312"/>
      <c r="G181" s="312"/>
      <c r="H181" s="31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2"/>
      <c r="B182" s="2"/>
      <c r="C182" s="302"/>
      <c r="D182" s="302"/>
      <c r="E182" s="59"/>
      <c r="F182" s="312"/>
      <c r="G182" s="312"/>
      <c r="H182" s="31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2"/>
      <c r="B183" s="2"/>
      <c r="C183" s="302"/>
      <c r="D183" s="302"/>
      <c r="E183" s="59"/>
      <c r="F183" s="312"/>
      <c r="G183" s="312"/>
      <c r="H183" s="31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2"/>
      <c r="B184" s="2"/>
      <c r="C184" s="302"/>
      <c r="D184" s="302"/>
      <c r="E184" s="59"/>
      <c r="F184" s="312"/>
      <c r="G184" s="312"/>
      <c r="H184" s="31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2"/>
      <c r="B185" s="2"/>
      <c r="C185" s="302"/>
      <c r="D185" s="302"/>
      <c r="E185" s="59"/>
      <c r="F185" s="312"/>
      <c r="G185" s="312"/>
      <c r="H185" s="31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2"/>
      <c r="B186" s="2"/>
      <c r="C186" s="302"/>
      <c r="D186" s="302"/>
      <c r="E186" s="59"/>
      <c r="F186" s="312"/>
      <c r="G186" s="312"/>
      <c r="H186" s="31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2"/>
      <c r="B187" s="2"/>
      <c r="C187" s="302"/>
      <c r="D187" s="302"/>
      <c r="E187" s="59"/>
      <c r="F187" s="312"/>
      <c r="G187" s="312"/>
      <c r="H187" s="31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2"/>
      <c r="B188" s="2"/>
      <c r="C188" s="302"/>
      <c r="D188" s="302"/>
      <c r="E188" s="59"/>
      <c r="F188" s="312"/>
      <c r="G188" s="312"/>
      <c r="H188" s="31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2"/>
      <c r="B189" s="2"/>
      <c r="C189" s="302"/>
      <c r="D189" s="302"/>
      <c r="E189" s="59"/>
      <c r="F189" s="312"/>
      <c r="G189" s="312"/>
      <c r="H189" s="31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2"/>
      <c r="B190" s="2"/>
      <c r="C190" s="302"/>
      <c r="D190" s="302"/>
      <c r="E190" s="59"/>
      <c r="F190" s="312"/>
      <c r="G190" s="312"/>
      <c r="H190" s="31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2"/>
      <c r="B191" s="2"/>
      <c r="C191" s="302"/>
      <c r="D191" s="302"/>
      <c r="E191" s="59"/>
      <c r="F191" s="312"/>
      <c r="G191" s="312"/>
      <c r="H191" s="31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2"/>
      <c r="B192" s="2"/>
      <c r="C192" s="302"/>
      <c r="D192" s="302"/>
      <c r="E192" s="59"/>
      <c r="F192" s="312"/>
      <c r="G192" s="312"/>
      <c r="H192" s="31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2"/>
      <c r="B193" s="2"/>
      <c r="C193" s="302"/>
      <c r="D193" s="302"/>
      <c r="E193" s="59"/>
      <c r="F193" s="312"/>
      <c r="G193" s="312"/>
      <c r="H193" s="31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2"/>
      <c r="B194" s="2"/>
      <c r="C194" s="302"/>
      <c r="D194" s="302"/>
      <c r="E194" s="59"/>
      <c r="F194" s="312"/>
      <c r="G194" s="312"/>
      <c r="H194" s="31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2"/>
      <c r="B195" s="2"/>
      <c r="C195" s="302"/>
      <c r="D195" s="302"/>
      <c r="E195" s="59"/>
      <c r="F195" s="312"/>
      <c r="G195" s="312"/>
      <c r="H195" s="31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2"/>
      <c r="B196" s="2"/>
      <c r="C196" s="302"/>
      <c r="D196" s="302"/>
      <c r="E196" s="59"/>
      <c r="F196" s="312"/>
      <c r="G196" s="312"/>
      <c r="H196" s="31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2"/>
      <c r="B197" s="2"/>
      <c r="C197" s="302"/>
      <c r="D197" s="302"/>
      <c r="E197" s="59"/>
      <c r="F197" s="312"/>
      <c r="G197" s="312"/>
      <c r="H197" s="31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2"/>
      <c r="B198" s="2"/>
      <c r="C198" s="302"/>
      <c r="D198" s="302"/>
      <c r="E198" s="59"/>
      <c r="F198" s="312"/>
      <c r="G198" s="312"/>
      <c r="H198" s="31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2"/>
      <c r="B199" s="2"/>
      <c r="C199" s="302"/>
      <c r="D199" s="302"/>
      <c r="E199" s="59"/>
      <c r="F199" s="312"/>
      <c r="G199" s="312"/>
      <c r="H199" s="31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2"/>
      <c r="B200" s="2"/>
      <c r="C200" s="302"/>
      <c r="D200" s="302"/>
      <c r="E200" s="59"/>
      <c r="F200" s="312"/>
      <c r="G200" s="312"/>
      <c r="H200" s="31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2"/>
      <c r="B201" s="2"/>
      <c r="C201" s="302"/>
      <c r="D201" s="302"/>
      <c r="E201" s="59"/>
      <c r="F201" s="312"/>
      <c r="G201" s="312"/>
      <c r="H201" s="31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2"/>
      <c r="B202" s="2"/>
      <c r="C202" s="302"/>
      <c r="D202" s="302"/>
      <c r="E202" s="59"/>
      <c r="F202" s="312"/>
      <c r="G202" s="312"/>
      <c r="H202" s="31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2"/>
      <c r="B203" s="2"/>
      <c r="C203" s="302"/>
      <c r="D203" s="302"/>
      <c r="E203" s="59"/>
      <c r="F203" s="312"/>
      <c r="G203" s="312"/>
      <c r="H203" s="31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2"/>
      <c r="B204" s="2"/>
      <c r="C204" s="302"/>
      <c r="D204" s="302"/>
      <c r="E204" s="59"/>
      <c r="F204" s="312"/>
      <c r="G204" s="312"/>
      <c r="H204" s="31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2"/>
      <c r="B205" s="2"/>
      <c r="C205" s="302"/>
      <c r="D205" s="302"/>
      <c r="E205" s="59"/>
      <c r="F205" s="312"/>
      <c r="G205" s="312"/>
      <c r="H205" s="31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2"/>
      <c r="B206" s="2"/>
      <c r="C206" s="302"/>
      <c r="D206" s="302"/>
      <c r="E206" s="59"/>
      <c r="F206" s="312"/>
      <c r="G206" s="312"/>
      <c r="H206" s="31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2"/>
      <c r="B207" s="2"/>
      <c r="C207" s="302"/>
      <c r="D207" s="302"/>
      <c r="E207" s="59"/>
      <c r="F207" s="312"/>
      <c r="G207" s="312"/>
      <c r="H207" s="31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2"/>
      <c r="B208" s="2"/>
      <c r="C208" s="302"/>
      <c r="D208" s="302"/>
      <c r="E208" s="59"/>
      <c r="F208" s="312"/>
      <c r="G208" s="312"/>
      <c r="H208" s="31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2"/>
      <c r="B209" s="2"/>
      <c r="C209" s="302"/>
      <c r="D209" s="302"/>
      <c r="E209" s="59"/>
      <c r="F209" s="312"/>
      <c r="G209" s="312"/>
      <c r="H209" s="31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2"/>
      <c r="B210" s="2"/>
      <c r="C210" s="302"/>
      <c r="D210" s="302"/>
      <c r="E210" s="59"/>
      <c r="F210" s="312"/>
      <c r="G210" s="312"/>
      <c r="H210" s="31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2"/>
      <c r="B211" s="2"/>
      <c r="C211" s="302"/>
      <c r="D211" s="302"/>
      <c r="E211" s="59"/>
      <c r="F211" s="312"/>
      <c r="G211" s="312"/>
      <c r="H211" s="31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2"/>
      <c r="B212" s="2"/>
      <c r="C212" s="302"/>
      <c r="D212" s="302"/>
      <c r="E212" s="59"/>
      <c r="F212" s="312"/>
      <c r="G212" s="312"/>
      <c r="H212" s="31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2"/>
      <c r="B213" s="2"/>
      <c r="C213" s="302"/>
      <c r="D213" s="302"/>
      <c r="E213" s="59"/>
      <c r="F213" s="312"/>
      <c r="G213" s="312"/>
      <c r="H213" s="31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2"/>
      <c r="B214" s="2"/>
      <c r="C214" s="302"/>
      <c r="D214" s="302"/>
      <c r="E214" s="59"/>
      <c r="F214" s="312"/>
      <c r="G214" s="312"/>
      <c r="H214" s="31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2"/>
      <c r="B215" s="2"/>
      <c r="C215" s="302"/>
      <c r="D215" s="302"/>
      <c r="E215" s="59"/>
      <c r="F215" s="312"/>
      <c r="G215" s="312"/>
      <c r="H215" s="31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2"/>
      <c r="B216" s="2"/>
      <c r="C216" s="302"/>
      <c r="D216" s="302"/>
      <c r="E216" s="59"/>
      <c r="F216" s="312"/>
      <c r="G216" s="312"/>
      <c r="H216" s="31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2"/>
      <c r="B217" s="2"/>
      <c r="C217" s="302"/>
      <c r="D217" s="302"/>
      <c r="E217" s="59"/>
      <c r="F217" s="312"/>
      <c r="G217" s="312"/>
      <c r="H217" s="31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2"/>
      <c r="B218" s="2"/>
      <c r="C218" s="302"/>
      <c r="D218" s="302"/>
      <c r="E218" s="59"/>
      <c r="F218" s="312"/>
      <c r="G218" s="312"/>
      <c r="H218" s="31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2"/>
      <c r="B219" s="2"/>
      <c r="C219" s="302"/>
      <c r="D219" s="302"/>
      <c r="E219" s="59"/>
      <c r="F219" s="312"/>
      <c r="G219" s="312"/>
      <c r="H219" s="31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2"/>
      <c r="B220" s="2"/>
      <c r="C220" s="302"/>
      <c r="D220" s="302"/>
      <c r="E220" s="59"/>
      <c r="F220" s="312"/>
      <c r="G220" s="312"/>
      <c r="H220" s="31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A221" s="2"/>
      <c r="B221" s="2"/>
      <c r="C221" s="302"/>
      <c r="D221" s="302"/>
      <c r="E221" s="59"/>
      <c r="F221" s="312"/>
      <c r="G221" s="312"/>
      <c r="H221" s="31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2"/>
      <c r="B222" s="2"/>
      <c r="C222" s="302"/>
      <c r="D222" s="302"/>
      <c r="E222" s="59"/>
      <c r="F222" s="312"/>
      <c r="G222" s="312"/>
      <c r="H222" s="31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2"/>
      <c r="B223" s="2"/>
      <c r="C223" s="302"/>
      <c r="D223" s="302"/>
      <c r="E223" s="59"/>
      <c r="F223" s="312"/>
      <c r="G223" s="312"/>
      <c r="H223" s="31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2"/>
      <c r="B224" s="2"/>
      <c r="C224" s="302"/>
      <c r="D224" s="302"/>
      <c r="E224" s="59"/>
      <c r="F224" s="312"/>
      <c r="G224" s="312"/>
      <c r="H224" s="31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2"/>
      <c r="B225" s="2"/>
      <c r="C225" s="302"/>
      <c r="D225" s="302"/>
      <c r="E225" s="59"/>
      <c r="F225" s="312"/>
      <c r="G225" s="312"/>
      <c r="H225" s="31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302"/>
      <c r="D226" s="302"/>
      <c r="E226" s="59"/>
      <c r="F226" s="312"/>
      <c r="G226" s="312"/>
      <c r="H226" s="31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302"/>
      <c r="D227" s="302"/>
      <c r="E227" s="59"/>
      <c r="F227" s="312"/>
      <c r="G227" s="312"/>
      <c r="H227" s="31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302"/>
      <c r="D228" s="302"/>
      <c r="E228" s="59"/>
      <c r="F228" s="312"/>
      <c r="G228" s="312"/>
      <c r="H228" s="31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302"/>
      <c r="D229" s="302"/>
      <c r="E229" s="59"/>
      <c r="F229" s="312"/>
      <c r="G229" s="312"/>
      <c r="H229" s="31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302"/>
      <c r="D230" s="302"/>
      <c r="E230" s="59"/>
      <c r="F230" s="312"/>
      <c r="G230" s="312"/>
      <c r="H230" s="31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302"/>
      <c r="D231" s="302"/>
      <c r="E231" s="59"/>
      <c r="F231" s="312"/>
      <c r="G231" s="312"/>
      <c r="H231" s="31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302"/>
      <c r="D232" s="302"/>
      <c r="E232" s="59"/>
      <c r="F232" s="312"/>
      <c r="G232" s="312"/>
      <c r="H232" s="31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302"/>
      <c r="D233" s="302"/>
      <c r="E233" s="59"/>
      <c r="F233" s="312"/>
      <c r="G233" s="312"/>
      <c r="H233" s="31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302"/>
      <c r="D234" s="302"/>
      <c r="E234" s="59"/>
      <c r="F234" s="312"/>
      <c r="G234" s="312"/>
      <c r="H234" s="31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302"/>
      <c r="D235" s="302"/>
      <c r="E235" s="59"/>
      <c r="F235" s="312"/>
      <c r="G235" s="312"/>
      <c r="H235" s="31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302"/>
      <c r="D236" s="302"/>
      <c r="E236" s="59"/>
      <c r="F236" s="312"/>
      <c r="G236" s="312"/>
      <c r="H236" s="31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2"/>
      <c r="B237" s="2"/>
      <c r="C237" s="302"/>
      <c r="D237" s="302"/>
      <c r="E237" s="59"/>
      <c r="F237" s="312"/>
      <c r="G237" s="312"/>
      <c r="H237" s="31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2"/>
      <c r="B238" s="2"/>
      <c r="C238" s="302"/>
      <c r="D238" s="302"/>
      <c r="E238" s="59"/>
      <c r="F238" s="312"/>
      <c r="G238" s="312"/>
      <c r="H238" s="31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2"/>
      <c r="B239" s="2"/>
      <c r="C239" s="302"/>
      <c r="D239" s="302"/>
      <c r="E239" s="59"/>
      <c r="F239" s="312"/>
      <c r="G239" s="312"/>
      <c r="H239" s="31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2"/>
      <c r="B240" s="2"/>
      <c r="C240" s="302"/>
      <c r="D240" s="302"/>
      <c r="E240" s="59"/>
      <c r="F240" s="312"/>
      <c r="G240" s="312"/>
      <c r="H240" s="31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2"/>
      <c r="B241" s="2"/>
      <c r="C241" s="302"/>
      <c r="D241" s="302"/>
      <c r="E241" s="59"/>
      <c r="F241" s="312"/>
      <c r="G241" s="312"/>
      <c r="H241" s="31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2"/>
      <c r="B242" s="2"/>
      <c r="C242" s="302"/>
      <c r="D242" s="302"/>
      <c r="E242" s="59"/>
      <c r="F242" s="312"/>
      <c r="G242" s="312"/>
      <c r="H242" s="31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2"/>
      <c r="B243" s="2"/>
      <c r="C243" s="302"/>
      <c r="D243" s="302"/>
      <c r="E243" s="59"/>
      <c r="F243" s="312"/>
      <c r="G243" s="312"/>
      <c r="H243" s="31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2"/>
      <c r="B244" s="2"/>
      <c r="C244" s="302"/>
      <c r="D244" s="302"/>
      <c r="E244" s="59"/>
      <c r="F244" s="312"/>
      <c r="G244" s="312"/>
      <c r="H244" s="31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2"/>
      <c r="B245" s="2"/>
      <c r="C245" s="302"/>
      <c r="D245" s="302"/>
      <c r="E245" s="59"/>
      <c r="F245" s="312"/>
      <c r="G245" s="312"/>
      <c r="H245" s="31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2"/>
      <c r="B246" s="2"/>
      <c r="C246" s="302"/>
      <c r="D246" s="302"/>
      <c r="E246" s="59"/>
      <c r="F246" s="312"/>
      <c r="G246" s="312"/>
      <c r="H246" s="31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2"/>
      <c r="B247" s="2"/>
      <c r="C247" s="302"/>
      <c r="D247" s="302"/>
      <c r="E247" s="59"/>
      <c r="F247" s="312"/>
      <c r="G247" s="312"/>
      <c r="H247" s="31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2"/>
      <c r="B248" s="2"/>
      <c r="C248" s="302"/>
      <c r="D248" s="302"/>
      <c r="E248" s="59"/>
      <c r="F248" s="312"/>
      <c r="G248" s="312"/>
      <c r="H248" s="31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2"/>
      <c r="B249" s="2"/>
      <c r="C249" s="302"/>
      <c r="D249" s="302"/>
      <c r="E249" s="59"/>
      <c r="F249" s="312"/>
      <c r="G249" s="312"/>
      <c r="H249" s="31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2"/>
      <c r="B250" s="2"/>
      <c r="C250" s="302"/>
      <c r="D250" s="302"/>
      <c r="E250" s="59"/>
      <c r="F250" s="312"/>
      <c r="G250" s="312"/>
      <c r="H250" s="31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2"/>
      <c r="B251" s="2"/>
      <c r="C251" s="302"/>
      <c r="D251" s="302"/>
      <c r="E251" s="59"/>
      <c r="F251" s="312"/>
      <c r="G251" s="312"/>
      <c r="H251" s="31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2"/>
      <c r="B252" s="2"/>
      <c r="C252" s="302"/>
      <c r="D252" s="302"/>
      <c r="E252" s="59"/>
      <c r="F252" s="312"/>
      <c r="G252" s="312"/>
      <c r="H252" s="31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2"/>
      <c r="B253" s="2"/>
      <c r="C253" s="302"/>
      <c r="D253" s="302"/>
      <c r="E253" s="59"/>
      <c r="F253" s="312"/>
      <c r="G253" s="312"/>
      <c r="H253" s="31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2"/>
      <c r="B254" s="2"/>
      <c r="C254" s="302"/>
      <c r="D254" s="302"/>
      <c r="E254" s="59"/>
      <c r="F254" s="312"/>
      <c r="G254" s="312"/>
      <c r="H254" s="31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2"/>
      <c r="B255" s="2"/>
      <c r="C255" s="302"/>
      <c r="D255" s="302"/>
      <c r="E255" s="59"/>
      <c r="F255" s="312"/>
      <c r="G255" s="312"/>
      <c r="H255" s="31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2"/>
      <c r="B256" s="2"/>
      <c r="C256" s="302"/>
      <c r="D256" s="302"/>
      <c r="E256" s="59"/>
      <c r="F256" s="312"/>
      <c r="G256" s="312"/>
      <c r="H256" s="31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2"/>
      <c r="B257" s="2"/>
      <c r="C257" s="302"/>
      <c r="D257" s="302"/>
      <c r="E257" s="59"/>
      <c r="F257" s="312"/>
      <c r="G257" s="312"/>
      <c r="H257" s="31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2"/>
      <c r="B258" s="2"/>
      <c r="C258" s="302"/>
      <c r="D258" s="302"/>
      <c r="E258" s="59"/>
      <c r="F258" s="312"/>
      <c r="G258" s="312"/>
      <c r="H258" s="31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2"/>
      <c r="B259" s="2"/>
      <c r="C259" s="302"/>
      <c r="D259" s="302"/>
      <c r="E259" s="59"/>
      <c r="F259" s="312"/>
      <c r="G259" s="312"/>
      <c r="H259" s="31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2"/>
      <c r="B260" s="2"/>
      <c r="C260" s="302"/>
      <c r="D260" s="302"/>
      <c r="E260" s="59"/>
      <c r="F260" s="312"/>
      <c r="G260" s="312"/>
      <c r="H260" s="31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2"/>
      <c r="B261" s="2"/>
      <c r="C261" s="302"/>
      <c r="D261" s="302"/>
      <c r="E261" s="59"/>
      <c r="F261" s="312"/>
      <c r="G261" s="312"/>
      <c r="H261" s="31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2"/>
      <c r="B262" s="2"/>
      <c r="C262" s="302"/>
      <c r="D262" s="302"/>
      <c r="E262" s="59"/>
      <c r="F262" s="312"/>
      <c r="G262" s="312"/>
      <c r="H262" s="31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2"/>
      <c r="B263" s="2"/>
      <c r="C263" s="302"/>
      <c r="D263" s="302"/>
      <c r="E263" s="59"/>
      <c r="F263" s="312"/>
      <c r="G263" s="312"/>
      <c r="H263" s="31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302"/>
      <c r="D264" s="302"/>
      <c r="E264" s="59"/>
      <c r="F264" s="312"/>
      <c r="G264" s="312"/>
      <c r="H264" s="31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302"/>
      <c r="D265" s="302"/>
      <c r="E265" s="59"/>
      <c r="F265" s="312"/>
      <c r="G265" s="312"/>
      <c r="H265" s="31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302"/>
      <c r="D266" s="302"/>
      <c r="E266" s="59"/>
      <c r="F266" s="312"/>
      <c r="G266" s="312"/>
      <c r="H266" s="31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302"/>
      <c r="D267" s="302"/>
      <c r="E267" s="59"/>
      <c r="F267" s="312"/>
      <c r="G267" s="312"/>
      <c r="H267" s="31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302"/>
      <c r="D268" s="302"/>
      <c r="E268" s="59"/>
      <c r="F268" s="312"/>
      <c r="G268" s="312"/>
      <c r="H268" s="31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302"/>
      <c r="D269" s="302"/>
      <c r="E269" s="59"/>
      <c r="F269" s="312"/>
      <c r="G269" s="312"/>
      <c r="H269" s="31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302"/>
      <c r="D270" s="302"/>
      <c r="E270" s="59"/>
      <c r="F270" s="312"/>
      <c r="G270" s="312"/>
      <c r="H270" s="31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302"/>
      <c r="D271" s="302"/>
      <c r="E271" s="59"/>
      <c r="F271" s="312"/>
      <c r="G271" s="312"/>
      <c r="H271" s="31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302"/>
      <c r="D272" s="302"/>
      <c r="E272" s="59"/>
      <c r="F272" s="312"/>
      <c r="G272" s="312"/>
      <c r="H272" s="31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302"/>
      <c r="D273" s="302"/>
      <c r="E273" s="59"/>
      <c r="F273" s="312"/>
      <c r="G273" s="312"/>
      <c r="H273" s="31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302"/>
      <c r="D274" s="302"/>
      <c r="E274" s="59"/>
      <c r="F274" s="312"/>
      <c r="G274" s="312"/>
      <c r="H274" s="31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302"/>
      <c r="D275" s="302"/>
      <c r="E275" s="59"/>
      <c r="F275" s="312"/>
      <c r="G275" s="312"/>
      <c r="H275" s="31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302"/>
      <c r="D276" s="302"/>
      <c r="E276" s="59"/>
      <c r="F276" s="312"/>
      <c r="G276" s="312"/>
      <c r="H276" s="31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302"/>
      <c r="D277" s="302"/>
      <c r="E277" s="59"/>
      <c r="F277" s="312"/>
      <c r="G277" s="312"/>
      <c r="H277" s="31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302"/>
      <c r="D278" s="302"/>
      <c r="E278" s="59"/>
      <c r="F278" s="312"/>
      <c r="G278" s="312"/>
      <c r="H278" s="31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302"/>
      <c r="D279" s="302"/>
      <c r="E279" s="59"/>
      <c r="F279" s="312"/>
      <c r="G279" s="312"/>
      <c r="H279" s="31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302"/>
      <c r="D280" s="302"/>
      <c r="E280" s="59"/>
      <c r="F280" s="312"/>
      <c r="G280" s="312"/>
      <c r="H280" s="31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302"/>
      <c r="D281" s="302"/>
      <c r="E281" s="59"/>
      <c r="F281" s="312"/>
      <c r="G281" s="312"/>
      <c r="H281" s="31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302"/>
      <c r="D282" s="302"/>
      <c r="E282" s="59"/>
      <c r="F282" s="312"/>
      <c r="G282" s="312"/>
      <c r="H282" s="31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302"/>
      <c r="D283" s="302"/>
      <c r="E283" s="59"/>
      <c r="F283" s="312"/>
      <c r="G283" s="312"/>
      <c r="H283" s="31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302"/>
      <c r="D284" s="302"/>
      <c r="E284" s="59"/>
      <c r="F284" s="312"/>
      <c r="G284" s="312"/>
      <c r="H284" s="31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302"/>
      <c r="D285" s="302"/>
      <c r="E285" s="59"/>
      <c r="F285" s="312"/>
      <c r="G285" s="312"/>
      <c r="H285" s="31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302"/>
      <c r="D286" s="302"/>
      <c r="E286" s="59"/>
      <c r="F286" s="312"/>
      <c r="G286" s="312"/>
      <c r="H286" s="31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302"/>
      <c r="D287" s="302"/>
      <c r="E287" s="59"/>
      <c r="F287" s="312"/>
      <c r="G287" s="312"/>
      <c r="H287" s="31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302"/>
      <c r="D288" s="302"/>
      <c r="E288" s="59"/>
      <c r="F288" s="312"/>
      <c r="G288" s="312"/>
      <c r="H288" s="31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302"/>
      <c r="D289" s="302"/>
      <c r="E289" s="59"/>
      <c r="F289" s="312"/>
      <c r="G289" s="312"/>
      <c r="H289" s="31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302"/>
      <c r="D290" s="302"/>
      <c r="E290" s="59"/>
      <c r="F290" s="312"/>
      <c r="G290" s="312"/>
      <c r="H290" s="31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302"/>
      <c r="D291" s="302"/>
      <c r="E291" s="59"/>
      <c r="F291" s="312"/>
      <c r="G291" s="312"/>
      <c r="H291" s="31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302"/>
      <c r="D292" s="302"/>
      <c r="E292" s="59"/>
      <c r="F292" s="312"/>
      <c r="G292" s="312"/>
      <c r="H292" s="31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302"/>
      <c r="D293" s="302"/>
      <c r="E293" s="59"/>
      <c r="F293" s="312"/>
      <c r="G293" s="312"/>
      <c r="H293" s="31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302"/>
      <c r="D294" s="302"/>
      <c r="E294" s="59"/>
      <c r="F294" s="312"/>
      <c r="G294" s="312"/>
      <c r="H294" s="31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302"/>
      <c r="D295" s="302"/>
      <c r="E295" s="59"/>
      <c r="F295" s="312"/>
      <c r="G295" s="312"/>
      <c r="H295" s="31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302"/>
      <c r="D296" s="302"/>
      <c r="E296" s="59"/>
      <c r="F296" s="312"/>
      <c r="G296" s="312"/>
      <c r="H296" s="31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302"/>
      <c r="D297" s="302"/>
      <c r="E297" s="59"/>
      <c r="F297" s="312"/>
      <c r="G297" s="312"/>
      <c r="H297" s="31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302"/>
      <c r="D298" s="302"/>
      <c r="E298" s="59"/>
      <c r="F298" s="312"/>
      <c r="G298" s="312"/>
      <c r="H298" s="31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302"/>
      <c r="D299" s="302"/>
      <c r="E299" s="59"/>
      <c r="F299" s="312"/>
      <c r="G299" s="312"/>
      <c r="H299" s="31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302"/>
      <c r="D300" s="302"/>
      <c r="E300" s="59"/>
      <c r="F300" s="312"/>
      <c r="G300" s="312"/>
      <c r="H300" s="31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302"/>
      <c r="D301" s="302"/>
      <c r="E301" s="59"/>
      <c r="F301" s="312"/>
      <c r="G301" s="312"/>
      <c r="H301" s="31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302"/>
      <c r="D302" s="302"/>
      <c r="E302" s="59"/>
      <c r="F302" s="312"/>
      <c r="G302" s="312"/>
      <c r="H302" s="31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302"/>
      <c r="D303" s="302"/>
      <c r="E303" s="59"/>
      <c r="F303" s="312"/>
      <c r="G303" s="312"/>
      <c r="H303" s="31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302"/>
      <c r="D304" s="302"/>
      <c r="E304" s="59"/>
      <c r="F304" s="312"/>
      <c r="G304" s="312"/>
      <c r="H304" s="31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302"/>
      <c r="D305" s="302"/>
      <c r="E305" s="59"/>
      <c r="F305" s="312"/>
      <c r="G305" s="312"/>
      <c r="H305" s="31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302"/>
      <c r="D306" s="302"/>
      <c r="E306" s="59"/>
      <c r="F306" s="312"/>
      <c r="G306" s="312"/>
      <c r="H306" s="31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302"/>
      <c r="D307" s="302"/>
      <c r="E307" s="59"/>
      <c r="F307" s="312"/>
      <c r="G307" s="312"/>
      <c r="H307" s="31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302"/>
      <c r="D308" s="302"/>
      <c r="E308" s="59"/>
      <c r="F308" s="312"/>
      <c r="G308" s="312"/>
      <c r="H308" s="31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302"/>
      <c r="D309" s="302"/>
      <c r="E309" s="59"/>
      <c r="F309" s="312"/>
      <c r="G309" s="312"/>
      <c r="H309" s="31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302"/>
      <c r="D310" s="302"/>
      <c r="E310" s="59"/>
      <c r="F310" s="312"/>
      <c r="G310" s="312"/>
      <c r="H310" s="31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302"/>
      <c r="D311" s="302"/>
      <c r="E311" s="59"/>
      <c r="F311" s="312"/>
      <c r="G311" s="312"/>
      <c r="H311" s="31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302"/>
      <c r="D312" s="302"/>
      <c r="E312" s="59"/>
      <c r="F312" s="312"/>
      <c r="G312" s="312"/>
      <c r="H312" s="31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302"/>
      <c r="D313" s="302"/>
      <c r="E313" s="59"/>
      <c r="F313" s="312"/>
      <c r="G313" s="312"/>
      <c r="H313" s="31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302"/>
      <c r="D314" s="302"/>
      <c r="E314" s="59"/>
      <c r="F314" s="312"/>
      <c r="G314" s="312"/>
      <c r="H314" s="31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302"/>
      <c r="D315" s="302"/>
      <c r="E315" s="59"/>
      <c r="F315" s="312"/>
      <c r="G315" s="312"/>
      <c r="H315" s="31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302"/>
      <c r="D316" s="302"/>
      <c r="E316" s="59"/>
      <c r="F316" s="312"/>
      <c r="G316" s="312"/>
      <c r="H316" s="31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302"/>
      <c r="D317" s="302"/>
      <c r="E317" s="59"/>
      <c r="F317" s="312"/>
      <c r="G317" s="312"/>
      <c r="H317" s="31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302"/>
      <c r="D318" s="302"/>
      <c r="E318" s="59"/>
      <c r="F318" s="312"/>
      <c r="G318" s="312"/>
      <c r="H318" s="31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302"/>
      <c r="D319" s="302"/>
      <c r="E319" s="59"/>
      <c r="F319" s="312"/>
      <c r="G319" s="312"/>
      <c r="H319" s="31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302"/>
      <c r="D320" s="302"/>
      <c r="E320" s="59"/>
      <c r="F320" s="312"/>
      <c r="G320" s="312"/>
      <c r="H320" s="31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302"/>
      <c r="D321" s="302"/>
      <c r="E321" s="59"/>
      <c r="F321" s="312"/>
      <c r="G321" s="312"/>
      <c r="H321" s="31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302"/>
      <c r="D322" s="302"/>
      <c r="E322" s="59"/>
      <c r="F322" s="312"/>
      <c r="G322" s="312"/>
      <c r="H322" s="31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302"/>
      <c r="D323" s="302"/>
      <c r="E323" s="59"/>
      <c r="F323" s="312"/>
      <c r="G323" s="312"/>
      <c r="H323" s="31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302"/>
      <c r="D324" s="302"/>
      <c r="E324" s="59"/>
      <c r="F324" s="312"/>
      <c r="G324" s="312"/>
      <c r="H324" s="31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302"/>
      <c r="D325" s="302"/>
      <c r="E325" s="59"/>
      <c r="F325" s="312"/>
      <c r="G325" s="312"/>
      <c r="H325" s="31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302"/>
      <c r="D326" s="302"/>
      <c r="E326" s="59"/>
      <c r="F326" s="312"/>
      <c r="G326" s="312"/>
      <c r="H326" s="31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302"/>
      <c r="D327" s="302"/>
      <c r="E327" s="59"/>
      <c r="F327" s="312"/>
      <c r="G327" s="312"/>
      <c r="H327" s="31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302"/>
      <c r="D328" s="302"/>
      <c r="E328" s="59"/>
      <c r="F328" s="312"/>
      <c r="G328" s="312"/>
      <c r="H328" s="31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302"/>
      <c r="D329" s="302"/>
      <c r="E329" s="59"/>
      <c r="F329" s="312"/>
      <c r="G329" s="312"/>
      <c r="H329" s="31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302"/>
      <c r="D330" s="302"/>
      <c r="E330" s="59"/>
      <c r="F330" s="312"/>
      <c r="G330" s="312"/>
      <c r="H330" s="31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302"/>
      <c r="D331" s="302"/>
      <c r="E331" s="59"/>
      <c r="F331" s="312"/>
      <c r="G331" s="312"/>
      <c r="H331" s="31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302"/>
      <c r="D332" s="302"/>
      <c r="E332" s="59"/>
      <c r="F332" s="312"/>
      <c r="G332" s="312"/>
      <c r="H332" s="31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302"/>
      <c r="D333" s="302"/>
      <c r="E333" s="59"/>
      <c r="F333" s="312"/>
      <c r="G333" s="312"/>
      <c r="H333" s="31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302"/>
      <c r="D334" s="302"/>
      <c r="E334" s="59"/>
      <c r="F334" s="312"/>
      <c r="G334" s="312"/>
      <c r="H334" s="31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302"/>
      <c r="D335" s="302"/>
      <c r="E335" s="59"/>
      <c r="F335" s="312"/>
      <c r="G335" s="312"/>
      <c r="H335" s="31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302"/>
      <c r="D336" s="302"/>
      <c r="E336" s="59"/>
      <c r="F336" s="312"/>
      <c r="G336" s="312"/>
      <c r="H336" s="31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302"/>
      <c r="D337" s="302"/>
      <c r="E337" s="59"/>
      <c r="F337" s="312"/>
      <c r="G337" s="312"/>
      <c r="H337" s="31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302"/>
      <c r="D338" s="302"/>
      <c r="E338" s="59"/>
      <c r="F338" s="312"/>
      <c r="G338" s="312"/>
      <c r="H338" s="31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302"/>
      <c r="D339" s="302"/>
      <c r="E339" s="59"/>
      <c r="F339" s="312"/>
      <c r="G339" s="312"/>
      <c r="H339" s="31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302"/>
      <c r="D340" s="302"/>
      <c r="E340" s="59"/>
      <c r="F340" s="312"/>
      <c r="G340" s="312"/>
      <c r="H340" s="31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302"/>
      <c r="D341" s="302"/>
      <c r="E341" s="59"/>
      <c r="F341" s="312"/>
      <c r="G341" s="312"/>
      <c r="H341" s="31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302"/>
      <c r="D342" s="302"/>
      <c r="E342" s="59"/>
      <c r="F342" s="312"/>
      <c r="G342" s="312"/>
      <c r="H342" s="31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302"/>
      <c r="D343" s="302"/>
      <c r="E343" s="59"/>
      <c r="F343" s="312"/>
      <c r="G343" s="312"/>
      <c r="H343" s="31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302"/>
      <c r="D344" s="302"/>
      <c r="E344" s="59"/>
      <c r="F344" s="312"/>
      <c r="G344" s="312"/>
      <c r="H344" s="31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302"/>
      <c r="D345" s="302"/>
      <c r="E345" s="59"/>
      <c r="F345" s="312"/>
      <c r="G345" s="312"/>
      <c r="H345" s="31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302"/>
      <c r="D346" s="302"/>
      <c r="E346" s="59"/>
      <c r="F346" s="312"/>
      <c r="G346" s="312"/>
      <c r="H346" s="31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302"/>
      <c r="D347" s="302"/>
      <c r="E347" s="59"/>
      <c r="F347" s="312"/>
      <c r="G347" s="312"/>
      <c r="H347" s="31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302"/>
      <c r="D348" s="302"/>
      <c r="E348" s="59"/>
      <c r="F348" s="312"/>
      <c r="G348" s="312"/>
      <c r="H348" s="31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302"/>
      <c r="D349" s="302"/>
      <c r="E349" s="59"/>
      <c r="F349" s="312"/>
      <c r="G349" s="312"/>
      <c r="H349" s="31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302"/>
      <c r="D350" s="302"/>
      <c r="E350" s="59"/>
      <c r="F350" s="312"/>
      <c r="G350" s="312"/>
      <c r="H350" s="31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302"/>
      <c r="D351" s="302"/>
      <c r="E351" s="59"/>
      <c r="F351" s="312"/>
      <c r="G351" s="312"/>
      <c r="H351" s="31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302"/>
      <c r="D352" s="302"/>
      <c r="E352" s="59"/>
      <c r="F352" s="312"/>
      <c r="G352" s="312"/>
      <c r="H352" s="31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302"/>
      <c r="D353" s="302"/>
      <c r="E353" s="59"/>
      <c r="F353" s="312"/>
      <c r="G353" s="312"/>
      <c r="H353" s="31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302"/>
      <c r="D354" s="302"/>
      <c r="E354" s="59"/>
      <c r="F354" s="312"/>
      <c r="G354" s="312"/>
      <c r="H354" s="31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302"/>
      <c r="D355" s="302"/>
      <c r="E355" s="59"/>
      <c r="F355" s="312"/>
      <c r="G355" s="312"/>
      <c r="H355" s="31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302"/>
      <c r="D356" s="302"/>
      <c r="E356" s="59"/>
      <c r="F356" s="312"/>
      <c r="G356" s="312"/>
      <c r="H356" s="31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302"/>
      <c r="D357" s="302"/>
      <c r="E357" s="59"/>
      <c r="F357" s="312"/>
      <c r="G357" s="312"/>
      <c r="H357" s="31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302"/>
      <c r="D358" s="302"/>
      <c r="E358" s="59"/>
      <c r="F358" s="312"/>
      <c r="G358" s="312"/>
      <c r="H358" s="31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302"/>
      <c r="D359" s="302"/>
      <c r="E359" s="59"/>
      <c r="F359" s="312"/>
      <c r="G359" s="312"/>
      <c r="H359" s="31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302"/>
      <c r="D360" s="302"/>
      <c r="E360" s="59"/>
      <c r="F360" s="312"/>
      <c r="G360" s="312"/>
      <c r="H360" s="31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302"/>
      <c r="D361" s="302"/>
      <c r="E361" s="59"/>
      <c r="F361" s="312"/>
      <c r="G361" s="312"/>
      <c r="H361" s="31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302"/>
      <c r="D362" s="302"/>
      <c r="E362" s="59"/>
      <c r="F362" s="312"/>
      <c r="G362" s="312"/>
      <c r="H362" s="31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302"/>
      <c r="D363" s="302"/>
      <c r="E363" s="59"/>
      <c r="F363" s="312"/>
      <c r="G363" s="312"/>
      <c r="H363" s="31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302"/>
      <c r="D364" s="302"/>
      <c r="E364" s="59"/>
      <c r="F364" s="312"/>
      <c r="G364" s="312"/>
      <c r="H364" s="31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302"/>
      <c r="D365" s="302"/>
      <c r="E365" s="59"/>
      <c r="F365" s="312"/>
      <c r="G365" s="312"/>
      <c r="H365" s="31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302"/>
      <c r="D366" s="302"/>
      <c r="E366" s="59"/>
      <c r="F366" s="312"/>
      <c r="G366" s="312"/>
      <c r="H366" s="31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302"/>
      <c r="D367" s="302"/>
      <c r="E367" s="59"/>
      <c r="F367" s="312"/>
      <c r="G367" s="312"/>
      <c r="H367" s="31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302"/>
      <c r="D368" s="302"/>
      <c r="E368" s="59"/>
      <c r="F368" s="312"/>
      <c r="G368" s="312"/>
      <c r="H368" s="31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302"/>
      <c r="D369" s="302"/>
      <c r="E369" s="59"/>
      <c r="F369" s="312"/>
      <c r="G369" s="312"/>
      <c r="H369" s="31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302"/>
      <c r="D370" s="302"/>
      <c r="E370" s="59"/>
      <c r="F370" s="312"/>
      <c r="G370" s="312"/>
      <c r="H370" s="31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302"/>
      <c r="D371" s="302"/>
      <c r="E371" s="59"/>
      <c r="F371" s="312"/>
      <c r="G371" s="312"/>
      <c r="H371" s="31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302"/>
      <c r="D372" s="302"/>
      <c r="E372" s="59"/>
      <c r="F372" s="312"/>
      <c r="G372" s="312"/>
      <c r="H372" s="31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302"/>
      <c r="D373" s="302"/>
      <c r="E373" s="59"/>
      <c r="F373" s="312"/>
      <c r="G373" s="312"/>
      <c r="H373" s="31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302"/>
      <c r="D374" s="302"/>
      <c r="E374" s="59"/>
      <c r="F374" s="312"/>
      <c r="G374" s="312"/>
      <c r="H374" s="31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302"/>
      <c r="D375" s="302"/>
      <c r="E375" s="59"/>
      <c r="F375" s="312"/>
      <c r="G375" s="312"/>
      <c r="H375" s="31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302"/>
      <c r="D376" s="302"/>
      <c r="E376" s="59"/>
      <c r="F376" s="312"/>
      <c r="G376" s="312"/>
      <c r="H376" s="31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302"/>
      <c r="D377" s="302"/>
      <c r="E377" s="59"/>
      <c r="F377" s="312"/>
      <c r="G377" s="312"/>
      <c r="H377" s="31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302"/>
      <c r="D378" s="302"/>
      <c r="E378" s="59"/>
      <c r="F378" s="312"/>
      <c r="G378" s="312"/>
      <c r="H378" s="31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302"/>
      <c r="D379" s="302"/>
      <c r="E379" s="59"/>
      <c r="F379" s="312"/>
      <c r="G379" s="312"/>
      <c r="H379" s="31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302"/>
      <c r="D380" s="302"/>
      <c r="E380" s="59"/>
      <c r="F380" s="312"/>
      <c r="G380" s="312"/>
      <c r="H380" s="31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302"/>
      <c r="D381" s="302"/>
      <c r="E381" s="59"/>
      <c r="F381" s="312"/>
      <c r="G381" s="312"/>
      <c r="H381" s="31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302"/>
      <c r="D382" s="302"/>
      <c r="E382" s="59"/>
      <c r="F382" s="312"/>
      <c r="G382" s="312"/>
      <c r="H382" s="31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302"/>
      <c r="D383" s="302"/>
      <c r="E383" s="59"/>
      <c r="F383" s="312"/>
      <c r="G383" s="312"/>
      <c r="H383" s="31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302"/>
      <c r="D384" s="302"/>
      <c r="E384" s="59"/>
      <c r="F384" s="312"/>
      <c r="G384" s="312"/>
      <c r="H384" s="31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302"/>
      <c r="D385" s="302"/>
      <c r="E385" s="59"/>
      <c r="F385" s="312"/>
      <c r="G385" s="312"/>
      <c r="H385" s="31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302"/>
      <c r="D386" s="302"/>
      <c r="E386" s="59"/>
      <c r="F386" s="312"/>
      <c r="G386" s="312"/>
      <c r="H386" s="31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302"/>
      <c r="D387" s="302"/>
      <c r="E387" s="59"/>
      <c r="F387" s="312"/>
      <c r="G387" s="312"/>
      <c r="H387" s="31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302"/>
      <c r="D388" s="302"/>
      <c r="E388" s="59"/>
      <c r="F388" s="312"/>
      <c r="G388" s="312"/>
      <c r="H388" s="31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302"/>
      <c r="D389" s="302"/>
      <c r="E389" s="59"/>
      <c r="F389" s="312"/>
      <c r="G389" s="312"/>
      <c r="H389" s="31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302"/>
      <c r="D390" s="302"/>
      <c r="E390" s="59"/>
      <c r="F390" s="312"/>
      <c r="G390" s="312"/>
      <c r="H390" s="31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302"/>
      <c r="D391" s="302"/>
      <c r="E391" s="59"/>
      <c r="F391" s="312"/>
      <c r="G391" s="312"/>
      <c r="H391" s="31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302"/>
      <c r="D392" s="302"/>
      <c r="E392" s="59"/>
      <c r="F392" s="312"/>
      <c r="G392" s="312"/>
      <c r="H392" s="31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302"/>
      <c r="D393" s="302"/>
      <c r="E393" s="59"/>
      <c r="F393" s="312"/>
      <c r="G393" s="312"/>
      <c r="H393" s="31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302"/>
      <c r="D394" s="302"/>
      <c r="E394" s="59"/>
      <c r="F394" s="312"/>
      <c r="G394" s="312"/>
      <c r="H394" s="31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302"/>
      <c r="D395" s="302"/>
      <c r="E395" s="59"/>
      <c r="F395" s="312"/>
      <c r="G395" s="312"/>
      <c r="H395" s="31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302"/>
      <c r="D396" s="302"/>
      <c r="E396" s="59"/>
      <c r="F396" s="312"/>
      <c r="G396" s="312"/>
      <c r="H396" s="31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302"/>
      <c r="D397" s="302"/>
      <c r="E397" s="59"/>
      <c r="F397" s="312"/>
      <c r="G397" s="312"/>
      <c r="H397" s="31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302"/>
      <c r="D398" s="302"/>
      <c r="E398" s="59"/>
      <c r="F398" s="312"/>
      <c r="G398" s="312"/>
      <c r="H398" s="31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302"/>
      <c r="D399" s="302"/>
      <c r="E399" s="59"/>
      <c r="F399" s="312"/>
      <c r="G399" s="312"/>
      <c r="H399" s="31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302"/>
      <c r="D400" s="302"/>
      <c r="E400" s="59"/>
      <c r="F400" s="312"/>
      <c r="G400" s="312"/>
      <c r="H400" s="31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302"/>
      <c r="D401" s="302"/>
      <c r="E401" s="59"/>
      <c r="F401" s="312"/>
      <c r="G401" s="312"/>
      <c r="H401" s="31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302"/>
      <c r="D402" s="302"/>
      <c r="E402" s="59"/>
      <c r="F402" s="312"/>
      <c r="G402" s="312"/>
      <c r="H402" s="31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302"/>
      <c r="D403" s="302"/>
      <c r="E403" s="59"/>
      <c r="F403" s="312"/>
      <c r="G403" s="312"/>
      <c r="H403" s="31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302"/>
      <c r="D404" s="302"/>
      <c r="E404" s="59"/>
      <c r="F404" s="312"/>
      <c r="G404" s="312"/>
      <c r="H404" s="31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302"/>
      <c r="D405" s="302"/>
      <c r="E405" s="59"/>
      <c r="F405" s="312"/>
      <c r="G405" s="312"/>
      <c r="H405" s="31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302"/>
      <c r="D406" s="302"/>
      <c r="E406" s="59"/>
      <c r="F406" s="312"/>
      <c r="G406" s="312"/>
      <c r="H406" s="31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302"/>
      <c r="D407" s="302"/>
      <c r="E407" s="59"/>
      <c r="F407" s="312"/>
      <c r="G407" s="312"/>
      <c r="H407" s="31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302"/>
      <c r="D408" s="302"/>
      <c r="E408" s="59"/>
      <c r="F408" s="312"/>
      <c r="G408" s="312"/>
      <c r="H408" s="31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302"/>
      <c r="D409" s="302"/>
      <c r="E409" s="59"/>
      <c r="F409" s="312"/>
      <c r="G409" s="312"/>
      <c r="H409" s="31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302"/>
      <c r="D410" s="302"/>
      <c r="E410" s="59"/>
      <c r="F410" s="312"/>
      <c r="G410" s="312"/>
      <c r="H410" s="31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302"/>
      <c r="D411" s="302"/>
      <c r="E411" s="59"/>
      <c r="F411" s="312"/>
      <c r="G411" s="312"/>
      <c r="H411" s="31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302"/>
      <c r="D412" s="302"/>
      <c r="E412" s="59"/>
      <c r="F412" s="312"/>
      <c r="G412" s="312"/>
      <c r="H412" s="31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302"/>
      <c r="D413" s="302"/>
      <c r="E413" s="59"/>
      <c r="F413" s="312"/>
      <c r="G413" s="312"/>
      <c r="H413" s="31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302"/>
      <c r="D414" s="302"/>
      <c r="E414" s="59"/>
      <c r="F414" s="312"/>
      <c r="G414" s="312"/>
      <c r="H414" s="31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302"/>
      <c r="D415" s="302"/>
      <c r="E415" s="59"/>
      <c r="F415" s="312"/>
      <c r="G415" s="312"/>
      <c r="H415" s="31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302"/>
      <c r="D416" s="302"/>
      <c r="E416" s="59"/>
      <c r="F416" s="312"/>
      <c r="G416" s="312"/>
      <c r="H416" s="31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302"/>
      <c r="D417" s="302"/>
      <c r="E417" s="59"/>
      <c r="F417" s="312"/>
      <c r="G417" s="312"/>
      <c r="H417" s="31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302"/>
      <c r="D418" s="302"/>
      <c r="E418" s="59"/>
      <c r="F418" s="312"/>
      <c r="G418" s="312"/>
      <c r="H418" s="31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302"/>
      <c r="D419" s="302"/>
      <c r="E419" s="59"/>
      <c r="F419" s="312"/>
      <c r="G419" s="312"/>
      <c r="H419" s="31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302"/>
      <c r="D420" s="302"/>
      <c r="E420" s="59"/>
      <c r="F420" s="312"/>
      <c r="G420" s="312"/>
      <c r="H420" s="31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302"/>
      <c r="D421" s="302"/>
      <c r="E421" s="59"/>
      <c r="F421" s="312"/>
      <c r="G421" s="312"/>
      <c r="H421" s="31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302"/>
      <c r="D422" s="302"/>
      <c r="E422" s="59"/>
      <c r="F422" s="312"/>
      <c r="G422" s="312"/>
      <c r="H422" s="31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302"/>
      <c r="D423" s="302"/>
      <c r="E423" s="59"/>
      <c r="F423" s="312"/>
      <c r="G423" s="312"/>
      <c r="H423" s="31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302"/>
      <c r="D424" s="302"/>
      <c r="E424" s="59"/>
      <c r="F424" s="312"/>
      <c r="G424" s="312"/>
      <c r="H424" s="31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302"/>
      <c r="D425" s="302"/>
      <c r="E425" s="59"/>
      <c r="F425" s="312"/>
      <c r="G425" s="312"/>
      <c r="H425" s="31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302"/>
      <c r="D426" s="302"/>
      <c r="E426" s="59"/>
      <c r="F426" s="312"/>
      <c r="G426" s="312"/>
      <c r="H426" s="31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302"/>
      <c r="D427" s="302"/>
      <c r="E427" s="59"/>
      <c r="F427" s="312"/>
      <c r="G427" s="312"/>
      <c r="H427" s="31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302"/>
      <c r="D428" s="302"/>
      <c r="E428" s="59"/>
      <c r="F428" s="312"/>
      <c r="G428" s="312"/>
      <c r="H428" s="31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302"/>
      <c r="D429" s="302"/>
      <c r="E429" s="59"/>
      <c r="F429" s="312"/>
      <c r="G429" s="312"/>
      <c r="H429" s="31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302"/>
      <c r="D430" s="302"/>
      <c r="E430" s="59"/>
      <c r="F430" s="312"/>
      <c r="G430" s="312"/>
      <c r="H430" s="31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302"/>
      <c r="D431" s="302"/>
      <c r="E431" s="59"/>
      <c r="F431" s="312"/>
      <c r="G431" s="312"/>
      <c r="H431" s="31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302"/>
      <c r="D432" s="302"/>
      <c r="E432" s="59"/>
      <c r="F432" s="312"/>
      <c r="G432" s="312"/>
      <c r="H432" s="31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302"/>
      <c r="D433" s="302"/>
      <c r="E433" s="59"/>
      <c r="F433" s="312"/>
      <c r="G433" s="312"/>
      <c r="H433" s="31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302"/>
      <c r="D434" s="302"/>
      <c r="E434" s="59"/>
      <c r="F434" s="312"/>
      <c r="G434" s="312"/>
      <c r="H434" s="31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302"/>
      <c r="D435" s="302"/>
      <c r="E435" s="59"/>
      <c r="F435" s="312"/>
      <c r="G435" s="312"/>
      <c r="H435" s="31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302"/>
      <c r="D436" s="302"/>
      <c r="E436" s="59"/>
      <c r="F436" s="312"/>
      <c r="G436" s="312"/>
      <c r="H436" s="31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302"/>
      <c r="D437" s="302"/>
      <c r="E437" s="59"/>
      <c r="F437" s="312"/>
      <c r="G437" s="312"/>
      <c r="H437" s="31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302"/>
      <c r="D438" s="302"/>
      <c r="E438" s="59"/>
      <c r="F438" s="312"/>
      <c r="G438" s="312"/>
      <c r="H438" s="31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302"/>
      <c r="D439" s="302"/>
      <c r="E439" s="59"/>
      <c r="F439" s="312"/>
      <c r="G439" s="312"/>
      <c r="H439" s="31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302"/>
      <c r="D440" s="302"/>
      <c r="E440" s="59"/>
      <c r="F440" s="312"/>
      <c r="G440" s="312"/>
      <c r="H440" s="31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302"/>
      <c r="D441" s="302"/>
      <c r="E441" s="59"/>
      <c r="F441" s="312"/>
      <c r="G441" s="312"/>
      <c r="H441" s="31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302"/>
      <c r="D442" s="302"/>
      <c r="E442" s="59"/>
      <c r="F442" s="312"/>
      <c r="G442" s="312"/>
      <c r="H442" s="31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302"/>
      <c r="D443" s="302"/>
      <c r="E443" s="59"/>
      <c r="F443" s="312"/>
      <c r="G443" s="312"/>
      <c r="H443" s="31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302"/>
      <c r="D444" s="302"/>
      <c r="E444" s="59"/>
      <c r="F444" s="312"/>
      <c r="G444" s="312"/>
      <c r="H444" s="31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302"/>
      <c r="D445" s="302"/>
      <c r="E445" s="59"/>
      <c r="F445" s="312"/>
      <c r="G445" s="312"/>
      <c r="H445" s="31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302"/>
      <c r="D446" s="302"/>
      <c r="E446" s="59"/>
      <c r="F446" s="312"/>
      <c r="G446" s="312"/>
      <c r="H446" s="31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302"/>
      <c r="D447" s="302"/>
      <c r="E447" s="59"/>
      <c r="F447" s="312"/>
      <c r="G447" s="312"/>
      <c r="H447" s="31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302"/>
      <c r="D448" s="302"/>
      <c r="E448" s="59"/>
      <c r="F448" s="312"/>
      <c r="G448" s="312"/>
      <c r="H448" s="31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302"/>
      <c r="D449" s="302"/>
      <c r="E449" s="59"/>
      <c r="F449" s="312"/>
      <c r="G449" s="312"/>
      <c r="H449" s="31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302"/>
      <c r="D450" s="302"/>
      <c r="E450" s="59"/>
      <c r="F450" s="312"/>
      <c r="G450" s="312"/>
      <c r="H450" s="31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302"/>
      <c r="D451" s="302"/>
      <c r="E451" s="59"/>
      <c r="F451" s="312"/>
      <c r="G451" s="312"/>
      <c r="H451" s="31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302"/>
      <c r="D452" s="302"/>
      <c r="E452" s="59"/>
      <c r="F452" s="312"/>
      <c r="G452" s="312"/>
      <c r="H452" s="31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302"/>
      <c r="D453" s="302"/>
      <c r="E453" s="59"/>
      <c r="F453" s="312"/>
      <c r="G453" s="312"/>
      <c r="H453" s="31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302"/>
      <c r="D454" s="302"/>
      <c r="E454" s="59"/>
      <c r="F454" s="312"/>
      <c r="G454" s="312"/>
      <c r="H454" s="31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302"/>
      <c r="D455" s="302"/>
      <c r="E455" s="59"/>
      <c r="F455" s="312"/>
      <c r="G455" s="312"/>
      <c r="H455" s="31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302"/>
      <c r="D456" s="302"/>
      <c r="E456" s="59"/>
      <c r="F456" s="312"/>
      <c r="G456" s="312"/>
      <c r="H456" s="31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302"/>
      <c r="D457" s="302"/>
      <c r="E457" s="59"/>
      <c r="F457" s="312"/>
      <c r="G457" s="312"/>
      <c r="H457" s="31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302"/>
      <c r="D458" s="302"/>
      <c r="E458" s="59"/>
      <c r="F458" s="312"/>
      <c r="G458" s="312"/>
      <c r="H458" s="31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302"/>
      <c r="D459" s="302"/>
      <c r="E459" s="59"/>
      <c r="F459" s="312"/>
      <c r="G459" s="312"/>
      <c r="H459" s="31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302"/>
      <c r="D460" s="302"/>
      <c r="E460" s="59"/>
      <c r="F460" s="312"/>
      <c r="G460" s="312"/>
      <c r="H460" s="31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302"/>
      <c r="D461" s="302"/>
      <c r="E461" s="59"/>
      <c r="F461" s="312"/>
      <c r="G461" s="312"/>
      <c r="H461" s="31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302"/>
      <c r="D462" s="302"/>
      <c r="E462" s="59"/>
      <c r="F462" s="312"/>
      <c r="G462" s="312"/>
      <c r="H462" s="31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302"/>
      <c r="D463" s="302"/>
      <c r="E463" s="59"/>
      <c r="F463" s="312"/>
      <c r="G463" s="312"/>
      <c r="H463" s="31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302"/>
      <c r="D464" s="302"/>
      <c r="E464" s="59"/>
      <c r="F464" s="312"/>
      <c r="G464" s="312"/>
      <c r="H464" s="31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302"/>
      <c r="D465" s="302"/>
      <c r="E465" s="59"/>
      <c r="F465" s="312"/>
      <c r="G465" s="312"/>
      <c r="H465" s="31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302"/>
      <c r="D466" s="302"/>
      <c r="E466" s="59"/>
      <c r="F466" s="312"/>
      <c r="G466" s="312"/>
      <c r="H466" s="31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302"/>
      <c r="D467" s="302"/>
      <c r="E467" s="59"/>
      <c r="F467" s="312"/>
      <c r="G467" s="312"/>
      <c r="H467" s="31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302"/>
      <c r="D468" s="302"/>
      <c r="E468" s="59"/>
      <c r="F468" s="312"/>
      <c r="G468" s="312"/>
      <c r="H468" s="31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302"/>
      <c r="D469" s="302"/>
      <c r="E469" s="59"/>
      <c r="F469" s="312"/>
      <c r="G469" s="312"/>
      <c r="H469" s="31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302"/>
      <c r="D470" s="302"/>
      <c r="E470" s="59"/>
      <c r="F470" s="312"/>
      <c r="G470" s="312"/>
      <c r="H470" s="31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302"/>
      <c r="D471" s="302"/>
      <c r="E471" s="59"/>
      <c r="F471" s="312"/>
      <c r="G471" s="312"/>
      <c r="H471" s="31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302"/>
      <c r="D472" s="302"/>
      <c r="E472" s="59"/>
      <c r="F472" s="312"/>
      <c r="G472" s="312"/>
      <c r="H472" s="31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302"/>
      <c r="D473" s="302"/>
      <c r="E473" s="59"/>
      <c r="F473" s="312"/>
      <c r="G473" s="312"/>
      <c r="H473" s="31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302"/>
      <c r="D474" s="302"/>
      <c r="E474" s="59"/>
      <c r="F474" s="312"/>
      <c r="G474" s="312"/>
      <c r="H474" s="31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302"/>
      <c r="D475" s="302"/>
      <c r="E475" s="59"/>
      <c r="F475" s="312"/>
      <c r="G475" s="312"/>
      <c r="H475" s="31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302"/>
      <c r="D476" s="302"/>
      <c r="E476" s="59"/>
      <c r="F476" s="312"/>
      <c r="G476" s="312"/>
      <c r="H476" s="31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302"/>
      <c r="D477" s="302"/>
      <c r="E477" s="59"/>
      <c r="F477" s="312"/>
      <c r="G477" s="312"/>
      <c r="H477" s="31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302"/>
      <c r="D478" s="302"/>
      <c r="E478" s="59"/>
      <c r="F478" s="312"/>
      <c r="G478" s="312"/>
      <c r="H478" s="31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302"/>
      <c r="D479" s="302"/>
      <c r="E479" s="59"/>
      <c r="F479" s="312"/>
      <c r="G479" s="312"/>
      <c r="H479" s="31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302"/>
      <c r="D480" s="302"/>
      <c r="E480" s="59"/>
      <c r="F480" s="312"/>
      <c r="G480" s="312"/>
      <c r="H480" s="31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302"/>
      <c r="D481" s="302"/>
      <c r="E481" s="59"/>
      <c r="F481" s="312"/>
      <c r="G481" s="312"/>
      <c r="H481" s="31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302"/>
      <c r="D482" s="302"/>
      <c r="E482" s="59"/>
      <c r="F482" s="312"/>
      <c r="G482" s="312"/>
      <c r="H482" s="31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302"/>
      <c r="D483" s="302"/>
      <c r="E483" s="59"/>
      <c r="F483" s="312"/>
      <c r="G483" s="312"/>
      <c r="H483" s="31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302"/>
      <c r="D484" s="302"/>
      <c r="E484" s="59"/>
      <c r="F484" s="312"/>
      <c r="G484" s="312"/>
      <c r="H484" s="31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302"/>
      <c r="D485" s="302"/>
      <c r="E485" s="59"/>
      <c r="F485" s="312"/>
      <c r="G485" s="312"/>
      <c r="H485" s="31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302"/>
      <c r="D486" s="302"/>
      <c r="E486" s="59"/>
      <c r="F486" s="312"/>
      <c r="G486" s="312"/>
      <c r="H486" s="31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302"/>
      <c r="D487" s="302"/>
      <c r="E487" s="59"/>
      <c r="F487" s="312"/>
      <c r="G487" s="312"/>
      <c r="H487" s="31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302"/>
      <c r="D488" s="302"/>
      <c r="E488" s="59"/>
      <c r="F488" s="312"/>
      <c r="G488" s="312"/>
      <c r="H488" s="31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302"/>
      <c r="D489" s="302"/>
      <c r="E489" s="59"/>
      <c r="F489" s="312"/>
      <c r="G489" s="312"/>
      <c r="H489" s="31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302"/>
      <c r="D490" s="302"/>
      <c r="E490" s="59"/>
      <c r="F490" s="312"/>
      <c r="G490" s="312"/>
      <c r="H490" s="31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302"/>
      <c r="D491" s="302"/>
      <c r="E491" s="59"/>
      <c r="F491" s="312"/>
      <c r="G491" s="312"/>
      <c r="H491" s="31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302"/>
      <c r="D492" s="302"/>
      <c r="E492" s="59"/>
      <c r="F492" s="312"/>
      <c r="G492" s="312"/>
      <c r="H492" s="31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302"/>
      <c r="D493" s="302"/>
      <c r="E493" s="59"/>
      <c r="F493" s="312"/>
      <c r="G493" s="312"/>
      <c r="H493" s="31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302"/>
      <c r="D494" s="302"/>
      <c r="E494" s="59"/>
      <c r="F494" s="312"/>
      <c r="G494" s="312"/>
      <c r="H494" s="31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302"/>
      <c r="D495" s="302"/>
      <c r="E495" s="59"/>
      <c r="F495" s="312"/>
      <c r="G495" s="312"/>
      <c r="H495" s="31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302"/>
      <c r="D496" s="302"/>
      <c r="E496" s="59"/>
      <c r="F496" s="312"/>
      <c r="G496" s="312"/>
      <c r="H496" s="31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302"/>
      <c r="D497" s="302"/>
      <c r="E497" s="59"/>
      <c r="F497" s="312"/>
      <c r="G497" s="312"/>
      <c r="H497" s="31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302"/>
      <c r="D498" s="302"/>
      <c r="E498" s="59"/>
      <c r="F498" s="312"/>
      <c r="G498" s="312"/>
      <c r="H498" s="31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302"/>
      <c r="D499" s="302"/>
      <c r="E499" s="59"/>
      <c r="F499" s="312"/>
      <c r="G499" s="312"/>
      <c r="H499" s="31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302"/>
      <c r="D500" s="302"/>
      <c r="E500" s="59"/>
      <c r="F500" s="312"/>
      <c r="G500" s="312"/>
      <c r="H500" s="31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302"/>
      <c r="D501" s="302"/>
      <c r="E501" s="59"/>
      <c r="F501" s="312"/>
      <c r="G501" s="312"/>
      <c r="H501" s="31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302"/>
      <c r="D502" s="302"/>
      <c r="E502" s="59"/>
      <c r="F502" s="312"/>
      <c r="G502" s="312"/>
      <c r="H502" s="31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302"/>
      <c r="D503" s="302"/>
      <c r="E503" s="59"/>
      <c r="F503" s="312"/>
      <c r="G503" s="312"/>
      <c r="H503" s="31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302"/>
      <c r="D504" s="302"/>
      <c r="E504" s="59"/>
      <c r="F504" s="312"/>
      <c r="G504" s="312"/>
      <c r="H504" s="31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302"/>
      <c r="D505" s="302"/>
      <c r="E505" s="59"/>
      <c r="F505" s="312"/>
      <c r="G505" s="312"/>
      <c r="H505" s="31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302"/>
      <c r="D506" s="302"/>
      <c r="E506" s="59"/>
      <c r="F506" s="312"/>
      <c r="G506" s="312"/>
      <c r="H506" s="31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302"/>
      <c r="D507" s="302"/>
      <c r="E507" s="59"/>
      <c r="F507" s="312"/>
      <c r="G507" s="312"/>
      <c r="H507" s="31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302"/>
      <c r="D508" s="302"/>
      <c r="E508" s="59"/>
      <c r="F508" s="312"/>
      <c r="G508" s="312"/>
      <c r="H508" s="31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302"/>
      <c r="D509" s="302"/>
      <c r="E509" s="59"/>
      <c r="F509" s="312"/>
      <c r="G509" s="312"/>
      <c r="H509" s="31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302"/>
      <c r="D510" s="302"/>
      <c r="E510" s="59"/>
      <c r="F510" s="312"/>
      <c r="G510" s="312"/>
      <c r="H510" s="31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302"/>
      <c r="D511" s="302"/>
      <c r="E511" s="59"/>
      <c r="F511" s="312"/>
      <c r="G511" s="312"/>
      <c r="H511" s="31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302"/>
      <c r="D512" s="302"/>
      <c r="E512" s="59"/>
      <c r="F512" s="312"/>
      <c r="G512" s="312"/>
      <c r="H512" s="31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302"/>
      <c r="D513" s="302"/>
      <c r="E513" s="59"/>
      <c r="F513" s="312"/>
      <c r="G513" s="312"/>
      <c r="H513" s="31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302"/>
      <c r="D514" s="302"/>
      <c r="E514" s="59"/>
      <c r="F514" s="312"/>
      <c r="G514" s="312"/>
      <c r="H514" s="31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302"/>
      <c r="D515" s="302"/>
      <c r="E515" s="59"/>
      <c r="F515" s="312"/>
      <c r="G515" s="312"/>
      <c r="H515" s="31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302"/>
      <c r="D516" s="302"/>
      <c r="E516" s="59"/>
      <c r="F516" s="312"/>
      <c r="G516" s="312"/>
      <c r="H516" s="31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302"/>
      <c r="D517" s="302"/>
      <c r="E517" s="59"/>
      <c r="F517" s="312"/>
      <c r="G517" s="312"/>
      <c r="H517" s="31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302"/>
      <c r="D518" s="302"/>
      <c r="E518" s="59"/>
      <c r="F518" s="312"/>
      <c r="G518" s="312"/>
      <c r="H518" s="31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302"/>
      <c r="D519" s="302"/>
      <c r="E519" s="59"/>
      <c r="F519" s="312"/>
      <c r="G519" s="312"/>
      <c r="H519" s="31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302"/>
      <c r="D520" s="302"/>
      <c r="E520" s="59"/>
      <c r="F520" s="312"/>
      <c r="G520" s="312"/>
      <c r="H520" s="31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302"/>
      <c r="D521" s="302"/>
      <c r="E521" s="59"/>
      <c r="F521" s="312"/>
      <c r="G521" s="312"/>
      <c r="H521" s="31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302"/>
      <c r="D522" s="302"/>
      <c r="E522" s="59"/>
      <c r="F522" s="312"/>
      <c r="G522" s="312"/>
      <c r="H522" s="31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302"/>
      <c r="D523" s="302"/>
      <c r="E523" s="59"/>
      <c r="F523" s="312"/>
      <c r="G523" s="312"/>
      <c r="H523" s="31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302"/>
      <c r="D524" s="302"/>
      <c r="E524" s="59"/>
      <c r="F524" s="312"/>
      <c r="G524" s="312"/>
      <c r="H524" s="31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302"/>
      <c r="D525" s="302"/>
      <c r="E525" s="59"/>
      <c r="F525" s="312"/>
      <c r="G525" s="312"/>
      <c r="H525" s="31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302"/>
      <c r="D526" s="302"/>
      <c r="E526" s="59"/>
      <c r="F526" s="312"/>
      <c r="G526" s="312"/>
      <c r="H526" s="31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302"/>
      <c r="D527" s="302"/>
      <c r="E527" s="59"/>
      <c r="F527" s="312"/>
      <c r="G527" s="312"/>
      <c r="H527" s="31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302"/>
      <c r="D528" s="302"/>
      <c r="E528" s="59"/>
      <c r="F528" s="312"/>
      <c r="G528" s="312"/>
      <c r="H528" s="31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302"/>
      <c r="D529" s="302"/>
      <c r="E529" s="59"/>
      <c r="F529" s="312"/>
      <c r="G529" s="312"/>
      <c r="H529" s="31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302"/>
      <c r="D530" s="302"/>
      <c r="E530" s="59"/>
      <c r="F530" s="312"/>
      <c r="G530" s="312"/>
      <c r="H530" s="31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302"/>
      <c r="D531" s="302"/>
      <c r="E531" s="59"/>
      <c r="F531" s="312"/>
      <c r="G531" s="312"/>
      <c r="H531" s="31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302"/>
      <c r="D532" s="302"/>
      <c r="E532" s="59"/>
      <c r="F532" s="312"/>
      <c r="G532" s="312"/>
      <c r="H532" s="31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302"/>
      <c r="D533" s="302"/>
      <c r="E533" s="59"/>
      <c r="F533" s="312"/>
      <c r="G533" s="312"/>
      <c r="H533" s="31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302"/>
      <c r="D534" s="302"/>
      <c r="E534" s="59"/>
      <c r="F534" s="312"/>
      <c r="G534" s="312"/>
      <c r="H534" s="31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302"/>
      <c r="D535" s="302"/>
      <c r="E535" s="59"/>
      <c r="F535" s="312"/>
      <c r="G535" s="312"/>
      <c r="H535" s="31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302"/>
      <c r="D536" s="302"/>
      <c r="E536" s="59"/>
      <c r="F536" s="312"/>
      <c r="G536" s="312"/>
      <c r="H536" s="31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302"/>
      <c r="D537" s="302"/>
      <c r="E537" s="59"/>
      <c r="F537" s="312"/>
      <c r="G537" s="312"/>
      <c r="H537" s="31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302"/>
      <c r="D538" s="302"/>
      <c r="E538" s="59"/>
      <c r="F538" s="312"/>
      <c r="G538" s="312"/>
      <c r="H538" s="31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302"/>
      <c r="D539" s="302"/>
      <c r="E539" s="59"/>
      <c r="F539" s="312"/>
      <c r="G539" s="312"/>
      <c r="H539" s="31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302"/>
      <c r="D540" s="302"/>
      <c r="E540" s="59"/>
      <c r="F540" s="312"/>
      <c r="G540" s="312"/>
      <c r="H540" s="31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302"/>
      <c r="D541" s="302"/>
      <c r="E541" s="59"/>
      <c r="F541" s="312"/>
      <c r="G541" s="312"/>
      <c r="H541" s="31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302"/>
      <c r="D542" s="302"/>
      <c r="E542" s="59"/>
      <c r="F542" s="312"/>
      <c r="G542" s="312"/>
      <c r="H542" s="31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302"/>
      <c r="D543" s="302"/>
      <c r="E543" s="59"/>
      <c r="F543" s="312"/>
      <c r="G543" s="312"/>
      <c r="H543" s="31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302"/>
      <c r="D544" s="302"/>
      <c r="E544" s="59"/>
      <c r="F544" s="312"/>
      <c r="G544" s="312"/>
      <c r="H544" s="31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302"/>
      <c r="D545" s="302"/>
      <c r="E545" s="59"/>
      <c r="F545" s="312"/>
      <c r="G545" s="312"/>
      <c r="H545" s="31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302"/>
      <c r="D546" s="302"/>
      <c r="E546" s="59"/>
      <c r="F546" s="312"/>
      <c r="G546" s="312"/>
      <c r="H546" s="31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302"/>
      <c r="D547" s="302"/>
      <c r="E547" s="59"/>
      <c r="F547" s="312"/>
      <c r="G547" s="312"/>
      <c r="H547" s="31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302"/>
      <c r="D548" s="302"/>
      <c r="E548" s="59"/>
      <c r="F548" s="312"/>
      <c r="G548" s="312"/>
      <c r="H548" s="31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302"/>
      <c r="D549" s="302"/>
      <c r="E549" s="59"/>
      <c r="F549" s="312"/>
      <c r="G549" s="312"/>
      <c r="H549" s="31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302"/>
      <c r="D550" s="302"/>
      <c r="E550" s="59"/>
      <c r="F550" s="312"/>
      <c r="G550" s="312"/>
      <c r="H550" s="31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302"/>
      <c r="D551" s="302"/>
      <c r="E551" s="59"/>
      <c r="F551" s="312"/>
      <c r="G551" s="312"/>
      <c r="H551" s="31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302"/>
      <c r="D552" s="302"/>
      <c r="E552" s="59"/>
      <c r="F552" s="312"/>
      <c r="G552" s="312"/>
      <c r="H552" s="31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302"/>
      <c r="D553" s="302"/>
      <c r="E553" s="59"/>
      <c r="F553" s="312"/>
      <c r="G553" s="312"/>
      <c r="H553" s="31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302"/>
      <c r="D554" s="302"/>
      <c r="E554" s="59"/>
      <c r="F554" s="312"/>
      <c r="G554" s="312"/>
      <c r="H554" s="31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302"/>
      <c r="D555" s="302"/>
      <c r="E555" s="59"/>
      <c r="F555" s="312"/>
      <c r="G555" s="312"/>
      <c r="H555" s="31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302"/>
      <c r="D556" s="302"/>
      <c r="E556" s="59"/>
      <c r="F556" s="312"/>
      <c r="G556" s="312"/>
      <c r="H556" s="31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302"/>
      <c r="D557" s="302"/>
      <c r="E557" s="59"/>
      <c r="F557" s="312"/>
      <c r="G557" s="312"/>
      <c r="H557" s="31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302"/>
      <c r="D558" s="302"/>
      <c r="E558" s="59"/>
      <c r="F558" s="312"/>
      <c r="G558" s="312"/>
      <c r="H558" s="31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302"/>
      <c r="D559" s="302"/>
      <c r="E559" s="59"/>
      <c r="F559" s="312"/>
      <c r="G559" s="312"/>
      <c r="H559" s="31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302"/>
      <c r="D560" s="302"/>
      <c r="E560" s="59"/>
      <c r="F560" s="312"/>
      <c r="G560" s="312"/>
      <c r="H560" s="31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302"/>
      <c r="D561" s="302"/>
      <c r="E561" s="59"/>
      <c r="F561" s="312"/>
      <c r="G561" s="312"/>
      <c r="H561" s="31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302"/>
      <c r="D562" s="302"/>
      <c r="E562" s="59"/>
      <c r="F562" s="312"/>
      <c r="G562" s="312"/>
      <c r="H562" s="31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302"/>
      <c r="D563" s="302"/>
      <c r="E563" s="59"/>
      <c r="F563" s="312"/>
      <c r="G563" s="312"/>
      <c r="H563" s="31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302"/>
      <c r="D564" s="302"/>
      <c r="E564" s="59"/>
      <c r="F564" s="312"/>
      <c r="G564" s="312"/>
      <c r="H564" s="31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302"/>
      <c r="D565" s="302"/>
      <c r="E565" s="59"/>
      <c r="F565" s="312"/>
      <c r="G565" s="312"/>
      <c r="H565" s="31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302"/>
      <c r="D566" s="302"/>
      <c r="E566" s="59"/>
      <c r="F566" s="312"/>
      <c r="G566" s="312"/>
      <c r="H566" s="31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302"/>
      <c r="D567" s="302"/>
      <c r="E567" s="59"/>
      <c r="F567" s="312"/>
      <c r="G567" s="312"/>
      <c r="H567" s="31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302"/>
      <c r="D568" s="302"/>
      <c r="E568" s="59"/>
      <c r="F568" s="312"/>
      <c r="G568" s="312"/>
      <c r="H568" s="31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302"/>
      <c r="D569" s="302"/>
      <c r="E569" s="59"/>
      <c r="F569" s="312"/>
      <c r="G569" s="312"/>
      <c r="H569" s="31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302"/>
      <c r="D570" s="302"/>
      <c r="E570" s="59"/>
      <c r="F570" s="312"/>
      <c r="G570" s="312"/>
      <c r="H570" s="31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302"/>
      <c r="D571" s="302"/>
      <c r="E571" s="59"/>
      <c r="F571" s="312"/>
      <c r="G571" s="312"/>
      <c r="H571" s="31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302"/>
      <c r="D572" s="302"/>
      <c r="E572" s="59"/>
      <c r="F572" s="312"/>
      <c r="G572" s="312"/>
      <c r="H572" s="31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302"/>
      <c r="D573" s="302"/>
      <c r="E573" s="59"/>
      <c r="F573" s="312"/>
      <c r="G573" s="312"/>
      <c r="H573" s="31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302"/>
      <c r="D574" s="302"/>
      <c r="E574" s="59"/>
      <c r="F574" s="312"/>
      <c r="G574" s="312"/>
      <c r="H574" s="31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302"/>
      <c r="D575" s="302"/>
      <c r="E575" s="59"/>
      <c r="F575" s="312"/>
      <c r="G575" s="312"/>
      <c r="H575" s="31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302"/>
      <c r="D576" s="302"/>
      <c r="E576" s="59"/>
      <c r="F576" s="312"/>
      <c r="G576" s="312"/>
      <c r="H576" s="31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302"/>
      <c r="D577" s="302"/>
      <c r="E577" s="59"/>
      <c r="F577" s="312"/>
      <c r="G577" s="312"/>
      <c r="H577" s="31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302"/>
      <c r="D578" s="302"/>
      <c r="E578" s="59"/>
      <c r="F578" s="312"/>
      <c r="G578" s="312"/>
      <c r="H578" s="31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302"/>
      <c r="D579" s="302"/>
      <c r="E579" s="59"/>
      <c r="F579" s="312"/>
      <c r="G579" s="312"/>
      <c r="H579" s="31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302"/>
      <c r="D580" s="302"/>
      <c r="E580" s="59"/>
      <c r="F580" s="312"/>
      <c r="G580" s="312"/>
      <c r="H580" s="31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302"/>
      <c r="D581" s="302"/>
      <c r="E581" s="59"/>
      <c r="F581" s="312"/>
      <c r="G581" s="312"/>
      <c r="H581" s="31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302"/>
      <c r="D582" s="302"/>
      <c r="E582" s="59"/>
      <c r="F582" s="312"/>
      <c r="G582" s="312"/>
      <c r="H582" s="31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302"/>
      <c r="D583" s="302"/>
      <c r="E583" s="59"/>
      <c r="F583" s="312"/>
      <c r="G583" s="312"/>
      <c r="H583" s="31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302"/>
      <c r="D584" s="302"/>
      <c r="E584" s="59"/>
      <c r="F584" s="312"/>
      <c r="G584" s="312"/>
      <c r="H584" s="31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302"/>
      <c r="D585" s="302"/>
      <c r="E585" s="59"/>
      <c r="F585" s="312"/>
      <c r="G585" s="312"/>
      <c r="H585" s="31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302"/>
      <c r="D586" s="302"/>
      <c r="E586" s="59"/>
      <c r="F586" s="312"/>
      <c r="G586" s="312"/>
      <c r="H586" s="31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302"/>
      <c r="D587" s="302"/>
      <c r="E587" s="59"/>
      <c r="F587" s="312"/>
      <c r="G587" s="312"/>
      <c r="H587" s="31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302"/>
      <c r="D588" s="302"/>
      <c r="E588" s="59"/>
      <c r="F588" s="312"/>
      <c r="G588" s="312"/>
      <c r="H588" s="31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302"/>
      <c r="D589" s="302"/>
      <c r="E589" s="59"/>
      <c r="F589" s="312"/>
      <c r="G589" s="312"/>
      <c r="H589" s="31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302"/>
      <c r="D590" s="302"/>
      <c r="E590" s="59"/>
      <c r="F590" s="312"/>
      <c r="G590" s="312"/>
      <c r="H590" s="31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302"/>
      <c r="D591" s="302"/>
      <c r="E591" s="59"/>
      <c r="F591" s="312"/>
      <c r="G591" s="312"/>
      <c r="H591" s="31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302"/>
      <c r="D592" s="302"/>
      <c r="E592" s="59"/>
      <c r="F592" s="312"/>
      <c r="G592" s="312"/>
      <c r="H592" s="31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302"/>
      <c r="D593" s="302"/>
      <c r="E593" s="59"/>
      <c r="F593" s="312"/>
      <c r="G593" s="312"/>
      <c r="H593" s="31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302"/>
      <c r="D594" s="302"/>
      <c r="E594" s="59"/>
      <c r="F594" s="312"/>
      <c r="G594" s="312"/>
      <c r="H594" s="31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302"/>
      <c r="D595" s="302"/>
      <c r="E595" s="59"/>
      <c r="F595" s="312"/>
      <c r="G595" s="312"/>
      <c r="H595" s="31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302"/>
      <c r="D596" s="302"/>
      <c r="E596" s="59"/>
      <c r="F596" s="312"/>
      <c r="G596" s="312"/>
      <c r="H596" s="31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302"/>
      <c r="D597" s="302"/>
      <c r="E597" s="59"/>
      <c r="F597" s="312"/>
      <c r="G597" s="312"/>
      <c r="H597" s="31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302"/>
      <c r="D598" s="302"/>
      <c r="E598" s="59"/>
      <c r="F598" s="312"/>
      <c r="G598" s="312"/>
      <c r="H598" s="31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302"/>
      <c r="D599" s="302"/>
      <c r="E599" s="59"/>
      <c r="F599" s="312"/>
      <c r="G599" s="312"/>
      <c r="H599" s="31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302"/>
      <c r="D600" s="302"/>
      <c r="E600" s="59"/>
      <c r="F600" s="312"/>
      <c r="G600" s="312"/>
      <c r="H600" s="31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302"/>
      <c r="D601" s="302"/>
      <c r="E601" s="59"/>
      <c r="F601" s="312"/>
      <c r="G601" s="312"/>
      <c r="H601" s="31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302"/>
      <c r="D602" s="302"/>
      <c r="E602" s="59"/>
      <c r="F602" s="312"/>
      <c r="G602" s="312"/>
      <c r="H602" s="31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302"/>
      <c r="D603" s="302"/>
      <c r="E603" s="59"/>
      <c r="F603" s="312"/>
      <c r="G603" s="312"/>
      <c r="H603" s="31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302"/>
      <c r="D604" s="302"/>
      <c r="E604" s="59"/>
      <c r="F604" s="312"/>
      <c r="G604" s="312"/>
      <c r="H604" s="31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302"/>
      <c r="D605" s="302"/>
      <c r="E605" s="59"/>
      <c r="F605" s="312"/>
      <c r="G605" s="312"/>
      <c r="H605" s="31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302"/>
      <c r="D606" s="302"/>
      <c r="E606" s="59"/>
      <c r="F606" s="312"/>
      <c r="G606" s="312"/>
      <c r="H606" s="31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302"/>
      <c r="D607" s="302"/>
      <c r="E607" s="59"/>
      <c r="F607" s="312"/>
      <c r="G607" s="312"/>
      <c r="H607" s="31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302"/>
      <c r="D608" s="302"/>
      <c r="E608" s="59"/>
      <c r="F608" s="312"/>
      <c r="G608" s="312"/>
      <c r="H608" s="31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302"/>
      <c r="D609" s="302"/>
      <c r="E609" s="59"/>
      <c r="F609" s="312"/>
      <c r="G609" s="312"/>
      <c r="H609" s="31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302"/>
      <c r="D610" s="302"/>
      <c r="E610" s="59"/>
      <c r="F610" s="312"/>
      <c r="G610" s="312"/>
      <c r="H610" s="31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302"/>
      <c r="D611" s="302"/>
      <c r="E611" s="59"/>
      <c r="F611" s="312"/>
      <c r="G611" s="312"/>
      <c r="H611" s="31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302"/>
      <c r="D612" s="302"/>
      <c r="E612" s="59"/>
      <c r="F612" s="312"/>
      <c r="G612" s="312"/>
      <c r="H612" s="31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302"/>
      <c r="D613" s="302"/>
      <c r="E613" s="59"/>
      <c r="F613" s="312"/>
      <c r="G613" s="312"/>
      <c r="H613" s="31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302"/>
      <c r="D614" s="302"/>
      <c r="E614" s="59"/>
      <c r="F614" s="312"/>
      <c r="G614" s="312"/>
      <c r="H614" s="31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302"/>
      <c r="D615" s="302"/>
      <c r="E615" s="59"/>
      <c r="F615" s="312"/>
      <c r="G615" s="312"/>
      <c r="H615" s="31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302"/>
      <c r="D616" s="302"/>
      <c r="E616" s="59"/>
      <c r="F616" s="312"/>
      <c r="G616" s="312"/>
      <c r="H616" s="31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302"/>
      <c r="D617" s="302"/>
      <c r="E617" s="59"/>
      <c r="F617" s="312"/>
      <c r="G617" s="312"/>
      <c r="H617" s="31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302"/>
      <c r="D618" s="302"/>
      <c r="E618" s="59"/>
      <c r="F618" s="312"/>
      <c r="G618" s="312"/>
      <c r="H618" s="31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302"/>
      <c r="D619" s="302"/>
      <c r="E619" s="59"/>
      <c r="F619" s="312"/>
      <c r="G619" s="312"/>
      <c r="H619" s="31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302"/>
      <c r="D620" s="302"/>
      <c r="E620" s="59"/>
      <c r="F620" s="312"/>
      <c r="G620" s="312"/>
      <c r="H620" s="31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302"/>
      <c r="D621" s="302"/>
      <c r="E621" s="59"/>
      <c r="F621" s="312"/>
      <c r="G621" s="312"/>
      <c r="H621" s="31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302"/>
      <c r="D622" s="302"/>
      <c r="E622" s="59"/>
      <c r="F622" s="312"/>
      <c r="G622" s="312"/>
      <c r="H622" s="31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302"/>
      <c r="D623" s="302"/>
      <c r="E623" s="59"/>
      <c r="F623" s="312"/>
      <c r="G623" s="312"/>
      <c r="H623" s="31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302"/>
      <c r="D624" s="302"/>
      <c r="E624" s="59"/>
      <c r="F624" s="312"/>
      <c r="G624" s="312"/>
      <c r="H624" s="31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302"/>
      <c r="D625" s="302"/>
      <c r="E625" s="59"/>
      <c r="F625" s="312"/>
      <c r="G625" s="312"/>
      <c r="H625" s="31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302"/>
      <c r="D626" s="302"/>
      <c r="E626" s="59"/>
      <c r="F626" s="312"/>
      <c r="G626" s="312"/>
      <c r="H626" s="31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302"/>
      <c r="D627" s="302"/>
      <c r="E627" s="59"/>
      <c r="F627" s="312"/>
      <c r="G627" s="312"/>
      <c r="H627" s="31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302"/>
      <c r="D628" s="302"/>
      <c r="E628" s="59"/>
      <c r="F628" s="312"/>
      <c r="G628" s="312"/>
      <c r="H628" s="31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302"/>
      <c r="D629" s="302"/>
      <c r="E629" s="59"/>
      <c r="F629" s="312"/>
      <c r="G629" s="312"/>
      <c r="H629" s="31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302"/>
      <c r="D630" s="302"/>
      <c r="E630" s="59"/>
      <c r="F630" s="312"/>
      <c r="G630" s="312"/>
      <c r="H630" s="31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302"/>
      <c r="D631" s="302"/>
      <c r="E631" s="59"/>
      <c r="F631" s="312"/>
      <c r="G631" s="312"/>
      <c r="H631" s="31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302"/>
      <c r="D632" s="302"/>
      <c r="E632" s="59"/>
      <c r="F632" s="312"/>
      <c r="G632" s="312"/>
      <c r="H632" s="31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302"/>
      <c r="D633" s="302"/>
      <c r="E633" s="59"/>
      <c r="F633" s="312"/>
      <c r="G633" s="312"/>
      <c r="H633" s="31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302"/>
      <c r="D634" s="302"/>
      <c r="E634" s="59"/>
      <c r="F634" s="312"/>
      <c r="G634" s="312"/>
      <c r="H634" s="31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302"/>
      <c r="D635" s="302"/>
      <c r="E635" s="59"/>
      <c r="F635" s="312"/>
      <c r="G635" s="312"/>
      <c r="H635" s="31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302"/>
      <c r="D636" s="302"/>
      <c r="E636" s="59"/>
      <c r="F636" s="312"/>
      <c r="G636" s="312"/>
      <c r="H636" s="31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302"/>
      <c r="D637" s="302"/>
      <c r="E637" s="59"/>
      <c r="F637" s="312"/>
      <c r="G637" s="312"/>
      <c r="H637" s="31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302"/>
      <c r="D638" s="302"/>
      <c r="E638" s="59"/>
      <c r="F638" s="312"/>
      <c r="G638" s="312"/>
      <c r="H638" s="31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302"/>
      <c r="D639" s="302"/>
      <c r="E639" s="59"/>
      <c r="F639" s="312"/>
      <c r="G639" s="312"/>
      <c r="H639" s="31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302"/>
      <c r="D640" s="302"/>
      <c r="E640" s="59"/>
      <c r="F640" s="312"/>
      <c r="G640" s="312"/>
      <c r="H640" s="31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302"/>
      <c r="D641" s="302"/>
      <c r="E641" s="59"/>
      <c r="F641" s="312"/>
      <c r="G641" s="312"/>
      <c r="H641" s="31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302"/>
      <c r="D642" s="302"/>
      <c r="E642" s="59"/>
      <c r="F642" s="312"/>
      <c r="G642" s="312"/>
      <c r="H642" s="31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302"/>
      <c r="D643" s="302"/>
      <c r="E643" s="59"/>
      <c r="F643" s="312"/>
      <c r="G643" s="312"/>
      <c r="H643" s="31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302"/>
      <c r="D644" s="302"/>
      <c r="E644" s="59"/>
      <c r="F644" s="312"/>
      <c r="G644" s="312"/>
      <c r="H644" s="31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302"/>
      <c r="D645" s="302"/>
      <c r="E645" s="59"/>
      <c r="F645" s="312"/>
      <c r="G645" s="312"/>
      <c r="H645" s="31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302"/>
      <c r="D646" s="302"/>
      <c r="E646" s="59"/>
      <c r="F646" s="312"/>
      <c r="G646" s="312"/>
      <c r="H646" s="31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302"/>
      <c r="D647" s="302"/>
      <c r="E647" s="59"/>
      <c r="F647" s="312"/>
      <c r="G647" s="312"/>
      <c r="H647" s="31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302"/>
      <c r="D648" s="302"/>
      <c r="E648" s="59"/>
      <c r="F648" s="312"/>
      <c r="G648" s="312"/>
      <c r="H648" s="31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302"/>
      <c r="D649" s="302"/>
      <c r="E649" s="59"/>
      <c r="F649" s="312"/>
      <c r="G649" s="312"/>
      <c r="H649" s="31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302"/>
      <c r="D650" s="302"/>
      <c r="E650" s="59"/>
      <c r="F650" s="312"/>
      <c r="G650" s="312"/>
      <c r="H650" s="31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302"/>
      <c r="D651" s="302"/>
      <c r="E651" s="59"/>
      <c r="F651" s="312"/>
      <c r="G651" s="312"/>
      <c r="H651" s="31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302"/>
      <c r="D652" s="302"/>
      <c r="E652" s="59"/>
      <c r="F652" s="312"/>
      <c r="G652" s="312"/>
      <c r="H652" s="31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302"/>
      <c r="D653" s="302"/>
      <c r="E653" s="59"/>
      <c r="F653" s="312"/>
      <c r="G653" s="312"/>
      <c r="H653" s="31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302"/>
      <c r="D654" s="302"/>
      <c r="E654" s="59"/>
      <c r="F654" s="312"/>
      <c r="G654" s="312"/>
      <c r="H654" s="31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302"/>
      <c r="D655" s="302"/>
      <c r="E655" s="59"/>
      <c r="F655" s="312"/>
      <c r="G655" s="312"/>
      <c r="H655" s="31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302"/>
      <c r="D656" s="302"/>
      <c r="E656" s="59"/>
      <c r="F656" s="312"/>
      <c r="G656" s="312"/>
      <c r="H656" s="31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302"/>
      <c r="D657" s="302"/>
      <c r="E657" s="59"/>
      <c r="F657" s="312"/>
      <c r="G657" s="312"/>
      <c r="H657" s="31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302"/>
      <c r="D658" s="302"/>
      <c r="E658" s="59"/>
      <c r="F658" s="312"/>
      <c r="G658" s="312"/>
      <c r="H658" s="31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302"/>
      <c r="D659" s="302"/>
      <c r="E659" s="59"/>
      <c r="F659" s="312"/>
      <c r="G659" s="312"/>
      <c r="H659" s="31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302"/>
      <c r="D660" s="302"/>
      <c r="E660" s="59"/>
      <c r="F660" s="312"/>
      <c r="G660" s="312"/>
      <c r="H660" s="31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302"/>
      <c r="D661" s="302"/>
      <c r="E661" s="59"/>
      <c r="F661" s="312"/>
      <c r="G661" s="312"/>
      <c r="H661" s="31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302"/>
      <c r="D662" s="302"/>
      <c r="E662" s="59"/>
      <c r="F662" s="312"/>
      <c r="G662" s="312"/>
      <c r="H662" s="31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302"/>
      <c r="D663" s="302"/>
      <c r="E663" s="59"/>
      <c r="F663" s="312"/>
      <c r="G663" s="312"/>
      <c r="H663" s="31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302"/>
      <c r="D664" s="302"/>
      <c r="E664" s="59"/>
      <c r="F664" s="312"/>
      <c r="G664" s="312"/>
      <c r="H664" s="31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302"/>
      <c r="D665" s="302"/>
      <c r="E665" s="59"/>
      <c r="F665" s="312"/>
      <c r="G665" s="312"/>
      <c r="H665" s="31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302"/>
      <c r="D666" s="302"/>
      <c r="E666" s="59"/>
      <c r="F666" s="312"/>
      <c r="G666" s="312"/>
      <c r="H666" s="31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302"/>
      <c r="D667" s="302"/>
      <c r="E667" s="59"/>
      <c r="F667" s="312"/>
      <c r="G667" s="312"/>
      <c r="H667" s="31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302"/>
      <c r="D668" s="302"/>
      <c r="E668" s="59"/>
      <c r="F668" s="312"/>
      <c r="G668" s="312"/>
      <c r="H668" s="31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302"/>
      <c r="D669" s="302"/>
      <c r="E669" s="59"/>
      <c r="F669" s="312"/>
      <c r="G669" s="312"/>
      <c r="H669" s="31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302"/>
      <c r="D670" s="302"/>
      <c r="E670" s="59"/>
      <c r="F670" s="312"/>
      <c r="G670" s="312"/>
      <c r="H670" s="31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302"/>
      <c r="D671" s="302"/>
      <c r="E671" s="59"/>
      <c r="F671" s="312"/>
      <c r="G671" s="312"/>
      <c r="H671" s="31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302"/>
      <c r="D672" s="302"/>
      <c r="E672" s="59"/>
      <c r="F672" s="312"/>
      <c r="G672" s="312"/>
      <c r="H672" s="31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302"/>
      <c r="D673" s="302"/>
      <c r="E673" s="59"/>
      <c r="F673" s="312"/>
      <c r="G673" s="312"/>
      <c r="H673" s="31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302"/>
      <c r="D674" s="302"/>
      <c r="E674" s="59"/>
      <c r="F674" s="312"/>
      <c r="G674" s="312"/>
      <c r="H674" s="31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302"/>
      <c r="D675" s="302"/>
      <c r="E675" s="59"/>
      <c r="F675" s="312"/>
      <c r="G675" s="312"/>
      <c r="H675" s="31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302"/>
      <c r="D676" s="302"/>
      <c r="E676" s="59"/>
      <c r="F676" s="312"/>
      <c r="G676" s="312"/>
      <c r="H676" s="31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302"/>
      <c r="D677" s="302"/>
      <c r="E677" s="59"/>
      <c r="F677" s="312"/>
      <c r="G677" s="312"/>
      <c r="H677" s="31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302"/>
      <c r="D678" s="302"/>
      <c r="E678" s="59"/>
      <c r="F678" s="312"/>
      <c r="G678" s="312"/>
      <c r="H678" s="31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302"/>
      <c r="D679" s="302"/>
      <c r="E679" s="59"/>
      <c r="F679" s="312"/>
      <c r="G679" s="312"/>
      <c r="H679" s="31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302"/>
      <c r="D680" s="302"/>
      <c r="E680" s="59"/>
      <c r="F680" s="312"/>
      <c r="G680" s="312"/>
      <c r="H680" s="31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302"/>
      <c r="D681" s="302"/>
      <c r="E681" s="59"/>
      <c r="F681" s="312"/>
      <c r="G681" s="312"/>
      <c r="H681" s="31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302"/>
      <c r="D682" s="302"/>
      <c r="E682" s="59"/>
      <c r="F682" s="312"/>
      <c r="G682" s="312"/>
      <c r="H682" s="31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302"/>
      <c r="D683" s="302"/>
      <c r="E683" s="59"/>
      <c r="F683" s="312"/>
      <c r="G683" s="312"/>
      <c r="H683" s="31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302"/>
      <c r="D684" s="302"/>
      <c r="E684" s="59"/>
      <c r="F684" s="312"/>
      <c r="G684" s="312"/>
      <c r="H684" s="31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302"/>
      <c r="D685" s="302"/>
      <c r="E685" s="59"/>
      <c r="F685" s="312"/>
      <c r="G685" s="312"/>
      <c r="H685" s="31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302"/>
      <c r="D686" s="302"/>
      <c r="E686" s="59"/>
      <c r="F686" s="312"/>
      <c r="G686" s="312"/>
      <c r="H686" s="31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302"/>
      <c r="D687" s="302"/>
      <c r="E687" s="59"/>
      <c r="F687" s="312"/>
      <c r="G687" s="312"/>
      <c r="H687" s="31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302"/>
      <c r="D688" s="302"/>
      <c r="E688" s="59"/>
      <c r="F688" s="312"/>
      <c r="G688" s="312"/>
      <c r="H688" s="31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302"/>
      <c r="D689" s="302"/>
      <c r="E689" s="59"/>
      <c r="F689" s="312"/>
      <c r="G689" s="312"/>
      <c r="H689" s="31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302"/>
      <c r="D690" s="302"/>
      <c r="E690" s="59"/>
      <c r="F690" s="312"/>
      <c r="G690" s="312"/>
      <c r="H690" s="31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302"/>
      <c r="D691" s="302"/>
      <c r="E691" s="59"/>
      <c r="F691" s="312"/>
      <c r="G691" s="312"/>
      <c r="H691" s="31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302"/>
      <c r="D692" s="302"/>
      <c r="E692" s="59"/>
      <c r="F692" s="312"/>
      <c r="G692" s="312"/>
      <c r="H692" s="31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302"/>
      <c r="D693" s="302"/>
      <c r="E693" s="59"/>
      <c r="F693" s="312"/>
      <c r="G693" s="312"/>
      <c r="H693" s="31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302"/>
      <c r="D694" s="302"/>
      <c r="E694" s="59"/>
      <c r="F694" s="312"/>
      <c r="G694" s="312"/>
      <c r="H694" s="31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302"/>
      <c r="D695" s="302"/>
      <c r="E695" s="59"/>
      <c r="F695" s="312"/>
      <c r="G695" s="312"/>
      <c r="H695" s="31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302"/>
      <c r="D696" s="302"/>
      <c r="E696" s="59"/>
      <c r="F696" s="312"/>
      <c r="G696" s="312"/>
      <c r="H696" s="31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302"/>
      <c r="D697" s="302"/>
      <c r="E697" s="59"/>
      <c r="F697" s="312"/>
      <c r="G697" s="312"/>
      <c r="H697" s="31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302"/>
      <c r="D698" s="302"/>
      <c r="E698" s="59"/>
      <c r="F698" s="312"/>
      <c r="G698" s="312"/>
      <c r="H698" s="31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302"/>
      <c r="D699" s="302"/>
      <c r="E699" s="59"/>
      <c r="F699" s="312"/>
      <c r="G699" s="312"/>
      <c r="H699" s="31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302"/>
      <c r="D700" s="302"/>
      <c r="E700" s="59"/>
      <c r="F700" s="312"/>
      <c r="G700" s="312"/>
      <c r="H700" s="31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302"/>
      <c r="D701" s="302"/>
      <c r="E701" s="59"/>
      <c r="F701" s="312"/>
      <c r="G701" s="312"/>
      <c r="H701" s="31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302"/>
      <c r="D702" s="302"/>
      <c r="E702" s="59"/>
      <c r="F702" s="312"/>
      <c r="G702" s="312"/>
      <c r="H702" s="31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302"/>
      <c r="D703" s="302"/>
      <c r="E703" s="59"/>
      <c r="F703" s="312"/>
      <c r="G703" s="312"/>
      <c r="H703" s="31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302"/>
      <c r="D704" s="302"/>
      <c r="E704" s="59"/>
      <c r="F704" s="312"/>
      <c r="G704" s="312"/>
      <c r="H704" s="31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302"/>
      <c r="D705" s="302"/>
      <c r="E705" s="59"/>
      <c r="F705" s="312"/>
      <c r="G705" s="312"/>
      <c r="H705" s="31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302"/>
      <c r="D706" s="302"/>
      <c r="E706" s="59"/>
      <c r="F706" s="312"/>
      <c r="G706" s="312"/>
      <c r="H706" s="31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302"/>
      <c r="D707" s="302"/>
      <c r="E707" s="59"/>
      <c r="F707" s="312"/>
      <c r="G707" s="312"/>
      <c r="H707" s="31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302"/>
      <c r="D708" s="302"/>
      <c r="E708" s="59"/>
      <c r="F708" s="312"/>
      <c r="G708" s="312"/>
      <c r="H708" s="31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302"/>
      <c r="D709" s="302"/>
      <c r="E709" s="59"/>
      <c r="F709" s="312"/>
      <c r="G709" s="312"/>
      <c r="H709" s="31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302"/>
      <c r="D710" s="302"/>
      <c r="E710" s="59"/>
      <c r="F710" s="312"/>
      <c r="G710" s="312"/>
      <c r="H710" s="31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302"/>
      <c r="D711" s="302"/>
      <c r="E711" s="59"/>
      <c r="F711" s="312"/>
      <c r="G711" s="312"/>
      <c r="H711" s="31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302"/>
      <c r="D712" s="302"/>
      <c r="E712" s="59"/>
      <c r="F712" s="312"/>
      <c r="G712" s="312"/>
      <c r="H712" s="31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302"/>
      <c r="D713" s="302"/>
      <c r="E713" s="59"/>
      <c r="F713" s="312"/>
      <c r="G713" s="312"/>
      <c r="H713" s="31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302"/>
      <c r="D714" s="302"/>
      <c r="E714" s="59"/>
      <c r="F714" s="312"/>
      <c r="G714" s="312"/>
      <c r="H714" s="31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302"/>
      <c r="D715" s="302"/>
      <c r="E715" s="59"/>
      <c r="F715" s="312"/>
      <c r="G715" s="312"/>
      <c r="H715" s="31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302"/>
      <c r="D716" s="302"/>
      <c r="E716" s="59"/>
      <c r="F716" s="312"/>
      <c r="G716" s="312"/>
      <c r="H716" s="31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302"/>
      <c r="D717" s="302"/>
      <c r="E717" s="59"/>
      <c r="F717" s="312"/>
      <c r="G717" s="312"/>
      <c r="H717" s="31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302"/>
      <c r="D718" s="302"/>
      <c r="E718" s="59"/>
      <c r="F718" s="312"/>
      <c r="G718" s="312"/>
      <c r="H718" s="31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302"/>
      <c r="D719" s="302"/>
      <c r="E719" s="59"/>
      <c r="F719" s="312"/>
      <c r="G719" s="312"/>
      <c r="H719" s="31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302"/>
      <c r="D720" s="302"/>
      <c r="E720" s="59"/>
      <c r="F720" s="312"/>
      <c r="G720" s="312"/>
      <c r="H720" s="31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302"/>
      <c r="D721" s="302"/>
      <c r="E721" s="59"/>
      <c r="F721" s="312"/>
      <c r="G721" s="312"/>
      <c r="H721" s="31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302"/>
      <c r="D722" s="302"/>
      <c r="E722" s="59"/>
      <c r="F722" s="312"/>
      <c r="G722" s="312"/>
      <c r="H722" s="31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302"/>
      <c r="D723" s="302"/>
      <c r="E723" s="59"/>
      <c r="F723" s="312"/>
      <c r="G723" s="312"/>
      <c r="H723" s="31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302"/>
      <c r="D724" s="302"/>
      <c r="E724" s="59"/>
      <c r="F724" s="312"/>
      <c r="G724" s="312"/>
      <c r="H724" s="31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302"/>
      <c r="D725" s="302"/>
      <c r="E725" s="59"/>
      <c r="F725" s="312"/>
      <c r="G725" s="312"/>
      <c r="H725" s="31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302"/>
      <c r="D726" s="302"/>
      <c r="E726" s="59"/>
      <c r="F726" s="312"/>
      <c r="G726" s="312"/>
      <c r="H726" s="31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302"/>
      <c r="D727" s="302"/>
      <c r="E727" s="59"/>
      <c r="F727" s="312"/>
      <c r="G727" s="312"/>
      <c r="H727" s="31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302"/>
      <c r="D728" s="302"/>
      <c r="E728" s="59"/>
      <c r="F728" s="312"/>
      <c r="G728" s="312"/>
      <c r="H728" s="31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302"/>
      <c r="D729" s="302"/>
      <c r="E729" s="59"/>
      <c r="F729" s="312"/>
      <c r="G729" s="312"/>
      <c r="H729" s="31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302"/>
      <c r="D730" s="302"/>
      <c r="E730" s="59"/>
      <c r="F730" s="312"/>
      <c r="G730" s="312"/>
      <c r="H730" s="31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302"/>
      <c r="D731" s="302"/>
      <c r="E731" s="59"/>
      <c r="F731" s="312"/>
      <c r="G731" s="312"/>
      <c r="H731" s="31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302"/>
      <c r="D732" s="302"/>
      <c r="E732" s="59"/>
      <c r="F732" s="312"/>
      <c r="G732" s="312"/>
      <c r="H732" s="31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302"/>
      <c r="D733" s="302"/>
      <c r="E733" s="59"/>
      <c r="F733" s="312"/>
      <c r="G733" s="312"/>
      <c r="H733" s="31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302"/>
      <c r="D734" s="302"/>
      <c r="E734" s="59"/>
      <c r="F734" s="312"/>
      <c r="G734" s="312"/>
      <c r="H734" s="31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302"/>
      <c r="D735" s="302"/>
      <c r="E735" s="59"/>
      <c r="F735" s="312"/>
      <c r="G735" s="312"/>
      <c r="H735" s="31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302"/>
      <c r="D736" s="302"/>
      <c r="E736" s="59"/>
      <c r="F736" s="312"/>
      <c r="G736" s="312"/>
      <c r="H736" s="31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302"/>
      <c r="D737" s="302"/>
      <c r="E737" s="59"/>
      <c r="F737" s="312"/>
      <c r="G737" s="312"/>
      <c r="H737" s="31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302"/>
      <c r="D738" s="302"/>
      <c r="E738" s="59"/>
      <c r="F738" s="312"/>
      <c r="G738" s="312"/>
      <c r="H738" s="31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302"/>
      <c r="D739" s="302"/>
      <c r="E739" s="59"/>
      <c r="F739" s="312"/>
      <c r="G739" s="312"/>
      <c r="H739" s="31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302"/>
      <c r="D740" s="302"/>
      <c r="E740" s="59"/>
      <c r="F740" s="312"/>
      <c r="G740" s="312"/>
      <c r="H740" s="31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302"/>
      <c r="D741" s="302"/>
      <c r="E741" s="59"/>
      <c r="F741" s="312"/>
      <c r="G741" s="312"/>
      <c r="H741" s="31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302"/>
      <c r="D742" s="302"/>
      <c r="E742" s="59"/>
      <c r="F742" s="312"/>
      <c r="G742" s="312"/>
      <c r="H742" s="31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302"/>
      <c r="D743" s="302"/>
      <c r="E743" s="59"/>
      <c r="F743" s="312"/>
      <c r="G743" s="312"/>
      <c r="H743" s="31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302"/>
      <c r="D744" s="302"/>
      <c r="E744" s="59"/>
      <c r="F744" s="312"/>
      <c r="G744" s="312"/>
      <c r="H744" s="31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302"/>
      <c r="D745" s="302"/>
      <c r="E745" s="59"/>
      <c r="F745" s="312"/>
      <c r="G745" s="312"/>
      <c r="H745" s="31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302"/>
      <c r="D746" s="302"/>
      <c r="E746" s="59"/>
      <c r="F746" s="312"/>
      <c r="G746" s="312"/>
      <c r="H746" s="31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302"/>
      <c r="D747" s="302"/>
      <c r="E747" s="59"/>
      <c r="F747" s="312"/>
      <c r="G747" s="312"/>
      <c r="H747" s="31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302"/>
      <c r="D748" s="302"/>
      <c r="E748" s="59"/>
      <c r="F748" s="312"/>
      <c r="G748" s="312"/>
      <c r="H748" s="31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302"/>
      <c r="D749" s="302"/>
      <c r="E749" s="59"/>
      <c r="F749" s="312"/>
      <c r="G749" s="312"/>
      <c r="H749" s="31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302"/>
      <c r="D750" s="302"/>
      <c r="E750" s="59"/>
      <c r="F750" s="312"/>
      <c r="G750" s="312"/>
      <c r="H750" s="31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302"/>
      <c r="D751" s="302"/>
      <c r="E751" s="59"/>
      <c r="F751" s="312"/>
      <c r="G751" s="312"/>
      <c r="H751" s="31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302"/>
      <c r="D752" s="302"/>
      <c r="E752" s="59"/>
      <c r="F752" s="312"/>
      <c r="G752" s="312"/>
      <c r="H752" s="31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302"/>
      <c r="D753" s="302"/>
      <c r="E753" s="59"/>
      <c r="F753" s="312"/>
      <c r="G753" s="312"/>
      <c r="H753" s="31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302"/>
      <c r="D754" s="302"/>
      <c r="E754" s="59"/>
      <c r="F754" s="312"/>
      <c r="G754" s="312"/>
      <c r="H754" s="31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302"/>
      <c r="D755" s="302"/>
      <c r="E755" s="59"/>
      <c r="F755" s="312"/>
      <c r="G755" s="312"/>
      <c r="H755" s="31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302"/>
      <c r="D756" s="302"/>
      <c r="E756" s="59"/>
      <c r="F756" s="312"/>
      <c r="G756" s="312"/>
      <c r="H756" s="31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302"/>
      <c r="D757" s="302"/>
      <c r="E757" s="59"/>
      <c r="F757" s="312"/>
      <c r="G757" s="312"/>
      <c r="H757" s="31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302"/>
      <c r="D758" s="302"/>
      <c r="E758" s="59"/>
      <c r="F758" s="312"/>
      <c r="G758" s="312"/>
      <c r="H758" s="31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302"/>
      <c r="D759" s="302"/>
      <c r="E759" s="59"/>
      <c r="F759" s="312"/>
      <c r="G759" s="312"/>
      <c r="H759" s="31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302"/>
      <c r="D760" s="302"/>
      <c r="E760" s="59"/>
      <c r="F760" s="312"/>
      <c r="G760" s="312"/>
      <c r="H760" s="31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302"/>
      <c r="D761" s="302"/>
      <c r="E761" s="59"/>
      <c r="F761" s="312"/>
      <c r="G761" s="312"/>
      <c r="H761" s="31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302"/>
      <c r="D762" s="302"/>
      <c r="E762" s="59"/>
      <c r="F762" s="312"/>
      <c r="G762" s="312"/>
      <c r="H762" s="31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302"/>
      <c r="D763" s="302"/>
      <c r="E763" s="59"/>
      <c r="F763" s="312"/>
      <c r="G763" s="312"/>
      <c r="H763" s="31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302"/>
      <c r="D764" s="302"/>
      <c r="E764" s="59"/>
      <c r="F764" s="312"/>
      <c r="G764" s="312"/>
      <c r="H764" s="31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302"/>
      <c r="D765" s="302"/>
      <c r="E765" s="59"/>
      <c r="F765" s="312"/>
      <c r="G765" s="312"/>
      <c r="H765" s="31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302"/>
      <c r="D766" s="302"/>
      <c r="E766" s="59"/>
      <c r="F766" s="312"/>
      <c r="G766" s="312"/>
      <c r="H766" s="31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302"/>
      <c r="D767" s="302"/>
      <c r="E767" s="59"/>
      <c r="F767" s="312"/>
      <c r="G767" s="312"/>
      <c r="H767" s="31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302"/>
      <c r="D768" s="302"/>
      <c r="E768" s="59"/>
      <c r="F768" s="312"/>
      <c r="G768" s="312"/>
      <c r="H768" s="31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302"/>
      <c r="D769" s="302"/>
      <c r="E769" s="59"/>
      <c r="F769" s="312"/>
      <c r="G769" s="312"/>
      <c r="H769" s="31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302"/>
      <c r="D770" s="302"/>
      <c r="E770" s="59"/>
      <c r="F770" s="312"/>
      <c r="G770" s="312"/>
      <c r="H770" s="31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302"/>
      <c r="D771" s="302"/>
      <c r="E771" s="59"/>
      <c r="F771" s="312"/>
      <c r="G771" s="312"/>
      <c r="H771" s="31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302"/>
      <c r="D772" s="302"/>
      <c r="E772" s="59"/>
      <c r="F772" s="312"/>
      <c r="G772" s="312"/>
      <c r="H772" s="31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302"/>
      <c r="D773" s="302"/>
      <c r="E773" s="59"/>
      <c r="F773" s="312"/>
      <c r="G773" s="312"/>
      <c r="H773" s="31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302"/>
      <c r="D774" s="302"/>
      <c r="E774" s="59"/>
      <c r="F774" s="312"/>
      <c r="G774" s="312"/>
      <c r="H774" s="31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302"/>
      <c r="D775" s="302"/>
      <c r="E775" s="59"/>
      <c r="F775" s="312"/>
      <c r="G775" s="312"/>
      <c r="H775" s="31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302"/>
      <c r="D776" s="302"/>
      <c r="E776" s="59"/>
      <c r="F776" s="312"/>
      <c r="G776" s="312"/>
      <c r="H776" s="31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302"/>
      <c r="D777" s="302"/>
      <c r="E777" s="59"/>
      <c r="F777" s="312"/>
      <c r="G777" s="312"/>
      <c r="H777" s="31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302"/>
      <c r="D778" s="302"/>
      <c r="E778" s="59"/>
      <c r="F778" s="312"/>
      <c r="G778" s="312"/>
      <c r="H778" s="31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302"/>
      <c r="D779" s="302"/>
      <c r="E779" s="59"/>
      <c r="F779" s="312"/>
      <c r="G779" s="312"/>
      <c r="H779" s="31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302"/>
      <c r="D780" s="302"/>
      <c r="E780" s="59"/>
      <c r="F780" s="312"/>
      <c r="G780" s="312"/>
      <c r="H780" s="31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302"/>
      <c r="D781" s="302"/>
      <c r="E781" s="59"/>
      <c r="F781" s="312"/>
      <c r="G781" s="312"/>
      <c r="H781" s="31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302"/>
      <c r="D782" s="302"/>
      <c r="E782" s="59"/>
      <c r="F782" s="312"/>
      <c r="G782" s="312"/>
      <c r="H782" s="31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302"/>
      <c r="D783" s="302"/>
      <c r="E783" s="59"/>
      <c r="F783" s="312"/>
      <c r="G783" s="312"/>
      <c r="H783" s="31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302"/>
      <c r="D784" s="302"/>
      <c r="E784" s="59"/>
      <c r="F784" s="312"/>
      <c r="G784" s="312"/>
      <c r="H784" s="31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302"/>
      <c r="D785" s="302"/>
      <c r="E785" s="59"/>
      <c r="F785" s="312"/>
      <c r="G785" s="312"/>
      <c r="H785" s="31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302"/>
      <c r="D786" s="302"/>
      <c r="E786" s="59"/>
      <c r="F786" s="312"/>
      <c r="G786" s="312"/>
      <c r="H786" s="31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302"/>
      <c r="D787" s="302"/>
      <c r="E787" s="59"/>
      <c r="F787" s="312"/>
      <c r="G787" s="312"/>
      <c r="H787" s="31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302"/>
      <c r="D788" s="302"/>
      <c r="E788" s="59"/>
      <c r="F788" s="312"/>
      <c r="G788" s="312"/>
      <c r="H788" s="31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302"/>
      <c r="D789" s="302"/>
      <c r="E789" s="59"/>
      <c r="F789" s="312"/>
      <c r="G789" s="312"/>
      <c r="H789" s="31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302"/>
      <c r="D790" s="302"/>
      <c r="E790" s="59"/>
      <c r="F790" s="312"/>
      <c r="G790" s="312"/>
      <c r="H790" s="31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302"/>
      <c r="D791" s="302"/>
      <c r="E791" s="59"/>
      <c r="F791" s="312"/>
      <c r="G791" s="312"/>
      <c r="H791" s="31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302"/>
      <c r="D792" s="302"/>
      <c r="E792" s="59"/>
      <c r="F792" s="312"/>
      <c r="G792" s="312"/>
      <c r="H792" s="31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302"/>
      <c r="D793" s="302"/>
      <c r="E793" s="59"/>
      <c r="F793" s="312"/>
      <c r="G793" s="312"/>
      <c r="H793" s="31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302"/>
      <c r="D794" s="302"/>
      <c r="E794" s="59"/>
      <c r="F794" s="312"/>
      <c r="G794" s="312"/>
      <c r="H794" s="31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302"/>
      <c r="D795" s="302"/>
      <c r="E795" s="59"/>
      <c r="F795" s="312"/>
      <c r="G795" s="312"/>
      <c r="H795" s="31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302"/>
      <c r="D796" s="302"/>
      <c r="E796" s="59"/>
      <c r="F796" s="312"/>
      <c r="G796" s="312"/>
      <c r="H796" s="31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302"/>
      <c r="D797" s="302"/>
      <c r="E797" s="59"/>
      <c r="F797" s="312"/>
      <c r="G797" s="312"/>
      <c r="H797" s="31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302"/>
      <c r="D798" s="302"/>
      <c r="E798" s="59"/>
      <c r="F798" s="312"/>
      <c r="G798" s="312"/>
      <c r="H798" s="31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302"/>
      <c r="D799" s="302"/>
      <c r="E799" s="59"/>
      <c r="F799" s="312"/>
      <c r="G799" s="312"/>
      <c r="H799" s="31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302"/>
      <c r="D800" s="302"/>
      <c r="E800" s="59"/>
      <c r="F800" s="312"/>
      <c r="G800" s="312"/>
      <c r="H800" s="31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302"/>
      <c r="D801" s="302"/>
      <c r="E801" s="59"/>
      <c r="F801" s="312"/>
      <c r="G801" s="312"/>
      <c r="H801" s="31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302"/>
      <c r="D802" s="302"/>
      <c r="E802" s="59"/>
      <c r="F802" s="312"/>
      <c r="G802" s="312"/>
      <c r="H802" s="31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302"/>
      <c r="D803" s="302"/>
      <c r="E803" s="59"/>
      <c r="F803" s="312"/>
      <c r="G803" s="312"/>
      <c r="H803" s="31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302"/>
      <c r="D804" s="302"/>
      <c r="E804" s="59"/>
      <c r="F804" s="312"/>
      <c r="G804" s="312"/>
      <c r="H804" s="31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302"/>
      <c r="D805" s="302"/>
      <c r="E805" s="59"/>
      <c r="F805" s="312"/>
      <c r="G805" s="312"/>
      <c r="H805" s="31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302"/>
      <c r="D806" s="302"/>
      <c r="E806" s="59"/>
      <c r="F806" s="312"/>
      <c r="G806" s="312"/>
      <c r="H806" s="31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302"/>
      <c r="D807" s="302"/>
      <c r="E807" s="59"/>
      <c r="F807" s="312"/>
      <c r="G807" s="312"/>
      <c r="H807" s="31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302"/>
      <c r="D808" s="302"/>
      <c r="E808" s="59"/>
      <c r="F808" s="312"/>
      <c r="G808" s="312"/>
      <c r="H808" s="31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302"/>
      <c r="D809" s="302"/>
      <c r="E809" s="59"/>
      <c r="F809" s="312"/>
      <c r="G809" s="312"/>
      <c r="H809" s="31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302"/>
      <c r="D810" s="302"/>
      <c r="E810" s="59"/>
      <c r="F810" s="312"/>
      <c r="G810" s="312"/>
      <c r="H810" s="31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302"/>
      <c r="D811" s="302"/>
      <c r="E811" s="59"/>
      <c r="F811" s="312"/>
      <c r="G811" s="312"/>
      <c r="H811" s="31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302"/>
      <c r="D812" s="302"/>
      <c r="E812" s="59"/>
      <c r="F812" s="312"/>
      <c r="G812" s="312"/>
      <c r="H812" s="31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302"/>
      <c r="D813" s="302"/>
      <c r="E813" s="59"/>
      <c r="F813" s="312"/>
      <c r="G813" s="312"/>
      <c r="H813" s="31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302"/>
      <c r="D814" s="302"/>
      <c r="E814" s="59"/>
      <c r="F814" s="312"/>
      <c r="G814" s="312"/>
      <c r="H814" s="31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302"/>
      <c r="D815" s="302"/>
      <c r="E815" s="59"/>
      <c r="F815" s="312"/>
      <c r="G815" s="312"/>
      <c r="H815" s="31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302"/>
      <c r="D816" s="302"/>
      <c r="E816" s="59"/>
      <c r="F816" s="312"/>
      <c r="G816" s="312"/>
      <c r="H816" s="31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302"/>
      <c r="D817" s="302"/>
      <c r="E817" s="59"/>
      <c r="F817" s="312"/>
      <c r="G817" s="312"/>
      <c r="H817" s="31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302"/>
      <c r="D818" s="302"/>
      <c r="E818" s="59"/>
      <c r="F818" s="312"/>
      <c r="G818" s="312"/>
      <c r="H818" s="31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302"/>
      <c r="D819" s="302"/>
      <c r="E819" s="59"/>
      <c r="F819" s="312"/>
      <c r="G819" s="312"/>
      <c r="H819" s="31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302"/>
      <c r="D820" s="302"/>
      <c r="E820" s="59"/>
      <c r="F820" s="312"/>
      <c r="G820" s="312"/>
      <c r="H820" s="31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302"/>
      <c r="D821" s="302"/>
      <c r="E821" s="59"/>
      <c r="F821" s="312"/>
      <c r="G821" s="312"/>
      <c r="H821" s="31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302"/>
      <c r="D822" s="302"/>
      <c r="E822" s="59"/>
      <c r="F822" s="312"/>
      <c r="G822" s="312"/>
      <c r="H822" s="31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302"/>
      <c r="D823" s="302"/>
      <c r="E823" s="59"/>
      <c r="F823" s="312"/>
      <c r="G823" s="312"/>
      <c r="H823" s="31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302"/>
      <c r="D824" s="302"/>
      <c r="E824" s="59"/>
      <c r="F824" s="312"/>
      <c r="G824" s="312"/>
      <c r="H824" s="31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302"/>
      <c r="D825" s="302"/>
      <c r="E825" s="59"/>
      <c r="F825" s="312"/>
      <c r="G825" s="312"/>
      <c r="H825" s="31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302"/>
      <c r="D826" s="302"/>
      <c r="E826" s="59"/>
      <c r="F826" s="312"/>
      <c r="G826" s="312"/>
      <c r="H826" s="31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302"/>
      <c r="D827" s="302"/>
      <c r="E827" s="59"/>
      <c r="F827" s="312"/>
      <c r="G827" s="312"/>
      <c r="H827" s="31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302"/>
      <c r="D828" s="302"/>
      <c r="E828" s="59"/>
      <c r="F828" s="312"/>
      <c r="G828" s="312"/>
      <c r="H828" s="31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302"/>
      <c r="D829" s="302"/>
      <c r="E829" s="59"/>
      <c r="F829" s="312"/>
      <c r="G829" s="312"/>
      <c r="H829" s="31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302"/>
      <c r="D830" s="302"/>
      <c r="E830" s="59"/>
      <c r="F830" s="312"/>
      <c r="G830" s="312"/>
      <c r="H830" s="31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302"/>
      <c r="D831" s="302"/>
      <c r="E831" s="59"/>
      <c r="F831" s="312"/>
      <c r="G831" s="312"/>
      <c r="H831" s="31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302"/>
      <c r="D832" s="302"/>
      <c r="E832" s="59"/>
      <c r="F832" s="312"/>
      <c r="G832" s="312"/>
      <c r="H832" s="31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302"/>
      <c r="D833" s="302"/>
      <c r="E833" s="59"/>
      <c r="F833" s="312"/>
      <c r="G833" s="312"/>
      <c r="H833" s="31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302"/>
      <c r="D834" s="302"/>
      <c r="E834" s="59"/>
      <c r="F834" s="312"/>
      <c r="G834" s="312"/>
      <c r="H834" s="31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302"/>
      <c r="D835" s="302"/>
      <c r="E835" s="59"/>
      <c r="F835" s="312"/>
      <c r="G835" s="312"/>
      <c r="H835" s="31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302"/>
      <c r="D836" s="302"/>
      <c r="E836" s="59"/>
      <c r="F836" s="312"/>
      <c r="G836" s="312"/>
      <c r="H836" s="31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302"/>
      <c r="D837" s="302"/>
      <c r="E837" s="59"/>
      <c r="F837" s="312"/>
      <c r="G837" s="312"/>
      <c r="H837" s="31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302"/>
      <c r="D838" s="302"/>
      <c r="E838" s="59"/>
      <c r="F838" s="312"/>
      <c r="G838" s="312"/>
      <c r="H838" s="31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302"/>
      <c r="D839" s="302"/>
      <c r="E839" s="59"/>
      <c r="F839" s="312"/>
      <c r="G839" s="312"/>
      <c r="H839" s="31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302"/>
      <c r="D840" s="302"/>
      <c r="E840" s="59"/>
      <c r="F840" s="312"/>
      <c r="G840" s="312"/>
      <c r="H840" s="31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302"/>
      <c r="D841" s="302"/>
      <c r="E841" s="59"/>
      <c r="F841" s="312"/>
      <c r="G841" s="312"/>
      <c r="H841" s="31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302"/>
      <c r="D842" s="302"/>
      <c r="E842" s="59"/>
      <c r="F842" s="312"/>
      <c r="G842" s="312"/>
      <c r="H842" s="31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302"/>
      <c r="D843" s="302"/>
      <c r="E843" s="59"/>
      <c r="F843" s="312"/>
      <c r="G843" s="312"/>
      <c r="H843" s="31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302"/>
      <c r="D844" s="302"/>
      <c r="E844" s="59"/>
      <c r="F844" s="312"/>
      <c r="G844" s="312"/>
      <c r="H844" s="31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302"/>
      <c r="D845" s="302"/>
      <c r="E845" s="59"/>
      <c r="F845" s="312"/>
      <c r="G845" s="312"/>
      <c r="H845" s="31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302"/>
      <c r="D846" s="302"/>
      <c r="E846" s="59"/>
      <c r="F846" s="312"/>
      <c r="G846" s="312"/>
      <c r="H846" s="31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302"/>
      <c r="D847" s="302"/>
      <c r="E847" s="59"/>
      <c r="F847" s="312"/>
      <c r="G847" s="312"/>
      <c r="H847" s="31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302"/>
      <c r="D848" s="302"/>
      <c r="E848" s="59"/>
      <c r="F848" s="312"/>
      <c r="G848" s="312"/>
      <c r="H848" s="31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302"/>
      <c r="D849" s="302"/>
      <c r="E849" s="59"/>
      <c r="F849" s="312"/>
      <c r="G849" s="312"/>
      <c r="H849" s="31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302"/>
      <c r="D850" s="302"/>
      <c r="E850" s="59"/>
      <c r="F850" s="312"/>
      <c r="G850" s="312"/>
      <c r="H850" s="31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302"/>
      <c r="D851" s="302"/>
      <c r="E851" s="59"/>
      <c r="F851" s="312"/>
      <c r="G851" s="312"/>
      <c r="H851" s="31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302"/>
      <c r="D852" s="302"/>
      <c r="E852" s="59"/>
      <c r="F852" s="312"/>
      <c r="G852" s="312"/>
      <c r="H852" s="31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302"/>
      <c r="D853" s="302"/>
      <c r="E853" s="59"/>
      <c r="F853" s="312"/>
      <c r="G853" s="312"/>
      <c r="H853" s="31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302"/>
      <c r="D854" s="302"/>
      <c r="E854" s="59"/>
      <c r="F854" s="312"/>
      <c r="G854" s="312"/>
      <c r="H854" s="31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302"/>
      <c r="D855" s="302"/>
      <c r="E855" s="59"/>
      <c r="F855" s="312"/>
      <c r="G855" s="312"/>
      <c r="H855" s="31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302"/>
      <c r="D856" s="302"/>
      <c r="E856" s="59"/>
      <c r="F856" s="312"/>
      <c r="G856" s="312"/>
      <c r="H856" s="31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302"/>
      <c r="D857" s="302"/>
      <c r="E857" s="59"/>
      <c r="F857" s="312"/>
      <c r="G857" s="312"/>
      <c r="H857" s="31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302"/>
      <c r="D858" s="302"/>
      <c r="E858" s="59"/>
      <c r="F858" s="312"/>
      <c r="G858" s="312"/>
      <c r="H858" s="31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302"/>
      <c r="D859" s="302"/>
      <c r="E859" s="59"/>
      <c r="F859" s="312"/>
      <c r="G859" s="312"/>
      <c r="H859" s="31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302"/>
      <c r="D860" s="302"/>
      <c r="E860" s="59"/>
      <c r="F860" s="312"/>
      <c r="G860" s="312"/>
      <c r="H860" s="31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302"/>
      <c r="D861" s="302"/>
      <c r="E861" s="59"/>
      <c r="F861" s="312"/>
      <c r="G861" s="312"/>
      <c r="H861" s="31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302"/>
      <c r="D862" s="302"/>
      <c r="E862" s="59"/>
      <c r="F862" s="312"/>
      <c r="G862" s="312"/>
      <c r="H862" s="31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302"/>
      <c r="D863" s="302"/>
      <c r="E863" s="59"/>
      <c r="F863" s="312"/>
      <c r="G863" s="312"/>
      <c r="H863" s="31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302"/>
      <c r="D864" s="302"/>
      <c r="E864" s="59"/>
      <c r="F864" s="312"/>
      <c r="G864" s="312"/>
      <c r="H864" s="31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302"/>
      <c r="D865" s="302"/>
      <c r="E865" s="59"/>
      <c r="F865" s="312"/>
      <c r="G865" s="312"/>
      <c r="H865" s="31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302"/>
      <c r="D866" s="302"/>
      <c r="E866" s="59"/>
      <c r="F866" s="312"/>
      <c r="G866" s="312"/>
      <c r="H866" s="31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302"/>
      <c r="D867" s="302"/>
      <c r="E867" s="59"/>
      <c r="F867" s="312"/>
      <c r="G867" s="312"/>
      <c r="H867" s="31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302"/>
      <c r="D868" s="302"/>
      <c r="E868" s="59"/>
      <c r="F868" s="312"/>
      <c r="G868" s="312"/>
      <c r="H868" s="31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302"/>
      <c r="D869" s="302"/>
      <c r="E869" s="59"/>
      <c r="F869" s="312"/>
      <c r="G869" s="312"/>
      <c r="H869" s="31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302"/>
      <c r="D870" s="302"/>
      <c r="E870" s="59"/>
      <c r="F870" s="312"/>
      <c r="G870" s="312"/>
      <c r="H870" s="31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302"/>
      <c r="D871" s="302"/>
      <c r="E871" s="59"/>
      <c r="F871" s="312"/>
      <c r="G871" s="312"/>
      <c r="H871" s="31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302"/>
      <c r="D872" s="302"/>
      <c r="E872" s="59"/>
      <c r="F872" s="312"/>
      <c r="G872" s="312"/>
      <c r="H872" s="31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302"/>
      <c r="D873" s="302"/>
      <c r="E873" s="59"/>
      <c r="F873" s="312"/>
      <c r="G873" s="312"/>
      <c r="H873" s="31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302"/>
      <c r="D874" s="302"/>
      <c r="E874" s="59"/>
      <c r="F874" s="312"/>
      <c r="G874" s="312"/>
      <c r="H874" s="31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302"/>
      <c r="D875" s="302"/>
      <c r="E875" s="59"/>
      <c r="F875" s="312"/>
      <c r="G875" s="312"/>
      <c r="H875" s="31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302"/>
      <c r="D876" s="302"/>
      <c r="E876" s="59"/>
      <c r="F876" s="312"/>
      <c r="G876" s="312"/>
      <c r="H876" s="31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302"/>
      <c r="D877" s="302"/>
      <c r="E877" s="59"/>
      <c r="F877" s="312"/>
      <c r="G877" s="312"/>
      <c r="H877" s="31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302"/>
      <c r="D878" s="302"/>
      <c r="E878" s="59"/>
      <c r="F878" s="312"/>
      <c r="G878" s="312"/>
      <c r="H878" s="31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302"/>
      <c r="D879" s="302"/>
      <c r="E879" s="59"/>
      <c r="F879" s="312"/>
      <c r="G879" s="312"/>
      <c r="H879" s="31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302"/>
      <c r="D880" s="302"/>
      <c r="E880" s="59"/>
      <c r="F880" s="312"/>
      <c r="G880" s="312"/>
      <c r="H880" s="31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302"/>
      <c r="D881" s="302"/>
      <c r="E881" s="59"/>
      <c r="F881" s="312"/>
      <c r="G881" s="312"/>
      <c r="H881" s="31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302"/>
      <c r="D882" s="302"/>
      <c r="E882" s="59"/>
      <c r="F882" s="312"/>
      <c r="G882" s="312"/>
      <c r="H882" s="31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302"/>
      <c r="D883" s="302"/>
      <c r="E883" s="59"/>
      <c r="F883" s="312"/>
      <c r="G883" s="312"/>
      <c r="H883" s="31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302"/>
      <c r="D884" s="302"/>
      <c r="E884" s="59"/>
      <c r="F884" s="312"/>
      <c r="G884" s="312"/>
      <c r="H884" s="31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302"/>
      <c r="D885" s="302"/>
      <c r="E885" s="59"/>
      <c r="F885" s="312"/>
      <c r="G885" s="312"/>
      <c r="H885" s="31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302"/>
      <c r="D886" s="302"/>
      <c r="E886" s="59"/>
      <c r="F886" s="312"/>
      <c r="G886" s="312"/>
      <c r="H886" s="31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302"/>
      <c r="D887" s="302"/>
      <c r="E887" s="59"/>
      <c r="F887" s="312"/>
      <c r="G887" s="312"/>
      <c r="H887" s="31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302"/>
      <c r="D888" s="302"/>
      <c r="E888" s="59"/>
      <c r="F888" s="312"/>
      <c r="G888" s="312"/>
      <c r="H888" s="31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302"/>
      <c r="D889" s="302"/>
      <c r="E889" s="59"/>
      <c r="F889" s="312"/>
      <c r="G889" s="312"/>
      <c r="H889" s="31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302"/>
      <c r="D890" s="302"/>
      <c r="E890" s="59"/>
      <c r="F890" s="312"/>
      <c r="G890" s="312"/>
      <c r="H890" s="31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302"/>
      <c r="D891" s="302"/>
      <c r="E891" s="59"/>
      <c r="F891" s="312"/>
      <c r="G891" s="312"/>
      <c r="H891" s="31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302"/>
      <c r="D892" s="302"/>
      <c r="E892" s="59"/>
      <c r="F892" s="312"/>
      <c r="G892" s="312"/>
      <c r="H892" s="31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302"/>
      <c r="D893" s="302"/>
      <c r="E893" s="59"/>
      <c r="F893" s="312"/>
      <c r="G893" s="312"/>
      <c r="H893" s="31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302"/>
      <c r="D894" s="302"/>
      <c r="E894" s="59"/>
      <c r="F894" s="312"/>
      <c r="G894" s="312"/>
      <c r="H894" s="31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302"/>
      <c r="D895" s="302"/>
      <c r="E895" s="59"/>
      <c r="F895" s="312"/>
      <c r="G895" s="312"/>
      <c r="H895" s="31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302"/>
      <c r="D896" s="302"/>
      <c r="E896" s="59"/>
      <c r="F896" s="312"/>
      <c r="G896" s="312"/>
      <c r="H896" s="31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302"/>
      <c r="D897" s="302"/>
      <c r="E897" s="59"/>
      <c r="F897" s="312"/>
      <c r="G897" s="312"/>
      <c r="H897" s="31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302"/>
      <c r="D898" s="302"/>
      <c r="E898" s="59"/>
      <c r="F898" s="312"/>
      <c r="G898" s="312"/>
      <c r="H898" s="31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302"/>
      <c r="D899" s="302"/>
      <c r="E899" s="59"/>
      <c r="F899" s="312"/>
      <c r="G899" s="312"/>
      <c r="H899" s="31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302"/>
      <c r="D900" s="302"/>
      <c r="E900" s="59"/>
      <c r="F900" s="312"/>
      <c r="G900" s="312"/>
      <c r="H900" s="31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302"/>
      <c r="D901" s="302"/>
      <c r="E901" s="59"/>
      <c r="F901" s="312"/>
      <c r="G901" s="312"/>
      <c r="H901" s="31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302"/>
      <c r="D902" s="302"/>
      <c r="E902" s="59"/>
      <c r="F902" s="312"/>
      <c r="G902" s="312"/>
      <c r="H902" s="31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302"/>
      <c r="D903" s="302"/>
      <c r="E903" s="59"/>
      <c r="F903" s="312"/>
      <c r="G903" s="312"/>
      <c r="H903" s="31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302"/>
      <c r="D904" s="302"/>
      <c r="E904" s="59"/>
      <c r="F904" s="312"/>
      <c r="G904" s="312"/>
      <c r="H904" s="31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302"/>
      <c r="D905" s="302"/>
      <c r="E905" s="59"/>
      <c r="F905" s="312"/>
      <c r="G905" s="312"/>
      <c r="H905" s="31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302"/>
      <c r="D906" s="302"/>
      <c r="E906" s="59"/>
      <c r="F906" s="312"/>
      <c r="G906" s="312"/>
      <c r="H906" s="31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302"/>
      <c r="D907" s="302"/>
      <c r="E907" s="59"/>
      <c r="F907" s="312"/>
      <c r="G907" s="312"/>
      <c r="H907" s="31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302"/>
      <c r="D908" s="302"/>
      <c r="E908" s="59"/>
      <c r="F908" s="312"/>
      <c r="G908" s="312"/>
      <c r="H908" s="31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302"/>
      <c r="D909" s="302"/>
      <c r="E909" s="59"/>
      <c r="F909" s="312"/>
      <c r="G909" s="312"/>
      <c r="H909" s="31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302"/>
      <c r="D910" s="302"/>
      <c r="E910" s="59"/>
      <c r="F910" s="312"/>
      <c r="G910" s="312"/>
      <c r="H910" s="31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302"/>
      <c r="D911" s="302"/>
      <c r="E911" s="59"/>
      <c r="F911" s="312"/>
      <c r="G911" s="312"/>
      <c r="H911" s="31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302"/>
      <c r="D912" s="302"/>
      <c r="E912" s="59"/>
      <c r="F912" s="312"/>
      <c r="G912" s="312"/>
      <c r="H912" s="31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302"/>
      <c r="D913" s="302"/>
      <c r="E913" s="59"/>
      <c r="F913" s="312"/>
      <c r="G913" s="312"/>
      <c r="H913" s="31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302"/>
      <c r="D914" s="302"/>
      <c r="E914" s="59"/>
      <c r="F914" s="312"/>
      <c r="G914" s="312"/>
      <c r="H914" s="31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302"/>
      <c r="D915" s="302"/>
      <c r="E915" s="59"/>
      <c r="F915" s="312"/>
      <c r="G915" s="312"/>
      <c r="H915" s="31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302"/>
      <c r="D916" s="302"/>
      <c r="E916" s="59"/>
      <c r="F916" s="312"/>
      <c r="G916" s="312"/>
      <c r="H916" s="31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302"/>
      <c r="D917" s="302"/>
      <c r="E917" s="59"/>
      <c r="F917" s="312"/>
      <c r="G917" s="312"/>
      <c r="H917" s="31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302"/>
      <c r="D918" s="302"/>
      <c r="E918" s="59"/>
      <c r="F918" s="312"/>
      <c r="G918" s="312"/>
      <c r="H918" s="31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302"/>
      <c r="D919" s="302"/>
      <c r="E919" s="59"/>
      <c r="F919" s="312"/>
      <c r="G919" s="312"/>
      <c r="H919" s="31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302"/>
      <c r="D920" s="302"/>
      <c r="E920" s="59"/>
      <c r="F920" s="312"/>
      <c r="G920" s="312"/>
      <c r="H920" s="31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302"/>
      <c r="D921" s="302"/>
      <c r="E921" s="59"/>
      <c r="F921" s="312"/>
      <c r="G921" s="312"/>
      <c r="H921" s="31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302"/>
      <c r="D922" s="302"/>
      <c r="E922" s="59"/>
      <c r="F922" s="312"/>
      <c r="G922" s="312"/>
      <c r="H922" s="31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302"/>
      <c r="D923" s="302"/>
      <c r="E923" s="59"/>
      <c r="F923" s="312"/>
      <c r="G923" s="312"/>
      <c r="H923" s="31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302"/>
      <c r="D924" s="302"/>
      <c r="E924" s="59"/>
      <c r="F924" s="312"/>
      <c r="G924" s="312"/>
      <c r="H924" s="31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302"/>
      <c r="D925" s="302"/>
      <c r="E925" s="59"/>
      <c r="F925" s="312"/>
      <c r="G925" s="312"/>
      <c r="H925" s="31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302"/>
      <c r="D926" s="302"/>
      <c r="E926" s="59"/>
      <c r="F926" s="312"/>
      <c r="G926" s="312"/>
      <c r="H926" s="31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302"/>
      <c r="D927" s="302"/>
      <c r="E927" s="59"/>
      <c r="F927" s="312"/>
      <c r="G927" s="312"/>
      <c r="H927" s="31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302"/>
      <c r="D928" s="302"/>
      <c r="E928" s="59"/>
      <c r="F928" s="312"/>
      <c r="G928" s="312"/>
      <c r="H928" s="31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302"/>
      <c r="D929" s="302"/>
      <c r="E929" s="59"/>
      <c r="F929" s="312"/>
      <c r="G929" s="312"/>
      <c r="H929" s="31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302"/>
      <c r="D930" s="302"/>
      <c r="E930" s="59"/>
      <c r="F930" s="312"/>
      <c r="G930" s="312"/>
      <c r="H930" s="31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302"/>
      <c r="D931" s="302"/>
      <c r="E931" s="59"/>
      <c r="F931" s="312"/>
      <c r="G931" s="312"/>
      <c r="H931" s="31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302"/>
      <c r="D932" s="302"/>
      <c r="E932" s="59"/>
      <c r="F932" s="312"/>
      <c r="G932" s="312"/>
      <c r="H932" s="31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302"/>
      <c r="D933" s="302"/>
      <c r="E933" s="59"/>
      <c r="F933" s="312"/>
      <c r="G933" s="312"/>
      <c r="H933" s="31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302"/>
      <c r="D934" s="302"/>
      <c r="E934" s="59"/>
      <c r="F934" s="312"/>
      <c r="G934" s="312"/>
      <c r="H934" s="31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302"/>
      <c r="D935" s="302"/>
      <c r="E935" s="59"/>
      <c r="F935" s="312"/>
      <c r="G935" s="312"/>
      <c r="H935" s="31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302"/>
      <c r="D936" s="302"/>
      <c r="E936" s="59"/>
      <c r="F936" s="312"/>
      <c r="G936" s="312"/>
      <c r="H936" s="31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302"/>
      <c r="D937" s="302"/>
      <c r="E937" s="59"/>
      <c r="F937" s="312"/>
      <c r="G937" s="312"/>
      <c r="H937" s="31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302"/>
      <c r="D938" s="302"/>
      <c r="E938" s="59"/>
      <c r="F938" s="312"/>
      <c r="G938" s="312"/>
      <c r="H938" s="31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302"/>
      <c r="D939" s="302"/>
      <c r="E939" s="59"/>
      <c r="F939" s="312"/>
      <c r="G939" s="312"/>
      <c r="H939" s="31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302"/>
      <c r="D940" s="302"/>
      <c r="E940" s="59"/>
      <c r="F940" s="312"/>
      <c r="G940" s="312"/>
      <c r="H940" s="31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302"/>
      <c r="D941" s="302"/>
      <c r="E941" s="59"/>
      <c r="F941" s="312"/>
      <c r="G941" s="312"/>
      <c r="H941" s="31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302"/>
      <c r="D942" s="302"/>
      <c r="E942" s="59"/>
      <c r="F942" s="312"/>
      <c r="G942" s="312"/>
      <c r="H942" s="31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302"/>
      <c r="D943" s="302"/>
      <c r="E943" s="59"/>
      <c r="F943" s="312"/>
      <c r="G943" s="312"/>
      <c r="H943" s="31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302"/>
      <c r="D944" s="302"/>
      <c r="E944" s="59"/>
      <c r="F944" s="312"/>
      <c r="G944" s="312"/>
      <c r="H944" s="31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302"/>
      <c r="D945" s="302"/>
      <c r="E945" s="59"/>
      <c r="F945" s="312"/>
      <c r="G945" s="312"/>
      <c r="H945" s="31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302"/>
      <c r="D946" s="302"/>
      <c r="E946" s="59"/>
      <c r="F946" s="312"/>
      <c r="G946" s="312"/>
      <c r="H946" s="31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302"/>
      <c r="D947" s="302"/>
      <c r="E947" s="59"/>
      <c r="F947" s="312"/>
      <c r="G947" s="312"/>
      <c r="H947" s="31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302"/>
      <c r="D948" s="302"/>
      <c r="E948" s="59"/>
      <c r="F948" s="312"/>
      <c r="G948" s="312"/>
      <c r="H948" s="31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302"/>
      <c r="D949" s="302"/>
      <c r="E949" s="59"/>
      <c r="F949" s="312"/>
      <c r="G949" s="312"/>
      <c r="H949" s="31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302"/>
      <c r="D950" s="302"/>
      <c r="E950" s="59"/>
      <c r="F950" s="312"/>
      <c r="G950" s="312"/>
      <c r="H950" s="31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302"/>
      <c r="D951" s="302"/>
      <c r="E951" s="59"/>
      <c r="F951" s="312"/>
      <c r="G951" s="312"/>
      <c r="H951" s="31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302"/>
      <c r="D952" s="302"/>
      <c r="E952" s="59"/>
      <c r="F952" s="312"/>
      <c r="G952" s="312"/>
      <c r="H952" s="31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302"/>
      <c r="D953" s="302"/>
      <c r="E953" s="59"/>
      <c r="F953" s="312"/>
      <c r="G953" s="312"/>
      <c r="H953" s="31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302"/>
      <c r="D954" s="302"/>
      <c r="E954" s="59"/>
      <c r="F954" s="312"/>
      <c r="G954" s="312"/>
      <c r="H954" s="31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302"/>
      <c r="D955" s="302"/>
      <c r="E955" s="59"/>
      <c r="F955" s="312"/>
      <c r="G955" s="312"/>
      <c r="H955" s="31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302"/>
      <c r="D956" s="302"/>
      <c r="E956" s="59"/>
      <c r="F956" s="312"/>
      <c r="G956" s="312"/>
      <c r="H956" s="31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302"/>
      <c r="D957" s="302"/>
      <c r="E957" s="59"/>
      <c r="F957" s="312"/>
      <c r="G957" s="312"/>
      <c r="H957" s="31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302"/>
      <c r="D958" s="302"/>
      <c r="E958" s="59"/>
      <c r="F958" s="312"/>
      <c r="G958" s="312"/>
      <c r="H958" s="31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302"/>
      <c r="D959" s="302"/>
      <c r="E959" s="59"/>
      <c r="F959" s="312"/>
      <c r="G959" s="312"/>
      <c r="H959" s="31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302"/>
      <c r="D960" s="302"/>
      <c r="E960" s="59"/>
      <c r="F960" s="312"/>
      <c r="G960" s="312"/>
      <c r="H960" s="31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302"/>
      <c r="D961" s="302"/>
      <c r="E961" s="59"/>
      <c r="F961" s="312"/>
      <c r="G961" s="312"/>
      <c r="H961" s="31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302"/>
      <c r="D962" s="302"/>
      <c r="E962" s="59"/>
      <c r="F962" s="312"/>
      <c r="G962" s="312"/>
      <c r="H962" s="31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302"/>
      <c r="D963" s="302"/>
      <c r="E963" s="59"/>
      <c r="F963" s="312"/>
      <c r="G963" s="312"/>
      <c r="H963" s="31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302"/>
      <c r="D964" s="302"/>
      <c r="E964" s="59"/>
      <c r="F964" s="312"/>
      <c r="G964" s="312"/>
      <c r="H964" s="31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302"/>
      <c r="D965" s="302"/>
      <c r="E965" s="59"/>
      <c r="F965" s="312"/>
      <c r="G965" s="312"/>
      <c r="H965" s="31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302"/>
      <c r="D966" s="302"/>
      <c r="E966" s="59"/>
      <c r="F966" s="312"/>
      <c r="G966" s="312"/>
      <c r="H966" s="31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302"/>
      <c r="D967" s="302"/>
      <c r="E967" s="59"/>
      <c r="F967" s="312"/>
      <c r="G967" s="312"/>
      <c r="H967" s="31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302"/>
      <c r="D968" s="302"/>
      <c r="E968" s="59"/>
      <c r="F968" s="312"/>
      <c r="G968" s="312"/>
      <c r="H968" s="31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302"/>
      <c r="D969" s="302"/>
      <c r="E969" s="59"/>
      <c r="F969" s="312"/>
      <c r="G969" s="312"/>
      <c r="H969" s="31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302"/>
      <c r="D970" s="302"/>
      <c r="E970" s="59"/>
      <c r="F970" s="312"/>
      <c r="G970" s="312"/>
      <c r="H970" s="31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302"/>
      <c r="D971" s="302"/>
      <c r="E971" s="59"/>
      <c r="F971" s="312"/>
      <c r="G971" s="312"/>
      <c r="H971" s="31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302"/>
      <c r="D972" s="302"/>
      <c r="E972" s="59"/>
      <c r="F972" s="312"/>
      <c r="G972" s="312"/>
      <c r="H972" s="31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302"/>
      <c r="D973" s="302"/>
      <c r="E973" s="59"/>
      <c r="F973" s="312"/>
      <c r="G973" s="312"/>
      <c r="H973" s="31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302"/>
      <c r="D974" s="302"/>
      <c r="E974" s="59"/>
      <c r="F974" s="312"/>
      <c r="G974" s="312"/>
      <c r="H974" s="31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302"/>
      <c r="D975" s="302"/>
      <c r="E975" s="59"/>
      <c r="F975" s="312"/>
      <c r="G975" s="312"/>
      <c r="H975" s="31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302"/>
      <c r="D976" s="302"/>
      <c r="E976" s="59"/>
      <c r="F976" s="312"/>
      <c r="G976" s="312"/>
      <c r="H976" s="31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302"/>
      <c r="D977" s="302"/>
      <c r="E977" s="59"/>
      <c r="F977" s="312"/>
      <c r="G977" s="312"/>
      <c r="H977" s="31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302"/>
      <c r="D978" s="302"/>
      <c r="E978" s="59"/>
      <c r="F978" s="312"/>
      <c r="G978" s="312"/>
      <c r="H978" s="31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302"/>
      <c r="D979" s="302"/>
      <c r="E979" s="59"/>
      <c r="F979" s="312"/>
      <c r="G979" s="312"/>
      <c r="H979" s="31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302"/>
      <c r="D980" s="302"/>
      <c r="E980" s="59"/>
      <c r="F980" s="312"/>
      <c r="G980" s="312"/>
      <c r="H980" s="31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302"/>
      <c r="D981" s="302"/>
      <c r="E981" s="59"/>
      <c r="F981" s="312"/>
      <c r="G981" s="312"/>
      <c r="H981" s="31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302"/>
      <c r="D982" s="302"/>
      <c r="E982" s="59"/>
      <c r="F982" s="312"/>
      <c r="G982" s="312"/>
      <c r="H982" s="31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302"/>
      <c r="D983" s="302"/>
      <c r="E983" s="59"/>
      <c r="F983" s="312"/>
      <c r="G983" s="312"/>
      <c r="H983" s="31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302"/>
      <c r="D984" s="302"/>
      <c r="E984" s="59"/>
      <c r="F984" s="312"/>
      <c r="G984" s="312"/>
      <c r="H984" s="31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302"/>
      <c r="D985" s="302"/>
      <c r="E985" s="59"/>
      <c r="F985" s="312"/>
      <c r="G985" s="312"/>
      <c r="H985" s="31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302"/>
      <c r="D986" s="302"/>
      <c r="E986" s="59"/>
      <c r="F986" s="312"/>
      <c r="G986" s="312"/>
      <c r="H986" s="31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302"/>
      <c r="D987" s="302"/>
      <c r="E987" s="59"/>
      <c r="F987" s="312"/>
      <c r="G987" s="312"/>
      <c r="H987" s="31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302"/>
      <c r="D988" s="302"/>
      <c r="E988" s="59"/>
      <c r="F988" s="312"/>
      <c r="G988" s="312"/>
      <c r="H988" s="31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302"/>
      <c r="D989" s="302"/>
      <c r="E989" s="59"/>
      <c r="F989" s="312"/>
      <c r="G989" s="312"/>
      <c r="H989" s="31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302"/>
      <c r="D990" s="302"/>
      <c r="E990" s="59"/>
      <c r="F990" s="312"/>
      <c r="G990" s="312"/>
      <c r="H990" s="31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302"/>
      <c r="D991" s="302"/>
      <c r="E991" s="59"/>
      <c r="F991" s="312"/>
      <c r="G991" s="312"/>
      <c r="H991" s="31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302"/>
      <c r="D992" s="302"/>
      <c r="E992" s="59"/>
      <c r="F992" s="312"/>
      <c r="G992" s="312"/>
      <c r="H992" s="31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302"/>
      <c r="D993" s="302"/>
      <c r="E993" s="59"/>
      <c r="F993" s="312"/>
      <c r="G993" s="312"/>
      <c r="H993" s="31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302"/>
      <c r="D994" s="302"/>
      <c r="E994" s="59"/>
      <c r="F994" s="312"/>
      <c r="G994" s="312"/>
      <c r="H994" s="31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302"/>
      <c r="D995" s="302"/>
      <c r="E995" s="59"/>
      <c r="F995" s="312"/>
      <c r="G995" s="312"/>
      <c r="H995" s="31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302"/>
      <c r="D996" s="302"/>
      <c r="E996" s="59"/>
      <c r="F996" s="312"/>
      <c r="G996" s="312"/>
      <c r="H996" s="31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302"/>
      <c r="D997" s="302"/>
      <c r="E997" s="59"/>
      <c r="F997" s="312"/>
      <c r="G997" s="312"/>
      <c r="H997" s="31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302"/>
      <c r="D998" s="302"/>
      <c r="E998" s="59"/>
      <c r="F998" s="312"/>
      <c r="G998" s="312"/>
      <c r="H998" s="31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302"/>
      <c r="D999" s="302"/>
      <c r="E999" s="59"/>
      <c r="F999" s="312"/>
      <c r="G999" s="312"/>
      <c r="H999" s="31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302"/>
      <c r="D1000" s="302"/>
      <c r="E1000" s="59"/>
      <c r="F1000" s="312"/>
      <c r="G1000" s="312"/>
      <c r="H1000" s="31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.75" customHeight="1">
      <c r="A1001" s="2"/>
      <c r="B1001" s="2"/>
      <c r="C1001" s="302"/>
      <c r="D1001" s="302"/>
      <c r="E1001" s="59"/>
      <c r="F1001" s="312"/>
      <c r="G1001" s="312"/>
      <c r="H1001" s="31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.75" customHeight="1">
      <c r="A1002" s="2"/>
      <c r="B1002" s="2"/>
      <c r="C1002" s="302"/>
      <c r="D1002" s="302"/>
      <c r="E1002" s="59"/>
      <c r="F1002" s="312"/>
      <c r="G1002" s="312"/>
      <c r="H1002" s="31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.75" customHeight="1">
      <c r="A1003" s="2"/>
      <c r="B1003" s="2"/>
      <c r="C1003" s="302"/>
      <c r="D1003" s="302"/>
      <c r="E1003" s="59"/>
      <c r="F1003" s="312"/>
      <c r="G1003" s="312"/>
      <c r="H1003" s="31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.75" customHeight="1">
      <c r="A1004" s="2"/>
      <c r="B1004" s="2"/>
      <c r="C1004" s="302"/>
      <c r="D1004" s="302"/>
      <c r="E1004" s="59"/>
      <c r="F1004" s="312"/>
      <c r="G1004" s="312"/>
      <c r="H1004" s="31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5.75" customHeight="1">
      <c r="A1005" s="2"/>
      <c r="B1005" s="2"/>
      <c r="C1005" s="302"/>
      <c r="D1005" s="302"/>
      <c r="E1005" s="59"/>
      <c r="F1005" s="312"/>
      <c r="G1005" s="312"/>
      <c r="H1005" s="31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5.75" customHeight="1">
      <c r="A1006" s="2"/>
      <c r="B1006" s="2"/>
      <c r="C1006" s="302"/>
      <c r="D1006" s="302"/>
      <c r="E1006" s="59"/>
      <c r="F1006" s="312"/>
      <c r="G1006" s="312"/>
      <c r="H1006" s="31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5.75" customHeight="1">
      <c r="A1007" s="2"/>
      <c r="B1007" s="2"/>
      <c r="C1007" s="302"/>
      <c r="D1007" s="302"/>
      <c r="E1007" s="59"/>
      <c r="F1007" s="312"/>
      <c r="G1007" s="312"/>
      <c r="H1007" s="31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5.75" customHeight="1">
      <c r="A1008" s="2"/>
      <c r="B1008" s="2"/>
      <c r="C1008" s="302"/>
      <c r="D1008" s="302"/>
      <c r="E1008" s="59"/>
      <c r="F1008" s="312"/>
      <c r="G1008" s="312"/>
      <c r="H1008" s="31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3:8" ht="12.75">
      <c r="C1009" s="59"/>
      <c r="D1009" s="59"/>
      <c r="F1009" s="322"/>
      <c r="G1009" s="322"/>
      <c r="H1009" s="322"/>
    </row>
  </sheetData>
  <pageMargins left="0.25" right="0.25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00B0F0"/>
  </sheetPr>
  <dimension ref="A1:Z1000"/>
  <sheetViews>
    <sheetView topLeftCell="A12" workbookViewId="0"/>
  </sheetViews>
  <sheetFormatPr defaultColWidth="12.7109375" defaultRowHeight="15" customHeight="1"/>
  <cols>
    <col min="1" max="1" width="10.7109375" customWidth="1"/>
    <col min="2" max="2" width="74.85546875" customWidth="1"/>
    <col min="3" max="3" width="16.85546875" customWidth="1"/>
    <col min="4" max="4" width="16.42578125" customWidth="1"/>
    <col min="5" max="6" width="17.7109375" customWidth="1"/>
    <col min="7" max="7" width="17.42578125" customWidth="1"/>
    <col min="8" max="9" width="33.42578125" customWidth="1"/>
    <col min="10" max="10" width="16.42578125" hidden="1" customWidth="1"/>
    <col min="11" max="11" width="17.42578125" hidden="1" customWidth="1"/>
    <col min="12" max="12" width="49.85546875" hidden="1" customWidth="1"/>
    <col min="13" max="26" width="10.7109375" customWidth="1"/>
  </cols>
  <sheetData>
    <row r="1" spans="1:26" ht="12.75" hidden="1" customHeight="1">
      <c r="B1" s="197"/>
      <c r="C1" s="198">
        <v>2018</v>
      </c>
      <c r="D1" s="198">
        <v>2019</v>
      </c>
      <c r="E1" s="198">
        <v>2020</v>
      </c>
      <c r="F1" s="198"/>
      <c r="G1" s="198">
        <v>2021</v>
      </c>
      <c r="H1" s="198"/>
      <c r="I1" s="198"/>
      <c r="J1" s="197"/>
      <c r="K1" s="197"/>
      <c r="L1" s="197"/>
    </row>
    <row r="2" spans="1:26" ht="12.75" hidden="1" customHeight="1">
      <c r="B2" s="197" t="s">
        <v>998</v>
      </c>
      <c r="C2" s="197"/>
      <c r="D2" s="199">
        <f t="shared" ref="D2:E2" si="0">+C5</f>
        <v>299492.05819355196</v>
      </c>
      <c r="E2" s="199">
        <f t="shared" si="0"/>
        <v>1188415.0487953194</v>
      </c>
      <c r="F2" s="199"/>
      <c r="G2" s="199">
        <f>+E5</f>
        <v>2792019.9707177794</v>
      </c>
      <c r="H2" s="199"/>
      <c r="I2" s="199"/>
      <c r="J2" s="197"/>
      <c r="K2" s="197"/>
      <c r="L2" s="197"/>
    </row>
    <row r="3" spans="1:26" ht="12.75" hidden="1" customHeight="1">
      <c r="B3" s="197" t="s">
        <v>999</v>
      </c>
      <c r="C3" s="197"/>
      <c r="D3" s="197"/>
      <c r="E3" s="199">
        <f>2173604.92192246-570000</f>
        <v>1603604.9219224602</v>
      </c>
      <c r="F3" s="199"/>
      <c r="G3" s="199">
        <f>-4850953*4</f>
        <v>-19403812</v>
      </c>
      <c r="H3" s="199"/>
      <c r="I3" s="199"/>
      <c r="J3" s="197"/>
      <c r="K3" s="197"/>
      <c r="L3" s="197"/>
    </row>
    <row r="4" spans="1:26" ht="12.75" hidden="1" customHeight="1">
      <c r="B4" s="197" t="s">
        <v>1000</v>
      </c>
      <c r="C4" s="199">
        <f>1076644/3.5949</f>
        <v>299492.05819355196</v>
      </c>
      <c r="D4" s="199">
        <f>3168566/3.5645</f>
        <v>888922.99060176744</v>
      </c>
      <c r="E4" s="197"/>
      <c r="F4" s="197"/>
      <c r="G4" s="197"/>
      <c r="H4" s="197"/>
      <c r="I4" s="197"/>
      <c r="J4" s="197"/>
      <c r="K4" s="197"/>
      <c r="L4" s="197"/>
    </row>
    <row r="5" spans="1:26" ht="12.75" hidden="1" customHeight="1">
      <c r="B5" s="200" t="s">
        <v>1001</v>
      </c>
      <c r="C5" s="201">
        <f t="shared" ref="C5:E5" si="1">+SUM(C2:C4)</f>
        <v>299492.05819355196</v>
      </c>
      <c r="D5" s="201">
        <f t="shared" si="1"/>
        <v>1188415.0487953194</v>
      </c>
      <c r="E5" s="201">
        <f t="shared" si="1"/>
        <v>2792019.9707177794</v>
      </c>
      <c r="F5" s="201"/>
      <c r="G5" s="201">
        <f>+SUM(G2:G4)</f>
        <v>-16611792.02928222</v>
      </c>
      <c r="H5" s="199"/>
      <c r="I5" s="199"/>
      <c r="J5" s="197"/>
      <c r="K5" s="197"/>
      <c r="L5" s="197"/>
    </row>
    <row r="6" spans="1:26" ht="12.75" hidden="1" customHeight="1"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</row>
    <row r="7" spans="1:26" ht="12.75" hidden="1" customHeight="1">
      <c r="B7" s="197"/>
      <c r="C7" s="197"/>
      <c r="D7" s="197"/>
      <c r="E7" s="197" t="s">
        <v>1002</v>
      </c>
      <c r="F7" s="197"/>
      <c r="G7" s="197"/>
      <c r="H7" s="197"/>
      <c r="I7" s="197"/>
      <c r="J7" s="197"/>
      <c r="K7" s="197"/>
      <c r="L7" s="197"/>
    </row>
    <row r="8" spans="1:26" ht="12.75" hidden="1" customHeight="1"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</row>
    <row r="9" spans="1:26" ht="12.75" hidden="1" customHeight="1"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</row>
    <row r="10" spans="1:26" ht="12.75" hidden="1" customHeight="1">
      <c r="B10" s="202" t="s">
        <v>1003</v>
      </c>
      <c r="C10" s="202"/>
      <c r="D10" s="197"/>
      <c r="E10" s="197"/>
      <c r="F10" s="197"/>
      <c r="G10" s="197"/>
      <c r="H10" s="197"/>
      <c r="I10" s="197"/>
      <c r="J10" s="197"/>
      <c r="K10" s="197"/>
      <c r="L10" s="197"/>
    </row>
    <row r="11" spans="1:26" ht="12.75" hidden="1" customHeight="1">
      <c r="B11" s="202"/>
      <c r="C11" s="202"/>
      <c r="D11" s="197"/>
      <c r="E11" s="197"/>
      <c r="F11" s="197"/>
      <c r="G11" s="197"/>
      <c r="H11" s="197"/>
      <c r="I11" s="197"/>
      <c r="J11" s="197"/>
      <c r="K11" s="197"/>
      <c r="L11" s="197"/>
    </row>
    <row r="12" spans="1:26" ht="12.75" customHeight="1">
      <c r="B12" s="202" t="s">
        <v>1004</v>
      </c>
      <c r="C12" s="198">
        <v>2018</v>
      </c>
      <c r="D12" s="198">
        <v>2019</v>
      </c>
      <c r="E12" s="198">
        <v>2020</v>
      </c>
      <c r="F12" s="198">
        <v>2021</v>
      </c>
      <c r="G12" s="203"/>
      <c r="I12" s="204"/>
      <c r="J12" s="197"/>
      <c r="K12" s="197"/>
      <c r="L12" s="197"/>
    </row>
    <row r="13" spans="1:26" ht="12.75" customHeight="1">
      <c r="B13" s="197" t="s">
        <v>348</v>
      </c>
      <c r="C13" s="199">
        <v>0</v>
      </c>
      <c r="D13" s="199">
        <v>866635</v>
      </c>
      <c r="E13" s="199">
        <v>15116394</v>
      </c>
      <c r="F13" s="199">
        <f>-'P&amp;L USD CONS'!I7*1000</f>
        <v>163070240.40021294</v>
      </c>
      <c r="G13" s="199"/>
      <c r="H13" s="204"/>
      <c r="I13" s="199"/>
      <c r="J13" s="199"/>
      <c r="K13" s="205" t="s">
        <v>1005</v>
      </c>
      <c r="L13" s="197"/>
    </row>
    <row r="14" spans="1:26" ht="12.75" customHeight="1">
      <c r="A14" s="197"/>
      <c r="B14" s="197" t="s">
        <v>1006</v>
      </c>
      <c r="C14" s="199">
        <v>201051</v>
      </c>
      <c r="D14" s="199">
        <v>692900</v>
      </c>
      <c r="E14" s="199">
        <v>2297223</v>
      </c>
      <c r="F14" s="199">
        <f>'P&amp;L USD CONS'!I13*1000</f>
        <v>11109840.780000003</v>
      </c>
      <c r="G14" s="199"/>
      <c r="H14" s="199"/>
      <c r="I14" s="199"/>
      <c r="J14" s="199">
        <f>I13*0.07</f>
        <v>0</v>
      </c>
      <c r="K14" s="206">
        <f>J14-I14</f>
        <v>0</v>
      </c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 spans="1:26" ht="12.75" customHeight="1">
      <c r="A15" s="197"/>
      <c r="B15" s="197" t="s">
        <v>1007</v>
      </c>
      <c r="C15" s="207"/>
      <c r="D15" s="207">
        <f t="shared" ref="D15:F15" si="2">+D14/D13</f>
        <v>0.79952921356741879</v>
      </c>
      <c r="E15" s="207">
        <f t="shared" si="2"/>
        <v>0.15196898149122073</v>
      </c>
      <c r="F15" s="208">
        <f t="shared" si="2"/>
        <v>6.8129173984988467E-2</v>
      </c>
      <c r="G15" s="209"/>
      <c r="H15" s="209"/>
      <c r="I15" s="209"/>
      <c r="J15" s="210"/>
      <c r="K15" s="206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 spans="1:26" ht="12.75" customHeight="1">
      <c r="A16" s="197"/>
      <c r="B16" s="197" t="s">
        <v>1008</v>
      </c>
      <c r="C16" s="207"/>
      <c r="D16" s="207"/>
      <c r="E16" s="207">
        <f t="shared" ref="E16:F16" si="3">+AVERAGE(C14:E14)/AVERAGE(C13:E13)</f>
        <v>0.1996601520275037</v>
      </c>
      <c r="F16" s="208">
        <f t="shared" si="3"/>
        <v>7.8747312613903234E-2</v>
      </c>
      <c r="G16" s="211"/>
      <c r="H16" s="207"/>
      <c r="I16" s="211"/>
      <c r="J16" s="197"/>
      <c r="K16" s="212" t="e">
        <f>J14/I13</f>
        <v>#DIV/0!</v>
      </c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 spans="1:26" ht="12.75" customHeight="1">
      <c r="A17" s="197"/>
      <c r="B17" s="197" t="s">
        <v>1009</v>
      </c>
      <c r="C17" s="197"/>
      <c r="D17" s="207"/>
      <c r="E17" s="213"/>
      <c r="F17" s="214">
        <f>AVERAGE(D13:F13)*0.07</f>
        <v>4177909.6193383024</v>
      </c>
      <c r="G17" s="197"/>
      <c r="H17" s="211"/>
      <c r="I17" s="211"/>
      <c r="J17" s="197"/>
      <c r="K17" s="199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 spans="1:26" ht="12.75" customHeight="1">
      <c r="A18" s="197"/>
      <c r="B18" s="197" t="s">
        <v>1010</v>
      </c>
      <c r="C18" s="197"/>
      <c r="D18" s="207"/>
      <c r="E18" s="213"/>
      <c r="F18" s="214">
        <f>AVERAGE(D14:F14)</f>
        <v>4699987.9266666677</v>
      </c>
      <c r="G18" s="207"/>
      <c r="H18" s="207"/>
      <c r="I18" s="207"/>
      <c r="J18" s="211">
        <f>+G18/0.04</f>
        <v>0</v>
      </c>
      <c r="K18" s="197" t="s">
        <v>1011</v>
      </c>
      <c r="L18" s="197" t="s">
        <v>1012</v>
      </c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 spans="1:26" ht="12.75" customHeight="1">
      <c r="A19" s="197"/>
      <c r="B19" s="197"/>
      <c r="C19" s="197"/>
      <c r="D19" s="197"/>
      <c r="E19" s="197"/>
      <c r="F19" s="214">
        <f>F17-F18</f>
        <v>-522078.30732836528</v>
      </c>
      <c r="G19" s="215">
        <f>F19*3</f>
        <v>-1566234.9219850958</v>
      </c>
      <c r="H19" s="216" t="s">
        <v>1013</v>
      </c>
      <c r="I19" s="197"/>
      <c r="J19" s="197"/>
      <c r="K19" s="197" t="s">
        <v>1014</v>
      </c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 spans="1:26" ht="12.75" customHeight="1">
      <c r="A20" s="197"/>
      <c r="B20" s="197"/>
      <c r="C20" s="197"/>
      <c r="D20" s="197"/>
      <c r="E20" s="197"/>
      <c r="F20" s="214"/>
      <c r="G20" s="21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spans="1:26" ht="12.75" customHeight="1">
      <c r="A21" s="197"/>
      <c r="B21" s="197" t="s">
        <v>1015</v>
      </c>
      <c r="C21" s="199">
        <v>500000</v>
      </c>
      <c r="D21" s="197"/>
      <c r="E21" s="199">
        <v>5748600</v>
      </c>
      <c r="F21" s="199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spans="1:26" ht="12.75" customHeight="1">
      <c r="A22" s="197"/>
      <c r="B22" s="197" t="s">
        <v>1016</v>
      </c>
      <c r="C22" s="197">
        <v>3.5949</v>
      </c>
      <c r="D22" s="197">
        <v>3.5644999999999998</v>
      </c>
      <c r="E22" s="197">
        <v>3.4424000000000001</v>
      </c>
      <c r="F22" s="197"/>
      <c r="G22" s="197">
        <v>3.2549000000000001</v>
      </c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spans="1:26" ht="12.75" customHeight="1">
      <c r="A23" s="197"/>
      <c r="B23" s="218" t="s">
        <v>1017</v>
      </c>
      <c r="C23" s="219">
        <f>+C21*C22</f>
        <v>1797450</v>
      </c>
      <c r="D23" s="197"/>
      <c r="E23" s="219">
        <f>+E21*E22</f>
        <v>19788980.640000001</v>
      </c>
      <c r="F23" s="219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spans="1:26" ht="12.75" customHeight="1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220">
        <v>993</v>
      </c>
      <c r="L24" s="221" t="s">
        <v>1018</v>
      </c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spans="1:26" ht="12.75" customHeight="1">
      <c r="A25" s="197"/>
      <c r="B25" s="197" t="s">
        <v>1019</v>
      </c>
      <c r="C25" s="197">
        <v>0</v>
      </c>
      <c r="D25" s="197">
        <v>0</v>
      </c>
      <c r="E25" s="207">
        <f>+E13/D13-1</f>
        <v>16.442630403803214</v>
      </c>
      <c r="F25" s="207"/>
      <c r="G25" s="207"/>
      <c r="H25" s="207"/>
      <c r="I25" s="207"/>
      <c r="J25" s="197"/>
      <c r="K25" s="222">
        <v>-181</v>
      </c>
      <c r="L25" s="223" t="s">
        <v>1020</v>
      </c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spans="1:26" ht="12.75" customHeight="1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224">
        <f>-(150+86)/3.25</f>
        <v>-72.615384615384613</v>
      </c>
      <c r="L26" s="223" t="s">
        <v>1021</v>
      </c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spans="1:26" ht="12.75" customHeight="1">
      <c r="A27" s="197"/>
      <c r="B27" s="218" t="s">
        <v>1022</v>
      </c>
      <c r="C27" s="197"/>
      <c r="D27" s="197"/>
      <c r="E27" s="197"/>
      <c r="F27" s="197"/>
      <c r="G27" s="197"/>
      <c r="H27" s="197"/>
      <c r="I27" s="197"/>
      <c r="J27" s="197"/>
      <c r="K27" s="222"/>
      <c r="L27" s="223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spans="1:26" ht="12.75" customHeight="1">
      <c r="A28" s="197"/>
      <c r="B28" s="197" t="s">
        <v>1023</v>
      </c>
      <c r="C28" s="197">
        <v>3</v>
      </c>
      <c r="D28" s="197">
        <v>13</v>
      </c>
      <c r="E28" s="197">
        <v>33</v>
      </c>
      <c r="F28" s="197"/>
      <c r="G28" s="197">
        <v>67</v>
      </c>
      <c r="H28" s="197">
        <v>13</v>
      </c>
      <c r="I28" s="197">
        <f t="shared" ref="I28:I37" si="4">G28+H28</f>
        <v>80</v>
      </c>
      <c r="J28" s="197"/>
      <c r="K28" s="225">
        <f>K24+K25+K26</f>
        <v>739.38461538461536</v>
      </c>
      <c r="L28" s="226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spans="1:26" ht="12.75" customHeight="1">
      <c r="A29" s="197"/>
      <c r="B29" s="197" t="s">
        <v>1024</v>
      </c>
      <c r="C29" s="197">
        <v>0</v>
      </c>
      <c r="D29" s="207">
        <f t="shared" ref="D29:E29" si="5">+D28/C28-1</f>
        <v>3.333333333333333</v>
      </c>
      <c r="E29" s="207">
        <f t="shared" si="5"/>
        <v>1.5384615384615383</v>
      </c>
      <c r="F29" s="207"/>
      <c r="G29" s="207">
        <f>+G28/E28-1</f>
        <v>1.0303030303030303</v>
      </c>
      <c r="H29" s="207"/>
      <c r="I29" s="207">
        <f t="shared" si="4"/>
        <v>1.0303030303030303</v>
      </c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spans="1:26" ht="12.75" customHeight="1">
      <c r="A30" s="197"/>
      <c r="B30" s="197"/>
      <c r="C30" s="197"/>
      <c r="D30" s="197"/>
      <c r="E30" s="197"/>
      <c r="F30" s="197"/>
      <c r="G30" s="197"/>
      <c r="H30" s="197"/>
      <c r="I30" s="197">
        <f t="shared" si="4"/>
        <v>0</v>
      </c>
      <c r="J30" s="197"/>
      <c r="K30" s="220"/>
      <c r="L30" s="221" t="s">
        <v>1025</v>
      </c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spans="1:26" ht="12.75" customHeight="1">
      <c r="A31" s="197"/>
      <c r="B31" s="218" t="s">
        <v>1026</v>
      </c>
      <c r="C31" s="197"/>
      <c r="D31" s="197"/>
      <c r="E31" s="197"/>
      <c r="F31" s="197"/>
      <c r="G31" s="197"/>
      <c r="H31" s="197"/>
      <c r="I31" s="197">
        <f t="shared" si="4"/>
        <v>0</v>
      </c>
      <c r="J31" s="197"/>
      <c r="K31" s="227">
        <v>3461</v>
      </c>
      <c r="L31" s="223" t="s">
        <v>1027</v>
      </c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spans="1:26" ht="12.75" hidden="1" customHeight="1">
      <c r="A32" s="197"/>
      <c r="B32" s="197" t="s">
        <v>1028</v>
      </c>
      <c r="C32" s="199">
        <f>(330825+326191)/C22</f>
        <v>182763.35920331581</v>
      </c>
      <c r="D32" s="199">
        <f>449059+791642/$D$22</f>
        <v>671149.61579464166</v>
      </c>
      <c r="E32" s="199">
        <v>1527152</v>
      </c>
      <c r="F32" s="199"/>
      <c r="G32" s="199">
        <v>5994309</v>
      </c>
      <c r="H32" s="199"/>
      <c r="I32" s="199">
        <f t="shared" si="4"/>
        <v>5994309</v>
      </c>
      <c r="J32" s="197"/>
      <c r="K32" s="222"/>
      <c r="L32" s="223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spans="1:26" ht="12.75" customHeight="1">
      <c r="A33" s="197"/>
      <c r="B33" s="197" t="s">
        <v>1029</v>
      </c>
      <c r="C33" s="228">
        <v>2</v>
      </c>
      <c r="D33" s="228">
        <v>9</v>
      </c>
      <c r="E33" s="228">
        <v>23</v>
      </c>
      <c r="F33" s="228"/>
      <c r="G33" s="228">
        <v>40</v>
      </c>
      <c r="H33" s="228">
        <v>6</v>
      </c>
      <c r="I33" s="228">
        <f t="shared" si="4"/>
        <v>46</v>
      </c>
      <c r="J33" s="228"/>
      <c r="K33" s="227">
        <f>651*5</f>
        <v>3255</v>
      </c>
      <c r="L33" s="223" t="s">
        <v>1030</v>
      </c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spans="1:26" ht="12.75" hidden="1" customHeight="1">
      <c r="A34" s="197"/>
      <c r="B34" s="197" t="s">
        <v>1031</v>
      </c>
      <c r="C34" s="199">
        <f>+(142534+73203)+C32</f>
        <v>398500.35920331581</v>
      </c>
      <c r="D34" s="199">
        <f>958816+791642/$D$22+358000/$D$22</f>
        <v>1281341.4593912191</v>
      </c>
      <c r="E34" s="199">
        <v>2005609</v>
      </c>
      <c r="F34" s="199"/>
      <c r="G34" s="199">
        <v>9020946.9696969725</v>
      </c>
      <c r="H34" s="199"/>
      <c r="I34" s="199">
        <f t="shared" si="4"/>
        <v>9020946.9696969725</v>
      </c>
      <c r="J34" s="197"/>
      <c r="K34" s="222"/>
      <c r="L34" s="223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spans="1:26" ht="12.75" customHeight="1">
      <c r="A35" s="197"/>
      <c r="B35" s="197" t="s">
        <v>1032</v>
      </c>
      <c r="C35" s="228">
        <f t="shared" ref="C35:E35" si="6">+C28</f>
        <v>3</v>
      </c>
      <c r="D35" s="228">
        <f t="shared" si="6"/>
        <v>13</v>
      </c>
      <c r="E35" s="228">
        <f t="shared" si="6"/>
        <v>33</v>
      </c>
      <c r="F35" s="228"/>
      <c r="G35" s="228">
        <f>+G28</f>
        <v>67</v>
      </c>
      <c r="H35" s="228">
        <v>13</v>
      </c>
      <c r="I35" s="228">
        <f t="shared" si="4"/>
        <v>80</v>
      </c>
      <c r="J35" s="197"/>
      <c r="K35" s="222"/>
      <c r="L35" s="223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spans="1:26" ht="12.75" hidden="1" customHeight="1">
      <c r="A36" s="197"/>
      <c r="B36" s="197" t="s">
        <v>1033</v>
      </c>
      <c r="C36" s="207">
        <f t="shared" ref="C36:E36" si="7">+C32/C34</f>
        <v>0.45862784055878231</v>
      </c>
      <c r="D36" s="207">
        <f t="shared" si="7"/>
        <v>0.5237867009419277</v>
      </c>
      <c r="E36" s="207">
        <f t="shared" si="7"/>
        <v>0.76144054000555439</v>
      </c>
      <c r="F36" s="207"/>
      <c r="G36" s="207">
        <f t="shared" ref="G36:G37" si="8">+G32/G34</f>
        <v>0.66448777718525465</v>
      </c>
      <c r="H36" s="207"/>
      <c r="I36" s="207">
        <f t="shared" si="4"/>
        <v>0.66448777718525465</v>
      </c>
      <c r="J36" s="197"/>
      <c r="K36" s="222"/>
      <c r="L36" s="223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spans="1:26" ht="12.75" customHeight="1">
      <c r="A37" s="197"/>
      <c r="B37" s="197" t="s">
        <v>1034</v>
      </c>
      <c r="C37" s="207">
        <f t="shared" ref="C37:E37" si="9">+C33/C35</f>
        <v>0.66666666666666663</v>
      </c>
      <c r="D37" s="207">
        <f t="shared" si="9"/>
        <v>0.69230769230769229</v>
      </c>
      <c r="E37" s="207">
        <f t="shared" si="9"/>
        <v>0.69696969696969702</v>
      </c>
      <c r="F37" s="207"/>
      <c r="G37" s="207">
        <f t="shared" si="8"/>
        <v>0.59701492537313428</v>
      </c>
      <c r="H37" s="207">
        <f>+H33/H35</f>
        <v>0.46153846153846156</v>
      </c>
      <c r="I37" s="207">
        <f t="shared" si="4"/>
        <v>1.058553386911596</v>
      </c>
      <c r="J37" s="197"/>
      <c r="K37" s="229">
        <f>K31+K33</f>
        <v>6716</v>
      </c>
      <c r="L37" s="226" t="s">
        <v>1035</v>
      </c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spans="1:26" ht="12.75" customHeight="1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spans="1:26" ht="12.75" customHeight="1">
      <c r="A39" s="197"/>
      <c r="B39" s="197" t="s">
        <v>1036</v>
      </c>
      <c r="C39" s="230">
        <v>0.16</v>
      </c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 spans="1:26" ht="12.75" customHeight="1">
      <c r="A40" s="197"/>
      <c r="B40" s="197" t="s">
        <v>1037</v>
      </c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 spans="1:26" ht="12.75" customHeight="1">
      <c r="A41" s="197"/>
      <c r="B41" s="197" t="s">
        <v>1038</v>
      </c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spans="1:26" ht="12.75" customHeight="1"/>
    <row r="43" spans="1:26" ht="12.75" customHeight="1">
      <c r="A43" s="231"/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</row>
    <row r="44" spans="1:26" ht="12.75" hidden="1" customHeight="1">
      <c r="A44" s="197"/>
      <c r="B44" s="197"/>
      <c r="C44" s="197">
        <v>3.597</v>
      </c>
      <c r="D44" s="197">
        <v>3.5642999999999998</v>
      </c>
      <c r="E44" s="197">
        <v>3.4367000000000001</v>
      </c>
      <c r="F44" s="197"/>
      <c r="G44" s="197">
        <v>3.5882000000000001</v>
      </c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 spans="1:26" ht="12.75" hidden="1" customHeight="1">
      <c r="A45" s="197"/>
      <c r="B45" s="202" t="s">
        <v>1004</v>
      </c>
      <c r="C45" s="198">
        <v>2018</v>
      </c>
      <c r="D45" s="198">
        <v>2019</v>
      </c>
      <c r="E45" s="198">
        <v>2020</v>
      </c>
      <c r="F45" s="198"/>
      <c r="G45" s="198" t="s">
        <v>1039</v>
      </c>
      <c r="H45" s="232" t="s">
        <v>1040</v>
      </c>
      <c r="I45" s="232" t="s">
        <v>1041</v>
      </c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spans="1:26" ht="12.75" hidden="1" customHeight="1">
      <c r="A46" s="197"/>
      <c r="B46" s="197" t="s">
        <v>348</v>
      </c>
      <c r="C46" s="199"/>
      <c r="D46" s="140">
        <f>D13*D44</f>
        <v>3088947.1305</v>
      </c>
      <c r="E46" s="140">
        <f>E13*3.4367</f>
        <v>51950511.259800002</v>
      </c>
      <c r="F46" s="140"/>
      <c r="G46" s="140">
        <f>G13*3.4367</f>
        <v>0</v>
      </c>
      <c r="H46" s="233">
        <f>17500000*3*G44</f>
        <v>188380500</v>
      </c>
      <c r="I46" s="234">
        <f t="shared" ref="I46:I47" si="10">G46+H46</f>
        <v>188380500</v>
      </c>
      <c r="J46" s="199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spans="1:26" ht="12.75" hidden="1" customHeight="1">
      <c r="A47" s="197"/>
      <c r="B47" s="197" t="s">
        <v>1006</v>
      </c>
      <c r="C47" s="140">
        <f t="shared" ref="C47:E47" si="11">C14*C44</f>
        <v>723180.44700000004</v>
      </c>
      <c r="D47" s="140">
        <f t="shared" si="11"/>
        <v>2469703.4699999997</v>
      </c>
      <c r="E47" s="140">
        <f t="shared" si="11"/>
        <v>7894866.2840999998</v>
      </c>
      <c r="F47" s="140"/>
      <c r="G47" s="140">
        <f>G14*G44</f>
        <v>0</v>
      </c>
      <c r="H47" s="233">
        <f>(993000-200000)*3*G44</f>
        <v>8536327.8000000007</v>
      </c>
      <c r="I47" s="234">
        <f t="shared" si="10"/>
        <v>8536327.8000000007</v>
      </c>
      <c r="J47" s="199"/>
      <c r="K47" s="210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spans="1:26" ht="12.75" hidden="1" customHeight="1">
      <c r="A48" s="197"/>
      <c r="B48" s="197" t="s">
        <v>1007</v>
      </c>
      <c r="C48" s="207"/>
      <c r="D48" s="207">
        <f t="shared" ref="D48:E48" si="12">+D47/D46</f>
        <v>0.79952921356741868</v>
      </c>
      <c r="E48" s="207">
        <f t="shared" si="12"/>
        <v>0.15196898149122071</v>
      </c>
      <c r="F48" s="207"/>
      <c r="G48" s="207" t="e">
        <f t="shared" ref="G48:I48" si="13">+G47/G46</f>
        <v>#DIV/0!</v>
      </c>
      <c r="H48" s="207">
        <f t="shared" si="13"/>
        <v>4.5314285714285717E-2</v>
      </c>
      <c r="I48" s="207">
        <f t="shared" si="13"/>
        <v>4.5314285714285717E-2</v>
      </c>
      <c r="J48" s="210"/>
      <c r="K48" s="210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 spans="1:26" ht="12.75" hidden="1" customHeight="1">
      <c r="A49" s="197"/>
      <c r="B49" s="197" t="s">
        <v>1008</v>
      </c>
      <c r="C49" s="207"/>
      <c r="D49" s="207"/>
      <c r="E49" s="207">
        <f>+AVERAGE(C47:E47)/AVERAGE(C46:E46)</f>
        <v>0.13430062147382457</v>
      </c>
      <c r="F49" s="207"/>
      <c r="G49" s="207">
        <f t="shared" ref="G49:H49" si="14">+AVERAGE(D47:G47)/AVERAGE(D46:G46)</f>
        <v>0.18831162328309942</v>
      </c>
      <c r="H49" s="207">
        <f t="shared" si="14"/>
        <v>6.8369013212105742E-2</v>
      </c>
      <c r="I49" s="207">
        <f>+AVERAGE(G47:I47)/AVERAGE(G46:I46)</f>
        <v>4.5314285714285717E-2</v>
      </c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 spans="1:26" ht="12.75" hidden="1" customHeight="1">
      <c r="A50" s="197"/>
      <c r="B50" s="197" t="s">
        <v>1009</v>
      </c>
      <c r="C50" s="197"/>
      <c r="D50" s="207"/>
      <c r="E50" s="213"/>
      <c r="F50" s="213"/>
      <c r="G50" s="211">
        <f t="shared" ref="G50:H50" si="15">0.07*SUM(D46:G46)-SUM(D47:G47)</f>
        <v>-6511807.6667789984</v>
      </c>
      <c r="H50" s="211">
        <f t="shared" si="15"/>
        <v>391976.70408600196</v>
      </c>
      <c r="I50" s="211"/>
      <c r="J50" s="197"/>
      <c r="K50" s="199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spans="1:26" ht="12.75" hidden="1" customHeight="1">
      <c r="A51" s="197"/>
      <c r="B51" s="197"/>
      <c r="C51" s="197"/>
      <c r="D51" s="207"/>
      <c r="E51" s="213"/>
      <c r="F51" s="213"/>
      <c r="G51" s="211"/>
      <c r="H51" s="211"/>
      <c r="I51" s="211"/>
      <c r="J51" s="211">
        <f>+G50/0.04</f>
        <v>-162795191.66947496</v>
      </c>
      <c r="K51" s="197" t="s">
        <v>1011</v>
      </c>
      <c r="L51" s="197" t="s">
        <v>1012</v>
      </c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spans="1:26" ht="12.75" hidden="1" customHeight="1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 t="s">
        <v>1014</v>
      </c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 spans="1:26" ht="12.75" hidden="1" customHeight="1">
      <c r="A53" s="197"/>
      <c r="B53" s="197" t="s">
        <v>1015</v>
      </c>
      <c r="C53" s="199">
        <v>500000</v>
      </c>
      <c r="D53" s="197"/>
      <c r="E53" s="199">
        <v>5748600</v>
      </c>
      <c r="F53" s="199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 spans="1:26" ht="12.75" hidden="1" customHeight="1">
      <c r="A54" s="197"/>
      <c r="B54" s="197" t="s">
        <v>1016</v>
      </c>
      <c r="C54" s="197">
        <v>3.5949</v>
      </c>
      <c r="D54" s="197">
        <v>3.5644999999999998</v>
      </c>
      <c r="E54" s="197">
        <v>3.4424000000000001</v>
      </c>
      <c r="F54" s="197"/>
      <c r="G54" s="197">
        <v>3.2549000000000001</v>
      </c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spans="1:26" ht="12.75" hidden="1" customHeight="1">
      <c r="A55" s="197"/>
      <c r="B55" s="218" t="s">
        <v>1017</v>
      </c>
      <c r="C55" s="219">
        <f>+C53*C54</f>
        <v>1797450</v>
      </c>
      <c r="D55" s="197"/>
      <c r="E55" s="219">
        <f>+E53*E54</f>
        <v>19788980.640000001</v>
      </c>
      <c r="F55" s="219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spans="1:26" ht="12.75" hidden="1" customHeight="1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spans="1:26" ht="12.75" hidden="1" customHeight="1">
      <c r="A57" s="197"/>
      <c r="B57" s="197" t="s">
        <v>1019</v>
      </c>
      <c r="C57" s="197">
        <v>0</v>
      </c>
      <c r="D57" s="197">
        <v>0</v>
      </c>
      <c r="E57" s="207">
        <f>+E46/D46-1</f>
        <v>15.818193729133494</v>
      </c>
      <c r="F57" s="207"/>
      <c r="G57" s="207">
        <f>+G46/E46-1</f>
        <v>-1</v>
      </c>
      <c r="H57" s="207"/>
      <c r="I57" s="20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spans="1:26" ht="12.75" hidden="1" customHeigh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spans="1:26" ht="12.75" hidden="1" customHeight="1">
      <c r="A59" s="197"/>
      <c r="B59" s="218" t="s">
        <v>1022</v>
      </c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spans="1:26" ht="12.75" hidden="1" customHeight="1">
      <c r="A60" s="197"/>
      <c r="B60" s="197" t="s">
        <v>1023</v>
      </c>
      <c r="C60" s="197">
        <v>3</v>
      </c>
      <c r="D60" s="197">
        <v>13</v>
      </c>
      <c r="E60" s="197">
        <v>33</v>
      </c>
      <c r="F60" s="197"/>
      <c r="G60" s="197">
        <v>67</v>
      </c>
      <c r="H60" s="197">
        <v>13</v>
      </c>
      <c r="I60" s="197">
        <f t="shared" ref="I60:I69" si="16">G60+H60</f>
        <v>80</v>
      </c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 spans="1:26" ht="12.75" hidden="1" customHeight="1">
      <c r="A61" s="197"/>
      <c r="B61" s="197" t="s">
        <v>1024</v>
      </c>
      <c r="C61" s="197">
        <v>0</v>
      </c>
      <c r="D61" s="207">
        <f t="shared" ref="D61:E61" si="17">+D60/C60-1</f>
        <v>3.333333333333333</v>
      </c>
      <c r="E61" s="207">
        <f t="shared" si="17"/>
        <v>1.5384615384615383</v>
      </c>
      <c r="F61" s="207"/>
      <c r="G61" s="207">
        <f>+G60/E60-1</f>
        <v>1.0303030303030303</v>
      </c>
      <c r="H61" s="207"/>
      <c r="I61" s="207">
        <f t="shared" si="16"/>
        <v>1.0303030303030303</v>
      </c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 spans="1:26" ht="12.75" hidden="1" customHeight="1">
      <c r="A62" s="197"/>
      <c r="B62" s="197"/>
      <c r="C62" s="197"/>
      <c r="D62" s="197"/>
      <c r="E62" s="197"/>
      <c r="F62" s="197"/>
      <c r="G62" s="197"/>
      <c r="H62" s="197"/>
      <c r="I62" s="197">
        <f t="shared" si="16"/>
        <v>0</v>
      </c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 spans="1:26" ht="12.75" hidden="1" customHeight="1">
      <c r="A63" s="197"/>
      <c r="B63" s="218" t="s">
        <v>1026</v>
      </c>
      <c r="C63" s="197"/>
      <c r="D63" s="197"/>
      <c r="E63" s="197"/>
      <c r="F63" s="197"/>
      <c r="G63" s="197"/>
      <c r="H63" s="197"/>
      <c r="I63" s="197">
        <f t="shared" si="16"/>
        <v>0</v>
      </c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spans="1:26" ht="12.75" hidden="1" customHeight="1">
      <c r="A64" s="197"/>
      <c r="B64" s="197" t="s">
        <v>1028</v>
      </c>
      <c r="C64" s="199">
        <f>(330825+326191)/C54</f>
        <v>182763.35920331581</v>
      </c>
      <c r="D64" s="199">
        <f>449059+791642/$D$22</f>
        <v>671149.61579464166</v>
      </c>
      <c r="E64" s="199">
        <v>1527152</v>
      </c>
      <c r="F64" s="199"/>
      <c r="G64" s="199">
        <v>5994309</v>
      </c>
      <c r="H64" s="199"/>
      <c r="I64" s="199">
        <f t="shared" si="16"/>
        <v>5994309</v>
      </c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spans="1:26" ht="12.75" hidden="1" customHeight="1">
      <c r="A65" s="197"/>
      <c r="B65" s="197" t="s">
        <v>1029</v>
      </c>
      <c r="C65" s="228">
        <v>2</v>
      </c>
      <c r="D65" s="228">
        <v>9</v>
      </c>
      <c r="E65" s="228">
        <v>23</v>
      </c>
      <c r="F65" s="228"/>
      <c r="G65" s="228">
        <v>40</v>
      </c>
      <c r="H65" s="228">
        <v>6</v>
      </c>
      <c r="I65" s="228">
        <f t="shared" si="16"/>
        <v>46</v>
      </c>
      <c r="J65" s="228"/>
      <c r="K65" s="20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spans="1:26" ht="12.75" hidden="1" customHeight="1">
      <c r="A66" s="197"/>
      <c r="B66" s="197" t="s">
        <v>1031</v>
      </c>
      <c r="C66" s="199">
        <f>+(142534+73203)+C64</f>
        <v>398500.35920331581</v>
      </c>
      <c r="D66" s="199">
        <f>958816+791642/$D$22+358000/$D$22</f>
        <v>1281341.4593912191</v>
      </c>
      <c r="E66" s="199">
        <v>2005609</v>
      </c>
      <c r="F66" s="199"/>
      <c r="G66" s="199">
        <v>9020946.9696969725</v>
      </c>
      <c r="H66" s="199"/>
      <c r="I66" s="199">
        <f t="shared" si="16"/>
        <v>9020946.9696969725</v>
      </c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spans="1:26" ht="12.75" hidden="1" customHeight="1">
      <c r="A67" s="197"/>
      <c r="B67" s="197" t="s">
        <v>1032</v>
      </c>
      <c r="C67" s="228">
        <f t="shared" ref="C67:E67" si="18">+C60</f>
        <v>3</v>
      </c>
      <c r="D67" s="228">
        <f t="shared" si="18"/>
        <v>13</v>
      </c>
      <c r="E67" s="228">
        <f t="shared" si="18"/>
        <v>33</v>
      </c>
      <c r="F67" s="228"/>
      <c r="G67" s="228">
        <f>+G60</f>
        <v>67</v>
      </c>
      <c r="H67" s="228">
        <v>13</v>
      </c>
      <c r="I67" s="228">
        <f t="shared" si="16"/>
        <v>80</v>
      </c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spans="1:26" ht="12.75" hidden="1" customHeight="1">
      <c r="A68" s="197"/>
      <c r="B68" s="197" t="s">
        <v>1033</v>
      </c>
      <c r="C68" s="207">
        <f t="shared" ref="C68:E68" si="19">+C64/C66</f>
        <v>0.45862784055878231</v>
      </c>
      <c r="D68" s="207">
        <f t="shared" si="19"/>
        <v>0.5237867009419277</v>
      </c>
      <c r="E68" s="207">
        <f t="shared" si="19"/>
        <v>0.76144054000555439</v>
      </c>
      <c r="F68" s="207"/>
      <c r="G68" s="207">
        <f t="shared" ref="G68:G69" si="20">+G64/G66</f>
        <v>0.66448777718525465</v>
      </c>
      <c r="H68" s="207"/>
      <c r="I68" s="207">
        <f t="shared" si="16"/>
        <v>0.66448777718525465</v>
      </c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spans="1:26" ht="12.75" hidden="1" customHeight="1">
      <c r="A69" s="197"/>
      <c r="B69" s="197" t="s">
        <v>1034</v>
      </c>
      <c r="C69" s="207">
        <f t="shared" ref="C69:E69" si="21">+C65/C67</f>
        <v>0.66666666666666663</v>
      </c>
      <c r="D69" s="207">
        <f t="shared" si="21"/>
        <v>0.69230769230769229</v>
      </c>
      <c r="E69" s="207">
        <f t="shared" si="21"/>
        <v>0.69696969696969702</v>
      </c>
      <c r="F69" s="207"/>
      <c r="G69" s="207">
        <f t="shared" si="20"/>
        <v>0.59701492537313428</v>
      </c>
      <c r="H69" s="207">
        <f>+H65/H67</f>
        <v>0.46153846153846156</v>
      </c>
      <c r="I69" s="207">
        <f t="shared" si="16"/>
        <v>1.058553386911596</v>
      </c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spans="1:26" ht="12.75" hidden="1" customHeigh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spans="1:26" ht="12.75" hidden="1" customHeight="1">
      <c r="A71" s="197"/>
      <c r="B71" s="197" t="s">
        <v>1036</v>
      </c>
      <c r="C71" s="230">
        <v>0.16</v>
      </c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spans="1:26" ht="12.75" hidden="1" customHeight="1">
      <c r="A72" s="197"/>
      <c r="B72" s="197" t="s">
        <v>1037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 spans="1:26" ht="12.75" hidden="1" customHeight="1">
      <c r="A73" s="197"/>
      <c r="B73" s="197" t="s">
        <v>1038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 spans="1:26" ht="12.75" hidden="1" customHeigh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 spans="1:26" ht="12.75" hidden="1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 spans="1:26" ht="12.7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 spans="1:26" ht="12.75" customHeight="1"/>
    <row r="78" spans="1:26" ht="12.75" customHeight="1">
      <c r="I78" s="2"/>
      <c r="J78" s="2"/>
      <c r="K78" s="2"/>
      <c r="L78" s="2"/>
    </row>
    <row r="79" spans="1:26" ht="12.75" customHeight="1">
      <c r="I79" s="2"/>
      <c r="J79" s="2"/>
      <c r="K79" s="2"/>
      <c r="L79" s="2"/>
    </row>
    <row r="80" spans="1:26" ht="12.75" customHeight="1">
      <c r="I80" s="2"/>
      <c r="J80" s="87"/>
      <c r="K80" s="2"/>
      <c r="L80" s="2"/>
    </row>
    <row r="81" spans="9:12" ht="12.75" customHeight="1">
      <c r="I81" s="2"/>
      <c r="J81" s="87"/>
      <c r="K81" s="2"/>
      <c r="L81" s="2"/>
    </row>
    <row r="82" spans="9:12" ht="12.75" customHeight="1">
      <c r="I82" s="2"/>
      <c r="J82" s="87"/>
      <c r="K82" s="2"/>
      <c r="L82" s="2"/>
    </row>
    <row r="83" spans="9:12" ht="12.75" customHeight="1">
      <c r="I83" s="2"/>
      <c r="J83" s="87"/>
      <c r="K83" s="2"/>
      <c r="L83" s="2"/>
    </row>
    <row r="84" spans="9:12" ht="12.75" customHeight="1">
      <c r="I84" s="2"/>
      <c r="J84" s="87"/>
      <c r="K84" s="2"/>
      <c r="L84" s="2"/>
    </row>
    <row r="85" spans="9:12" ht="12.75" customHeight="1">
      <c r="I85" s="2"/>
      <c r="J85" s="87"/>
      <c r="K85" s="2"/>
      <c r="L85" s="2"/>
    </row>
    <row r="86" spans="9:12" ht="12.75" customHeight="1">
      <c r="I86" s="2"/>
      <c r="J86" s="87"/>
      <c r="K86" s="2"/>
      <c r="L86" s="2"/>
    </row>
    <row r="87" spans="9:12" ht="12.75" customHeight="1">
      <c r="I87" s="2"/>
      <c r="J87" s="87"/>
      <c r="K87" s="2"/>
      <c r="L87" s="2"/>
    </row>
    <row r="88" spans="9:12" ht="12.75" customHeight="1">
      <c r="I88" s="2"/>
      <c r="J88" s="2"/>
      <c r="K88" s="2"/>
      <c r="L88" s="2"/>
    </row>
    <row r="89" spans="9:12" ht="12.75" customHeight="1">
      <c r="I89" s="2"/>
      <c r="J89" s="87"/>
      <c r="K89" s="2"/>
      <c r="L89" s="2"/>
    </row>
    <row r="90" spans="9:12" ht="12.75" customHeight="1">
      <c r="I90" s="2"/>
      <c r="J90" s="2"/>
      <c r="K90" s="2"/>
      <c r="L90" s="2"/>
    </row>
    <row r="91" spans="9:12" ht="12.75" customHeight="1">
      <c r="I91" s="2"/>
      <c r="J91" s="2"/>
      <c r="K91" s="2"/>
      <c r="L91" s="2"/>
    </row>
    <row r="92" spans="9:12" ht="12.75" customHeight="1">
      <c r="I92" s="2"/>
      <c r="J92" s="2"/>
      <c r="K92" s="2"/>
      <c r="L92" s="2"/>
    </row>
    <row r="93" spans="9:12" ht="12.75" customHeight="1">
      <c r="I93" s="2"/>
      <c r="J93" s="2"/>
      <c r="K93" s="2"/>
      <c r="L93" s="2"/>
    </row>
    <row r="94" spans="9:12" ht="12.75" customHeight="1"/>
    <row r="95" spans="9:12" ht="12.75" customHeight="1"/>
    <row r="96" spans="9:1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D15:E15 E16:F16">
    <cfRule type="cellIs" dxfId="59" priority="1" operator="lessThan">
      <formula>0.07</formula>
    </cfRule>
  </conditionalFormatting>
  <conditionalFormatting sqref="D15:E15 E16:F16">
    <cfRule type="cellIs" dxfId="58" priority="2" operator="lessThan">
      <formula>0.0001</formula>
    </cfRule>
  </conditionalFormatting>
  <conditionalFormatting sqref="C25:I25">
    <cfRule type="cellIs" dxfId="57" priority="3" operator="greaterThan">
      <formula>0.25</formula>
    </cfRule>
  </conditionalFormatting>
  <conditionalFormatting sqref="C25:I25">
    <cfRule type="cellIs" dxfId="56" priority="4" operator="greaterThan">
      <formula>0.25</formula>
    </cfRule>
  </conditionalFormatting>
  <conditionalFormatting sqref="C23 E23:F23">
    <cfRule type="cellIs" dxfId="55" priority="5" operator="lessThan">
      <formula>8000000</formula>
    </cfRule>
  </conditionalFormatting>
  <conditionalFormatting sqref="C23 E23:F23">
    <cfRule type="cellIs" dxfId="54" priority="6" operator="greaterThan">
      <formula>8000000</formula>
    </cfRule>
  </conditionalFormatting>
  <conditionalFormatting sqref="G28:H28 J28">
    <cfRule type="cellIs" dxfId="53" priority="7" operator="greaterThan">
      <formula>49</formula>
    </cfRule>
  </conditionalFormatting>
  <conditionalFormatting sqref="C29:H29">
    <cfRule type="cellIs" dxfId="52" priority="8" operator="greaterThan">
      <formula>0.25</formula>
    </cfRule>
  </conditionalFormatting>
  <conditionalFormatting sqref="C36:H37">
    <cfRule type="cellIs" dxfId="51" priority="9" operator="greaterThan">
      <formula>0.2</formula>
    </cfRule>
  </conditionalFormatting>
  <conditionalFormatting sqref="K16">
    <cfRule type="cellIs" dxfId="50" priority="10" operator="lessThan">
      <formula>0.07</formula>
    </cfRule>
  </conditionalFormatting>
  <conditionalFormatting sqref="K16">
    <cfRule type="cellIs" dxfId="49" priority="11" operator="lessThan">
      <formula>0.0001</formula>
    </cfRule>
  </conditionalFormatting>
  <conditionalFormatting sqref="I28">
    <cfRule type="cellIs" dxfId="48" priority="12" operator="greaterThan">
      <formula>49</formula>
    </cfRule>
  </conditionalFormatting>
  <conditionalFormatting sqref="I29">
    <cfRule type="cellIs" dxfId="47" priority="13" operator="greaterThan">
      <formula>0.25</formula>
    </cfRule>
  </conditionalFormatting>
  <conditionalFormatting sqref="I36:I37">
    <cfRule type="cellIs" dxfId="46" priority="14" operator="greaterThan">
      <formula>0.2</formula>
    </cfRule>
  </conditionalFormatting>
  <conditionalFormatting sqref="D48:G48 E49:G49">
    <cfRule type="cellIs" dxfId="45" priority="15" operator="lessThan">
      <formula>0.07</formula>
    </cfRule>
  </conditionalFormatting>
  <conditionalFormatting sqref="D48:G48 E49:G49">
    <cfRule type="cellIs" dxfId="44" priority="16" operator="lessThan">
      <formula>0.0001</formula>
    </cfRule>
  </conditionalFormatting>
  <conditionalFormatting sqref="C57:I57">
    <cfRule type="cellIs" dxfId="43" priority="17" operator="greaterThan">
      <formula>0.25</formula>
    </cfRule>
  </conditionalFormatting>
  <conditionalFormatting sqref="C57:I57">
    <cfRule type="cellIs" dxfId="42" priority="18" operator="greaterThan">
      <formula>0.25</formula>
    </cfRule>
  </conditionalFormatting>
  <conditionalFormatting sqref="C55 E55:F55">
    <cfRule type="cellIs" dxfId="41" priority="19" operator="lessThan">
      <formula>8000000</formula>
    </cfRule>
  </conditionalFormatting>
  <conditionalFormatting sqref="C55 E55:F55">
    <cfRule type="cellIs" dxfId="40" priority="20" operator="greaterThan">
      <formula>8000000</formula>
    </cfRule>
  </conditionalFormatting>
  <conditionalFormatting sqref="G60:H60 J60">
    <cfRule type="cellIs" dxfId="39" priority="21" operator="greaterThan">
      <formula>49</formula>
    </cfRule>
  </conditionalFormatting>
  <conditionalFormatting sqref="C61:H61">
    <cfRule type="cellIs" dxfId="38" priority="22" operator="greaterThan">
      <formula>0.25</formula>
    </cfRule>
  </conditionalFormatting>
  <conditionalFormatting sqref="C68:H69">
    <cfRule type="cellIs" dxfId="37" priority="23" operator="greaterThan">
      <formula>0.2</formula>
    </cfRule>
  </conditionalFormatting>
  <conditionalFormatting sqref="H48:I49">
    <cfRule type="cellIs" dxfId="36" priority="24" operator="lessThan">
      <formula>0.07</formula>
    </cfRule>
  </conditionalFormatting>
  <conditionalFormatting sqref="H48:I49">
    <cfRule type="cellIs" dxfId="35" priority="25" operator="lessThan">
      <formula>0.0001</formula>
    </cfRule>
  </conditionalFormatting>
  <conditionalFormatting sqref="I60">
    <cfRule type="cellIs" dxfId="34" priority="26" operator="greaterThan">
      <formula>49</formula>
    </cfRule>
  </conditionalFormatting>
  <conditionalFormatting sqref="I61">
    <cfRule type="cellIs" dxfId="33" priority="27" operator="greaterThan">
      <formula>0.25</formula>
    </cfRule>
  </conditionalFormatting>
  <conditionalFormatting sqref="I68:I69">
    <cfRule type="cellIs" dxfId="32" priority="28" operator="greaterThan">
      <formula>0.2</formula>
    </cfRule>
  </conditionalFormatting>
  <conditionalFormatting sqref="F15">
    <cfRule type="cellIs" dxfId="31" priority="29" operator="lessThan">
      <formula>0.07</formula>
    </cfRule>
  </conditionalFormatting>
  <conditionalFormatting sqref="F15">
    <cfRule type="cellIs" dxfId="30" priority="30" operator="lessThan">
      <formula>0.0001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C1000"/>
  <sheetViews>
    <sheetView workbookViewId="0"/>
  </sheetViews>
  <sheetFormatPr defaultColWidth="12.7109375" defaultRowHeight="15" customHeight="1"/>
  <cols>
    <col min="1" max="1" width="34.7109375" customWidth="1"/>
    <col min="2" max="2" width="19.85546875" customWidth="1"/>
    <col min="3" max="3" width="11.140625" customWidth="1"/>
    <col min="7" max="7" width="12.85546875" customWidth="1"/>
    <col min="9" max="9" width="16.28515625" customWidth="1"/>
    <col min="10" max="10" width="10.85546875" customWidth="1"/>
    <col min="11" max="11" width="13.42578125" customWidth="1"/>
    <col min="12" max="13" width="10.85546875" customWidth="1"/>
    <col min="14" max="15" width="11.140625" customWidth="1"/>
    <col min="16" max="29" width="10.85546875" customWidth="1"/>
  </cols>
  <sheetData>
    <row r="1" spans="1:29" ht="12.75" customHeight="1">
      <c r="A1" s="2"/>
      <c r="B1" s="2"/>
      <c r="C1" s="2">
        <v>3</v>
      </c>
      <c r="D1" s="2">
        <f t="shared" ref="D1:I1" si="0">+C1+1</f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>
      <c r="A2" s="2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2.75" customHeight="1">
      <c r="A3" s="2" t="s">
        <v>374</v>
      </c>
      <c r="B3" s="1"/>
      <c r="C3" s="1"/>
      <c r="D3" s="235" t="s">
        <v>1042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.75" customHeight="1">
      <c r="A4" s="2"/>
      <c r="B4" s="236">
        <v>2017</v>
      </c>
      <c r="C4" s="237">
        <v>2018</v>
      </c>
      <c r="D4" s="236">
        <v>2019</v>
      </c>
      <c r="E4" s="236">
        <v>2020</v>
      </c>
      <c r="F4" s="236">
        <v>2021</v>
      </c>
      <c r="G4" s="236">
        <v>2022</v>
      </c>
      <c r="H4" s="236">
        <v>2023</v>
      </c>
      <c r="I4" s="7" t="s">
        <v>1043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.75" customHeight="1">
      <c r="A5" s="7">
        <v>2017</v>
      </c>
      <c r="B5" s="6">
        <f>I5/3</f>
        <v>53630.333333333336</v>
      </c>
      <c r="C5" s="6">
        <f t="shared" ref="C5:D5" si="1">B5</f>
        <v>53630.333333333336</v>
      </c>
      <c r="D5" s="6">
        <f t="shared" si="1"/>
        <v>53630.333333333336</v>
      </c>
      <c r="E5" s="6"/>
      <c r="F5" s="6"/>
      <c r="G5" s="6"/>
      <c r="H5" s="2"/>
      <c r="I5" s="238">
        <v>160891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2.75" customHeight="1">
      <c r="A6" s="7">
        <v>2018</v>
      </c>
      <c r="B6" s="6"/>
      <c r="C6" s="6">
        <f>I6/3</f>
        <v>241060.76666666663</v>
      </c>
      <c r="D6" s="6">
        <f t="shared" ref="D6:E6" si="2">C6</f>
        <v>241060.76666666663</v>
      </c>
      <c r="E6" s="6">
        <f t="shared" si="2"/>
        <v>241060.76666666663</v>
      </c>
      <c r="F6" s="6"/>
      <c r="G6" s="6"/>
      <c r="H6" s="2"/>
      <c r="I6" s="238">
        <v>723182.29999999993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>
      <c r="A7" s="7">
        <v>2019</v>
      </c>
      <c r="B7" s="6"/>
      <c r="C7" s="6"/>
      <c r="D7" s="6">
        <f t="shared" ref="D7:F7" si="3">+$I$7/3</f>
        <v>813428.31</v>
      </c>
      <c r="E7" s="6">
        <f t="shared" si="3"/>
        <v>813428.31</v>
      </c>
      <c r="F7" s="239">
        <f t="shared" si="3"/>
        <v>813428.31</v>
      </c>
      <c r="G7" s="6"/>
      <c r="H7" s="2"/>
      <c r="I7" s="238">
        <v>2440284.9300000002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>
      <c r="A8" s="7">
        <v>2020</v>
      </c>
      <c r="B8" s="1"/>
      <c r="C8" s="1"/>
      <c r="D8" s="1"/>
      <c r="E8" s="6">
        <f t="shared" ref="E8:G8" si="4">+$I$8/3</f>
        <v>2085326.3333333333</v>
      </c>
      <c r="F8" s="239">
        <f t="shared" si="4"/>
        <v>2085326.3333333333</v>
      </c>
      <c r="G8" s="6">
        <f t="shared" si="4"/>
        <v>2085326.3333333333</v>
      </c>
      <c r="H8" s="2"/>
      <c r="I8" s="238">
        <v>6255979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>
      <c r="A9" s="7">
        <v>2021</v>
      </c>
      <c r="B9" s="2"/>
      <c r="C9" s="2"/>
      <c r="D9" s="2"/>
      <c r="E9" s="2"/>
      <c r="F9" s="87">
        <f t="shared" ref="F9:H9" si="5">+$I$9/3</f>
        <v>10701137.856666664</v>
      </c>
      <c r="G9" s="87">
        <f t="shared" si="5"/>
        <v>10701137.856666664</v>
      </c>
      <c r="H9" s="87">
        <f t="shared" si="5"/>
        <v>10701137.856666664</v>
      </c>
      <c r="I9" s="87">
        <f>C21</f>
        <v>32103413.569999993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customHeight="1">
      <c r="A10" s="24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75" customHeight="1">
      <c r="A11" s="240"/>
      <c r="B11" s="2"/>
      <c r="C11" s="2"/>
      <c r="D11" s="2"/>
      <c r="E11" s="2"/>
      <c r="F11" s="2"/>
      <c r="G11" s="2"/>
      <c r="H11" s="2"/>
      <c r="I11" s="17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75" customHeight="1">
      <c r="A12" s="24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75" customHeight="1">
      <c r="A13" s="24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75" customHeight="1">
      <c r="A14" s="24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75" customHeight="1">
      <c r="A15" s="240"/>
      <c r="B15" s="2"/>
      <c r="C15" s="2"/>
      <c r="D15" s="2"/>
      <c r="E15" s="2"/>
      <c r="F15" s="2"/>
      <c r="G15" s="2"/>
      <c r="H15" s="2"/>
      <c r="I15" s="2"/>
      <c r="J15" s="2"/>
      <c r="K15" s="17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75" customHeight="1">
      <c r="A16" s="240"/>
      <c r="B16" s="2"/>
      <c r="C16" s="241">
        <v>44531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75" customHeight="1">
      <c r="A17" s="240" t="s">
        <v>1044</v>
      </c>
      <c r="B17" s="2"/>
      <c r="C17" s="242">
        <f>'P&amp;L LTD  USD'!J25</f>
        <v>33751917.849999994</v>
      </c>
      <c r="D17" s="24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75" customHeight="1">
      <c r="A18" s="2">
        <v>23012</v>
      </c>
      <c r="B18" s="2" t="s">
        <v>41</v>
      </c>
      <c r="C18" s="243">
        <f>-VLOOKUP(A18,'TB LTD 12.21'!D:F,3,0)</f>
        <v>-4931.25</v>
      </c>
      <c r="D18" s="8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75" customHeight="1">
      <c r="A19" s="2">
        <v>23011</v>
      </c>
      <c r="B19" s="2" t="s">
        <v>42</v>
      </c>
      <c r="C19" s="243">
        <f>-VLOOKUP(A19,'TB LTD 12.21'!D:F,3,0)</f>
        <v>-119695.6</v>
      </c>
      <c r="D19" s="8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75" customHeight="1">
      <c r="A20" s="2">
        <v>23031</v>
      </c>
      <c r="B20" s="244" t="s">
        <v>525</v>
      </c>
      <c r="C20" s="243">
        <f>-VLOOKUP(A20,'TB LTD 12.21'!D:F,3,0)</f>
        <v>-1523877.43</v>
      </c>
      <c r="D20" s="8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75" customHeight="1">
      <c r="A21" s="240"/>
      <c r="B21" s="2"/>
      <c r="C21" s="245">
        <f>+SUM(C17:C20)</f>
        <v>32103413.569999993</v>
      </c>
      <c r="D21" s="24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75" customHeight="1">
      <c r="A22" s="24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75" customHeight="1">
      <c r="A23" s="24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75" customHeight="1">
      <c r="A24" s="24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75" customHeight="1">
      <c r="A25" s="24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75" customHeight="1">
      <c r="A26" s="24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2.75" customHeight="1">
      <c r="A27" s="24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75" customHeight="1">
      <c r="A28" s="24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75" customHeight="1">
      <c r="A29" s="24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75" customHeight="1">
      <c r="A30" s="24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75" customHeight="1">
      <c r="A31" s="24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75" customHeight="1">
      <c r="A32" s="2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7EE5-6D48-394C-A1A4-C9D4D49919E2}">
  <sheetPr codeName="Sheet17">
    <tabColor rgb="FF7030A0"/>
  </sheetPr>
  <dimension ref="A1:D980"/>
  <sheetViews>
    <sheetView topLeftCell="A13" zoomScale="170" zoomScaleNormal="170" workbookViewId="0">
      <selection activeCell="C10" sqref="C10:C52"/>
    </sheetView>
  </sheetViews>
  <sheetFormatPr defaultColWidth="14.42578125" defaultRowHeight="15" customHeight="1" outlineLevelCol="1"/>
  <cols>
    <col min="1" max="1" width="22.85546875" style="371" customWidth="1"/>
    <col min="2" max="2" width="44.28515625" style="371" customWidth="1"/>
    <col min="3" max="3" width="12" style="371" customWidth="1" outlineLevel="1"/>
    <col min="4" max="4" width="15.7109375" style="371" bestFit="1" customWidth="1"/>
    <col min="5" max="5" width="15.140625" style="371" customWidth="1"/>
    <col min="6" max="6" width="25.85546875" style="371" customWidth="1"/>
    <col min="7" max="7" width="24.28515625" style="371" customWidth="1"/>
    <col min="8" max="8" width="26.42578125" style="371" customWidth="1"/>
    <col min="9" max="9" width="11.85546875" style="371" customWidth="1"/>
    <col min="10" max="10" width="18.85546875" style="371" customWidth="1"/>
    <col min="11" max="11" width="10.7109375" style="371" customWidth="1"/>
    <col min="12" max="12" width="12.42578125" style="371" customWidth="1"/>
    <col min="13" max="14" width="9.28515625" style="371" customWidth="1"/>
    <col min="15" max="15" width="9.140625" style="371" customWidth="1"/>
    <col min="16" max="16" width="11" style="371" bestFit="1" customWidth="1"/>
    <col min="17" max="17" width="12.140625" style="371" customWidth="1"/>
    <col min="18" max="18" width="3.7109375" style="371" customWidth="1"/>
    <col min="19" max="19" width="24.7109375" style="371" customWidth="1"/>
    <col min="20" max="20" width="12.7109375" style="371" customWidth="1"/>
    <col min="21" max="26" width="9.140625" style="371" customWidth="1"/>
    <col min="27" max="16384" width="14.42578125" style="371"/>
  </cols>
  <sheetData>
    <row r="1" spans="1:4">
      <c r="A1" s="270">
        <v>44561</v>
      </c>
    </row>
    <row r="2" spans="1:4">
      <c r="A2" s="272" t="s">
        <v>1065</v>
      </c>
    </row>
    <row r="3" spans="1:4">
      <c r="A3" s="272" t="s">
        <v>1066</v>
      </c>
    </row>
    <row r="4" spans="1:4">
      <c r="A4" s="272" t="s">
        <v>32</v>
      </c>
    </row>
    <row r="5" spans="1:4" ht="12.75"/>
    <row r="6" spans="1:4" ht="12.75"/>
    <row r="7" spans="1:4">
      <c r="B7" s="273" t="s">
        <v>1084</v>
      </c>
    </row>
    <row r="8" spans="1:4">
      <c r="B8" s="273"/>
    </row>
    <row r="9" spans="1:4">
      <c r="B9" s="272" t="s">
        <v>1070</v>
      </c>
      <c r="C9" s="386" t="s">
        <v>32</v>
      </c>
      <c r="D9" s="386" t="s">
        <v>1105</v>
      </c>
    </row>
    <row r="10" spans="1:4">
      <c r="B10" s="271" t="s">
        <v>1085</v>
      </c>
      <c r="C10" s="495">
        <f>'CF WP'!C41</f>
        <v>8067474.724535034</v>
      </c>
      <c r="D10" s="495">
        <f>'CF WP'!D41</f>
        <v>8067</v>
      </c>
    </row>
    <row r="11" spans="1:4">
      <c r="B11" s="271"/>
      <c r="C11" s="387"/>
      <c r="D11" s="387"/>
    </row>
    <row r="12" spans="1:4">
      <c r="B12" s="271" t="s">
        <v>1080</v>
      </c>
      <c r="C12" s="495">
        <f>'CF WP'!C44</f>
        <v>80801.5</v>
      </c>
      <c r="D12" s="495">
        <f>'CF WP'!D44</f>
        <v>81</v>
      </c>
    </row>
    <row r="13" spans="1:4">
      <c r="B13" s="271" t="s">
        <v>1087</v>
      </c>
      <c r="C13" s="495">
        <f>'CF WP'!C45</f>
        <v>1827183.8284866977</v>
      </c>
      <c r="D13" s="495">
        <f>'CF WP'!D45</f>
        <v>1827</v>
      </c>
    </row>
    <row r="14" spans="1:4">
      <c r="B14" s="271" t="s">
        <v>1088</v>
      </c>
      <c r="C14" s="495">
        <f>'CF WP'!C46</f>
        <v>-570768.42045432818</v>
      </c>
      <c r="D14" s="495">
        <f>'CF WP'!D46</f>
        <v>-571</v>
      </c>
    </row>
    <row r="15" spans="1:4">
      <c r="B15" s="271" t="s">
        <v>1110</v>
      </c>
      <c r="C15" s="495">
        <f>'CF WP'!C47</f>
        <v>18328.260000000057</v>
      </c>
      <c r="D15" s="495">
        <f>'CF WP'!D47</f>
        <v>18</v>
      </c>
    </row>
    <row r="16" spans="1:4">
      <c r="B16" s="272" t="s">
        <v>1257</v>
      </c>
      <c r="C16" s="616"/>
      <c r="D16" s="616"/>
    </row>
    <row r="17" spans="2:4">
      <c r="B17" s="271" t="str">
        <f>'CF WP'!B48</f>
        <v>Prepaid expenses and other current assets</v>
      </c>
      <c r="C17" s="495">
        <f>'CF WP'!C48</f>
        <v>-2318521.2999999975</v>
      </c>
      <c r="D17" s="495">
        <f>'CF WP'!D48</f>
        <v>-2319</v>
      </c>
    </row>
    <row r="18" spans="2:4">
      <c r="B18" s="271" t="str">
        <f>'CF WP'!B49</f>
        <v>Account receivable</v>
      </c>
      <c r="C18" s="495">
        <f>'CF WP'!C49</f>
        <v>-1095870.7100000002</v>
      </c>
      <c r="D18" s="495">
        <f>'CF WP'!D49</f>
        <v>-1096</v>
      </c>
    </row>
    <row r="19" spans="2:4">
      <c r="B19" s="271" t="str">
        <f>'CF WP'!B50</f>
        <v>Trade payables change</v>
      </c>
      <c r="C19" s="495">
        <f>'CF WP'!C50</f>
        <v>10773849.319999998</v>
      </c>
      <c r="D19" s="495">
        <f>'CF WP'!D50</f>
        <v>10774</v>
      </c>
    </row>
    <row r="20" spans="2:4">
      <c r="B20" s="271" t="str">
        <f>'CF WP'!B51</f>
        <v>Other accounts payable and accrued expenses</v>
      </c>
      <c r="C20" s="495">
        <f>'CF WP'!C51</f>
        <v>19521615.240350384</v>
      </c>
      <c r="D20" s="495">
        <f>'CF WP'!D51</f>
        <v>19522</v>
      </c>
    </row>
    <row r="21" spans="2:4">
      <c r="B21" s="271" t="str">
        <f>'CF WP'!B52</f>
        <v>Reserve - Wordpay</v>
      </c>
      <c r="C21" s="495">
        <f>'CF WP'!C52</f>
        <v>-199999</v>
      </c>
      <c r="D21" s="495">
        <f>'CF WP'!D52</f>
        <v>-200</v>
      </c>
    </row>
    <row r="22" spans="2:4">
      <c r="B22" s="271" t="str">
        <f>'CF WP'!B53</f>
        <v>Deposit</v>
      </c>
      <c r="C22" s="495">
        <f>'CF WP'!C53</f>
        <v>-15253.2</v>
      </c>
      <c r="D22" s="495">
        <f>'CF WP'!D53</f>
        <v>-15</v>
      </c>
    </row>
    <row r="23" spans="2:4">
      <c r="B23" s="271" t="str">
        <f>'CF WP'!B55</f>
        <v>Contract liability change</v>
      </c>
      <c r="C23" s="495">
        <f>'CF WP'!C55</f>
        <v>3485732</v>
      </c>
      <c r="D23" s="495">
        <f>'CF WP'!D55</f>
        <v>3486</v>
      </c>
    </row>
    <row r="24" spans="2:4">
      <c r="B24" s="271" t="str">
        <f>'CF WP'!B56</f>
        <v>Receivables for shares issued</v>
      </c>
      <c r="C24" s="495">
        <f>'CF WP'!C56</f>
        <v>50000</v>
      </c>
      <c r="D24" s="495">
        <f>'CF WP'!D56</f>
        <v>50</v>
      </c>
    </row>
    <row r="25" spans="2:4">
      <c r="B25" s="271" t="str">
        <f>'CF WP'!B57</f>
        <v>Operating lease ROU assets and liabilities, net</v>
      </c>
      <c r="C25" s="495">
        <f>'CF WP'!C57</f>
        <v>-23761.982917767426</v>
      </c>
      <c r="D25" s="495">
        <f>'CF WP'!D57</f>
        <v>-24</v>
      </c>
    </row>
    <row r="26" spans="2:4">
      <c r="B26" s="271" t="str">
        <f>'CF WP'!B58</f>
        <v>Shreholders loan</v>
      </c>
      <c r="C26" s="495">
        <f>'CF WP'!C58</f>
        <v>-14953</v>
      </c>
      <c r="D26" s="495">
        <f>'CF WP'!D58</f>
        <v>-15</v>
      </c>
    </row>
    <row r="27" spans="2:4">
      <c r="B27" s="271" t="str">
        <f>'CF WP'!B59</f>
        <v>Interest received</v>
      </c>
      <c r="C27" s="495">
        <f>'CF WP'!C59</f>
        <v>0</v>
      </c>
      <c r="D27" s="495">
        <f>'CF WP'!D59</f>
        <v>0</v>
      </c>
    </row>
    <row r="28" spans="2:4">
      <c r="B28" s="271"/>
      <c r="C28" s="676">
        <f>'CF WP'!C60</f>
        <v>31518382.535464987</v>
      </c>
      <c r="D28" s="676">
        <f>'CF WP'!D60</f>
        <v>31518</v>
      </c>
    </row>
    <row r="29" spans="2:4" ht="15.75" customHeight="1">
      <c r="B29" s="272"/>
      <c r="C29" s="388"/>
      <c r="D29" s="388"/>
    </row>
    <row r="30" spans="2:4" ht="15.75" customHeight="1">
      <c r="B30" s="272" t="s">
        <v>1091</v>
      </c>
      <c r="C30" s="677">
        <f>'CF WP'!C62</f>
        <v>39585857.26000002</v>
      </c>
      <c r="D30" s="677">
        <f>'CF WP'!D62</f>
        <v>39586</v>
      </c>
    </row>
    <row r="31" spans="2:4" ht="15.75" customHeight="1">
      <c r="B31" s="299"/>
      <c r="C31" s="387"/>
      <c r="D31" s="387"/>
    </row>
    <row r="32" spans="2:4" ht="15.75" customHeight="1">
      <c r="B32" s="272" t="s">
        <v>1071</v>
      </c>
      <c r="C32" s="677">
        <f>'CF WP'!C64</f>
        <v>0</v>
      </c>
      <c r="D32" s="677">
        <f>'CF WP'!D64</f>
        <v>0</v>
      </c>
    </row>
    <row r="33" spans="2:4" ht="15.75" customHeight="1">
      <c r="B33" s="271" t="s">
        <v>1092</v>
      </c>
      <c r="C33" s="678">
        <f>'CF WP'!C65</f>
        <v>-499111.3</v>
      </c>
      <c r="D33" s="678">
        <f>'CF WP'!D65</f>
        <v>-499</v>
      </c>
    </row>
    <row r="34" spans="2:4" ht="15.75" customHeight="1">
      <c r="B34" s="271" t="s">
        <v>294</v>
      </c>
      <c r="C34" s="678"/>
      <c r="D34" s="678">
        <f>'CF WP'!D66</f>
        <v>0</v>
      </c>
    </row>
    <row r="35" spans="2:4" ht="15.75" customHeight="1">
      <c r="B35" s="271" t="s">
        <v>1103</v>
      </c>
      <c r="C35" s="679"/>
      <c r="D35" s="679">
        <f>'CF WP'!D67</f>
        <v>0</v>
      </c>
    </row>
    <row r="36" spans="2:4" ht="15.75" customHeight="1">
      <c r="B36" s="271"/>
      <c r="C36" s="677">
        <f>'CF WP'!C68</f>
        <v>-499111.3</v>
      </c>
      <c r="D36" s="677">
        <f>'CF WP'!D68</f>
        <v>-499</v>
      </c>
    </row>
    <row r="37" spans="2:4" ht="15.75" customHeight="1">
      <c r="B37" s="271"/>
      <c r="C37" s="387"/>
      <c r="D37" s="387"/>
    </row>
    <row r="38" spans="2:4" ht="15.75" customHeight="1">
      <c r="B38" s="272" t="s">
        <v>1072</v>
      </c>
      <c r="C38" s="387"/>
      <c r="D38" s="387"/>
    </row>
    <row r="39" spans="2:4" ht="15.75" customHeight="1">
      <c r="B39" s="271" t="s">
        <v>1093</v>
      </c>
      <c r="C39" s="677">
        <f>'CF WP'!C70</f>
        <v>0</v>
      </c>
      <c r="D39" s="677">
        <f>'CF WP'!D70</f>
        <v>0</v>
      </c>
    </row>
    <row r="40" spans="2:4" ht="15.75" customHeight="1">
      <c r="B40" s="271" t="s">
        <v>1094</v>
      </c>
      <c r="C40" s="677"/>
      <c r="D40" s="677">
        <f>'CF WP'!D71</f>
        <v>0</v>
      </c>
    </row>
    <row r="41" spans="2:4" ht="15.75" customHeight="1">
      <c r="B41" s="271" t="s">
        <v>1082</v>
      </c>
      <c r="C41" s="677"/>
      <c r="D41" s="677">
        <f>'CF WP'!D72</f>
        <v>0</v>
      </c>
    </row>
    <row r="42" spans="2:4" ht="15.75" customHeight="1">
      <c r="B42" s="271" t="s">
        <v>1094</v>
      </c>
      <c r="C42" s="677"/>
      <c r="D42" s="677">
        <f>'CF WP'!D73</f>
        <v>16</v>
      </c>
    </row>
    <row r="43" spans="2:4" ht="15.75" customHeight="1">
      <c r="B43" s="271" t="s">
        <v>1095</v>
      </c>
      <c r="C43" s="679">
        <f>'CF WP'!C74</f>
        <v>1834818.4899999998</v>
      </c>
      <c r="D43" s="679">
        <f>'CF WP'!D74</f>
        <v>1835</v>
      </c>
    </row>
    <row r="44" spans="2:4" ht="15.75" customHeight="1">
      <c r="B44" s="271"/>
      <c r="C44" s="677">
        <f>'CF WP'!C75</f>
        <v>1850775.1099999996</v>
      </c>
      <c r="D44" s="677">
        <f>SUM(D39:D43)</f>
        <v>1851</v>
      </c>
    </row>
    <row r="45" spans="2:4" ht="15.75" customHeight="1"/>
    <row r="46" spans="2:4" ht="15.75" customHeight="1"/>
    <row r="47" spans="2:4" ht="15.75" customHeight="1">
      <c r="B47" s="371" t="s">
        <v>1074</v>
      </c>
      <c r="C47" s="677">
        <f>'CF WP'!C78</f>
        <v>40937521.070000023</v>
      </c>
      <c r="D47" s="677">
        <f>'CF WP'!D78</f>
        <v>40938</v>
      </c>
    </row>
    <row r="48" spans="2:4" ht="15.75" customHeight="1">
      <c r="B48" s="371" t="s">
        <v>1114</v>
      </c>
      <c r="C48" s="677">
        <f>'CF WP'!C79</f>
        <v>83437.149999999994</v>
      </c>
      <c r="D48" s="677">
        <f>'CF WP'!D79</f>
        <v>83</v>
      </c>
    </row>
    <row r="49" spans="2:4" ht="15.75" customHeight="1">
      <c r="B49" s="371" t="s">
        <v>1096</v>
      </c>
      <c r="C49" s="679">
        <f>'CF WP'!C80</f>
        <v>7494535</v>
      </c>
      <c r="D49" s="679">
        <f>'CF WP'!D80</f>
        <v>7495</v>
      </c>
    </row>
    <row r="50" spans="2:4" ht="15.75" customHeight="1">
      <c r="B50" s="378" t="s">
        <v>1097</v>
      </c>
      <c r="C50" s="677">
        <f>'CF WP'!C81</f>
        <v>48515493.220000021</v>
      </c>
      <c r="D50" s="677">
        <f>'CF WP'!D81</f>
        <v>48515</v>
      </c>
    </row>
    <row r="51" spans="2:4" ht="15.75" customHeight="1"/>
    <row r="52" spans="2:4" ht="15.75" customHeight="1">
      <c r="B52" s="378" t="s">
        <v>1075</v>
      </c>
      <c r="C52" s="476">
        <f>'CF WP'!C83</f>
        <v>1.1400000229477882</v>
      </c>
      <c r="D52" s="476">
        <f>'CF WP'!C83/1000</f>
        <v>1.1400000229477882E-3</v>
      </c>
    </row>
    <row r="53" spans="2:4" ht="15.75" customHeight="1" thickBot="1">
      <c r="B53" s="378"/>
    </row>
    <row r="54" spans="2:4" ht="15.75" customHeight="1">
      <c r="B54" s="667" t="str">
        <f>'CF WP'!B85</f>
        <v>Shareholders loan</v>
      </c>
      <c r="C54" s="668"/>
      <c r="D54" s="669">
        <f>'CF WP'!C85/1000</f>
        <v>415.46835000000004</v>
      </c>
    </row>
    <row r="55" spans="2:4" ht="15.75" customHeight="1">
      <c r="B55" s="670" t="str">
        <f>'CF WP'!B86</f>
        <v>Interest Paid</v>
      </c>
      <c r="C55" s="671"/>
      <c r="D55" s="672">
        <f>'CF WP'!C86/1000</f>
        <v>266.88907999999998</v>
      </c>
    </row>
    <row r="56" spans="2:4" ht="15.75" customHeight="1">
      <c r="B56" s="670" t="str">
        <f>'CF WP'!B87</f>
        <v>ASC842 Adoption</v>
      </c>
      <c r="C56" s="671"/>
      <c r="D56" s="672">
        <f>'CF WP'!C87/1000</f>
        <v>610.28011133064513</v>
      </c>
    </row>
    <row r="57" spans="2:4" ht="15.75" customHeight="1" thickBot="1">
      <c r="B57" s="673" t="str">
        <f>'CF WP'!B88</f>
        <v>Tax Paid</v>
      </c>
      <c r="C57" s="674"/>
      <c r="D57" s="675">
        <f>'CF WP'!C88/1000</f>
        <v>57.709009999999992</v>
      </c>
    </row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BD73-F78F-AC48-A4E5-762B8F7A3F01}">
  <sheetPr codeName="Sheet16">
    <tabColor rgb="FF7030A0"/>
  </sheetPr>
  <dimension ref="A1:Z1038"/>
  <sheetViews>
    <sheetView topLeftCell="A17" zoomScale="113" zoomScaleNormal="130" workbookViewId="0">
      <selection activeCell="H41" sqref="H41"/>
    </sheetView>
  </sheetViews>
  <sheetFormatPr defaultColWidth="14.42578125" defaultRowHeight="15" customHeight="1"/>
  <cols>
    <col min="1" max="1" width="22.85546875" style="337" customWidth="1"/>
    <col min="2" max="2" width="36.28515625" style="337" customWidth="1"/>
    <col min="3" max="3" width="16.28515625" style="337" customWidth="1"/>
    <col min="4" max="4" width="19.28515625" style="337" customWidth="1"/>
    <col min="5" max="5" width="21" style="337" customWidth="1"/>
    <col min="6" max="6" width="25.85546875" style="337" customWidth="1"/>
    <col min="7" max="7" width="24.28515625" style="337" customWidth="1"/>
    <col min="8" max="8" width="26.42578125" style="337" customWidth="1"/>
    <col min="9" max="9" width="11.85546875" style="337" customWidth="1"/>
    <col min="10" max="10" width="20.28515625" style="337" customWidth="1"/>
    <col min="11" max="11" width="13.7109375" style="337" customWidth="1"/>
    <col min="12" max="12" width="12.42578125" style="337" customWidth="1"/>
    <col min="13" max="13" width="11.42578125" style="337" customWidth="1"/>
    <col min="14" max="14" width="9.28515625" style="337" customWidth="1"/>
    <col min="15" max="15" width="9.140625" style="337" customWidth="1"/>
    <col min="16" max="16" width="11" style="337" bestFit="1" customWidth="1"/>
    <col min="17" max="17" width="12.140625" style="337" customWidth="1"/>
    <col min="18" max="18" width="26.42578125" style="337" customWidth="1"/>
    <col min="19" max="19" width="24.7109375" style="337" customWidth="1"/>
    <col min="20" max="20" width="12.7109375" style="337" customWidth="1"/>
    <col min="21" max="26" width="9.140625" style="337" customWidth="1"/>
    <col min="27" max="16384" width="14.42578125" style="337"/>
  </cols>
  <sheetData>
    <row r="1" spans="1:26">
      <c r="A1" s="270">
        <v>44561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 spans="1:26">
      <c r="A2" s="272" t="s">
        <v>1065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 spans="1:26">
      <c r="A3" s="272" t="s">
        <v>1066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</row>
    <row r="4" spans="1:26">
      <c r="A4" s="272" t="s">
        <v>32</v>
      </c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spans="1:26">
      <c r="A5" s="271"/>
      <c r="B5" s="273" t="s">
        <v>1067</v>
      </c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spans="1:26">
      <c r="A6" s="271"/>
      <c r="B6" s="271"/>
      <c r="C6" s="271"/>
      <c r="D6" s="687" t="s">
        <v>1068</v>
      </c>
      <c r="E6" s="687"/>
      <c r="F6" s="687"/>
      <c r="G6" s="687"/>
      <c r="H6" s="687"/>
      <c r="I6" s="687"/>
      <c r="J6" s="687"/>
      <c r="K6" s="687"/>
      <c r="L6" s="271"/>
      <c r="M6" s="271"/>
      <c r="N6" s="271"/>
      <c r="U6" s="271"/>
      <c r="V6" s="271"/>
      <c r="W6" s="271"/>
      <c r="X6" s="271"/>
      <c r="Y6" s="271"/>
      <c r="Z6" s="271"/>
    </row>
    <row r="7" spans="1:26">
      <c r="A7" s="277" t="s">
        <v>1111</v>
      </c>
      <c r="B7" s="275"/>
      <c r="C7" s="275"/>
      <c r="D7" s="276">
        <v>44196</v>
      </c>
      <c r="E7" s="275" t="s">
        <v>1069</v>
      </c>
      <c r="F7" s="275" t="s">
        <v>1070</v>
      </c>
      <c r="G7" s="275" t="s">
        <v>1071</v>
      </c>
      <c r="H7" s="275" t="s">
        <v>1072</v>
      </c>
      <c r="I7" s="275" t="s">
        <v>1073</v>
      </c>
      <c r="J7" s="275" t="s">
        <v>1074</v>
      </c>
      <c r="K7" s="275" t="s">
        <v>1112</v>
      </c>
      <c r="L7" s="276">
        <v>44561</v>
      </c>
      <c r="M7" s="277" t="s">
        <v>1075</v>
      </c>
      <c r="N7" s="274"/>
      <c r="U7" s="274"/>
      <c r="V7" s="274"/>
      <c r="W7" s="274"/>
      <c r="X7" s="274"/>
      <c r="Y7" s="274"/>
      <c r="Z7" s="274"/>
    </row>
    <row r="8" spans="1:26">
      <c r="A8" s="271"/>
      <c r="B8" s="283" t="s">
        <v>918</v>
      </c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71"/>
      <c r="N8" s="271"/>
      <c r="U8" s="271"/>
      <c r="V8" s="271"/>
      <c r="W8" s="271"/>
      <c r="X8" s="271"/>
      <c r="Y8" s="271"/>
      <c r="Z8" s="271"/>
    </row>
    <row r="9" spans="1:26">
      <c r="A9" s="362"/>
      <c r="B9" s="271" t="s">
        <v>1076</v>
      </c>
      <c r="C9" s="271"/>
      <c r="D9" s="495">
        <v>7494535</v>
      </c>
      <c r="E9" s="271"/>
      <c r="F9" s="271"/>
      <c r="G9" s="271"/>
      <c r="H9" s="271"/>
      <c r="I9" s="271"/>
      <c r="J9" s="290">
        <f>L9-D9-K9</f>
        <v>40937519.93</v>
      </c>
      <c r="K9" s="363">
        <f>-'CF WP'!C180-C190-C193</f>
        <v>83437.149999999994</v>
      </c>
      <c r="L9" s="290">
        <f>'BS USD CONS '!J8</f>
        <v>48515492.079999998</v>
      </c>
      <c r="M9" s="289">
        <f t="shared" ref="M9:M18" si="0">SUM(D9:K9)-L9</f>
        <v>0</v>
      </c>
      <c r="N9" s="271"/>
      <c r="U9" s="271"/>
      <c r="V9" s="271"/>
      <c r="W9" s="271"/>
      <c r="X9" s="271"/>
      <c r="Y9" s="271"/>
      <c r="Z9" s="271"/>
    </row>
    <row r="10" spans="1:26">
      <c r="A10" s="362"/>
      <c r="B10" s="271" t="s">
        <v>62</v>
      </c>
      <c r="C10" s="271"/>
      <c r="D10" s="495">
        <v>110155</v>
      </c>
      <c r="E10" s="271"/>
      <c r="F10" s="290">
        <f>L10-D10-K10</f>
        <v>1095870.7100000002</v>
      </c>
      <c r="G10" s="271"/>
      <c r="H10" s="271"/>
      <c r="I10" s="271"/>
      <c r="J10" s="290"/>
      <c r="K10" s="363">
        <f>-C179</f>
        <v>-10013.800000000007</v>
      </c>
      <c r="L10" s="290">
        <f>'BS USD CONS '!J9</f>
        <v>1196011.9100000001</v>
      </c>
      <c r="M10" s="289">
        <f t="shared" si="0"/>
        <v>0</v>
      </c>
      <c r="N10" s="271"/>
      <c r="U10" s="271"/>
      <c r="V10" s="271"/>
      <c r="W10" s="271"/>
      <c r="X10" s="271"/>
      <c r="Y10" s="271"/>
      <c r="Z10" s="271"/>
    </row>
    <row r="11" spans="1:26">
      <c r="A11" s="362"/>
      <c r="B11" s="271" t="s">
        <v>1283</v>
      </c>
      <c r="C11" s="271"/>
      <c r="D11" s="495">
        <v>139176.30000000002</v>
      </c>
      <c r="E11" s="271"/>
      <c r="F11" s="290">
        <f>L11-D11-K11</f>
        <v>2318521.2999999975</v>
      </c>
      <c r="G11" s="271"/>
      <c r="H11" s="271"/>
      <c r="I11" s="271"/>
      <c r="J11" s="290"/>
      <c r="K11" s="363">
        <f>-C185-C186</f>
        <v>27023.490000000005</v>
      </c>
      <c r="L11" s="290">
        <f>'BS USD CONS '!J17+'BS USD CONS '!J16+SUM('BS USD CONS '!J10:J12)</f>
        <v>2484721.0899999975</v>
      </c>
      <c r="M11" s="289">
        <f t="shared" si="0"/>
        <v>0</v>
      </c>
      <c r="N11" s="271"/>
      <c r="U11" s="271"/>
      <c r="V11" s="271"/>
      <c r="W11" s="271"/>
      <c r="X11" s="271"/>
      <c r="Y11" s="271"/>
      <c r="Z11" s="271"/>
    </row>
    <row r="12" spans="1:26">
      <c r="A12" s="364">
        <v>9</v>
      </c>
      <c r="B12" s="271" t="s">
        <v>1206</v>
      </c>
      <c r="C12" s="271"/>
      <c r="D12" s="495">
        <v>0</v>
      </c>
      <c r="E12" s="271"/>
      <c r="F12" s="290">
        <f>C207</f>
        <v>-201158.440648416</v>
      </c>
      <c r="G12" s="365"/>
      <c r="H12" s="271"/>
      <c r="I12" s="365">
        <f>C206</f>
        <v>610280.11133064516</v>
      </c>
      <c r="J12" s="290"/>
      <c r="K12" s="363"/>
      <c r="L12" s="290">
        <f>'BS USD CONS '!J23</f>
        <v>409121.67068222899</v>
      </c>
      <c r="M12" s="289">
        <f t="shared" si="0"/>
        <v>0</v>
      </c>
      <c r="N12" s="271"/>
      <c r="U12" s="271"/>
      <c r="V12" s="271"/>
      <c r="W12" s="271"/>
      <c r="X12" s="271"/>
      <c r="Y12" s="271"/>
      <c r="Z12" s="271"/>
    </row>
    <row r="13" spans="1:26">
      <c r="A13" s="364">
        <v>1</v>
      </c>
      <c r="B13" s="271" t="s">
        <v>99</v>
      </c>
      <c r="C13" s="271"/>
      <c r="D13" s="495">
        <v>81585</v>
      </c>
      <c r="E13" s="271"/>
      <c r="F13" s="290">
        <f>+D97</f>
        <v>-80801.5</v>
      </c>
      <c r="G13" s="290">
        <f>+D95</f>
        <v>501111.3</v>
      </c>
      <c r="H13" s="271"/>
      <c r="I13" s="598"/>
      <c r="J13" s="271"/>
      <c r="K13" s="363"/>
      <c r="L13" s="290">
        <f>'BS USD CONS '!J26</f>
        <v>501895.3</v>
      </c>
      <c r="M13" s="289">
        <f t="shared" si="0"/>
        <v>-0.5</v>
      </c>
      <c r="N13" s="271"/>
      <c r="U13" s="271"/>
      <c r="V13" s="271"/>
      <c r="W13" s="271"/>
      <c r="X13" s="271"/>
      <c r="Y13" s="271"/>
      <c r="Z13" s="271"/>
    </row>
    <row r="14" spans="1:26">
      <c r="A14" s="364"/>
      <c r="B14" s="334" t="s">
        <v>73</v>
      </c>
      <c r="C14" s="271"/>
      <c r="D14" s="495">
        <v>449291</v>
      </c>
      <c r="E14" s="271"/>
      <c r="F14" s="290">
        <f>L14-D14-K14</f>
        <v>570768.42045432818</v>
      </c>
      <c r="G14" s="290"/>
      <c r="H14" s="271"/>
      <c r="I14" s="271"/>
      <c r="J14" s="271"/>
      <c r="K14" s="363">
        <f>-C181</f>
        <v>-80650.47</v>
      </c>
      <c r="L14" s="301">
        <f>'BS USD CONS '!J24</f>
        <v>939408.95045432821</v>
      </c>
      <c r="M14" s="289">
        <f t="shared" si="0"/>
        <v>0</v>
      </c>
      <c r="N14" s="271"/>
      <c r="U14" s="271"/>
      <c r="V14" s="271"/>
      <c r="W14" s="271"/>
      <c r="X14" s="271"/>
      <c r="Y14" s="271"/>
      <c r="Z14" s="271"/>
    </row>
    <row r="15" spans="1:26">
      <c r="A15" s="364"/>
      <c r="B15" s="271" t="s">
        <v>330</v>
      </c>
      <c r="C15" s="271"/>
      <c r="D15" s="495">
        <v>0</v>
      </c>
      <c r="E15" s="271"/>
      <c r="F15" s="301">
        <f>L15-D15</f>
        <v>0</v>
      </c>
      <c r="G15" s="290"/>
      <c r="H15" s="271"/>
      <c r="I15" s="271"/>
      <c r="J15" s="271"/>
      <c r="K15" s="363"/>
      <c r="L15" s="290">
        <f>'BS USD CONS '!J22</f>
        <v>0</v>
      </c>
      <c r="M15" s="289">
        <f t="shared" si="0"/>
        <v>0</v>
      </c>
      <c r="N15" s="271"/>
      <c r="U15" s="271"/>
      <c r="V15" s="271"/>
      <c r="W15" s="271"/>
      <c r="X15" s="271"/>
      <c r="Y15" s="271"/>
      <c r="Z15" s="271"/>
    </row>
    <row r="16" spans="1:26">
      <c r="A16" s="364"/>
      <c r="B16" s="271" t="s">
        <v>889</v>
      </c>
      <c r="C16" s="271"/>
      <c r="D16" s="495">
        <v>0</v>
      </c>
      <c r="E16" s="271"/>
      <c r="F16" s="290">
        <f>L16-D16-K16</f>
        <v>15253.2</v>
      </c>
      <c r="G16" s="271"/>
      <c r="H16" s="271"/>
      <c r="I16" s="271"/>
      <c r="J16" s="271"/>
      <c r="K16" s="363">
        <f>-C182</f>
        <v>823.97</v>
      </c>
      <c r="L16" s="290">
        <f>'BS USD CONS '!J14</f>
        <v>16077.17</v>
      </c>
      <c r="M16" s="289">
        <f t="shared" si="0"/>
        <v>0</v>
      </c>
      <c r="N16" s="271"/>
      <c r="U16" s="271"/>
      <c r="V16" s="271"/>
      <c r="W16" s="271"/>
      <c r="X16" s="271"/>
      <c r="Y16" s="271"/>
      <c r="Z16" s="271"/>
    </row>
    <row r="17" spans="1:26">
      <c r="A17" s="364"/>
      <c r="B17" s="271" t="s">
        <v>885</v>
      </c>
      <c r="C17" s="271"/>
      <c r="D17" s="495">
        <v>0</v>
      </c>
      <c r="E17" s="271"/>
      <c r="F17" s="301">
        <f>L17-D17</f>
        <v>199999</v>
      </c>
      <c r="G17" s="271"/>
      <c r="H17" s="271"/>
      <c r="I17" s="271"/>
      <c r="J17" s="271"/>
      <c r="K17" s="363"/>
      <c r="L17" s="495">
        <f>'BS USD CONS '!J25</f>
        <v>199999</v>
      </c>
      <c r="M17" s="289">
        <f t="shared" si="0"/>
        <v>0</v>
      </c>
      <c r="N17" s="271"/>
      <c r="U17" s="271"/>
      <c r="V17" s="271"/>
      <c r="W17" s="271"/>
      <c r="X17" s="271"/>
      <c r="Y17" s="271"/>
      <c r="Z17" s="271"/>
    </row>
    <row r="18" spans="1:26">
      <c r="A18" s="364"/>
      <c r="B18" s="271" t="s">
        <v>1082</v>
      </c>
      <c r="C18" s="271"/>
      <c r="D18" s="598">
        <v>400515.77</v>
      </c>
      <c r="E18" s="271"/>
      <c r="F18" s="301">
        <f>D129+D131</f>
        <v>14953</v>
      </c>
      <c r="G18" s="365"/>
      <c r="H18" s="369"/>
      <c r="I18" s="365">
        <f>D130</f>
        <v>-415468.35000000003</v>
      </c>
      <c r="J18" s="271"/>
      <c r="K18" s="363"/>
      <c r="L18" s="289">
        <v>0</v>
      </c>
      <c r="M18" s="289">
        <f t="shared" si="0"/>
        <v>0.41999999998370185</v>
      </c>
      <c r="N18" s="271"/>
      <c r="U18" s="271"/>
      <c r="V18" s="271"/>
      <c r="W18" s="271"/>
      <c r="X18" s="271"/>
      <c r="Y18" s="271"/>
      <c r="Z18" s="271"/>
    </row>
    <row r="19" spans="1:26">
      <c r="A19" s="364"/>
      <c r="B19" s="271"/>
      <c r="C19" s="271"/>
      <c r="D19" s="495"/>
      <c r="E19" s="271"/>
      <c r="F19" s="290"/>
      <c r="G19" s="271"/>
      <c r="H19" s="271"/>
      <c r="I19" s="271"/>
      <c r="J19" s="271"/>
      <c r="K19" s="363"/>
      <c r="L19" s="290"/>
      <c r="M19" s="289"/>
      <c r="N19" s="271"/>
      <c r="U19" s="271"/>
      <c r="V19" s="271"/>
      <c r="W19" s="271"/>
      <c r="X19" s="271"/>
      <c r="Y19" s="271"/>
      <c r="Z19" s="271"/>
    </row>
    <row r="20" spans="1:26">
      <c r="A20" s="364"/>
      <c r="B20" s="283" t="s">
        <v>1083</v>
      </c>
      <c r="C20" s="284"/>
      <c r="D20" s="599">
        <f>SUM(D9:D18)</f>
        <v>8675258.0700000003</v>
      </c>
      <c r="E20" s="284"/>
      <c r="F20" s="389"/>
      <c r="G20" s="284"/>
      <c r="H20" s="284"/>
      <c r="I20" s="284"/>
      <c r="J20" s="284"/>
      <c r="K20" s="366"/>
      <c r="L20" s="292">
        <f>SUM(L9:L17)</f>
        <v>54262727.171136543</v>
      </c>
      <c r="M20" s="289"/>
      <c r="N20" s="271"/>
      <c r="U20" s="271"/>
      <c r="V20" s="271"/>
      <c r="W20" s="271"/>
      <c r="X20" s="271"/>
      <c r="Y20" s="271"/>
      <c r="Z20" s="271"/>
    </row>
    <row r="21" spans="1:26">
      <c r="A21" s="364"/>
      <c r="B21" s="271" t="s">
        <v>120</v>
      </c>
      <c r="C21" s="271"/>
      <c r="D21" s="597">
        <v>-3058971</v>
      </c>
      <c r="E21" s="271"/>
      <c r="F21" s="290">
        <f>L21-D21-K21-I21</f>
        <v>-10775849.319999998</v>
      </c>
      <c r="G21" s="271"/>
      <c r="H21" s="271"/>
      <c r="I21" s="365">
        <f>-I18</f>
        <v>415468.35000000003</v>
      </c>
      <c r="J21" s="271"/>
      <c r="K21" s="363">
        <f>-C189</f>
        <v>-14482.749999999993</v>
      </c>
      <c r="L21" s="290">
        <f>'BS USD CONS '!J34</f>
        <v>-13433834.719999999</v>
      </c>
      <c r="M21" s="289">
        <f t="shared" ref="M21:M34" si="1">SUM(D21:K21)-L21</f>
        <v>0</v>
      </c>
      <c r="N21" s="271"/>
      <c r="U21" s="271"/>
      <c r="V21" s="271"/>
      <c r="W21" s="271"/>
      <c r="X21" s="271"/>
      <c r="Y21" s="271"/>
      <c r="Z21" s="271"/>
    </row>
    <row r="22" spans="1:26">
      <c r="A22" s="364"/>
      <c r="B22" s="271" t="s">
        <v>1280</v>
      </c>
      <c r="C22" s="271"/>
      <c r="D22" s="495">
        <v>-994278</v>
      </c>
      <c r="E22" s="271"/>
      <c r="F22" s="290">
        <f>L22-D22-K22-I22</f>
        <v>-19521615.240350384</v>
      </c>
      <c r="G22" s="271"/>
      <c r="H22" s="271"/>
      <c r="I22" s="290"/>
      <c r="J22" s="271"/>
      <c r="K22" s="363">
        <f>-C184</f>
        <v>-71310.150000000067</v>
      </c>
      <c r="L22" s="290">
        <f>'BS USD CONS '!J42+'BS USD CONS '!J35+'BS USD CONS '!J38</f>
        <v>-20587203.390350383</v>
      </c>
      <c r="M22" s="289"/>
      <c r="N22" s="271"/>
      <c r="U22" s="271"/>
      <c r="V22" s="271"/>
      <c r="W22" s="271"/>
      <c r="X22" s="271"/>
      <c r="Y22" s="271"/>
      <c r="Z22" s="271"/>
    </row>
    <row r="23" spans="1:26">
      <c r="A23" s="364">
        <v>9</v>
      </c>
      <c r="B23" s="54" t="s">
        <v>1207</v>
      </c>
      <c r="C23" s="271"/>
      <c r="D23" s="495">
        <v>0</v>
      </c>
      <c r="E23" s="271"/>
      <c r="F23" s="290">
        <f>C216+C217</f>
        <v>224920.42356618342</v>
      </c>
      <c r="G23" s="365"/>
      <c r="H23" s="365"/>
      <c r="I23" s="290">
        <f>C215</f>
        <v>-610280.11133064516</v>
      </c>
      <c r="J23" s="271"/>
      <c r="K23" s="363"/>
      <c r="L23" s="290">
        <f>'BS USD CONS '!J40</f>
        <v>-385359.68776446173</v>
      </c>
      <c r="M23" s="289">
        <f t="shared" si="1"/>
        <v>0</v>
      </c>
      <c r="N23" s="271"/>
      <c r="U23" s="271"/>
      <c r="V23" s="271"/>
      <c r="W23" s="271"/>
      <c r="X23" s="271"/>
      <c r="Y23" s="271"/>
      <c r="Z23" s="271"/>
    </row>
    <row r="24" spans="1:26">
      <c r="A24" s="364"/>
      <c r="B24" s="271" t="s">
        <v>520</v>
      </c>
      <c r="C24" s="271"/>
      <c r="D24" s="495">
        <v>-601925</v>
      </c>
      <c r="E24" s="271"/>
      <c r="F24" s="290">
        <f>L24-D24-I24</f>
        <v>-3485732</v>
      </c>
      <c r="G24" s="271"/>
      <c r="H24" s="271"/>
      <c r="I24" s="290"/>
      <c r="J24" s="271"/>
      <c r="K24" s="363"/>
      <c r="L24" s="290">
        <f>'BS USD CONS '!J37</f>
        <v>-4087657</v>
      </c>
      <c r="M24" s="289">
        <f t="shared" si="1"/>
        <v>0</v>
      </c>
      <c r="N24" s="271"/>
      <c r="U24" s="271"/>
      <c r="V24" s="271"/>
      <c r="W24" s="271"/>
      <c r="X24" s="271"/>
      <c r="Y24" s="271"/>
      <c r="Z24" s="271"/>
    </row>
    <row r="25" spans="1:26">
      <c r="A25" s="364">
        <v>2</v>
      </c>
      <c r="B25" s="271" t="s">
        <v>286</v>
      </c>
      <c r="C25" s="271"/>
      <c r="D25" s="495">
        <v>-266667</v>
      </c>
      <c r="E25" s="271"/>
      <c r="F25" s="290"/>
      <c r="G25" s="271"/>
      <c r="H25" s="290">
        <f>SUM(D106:D107)-K25</f>
        <v>-1768152.0999999999</v>
      </c>
      <c r="I25" s="271"/>
      <c r="J25" s="290"/>
      <c r="K25" s="363">
        <f>-C183</f>
        <v>1485.130000000001</v>
      </c>
      <c r="L25" s="290">
        <f>'BS USD CONS '!J36</f>
        <v>-2033334</v>
      </c>
      <c r="M25" s="289">
        <f t="shared" si="1"/>
        <v>3.0000000027939677E-2</v>
      </c>
      <c r="N25" s="271"/>
      <c r="U25" s="271"/>
      <c r="V25" s="271"/>
      <c r="W25" s="271"/>
      <c r="X25" s="271"/>
      <c r="Y25" s="271"/>
      <c r="Z25" s="271"/>
    </row>
    <row r="26" spans="1:26">
      <c r="A26" s="364">
        <v>3</v>
      </c>
      <c r="B26" s="271" t="s">
        <v>280</v>
      </c>
      <c r="C26" s="271"/>
      <c r="D26" s="598">
        <v>-466666</v>
      </c>
      <c r="E26" s="271"/>
      <c r="F26" s="290"/>
      <c r="G26" s="271"/>
      <c r="H26" s="290">
        <f>SUM(D117:D119)-K26</f>
        <v>-66666.389999999839</v>
      </c>
      <c r="I26" s="271"/>
      <c r="J26" s="271"/>
      <c r="K26" s="367"/>
      <c r="L26" s="290">
        <f>'BS USD CONS '!J45</f>
        <v>-533332.72</v>
      </c>
      <c r="M26" s="289">
        <f t="shared" si="1"/>
        <v>0.33000000007450581</v>
      </c>
      <c r="N26" s="271"/>
      <c r="U26" s="271"/>
      <c r="V26" s="271"/>
      <c r="W26" s="271"/>
      <c r="X26" s="271"/>
      <c r="Y26" s="271"/>
      <c r="Z26" s="271"/>
    </row>
    <row r="27" spans="1:26">
      <c r="A27" s="364">
        <f>A125</f>
        <v>4</v>
      </c>
      <c r="B27" s="335" t="s">
        <v>294</v>
      </c>
      <c r="C27" s="271"/>
      <c r="D27" s="495">
        <v>-545359</v>
      </c>
      <c r="E27" s="271"/>
      <c r="F27" s="290">
        <f>L27-D27-K27-H27</f>
        <v>0.38999999999214197</v>
      </c>
      <c r="G27" s="271"/>
      <c r="H27" s="365"/>
      <c r="I27" s="290"/>
      <c r="J27" s="271"/>
      <c r="K27" s="367">
        <f>-C188</f>
        <v>45358.610000000008</v>
      </c>
      <c r="L27" s="290">
        <f>'BS USD CONS '!J46</f>
        <v>-500000</v>
      </c>
      <c r="M27" s="301">
        <f t="shared" si="1"/>
        <v>0</v>
      </c>
      <c r="N27" s="271"/>
      <c r="U27" s="271"/>
      <c r="V27" s="271"/>
      <c r="W27" s="271"/>
      <c r="X27" s="271"/>
      <c r="Y27" s="271"/>
      <c r="Z27" s="271"/>
    </row>
    <row r="28" spans="1:26">
      <c r="A28" s="364">
        <f>A150</f>
        <v>6</v>
      </c>
      <c r="B28" s="336" t="s">
        <v>303</v>
      </c>
      <c r="C28" s="271"/>
      <c r="D28" s="495">
        <v>-346</v>
      </c>
      <c r="E28" s="271"/>
      <c r="F28" s="290"/>
      <c r="G28" s="290"/>
      <c r="H28" s="369">
        <f>C153-K28</f>
        <v>-73.88</v>
      </c>
      <c r="J28" s="271"/>
      <c r="K28" s="363">
        <f>-C187</f>
        <v>0.56000000000000005</v>
      </c>
      <c r="L28" s="290">
        <f>'BS USD CONS '!J54</f>
        <v>-418.91999999999996</v>
      </c>
      <c r="M28" s="289">
        <f t="shared" si="1"/>
        <v>-0.40000000000003411</v>
      </c>
      <c r="N28" s="271"/>
      <c r="U28" s="271"/>
      <c r="V28" s="271"/>
      <c r="W28" s="271"/>
      <c r="X28" s="271"/>
      <c r="Y28" s="271"/>
      <c r="Z28" s="271"/>
    </row>
    <row r="29" spans="1:26">
      <c r="A29" s="364"/>
      <c r="B29" s="338" t="s">
        <v>333</v>
      </c>
      <c r="C29" s="271"/>
      <c r="D29" s="495">
        <v>-191</v>
      </c>
      <c r="E29" s="271"/>
      <c r="F29" s="290"/>
      <c r="H29" s="290"/>
      <c r="J29" s="271"/>
      <c r="K29" s="363"/>
      <c r="L29" s="290">
        <f>'BS USD CONS '!J55</f>
        <v>-191</v>
      </c>
      <c r="M29" s="289">
        <f t="shared" si="1"/>
        <v>0</v>
      </c>
      <c r="N29" s="271"/>
      <c r="U29" s="271"/>
      <c r="V29" s="271"/>
      <c r="W29" s="271"/>
      <c r="X29" s="271"/>
      <c r="Y29" s="271"/>
      <c r="Z29" s="271"/>
    </row>
    <row r="30" spans="1:26">
      <c r="A30" s="364"/>
      <c r="B30" s="338" t="s">
        <v>336</v>
      </c>
      <c r="C30" s="271"/>
      <c r="D30" s="495">
        <v>-49</v>
      </c>
      <c r="E30" s="271"/>
      <c r="F30" s="290"/>
      <c r="H30" s="290"/>
      <c r="J30" s="271"/>
      <c r="K30" s="363"/>
      <c r="L30" s="290">
        <f>'BS USD CONS '!J56</f>
        <v>-49.24</v>
      </c>
      <c r="M30" s="289">
        <f t="shared" si="1"/>
        <v>0.24000000000000199</v>
      </c>
      <c r="N30" s="271"/>
      <c r="U30" s="271"/>
      <c r="V30" s="271"/>
      <c r="W30" s="271"/>
      <c r="X30" s="271"/>
      <c r="Y30" s="271"/>
      <c r="Z30" s="271"/>
    </row>
    <row r="31" spans="1:26" ht="15.75" customHeight="1">
      <c r="A31" s="364">
        <f>A136</f>
        <v>5</v>
      </c>
      <c r="B31" s="271" t="s">
        <v>305</v>
      </c>
      <c r="C31" s="271"/>
      <c r="D31" s="495">
        <v>-6771841</v>
      </c>
      <c r="E31" s="271"/>
      <c r="F31" s="290">
        <f>C141+C140</f>
        <v>-1827183.8284866977</v>
      </c>
      <c r="G31" s="290"/>
      <c r="H31" s="369">
        <f>C142</f>
        <v>-15883.299999999963</v>
      </c>
      <c r="I31" s="290"/>
      <c r="J31" s="271"/>
      <c r="K31" s="363"/>
      <c r="L31" s="290">
        <f>'BS USD CONS '!J57</f>
        <v>-8614908.1284866966</v>
      </c>
      <c r="M31" s="289">
        <f t="shared" si="1"/>
        <v>0</v>
      </c>
      <c r="N31" s="271"/>
      <c r="U31" s="271"/>
      <c r="V31" s="271"/>
      <c r="W31" s="271"/>
      <c r="X31" s="271"/>
      <c r="Y31" s="271"/>
      <c r="Z31" s="271"/>
    </row>
    <row r="32" spans="1:26" ht="15.75" customHeight="1">
      <c r="A32" s="364"/>
      <c r="B32" s="339" t="s">
        <v>342</v>
      </c>
      <c r="C32" s="271"/>
      <c r="D32" s="495">
        <v>50000</v>
      </c>
      <c r="E32" s="271"/>
      <c r="F32" s="290">
        <v>-50000</v>
      </c>
      <c r="G32" s="290"/>
      <c r="H32" s="290"/>
      <c r="I32" s="290"/>
      <c r="J32" s="271"/>
      <c r="K32" s="363"/>
      <c r="L32" s="290">
        <f>'BS USD CONS '!J58</f>
        <v>0</v>
      </c>
      <c r="M32" s="289">
        <f t="shared" si="1"/>
        <v>0</v>
      </c>
      <c r="N32" s="271"/>
      <c r="U32" s="271"/>
      <c r="V32" s="271"/>
      <c r="W32" s="271"/>
      <c r="X32" s="271"/>
      <c r="Y32" s="271"/>
      <c r="Z32" s="271"/>
    </row>
    <row r="33" spans="1:26" ht="15.75" customHeight="1">
      <c r="A33" s="364"/>
      <c r="B33" s="271" t="s">
        <v>338</v>
      </c>
      <c r="C33" s="271"/>
      <c r="D33" s="495">
        <f>2132292+1848743</f>
        <v>3981035</v>
      </c>
      <c r="E33" s="271"/>
      <c r="F33" s="271"/>
      <c r="G33" s="271"/>
      <c r="H33" s="290"/>
      <c r="I33" s="290"/>
      <c r="J33" s="271"/>
      <c r="K33" s="367"/>
      <c r="L33" s="290">
        <f>'BS USD CONS '!J59</f>
        <v>3981035.15</v>
      </c>
      <c r="M33" s="289">
        <f t="shared" si="1"/>
        <v>-0.14999999990686774</v>
      </c>
      <c r="N33" s="290"/>
      <c r="U33" s="271"/>
      <c r="V33" s="271"/>
      <c r="W33" s="271"/>
      <c r="X33" s="271"/>
      <c r="Y33" s="271"/>
      <c r="Z33" s="271"/>
    </row>
    <row r="34" spans="1:26" ht="15.75" customHeight="1">
      <c r="A34" s="364"/>
      <c r="B34" s="271" t="s">
        <v>347</v>
      </c>
      <c r="C34" s="271"/>
      <c r="D34" s="495">
        <v>0</v>
      </c>
      <c r="E34" s="290">
        <f>L34-K34</f>
        <v>-8067474.724535034</v>
      </c>
      <c r="F34" s="271"/>
      <c r="G34" s="271"/>
      <c r="H34" s="290"/>
      <c r="I34" s="290"/>
      <c r="J34" s="271"/>
      <c r="K34" s="367"/>
      <c r="L34" s="290">
        <f>'BS USD CONS '!J60</f>
        <v>-8067474.724535034</v>
      </c>
      <c r="M34" s="289">
        <f t="shared" si="1"/>
        <v>0</v>
      </c>
      <c r="N34" s="271"/>
      <c r="U34" s="271"/>
      <c r="V34" s="271"/>
      <c r="W34" s="271"/>
      <c r="X34" s="271"/>
      <c r="Y34" s="271"/>
      <c r="Z34" s="271"/>
    </row>
    <row r="35" spans="1:26" ht="15.75" customHeight="1">
      <c r="A35" s="274"/>
      <c r="B35" s="271"/>
      <c r="C35" s="271"/>
      <c r="D35" s="290"/>
      <c r="E35" s="290"/>
      <c r="F35" s="271"/>
      <c r="G35" s="271"/>
      <c r="H35" s="271"/>
      <c r="I35" s="271"/>
      <c r="J35" s="271"/>
      <c r="K35" s="363"/>
      <c r="L35" s="290"/>
      <c r="M35" s="301"/>
      <c r="N35" s="271"/>
      <c r="U35" s="271"/>
      <c r="V35" s="271"/>
      <c r="W35" s="271"/>
      <c r="X35" s="271"/>
      <c r="Y35" s="271"/>
      <c r="Z35" s="271"/>
    </row>
    <row r="36" spans="1:26" ht="15.75" customHeight="1" thickBot="1">
      <c r="A36" s="271"/>
      <c r="B36" s="296"/>
      <c r="C36" s="296"/>
      <c r="D36" s="296">
        <f>SUM(D21:D35)</f>
        <v>-8675258</v>
      </c>
      <c r="E36" s="296">
        <f>SUM(E10:E35)</f>
        <v>-8067474.724535034</v>
      </c>
      <c r="F36" s="296">
        <f>SUM(F10:F35)</f>
        <v>-31502053.885464981</v>
      </c>
      <c r="G36" s="296">
        <f>SUM(G10:G35)</f>
        <v>501111.3</v>
      </c>
      <c r="H36" s="296">
        <f>SUM(H10:H35)</f>
        <v>-1850775.6699999997</v>
      </c>
      <c r="I36" s="368">
        <f>SUM(I10:I35)</f>
        <v>0</v>
      </c>
      <c r="J36" s="368">
        <f>SUM(J9:J35)</f>
        <v>40937519.93</v>
      </c>
      <c r="K36" s="368">
        <f>SUM(K9:K35)</f>
        <v>-18328.260000000057</v>
      </c>
      <c r="L36" s="368">
        <f>SUM(L21:L35)</f>
        <v>-54262728.381136574</v>
      </c>
      <c r="M36" s="289">
        <f>SUM(E36:K36)</f>
        <v>-1.3100000194281165</v>
      </c>
      <c r="N36" s="271"/>
      <c r="U36" s="271"/>
      <c r="V36" s="271"/>
      <c r="W36" s="271"/>
      <c r="X36" s="271"/>
      <c r="Y36" s="271"/>
      <c r="Z36" s="271"/>
    </row>
    <row r="37" spans="1:26" ht="15.75" customHeight="1">
      <c r="A37" s="271"/>
      <c r="B37" s="271"/>
      <c r="C37" s="271"/>
      <c r="D37" s="290">
        <f>+D36+D20</f>
        <v>7.0000000298023224E-2</v>
      </c>
      <c r="E37" s="271"/>
      <c r="F37" s="271"/>
      <c r="G37" s="271"/>
      <c r="H37" s="271"/>
      <c r="I37" s="271"/>
      <c r="J37" s="271"/>
      <c r="L37" s="290">
        <f>+L36+L20</f>
        <v>-1.2100000306963921</v>
      </c>
      <c r="M37" s="271"/>
      <c r="N37" s="271"/>
      <c r="U37" s="271"/>
      <c r="V37" s="271"/>
      <c r="W37" s="271"/>
      <c r="X37" s="271"/>
      <c r="Y37" s="271"/>
      <c r="Z37" s="271"/>
    </row>
    <row r="38" spans="1:26" ht="15.75" customHeight="1">
      <c r="A38" s="271"/>
      <c r="B38" s="273" t="s">
        <v>1084</v>
      </c>
      <c r="C38" s="271"/>
      <c r="D38" s="271"/>
      <c r="E38" s="271"/>
      <c r="F38" s="290">
        <f>F36+C60</f>
        <v>16328.65000000596</v>
      </c>
      <c r="G38" s="271"/>
      <c r="H38" s="271"/>
      <c r="I38" s="271"/>
      <c r="J38" s="271"/>
      <c r="K38" s="365"/>
      <c r="L38" s="271"/>
      <c r="M38" s="271"/>
      <c r="N38" s="271"/>
      <c r="U38" s="271"/>
      <c r="V38" s="271"/>
      <c r="W38" s="271"/>
      <c r="X38" s="271"/>
      <c r="Y38" s="271"/>
      <c r="Z38" s="271"/>
    </row>
    <row r="39" spans="1:26" ht="15.75" customHeight="1">
      <c r="A39" s="271"/>
      <c r="B39" s="273"/>
      <c r="D39" s="271"/>
      <c r="E39" s="271"/>
      <c r="F39" s="272"/>
      <c r="M39" s="271"/>
      <c r="N39" s="271"/>
      <c r="U39" s="271"/>
      <c r="V39" s="271"/>
      <c r="W39" s="271"/>
      <c r="X39" s="271"/>
      <c r="Y39" s="271"/>
      <c r="Z39" s="271"/>
    </row>
    <row r="40" spans="1:26" ht="15.75" customHeight="1">
      <c r="A40" s="271"/>
      <c r="B40" s="272" t="s">
        <v>1070</v>
      </c>
      <c r="C40" s="271"/>
      <c r="D40" s="271"/>
      <c r="E40" s="271"/>
      <c r="F40" s="271"/>
      <c r="G40" s="271"/>
      <c r="H40" s="271"/>
      <c r="I40" s="271"/>
      <c r="J40" s="365">
        <f>-K36+F18</f>
        <v>33281.260000000053</v>
      </c>
      <c r="K40" s="271"/>
      <c r="M40" s="271"/>
      <c r="N40" s="271"/>
      <c r="U40" s="271"/>
      <c r="V40" s="271"/>
      <c r="W40" s="271"/>
      <c r="X40" s="271"/>
      <c r="Y40" s="271"/>
      <c r="Z40" s="271"/>
    </row>
    <row r="41" spans="1:26" ht="15.75" customHeight="1">
      <c r="A41" s="271"/>
      <c r="B41" s="271" t="s">
        <v>1085</v>
      </c>
      <c r="C41" s="290">
        <f>-E34</f>
        <v>8067474.724535034</v>
      </c>
      <c r="D41" s="301">
        <f>+ROUND(C41/1000,0)</f>
        <v>8067</v>
      </c>
      <c r="E41" s="271"/>
      <c r="I41" s="274"/>
      <c r="M41" s="271"/>
      <c r="N41" s="272"/>
      <c r="U41" s="271"/>
      <c r="V41" s="271"/>
      <c r="W41" s="271"/>
      <c r="X41" s="271"/>
      <c r="Y41" s="271"/>
      <c r="Z41" s="271"/>
    </row>
    <row r="42" spans="1:26" ht="15.75" customHeight="1">
      <c r="A42" s="271"/>
      <c r="B42" s="271"/>
      <c r="C42" s="271"/>
      <c r="D42" s="301"/>
      <c r="E42" s="271"/>
      <c r="I42" s="271"/>
      <c r="M42" s="271"/>
      <c r="N42" s="271"/>
      <c r="U42" s="271"/>
      <c r="V42" s="290"/>
      <c r="W42" s="271"/>
      <c r="X42" s="271"/>
      <c r="Y42" s="271"/>
      <c r="Z42" s="271"/>
    </row>
    <row r="43" spans="1:26" ht="15.75" customHeight="1">
      <c r="A43" s="271"/>
      <c r="B43" s="271"/>
      <c r="C43" s="365"/>
      <c r="D43" s="301"/>
      <c r="E43" s="271"/>
      <c r="I43" s="271"/>
      <c r="M43" s="271"/>
      <c r="N43" s="271"/>
      <c r="U43" s="271"/>
      <c r="V43" s="290"/>
      <c r="W43" s="271"/>
      <c r="X43" s="271"/>
      <c r="Y43" s="271"/>
      <c r="Z43" s="271"/>
    </row>
    <row r="44" spans="1:26" ht="15.75" customHeight="1">
      <c r="A44" s="271" t="s">
        <v>1086</v>
      </c>
      <c r="B44" s="271" t="s">
        <v>1080</v>
      </c>
      <c r="C44" s="290">
        <f>-F13</f>
        <v>80801.5</v>
      </c>
      <c r="D44" s="660">
        <f t="shared" ref="D44" si="2">+ROUND(C44/1000,0)</f>
        <v>81</v>
      </c>
      <c r="E44" s="271"/>
      <c r="I44" s="271"/>
      <c r="M44" s="271"/>
      <c r="U44" s="271"/>
      <c r="V44" s="271"/>
      <c r="W44" s="271"/>
      <c r="X44" s="271"/>
      <c r="Y44" s="271"/>
      <c r="Z44" s="271"/>
    </row>
    <row r="45" spans="1:26" ht="15.75" customHeight="1">
      <c r="A45" s="271" t="s">
        <v>1086</v>
      </c>
      <c r="B45" s="271" t="s">
        <v>1087</v>
      </c>
      <c r="C45" s="290">
        <f>-SUM(C140:C141)</f>
        <v>1827183.8284866977</v>
      </c>
      <c r="D45" s="660">
        <f>+ROUND(C45/1000,0)</f>
        <v>1827</v>
      </c>
      <c r="E45" s="271"/>
      <c r="F45" s="370"/>
      <c r="I45" s="271"/>
      <c r="M45" s="271"/>
      <c r="U45" s="271"/>
      <c r="V45" s="271"/>
      <c r="W45" s="271"/>
      <c r="X45" s="271"/>
      <c r="Y45" s="271"/>
      <c r="Z45" s="271"/>
    </row>
    <row r="46" spans="1:26" ht="15.75" customHeight="1">
      <c r="A46" s="271" t="s">
        <v>1086</v>
      </c>
      <c r="B46" s="271" t="s">
        <v>1088</v>
      </c>
      <c r="C46" s="290">
        <f>-F14</f>
        <v>-570768.42045432818</v>
      </c>
      <c r="D46" s="660">
        <f>+ROUND(C46/1000,0)</f>
        <v>-571</v>
      </c>
      <c r="E46" s="271"/>
      <c r="I46" s="271"/>
      <c r="M46" s="271"/>
      <c r="U46" s="271"/>
      <c r="V46" s="271"/>
      <c r="W46" s="271"/>
      <c r="X46" s="271"/>
      <c r="Y46" s="271"/>
      <c r="Z46" s="271"/>
    </row>
    <row r="47" spans="1:26" ht="15.75" customHeight="1">
      <c r="A47" s="271"/>
      <c r="B47" s="337" t="s">
        <v>1110</v>
      </c>
      <c r="C47" s="369">
        <f>-K36</f>
        <v>18328.260000000057</v>
      </c>
      <c r="D47" s="660">
        <f>+ROUND(C47/1000,0)</f>
        <v>18</v>
      </c>
      <c r="E47" s="271"/>
      <c r="F47" s="370"/>
      <c r="I47" s="271"/>
      <c r="M47" s="271"/>
      <c r="U47" s="271"/>
      <c r="V47" s="271"/>
      <c r="W47" s="271"/>
      <c r="X47" s="271"/>
      <c r="Y47" s="271"/>
      <c r="Z47" s="271"/>
    </row>
    <row r="48" spans="1:26" ht="15.75" customHeight="1">
      <c r="A48" s="271"/>
      <c r="B48" s="337" t="str">
        <f>B11</f>
        <v>Prepaid expenses and other current assets</v>
      </c>
      <c r="C48" s="370">
        <f>-F11</f>
        <v>-2318521.2999999975</v>
      </c>
      <c r="D48" s="660">
        <f>+ROUND(C48/1000,0)</f>
        <v>-2319</v>
      </c>
      <c r="E48" s="271"/>
      <c r="F48" s="370"/>
      <c r="I48" s="271"/>
      <c r="M48" s="271"/>
      <c r="U48" s="271"/>
      <c r="V48" s="271"/>
      <c r="W48" s="271"/>
      <c r="X48" s="271"/>
      <c r="Y48" s="271"/>
      <c r="Z48" s="271"/>
    </row>
    <row r="49" spans="1:26" ht="15.75" customHeight="1">
      <c r="A49" s="271"/>
      <c r="B49" s="271" t="str">
        <f>B10</f>
        <v>Account receivable</v>
      </c>
      <c r="C49" s="290">
        <f>-F10</f>
        <v>-1095870.7100000002</v>
      </c>
      <c r="D49" s="660">
        <f t="shared" ref="D49:D58" si="3">+ROUND(C49/1000,0)</f>
        <v>-1096</v>
      </c>
      <c r="E49" s="271"/>
      <c r="I49" s="271"/>
      <c r="M49" s="271"/>
      <c r="U49" s="271"/>
      <c r="V49" s="271"/>
      <c r="W49" s="271"/>
      <c r="X49" s="271"/>
      <c r="Y49" s="271"/>
      <c r="Z49" s="271"/>
    </row>
    <row r="50" spans="1:26" ht="15.75" customHeight="1">
      <c r="A50" s="271"/>
      <c r="B50" s="271" t="s">
        <v>1089</v>
      </c>
      <c r="C50" s="290">
        <f>-F21-2000</f>
        <v>10773849.319999998</v>
      </c>
      <c r="D50" s="660">
        <f t="shared" si="3"/>
        <v>10774</v>
      </c>
      <c r="E50" s="271"/>
      <c r="I50" s="271"/>
      <c r="M50" s="271"/>
      <c r="U50" s="271"/>
      <c r="V50" s="271"/>
      <c r="W50" s="271"/>
      <c r="X50" s="271"/>
      <c r="Y50" s="271"/>
      <c r="Z50" s="271"/>
    </row>
    <row r="51" spans="1:26" ht="15.75" customHeight="1">
      <c r="A51" s="271"/>
      <c r="B51" s="271" t="str">
        <f>B22</f>
        <v>Other accounts payable and accrued expenses</v>
      </c>
      <c r="C51" s="290">
        <f>-F22</f>
        <v>19521615.240350384</v>
      </c>
      <c r="D51" s="660">
        <f t="shared" si="3"/>
        <v>19522</v>
      </c>
      <c r="E51" s="271"/>
      <c r="I51" s="271"/>
      <c r="M51" s="271"/>
      <c r="U51" s="271"/>
      <c r="V51" s="271"/>
      <c r="W51" s="271"/>
      <c r="X51" s="271"/>
      <c r="Y51" s="271"/>
      <c r="Z51" s="271"/>
    </row>
    <row r="52" spans="1:26" ht="15.75" customHeight="1">
      <c r="A52" s="271"/>
      <c r="B52" s="271" t="s">
        <v>885</v>
      </c>
      <c r="C52" s="290">
        <f>-F17</f>
        <v>-199999</v>
      </c>
      <c r="D52" s="660">
        <f t="shared" si="3"/>
        <v>-200</v>
      </c>
      <c r="E52" s="271"/>
      <c r="I52" s="271"/>
      <c r="L52" s="372"/>
      <c r="M52" s="271"/>
      <c r="U52" s="271"/>
      <c r="V52" s="271"/>
      <c r="W52" s="271"/>
      <c r="X52" s="271"/>
      <c r="Y52" s="271"/>
      <c r="Z52" s="271"/>
    </row>
    <row r="53" spans="1:26" ht="15.75" customHeight="1">
      <c r="A53" s="271"/>
      <c r="B53" s="271" t="s">
        <v>889</v>
      </c>
      <c r="C53" s="290">
        <f>-F16</f>
        <v>-15253.2</v>
      </c>
      <c r="D53" s="660">
        <f t="shared" si="3"/>
        <v>-15</v>
      </c>
      <c r="E53" s="271"/>
      <c r="I53" s="271"/>
      <c r="L53" s="372"/>
      <c r="M53" s="271"/>
      <c r="U53" s="271"/>
      <c r="V53" s="271"/>
      <c r="W53" s="271"/>
      <c r="X53" s="271"/>
      <c r="Y53" s="271"/>
      <c r="Z53" s="271"/>
    </row>
    <row r="54" spans="1:26" ht="15.75" customHeight="1">
      <c r="A54" s="271"/>
      <c r="B54" s="335"/>
      <c r="C54" s="290"/>
      <c r="D54" s="301">
        <f t="shared" si="3"/>
        <v>0</v>
      </c>
      <c r="E54" s="271"/>
      <c r="I54" s="271"/>
      <c r="L54" s="372"/>
      <c r="M54" s="271"/>
      <c r="U54" s="271"/>
      <c r="V54" s="271"/>
      <c r="W54" s="271"/>
      <c r="X54" s="271"/>
      <c r="Y54" s="271"/>
      <c r="Z54" s="271"/>
    </row>
    <row r="55" spans="1:26" ht="30.95" customHeight="1">
      <c r="A55" s="271"/>
      <c r="B55" s="271" t="s">
        <v>1090</v>
      </c>
      <c r="C55" s="290">
        <f>-F24</f>
        <v>3485732</v>
      </c>
      <c r="D55" s="660">
        <f t="shared" si="3"/>
        <v>3486</v>
      </c>
      <c r="E55" s="271"/>
      <c r="I55" s="271"/>
      <c r="L55" s="372"/>
      <c r="M55" s="271"/>
      <c r="U55" s="271"/>
      <c r="V55" s="271"/>
      <c r="W55" s="271"/>
      <c r="X55" s="271"/>
      <c r="Y55" s="271"/>
      <c r="Z55" s="271"/>
    </row>
    <row r="56" spans="1:26" ht="30.95" customHeight="1">
      <c r="A56" s="271"/>
      <c r="B56" s="271" t="str">
        <f>B32</f>
        <v>Receivables for shares issued</v>
      </c>
      <c r="C56" s="290">
        <f>-F32</f>
        <v>50000</v>
      </c>
      <c r="D56" s="660">
        <f t="shared" si="3"/>
        <v>50</v>
      </c>
      <c r="E56" s="271"/>
      <c r="I56" s="271"/>
      <c r="L56" s="372"/>
      <c r="M56" s="271"/>
      <c r="U56" s="271"/>
      <c r="V56" s="271"/>
      <c r="W56" s="271"/>
      <c r="X56" s="271"/>
      <c r="Y56" s="271"/>
      <c r="Z56" s="271"/>
    </row>
    <row r="57" spans="1:26" ht="15.75" customHeight="1">
      <c r="A57" s="271"/>
      <c r="B57" s="337" t="s">
        <v>1244</v>
      </c>
      <c r="C57" s="370">
        <f>-F12-F23</f>
        <v>-23761.982917767426</v>
      </c>
      <c r="D57" s="660">
        <f t="shared" si="3"/>
        <v>-24</v>
      </c>
      <c r="E57" s="271"/>
      <c r="I57" s="271"/>
      <c r="L57" s="372"/>
      <c r="M57" s="271"/>
      <c r="U57" s="271"/>
      <c r="V57" s="271"/>
      <c r="W57" s="271"/>
      <c r="X57" s="271"/>
      <c r="Y57" s="271"/>
      <c r="Z57" s="271"/>
    </row>
    <row r="58" spans="1:26" ht="15.75" customHeight="1">
      <c r="A58" s="271"/>
      <c r="B58" s="299" t="s">
        <v>1266</v>
      </c>
      <c r="C58" s="369">
        <f>-F18</f>
        <v>-14953</v>
      </c>
      <c r="D58" s="660">
        <f t="shared" si="3"/>
        <v>-15</v>
      </c>
      <c r="E58" s="271"/>
      <c r="I58" s="271"/>
      <c r="L58" s="372"/>
      <c r="M58" s="271"/>
      <c r="U58" s="271"/>
      <c r="V58" s="271"/>
      <c r="W58" s="271"/>
      <c r="X58" s="271"/>
      <c r="Y58" s="271"/>
      <c r="Z58" s="271"/>
    </row>
    <row r="59" spans="1:26" ht="15.75" customHeight="1">
      <c r="A59" s="271"/>
      <c r="B59" s="337" t="s">
        <v>1113</v>
      </c>
      <c r="D59" s="661"/>
      <c r="E59" s="271"/>
      <c r="I59" s="271"/>
      <c r="L59" s="372"/>
      <c r="M59" s="271"/>
      <c r="U59" s="271"/>
      <c r="V59" s="271"/>
      <c r="W59" s="271"/>
      <c r="X59" s="271"/>
      <c r="Y59" s="271"/>
      <c r="Z59" s="271"/>
    </row>
    <row r="60" spans="1:26" ht="15.75" customHeight="1">
      <c r="A60" s="271"/>
      <c r="B60" s="271"/>
      <c r="C60" s="290">
        <f>SUM(C43:C59)</f>
        <v>31518382.535464987</v>
      </c>
      <c r="D60" s="301">
        <f>+ROUND(C60/1000,0)</f>
        <v>31518</v>
      </c>
      <c r="E60" s="271"/>
      <c r="F60" s="370"/>
      <c r="I60" s="271"/>
      <c r="L60" s="372"/>
      <c r="M60" s="271"/>
      <c r="U60" s="271"/>
      <c r="V60" s="271"/>
      <c r="W60" s="271"/>
      <c r="X60" s="271"/>
      <c r="Y60" s="271"/>
      <c r="Z60" s="271"/>
    </row>
    <row r="61" spans="1:26" ht="15.75" customHeight="1">
      <c r="A61" s="271"/>
      <c r="B61" s="271"/>
      <c r="C61" s="290"/>
      <c r="D61" s="301"/>
      <c r="E61" s="271"/>
      <c r="I61" s="271"/>
      <c r="L61" s="372"/>
      <c r="M61" s="271"/>
      <c r="U61" s="271"/>
      <c r="V61" s="271"/>
      <c r="W61" s="271"/>
      <c r="X61" s="271"/>
      <c r="Y61" s="271"/>
      <c r="Z61" s="271"/>
    </row>
    <row r="62" spans="1:26" ht="30" customHeight="1">
      <c r="A62" s="271"/>
      <c r="B62" s="297" t="s">
        <v>1091</v>
      </c>
      <c r="C62" s="290">
        <f>C60+C41</f>
        <v>39585857.26000002</v>
      </c>
      <c r="D62" s="301">
        <f>+ROUND(C62/1000,0)</f>
        <v>39586</v>
      </c>
      <c r="E62" s="271"/>
      <c r="I62" s="271"/>
      <c r="L62" s="372"/>
      <c r="M62" s="271"/>
      <c r="U62" s="271"/>
      <c r="V62" s="271"/>
      <c r="W62" s="271"/>
      <c r="X62" s="271"/>
      <c r="Y62" s="271"/>
      <c r="Z62" s="271"/>
    </row>
    <row r="63" spans="1:26" ht="30" customHeight="1">
      <c r="A63" s="271"/>
      <c r="B63" s="271"/>
      <c r="C63" s="271"/>
      <c r="D63" s="301"/>
      <c r="E63" s="271"/>
      <c r="I63" s="271"/>
      <c r="J63" s="372"/>
      <c r="K63" s="372"/>
      <c r="L63" s="372"/>
      <c r="M63" s="271"/>
      <c r="U63" s="271"/>
      <c r="V63" s="271"/>
      <c r="W63" s="271"/>
      <c r="X63" s="271"/>
      <c r="Y63" s="271"/>
      <c r="Z63" s="271"/>
    </row>
    <row r="64" spans="1:26" ht="15.75" customHeight="1">
      <c r="A64" s="271"/>
      <c r="B64" s="272" t="s">
        <v>1071</v>
      </c>
      <c r="C64" s="290"/>
      <c r="D64" s="301"/>
      <c r="E64" s="271"/>
      <c r="I64" s="271"/>
      <c r="J64" s="372"/>
      <c r="K64" s="372"/>
      <c r="L64" s="372"/>
      <c r="M64" s="271"/>
      <c r="U64" s="271"/>
      <c r="V64" s="271"/>
      <c r="W64" s="271"/>
      <c r="X64" s="271"/>
      <c r="Y64" s="271"/>
      <c r="Z64" s="271"/>
    </row>
    <row r="65" spans="1:26" ht="15.75" customHeight="1">
      <c r="A65" s="271"/>
      <c r="B65" s="271" t="s">
        <v>1092</v>
      </c>
      <c r="C65" s="290">
        <f>-G13+2000</f>
        <v>-499111.3</v>
      </c>
      <c r="D65" s="301">
        <f t="shared" ref="D65" si="4">+ROUND(C65/1000,0)</f>
        <v>-499</v>
      </c>
      <c r="E65" s="271"/>
      <c r="I65" s="271"/>
      <c r="J65" s="372"/>
      <c r="K65" s="372"/>
      <c r="L65" s="372"/>
      <c r="M65" s="271"/>
      <c r="U65" s="271"/>
      <c r="V65" s="271"/>
      <c r="W65" s="271"/>
      <c r="X65" s="271"/>
      <c r="Y65" s="271"/>
      <c r="Z65" s="271"/>
    </row>
    <row r="66" spans="1:26" ht="15.75" customHeight="1">
      <c r="A66" s="271"/>
      <c r="B66" s="271" t="s">
        <v>1270</v>
      </c>
      <c r="C66" s="290">
        <f>-G28</f>
        <v>0</v>
      </c>
      <c r="D66" s="301">
        <f>+ROUND(C66/1000,0)</f>
        <v>0</v>
      </c>
      <c r="E66" s="271"/>
      <c r="I66" s="271"/>
      <c r="J66" s="372"/>
      <c r="K66" s="372"/>
      <c r="L66" s="372"/>
      <c r="M66" s="271"/>
      <c r="U66" s="271"/>
      <c r="V66" s="271"/>
      <c r="W66" s="271"/>
      <c r="X66" s="271"/>
      <c r="Y66" s="271"/>
      <c r="Z66" s="271"/>
    </row>
    <row r="67" spans="1:26" ht="15.75" customHeight="1">
      <c r="A67" s="271"/>
      <c r="B67"/>
      <c r="C67"/>
      <c r="D67"/>
      <c r="E67" s="271"/>
      <c r="I67" s="271"/>
      <c r="J67" s="372"/>
      <c r="K67" s="372"/>
      <c r="L67" s="372"/>
      <c r="M67" s="271"/>
      <c r="U67" s="271"/>
      <c r="V67" s="271"/>
      <c r="W67" s="271"/>
      <c r="X67" s="271"/>
      <c r="Y67" s="271"/>
      <c r="Z67" s="271"/>
    </row>
    <row r="68" spans="1:26" ht="15.75" customHeight="1">
      <c r="A68" s="271"/>
      <c r="B68" s="271"/>
      <c r="C68" s="290">
        <f>SUM(C65:C67)</f>
        <v>-499111.3</v>
      </c>
      <c r="D68" s="301">
        <f>+ROUND(C68/1000,0)</f>
        <v>-499</v>
      </c>
      <c r="E68" s="271"/>
      <c r="I68" s="271"/>
      <c r="L68" s="372"/>
      <c r="M68" s="271"/>
      <c r="U68" s="271"/>
      <c r="V68" s="271"/>
      <c r="W68" s="271"/>
      <c r="X68" s="271"/>
      <c r="Y68" s="271"/>
      <c r="Z68" s="271"/>
    </row>
    <row r="69" spans="1:26" ht="15.75" customHeight="1">
      <c r="A69" s="271"/>
      <c r="B69" s="272" t="s">
        <v>1072</v>
      </c>
      <c r="C69" s="290"/>
      <c r="D69" s="301"/>
      <c r="E69" s="271"/>
      <c r="I69" s="271"/>
      <c r="L69" s="372"/>
      <c r="M69" s="271"/>
      <c r="U69" s="271"/>
      <c r="V69" s="271"/>
      <c r="W69" s="271"/>
      <c r="X69" s="271"/>
      <c r="Y69" s="271"/>
      <c r="Z69" s="271"/>
    </row>
    <row r="70" spans="1:26" ht="15.75" customHeight="1">
      <c r="A70" s="271"/>
      <c r="B70" s="272" t="s">
        <v>1093</v>
      </c>
      <c r="C70" s="290"/>
      <c r="D70" s="301">
        <f>+ROUND(C70/1000,0)</f>
        <v>0</v>
      </c>
      <c r="E70" s="271"/>
      <c r="I70" s="271"/>
      <c r="J70" s="372"/>
      <c r="K70" s="372"/>
      <c r="L70" s="372"/>
      <c r="M70" s="271"/>
      <c r="T70" s="271"/>
      <c r="U70" s="271"/>
      <c r="V70" s="271"/>
      <c r="W70" s="271"/>
      <c r="X70" s="271"/>
      <c r="Y70" s="271"/>
      <c r="Z70" s="271"/>
    </row>
    <row r="71" spans="1:26" ht="15.75" customHeight="1">
      <c r="A71" s="271"/>
      <c r="B71" s="299" t="s">
        <v>1094</v>
      </c>
      <c r="C71" s="290"/>
      <c r="D71" s="301">
        <f>+ROUND(C71/1000,0)</f>
        <v>0</v>
      </c>
      <c r="E71" s="271"/>
      <c r="I71" s="271"/>
      <c r="M71" s="271"/>
      <c r="T71" s="271"/>
      <c r="U71" s="271"/>
      <c r="V71" s="271"/>
      <c r="W71" s="271"/>
      <c r="X71" s="271"/>
      <c r="Y71" s="271"/>
      <c r="Z71" s="271"/>
    </row>
    <row r="72" spans="1:26" ht="15.75" customHeight="1">
      <c r="A72" s="271"/>
      <c r="B72" s="299" t="s">
        <v>1266</v>
      </c>
      <c r="C72" s="290">
        <f>-H18</f>
        <v>0</v>
      </c>
      <c r="D72" s="301">
        <f>+ROUND(C72/1000,0)</f>
        <v>0</v>
      </c>
      <c r="E72" s="271"/>
      <c r="I72" s="271"/>
      <c r="M72" s="271"/>
      <c r="T72" s="271"/>
      <c r="U72" s="271"/>
      <c r="V72" s="271"/>
      <c r="W72" s="271"/>
      <c r="X72" s="271"/>
      <c r="Y72" s="271"/>
      <c r="Z72" s="271"/>
    </row>
    <row r="73" spans="1:26" ht="15.75" customHeight="1">
      <c r="A73" s="271"/>
      <c r="B73" s="271" t="str">
        <f>B142</f>
        <v>Options exercised</v>
      </c>
      <c r="C73" s="290">
        <f>-C153-C142</f>
        <v>15956.619999999963</v>
      </c>
      <c r="D73" s="301">
        <f>+ROUND(C73/1000,0)</f>
        <v>16</v>
      </c>
      <c r="E73" s="271"/>
      <c r="I73" s="271"/>
      <c r="M73" s="271"/>
      <c r="T73" s="271"/>
      <c r="U73" s="271"/>
      <c r="V73" s="271"/>
      <c r="W73" s="271"/>
      <c r="X73" s="271"/>
      <c r="Y73" s="271"/>
      <c r="Z73" s="271"/>
    </row>
    <row r="74" spans="1:26" ht="15.75" customHeight="1">
      <c r="A74" s="271"/>
      <c r="B74" s="271" t="s">
        <v>1095</v>
      </c>
      <c r="C74" s="290">
        <f>-H26-H25</f>
        <v>1834818.4899999998</v>
      </c>
      <c r="D74" s="301">
        <f t="shared" ref="D74:D75" si="5">+ROUND(C74/1000,0)</f>
        <v>1835</v>
      </c>
      <c r="E74" s="271"/>
      <c r="I74" s="271"/>
      <c r="J74" s="271"/>
      <c r="K74" s="271"/>
      <c r="M74" s="271"/>
      <c r="T74" s="271"/>
      <c r="U74" s="271"/>
      <c r="V74" s="271"/>
      <c r="W74" s="271"/>
      <c r="X74" s="271"/>
      <c r="Y74" s="271"/>
      <c r="Z74" s="271"/>
    </row>
    <row r="75" spans="1:26" ht="15.75" customHeight="1">
      <c r="A75" s="271"/>
      <c r="B75" s="271"/>
      <c r="C75" s="290">
        <f>+SUM(C70:C74)</f>
        <v>1850775.1099999996</v>
      </c>
      <c r="D75" s="301">
        <f t="shared" si="5"/>
        <v>1851</v>
      </c>
      <c r="E75" s="271"/>
      <c r="I75" s="271"/>
      <c r="J75" s="271"/>
      <c r="K75" s="271"/>
      <c r="M75" s="271"/>
      <c r="T75" s="271"/>
      <c r="U75" s="271"/>
      <c r="V75" s="271"/>
      <c r="W75" s="271"/>
      <c r="X75" s="271"/>
      <c r="Y75" s="271"/>
      <c r="Z75" s="271"/>
    </row>
    <row r="76" spans="1:26" ht="15.75" customHeight="1">
      <c r="A76" s="271"/>
      <c r="B76" s="271"/>
      <c r="C76" s="271"/>
      <c r="D76" s="301"/>
      <c r="E76" s="271"/>
      <c r="I76" s="271"/>
      <c r="J76" s="271"/>
      <c r="K76" s="271"/>
      <c r="M76" s="271"/>
      <c r="T76" s="271"/>
      <c r="U76" s="271"/>
      <c r="V76" s="271"/>
      <c r="W76" s="271"/>
      <c r="X76" s="271"/>
      <c r="Y76" s="271"/>
      <c r="Z76" s="271"/>
    </row>
    <row r="77" spans="1:26" ht="15.75" customHeight="1">
      <c r="A77" s="271"/>
      <c r="B77" s="271"/>
      <c r="C77" s="271"/>
      <c r="D77" s="301"/>
      <c r="E77" s="271"/>
      <c r="I77" s="271"/>
      <c r="J77" s="271"/>
      <c r="K77" s="271"/>
      <c r="M77" s="271"/>
      <c r="T77" s="271"/>
      <c r="U77" s="271"/>
      <c r="V77" s="271"/>
      <c r="W77" s="271"/>
      <c r="X77" s="271"/>
      <c r="Y77" s="271"/>
      <c r="Z77" s="271"/>
    </row>
    <row r="78" spans="1:26" ht="15.75" customHeight="1">
      <c r="A78" s="271"/>
      <c r="B78" s="272" t="s">
        <v>1074</v>
      </c>
      <c r="C78" s="290">
        <f>C68+C62+C75</f>
        <v>40937521.070000023</v>
      </c>
      <c r="D78" s="301">
        <f t="shared" ref="D78:D79" si="6">+ROUND(C78/1000,0)</f>
        <v>40938</v>
      </c>
      <c r="E78" s="271"/>
      <c r="I78" s="271"/>
      <c r="J78" s="271"/>
      <c r="K78" s="271"/>
      <c r="M78" s="271"/>
      <c r="T78" s="271"/>
      <c r="U78" s="271"/>
      <c r="V78" s="271"/>
      <c r="W78" s="271"/>
      <c r="X78" s="271"/>
      <c r="Y78" s="271"/>
      <c r="Z78" s="271"/>
    </row>
    <row r="79" spans="1:26" ht="15.75" customHeight="1">
      <c r="A79" s="271"/>
      <c r="B79" s="337" t="s">
        <v>1114</v>
      </c>
      <c r="C79" s="369">
        <f>K9</f>
        <v>83437.149999999994</v>
      </c>
      <c r="D79" s="301">
        <f t="shared" si="6"/>
        <v>83</v>
      </c>
      <c r="E79" s="271"/>
      <c r="I79" s="271"/>
      <c r="J79" s="271"/>
      <c r="K79" s="271"/>
      <c r="M79" s="271"/>
      <c r="T79" s="271"/>
      <c r="U79" s="271"/>
      <c r="V79" s="271"/>
      <c r="W79" s="271"/>
      <c r="X79" s="271"/>
      <c r="Y79" s="271"/>
      <c r="Z79" s="271"/>
    </row>
    <row r="80" spans="1:26" ht="15.75" customHeight="1">
      <c r="A80" s="271"/>
      <c r="B80" s="272" t="s">
        <v>1096</v>
      </c>
      <c r="C80" s="298">
        <f>D9</f>
        <v>7494535</v>
      </c>
      <c r="D80" s="301">
        <f>+ROUND(C80/1000,0)</f>
        <v>7495</v>
      </c>
      <c r="E80" s="271"/>
      <c r="I80" s="271"/>
      <c r="J80" s="271"/>
      <c r="K80" s="271"/>
      <c r="M80" s="271"/>
      <c r="T80" s="271"/>
      <c r="U80" s="271"/>
      <c r="V80" s="271"/>
      <c r="W80" s="271"/>
      <c r="X80" s="271"/>
      <c r="Y80" s="271"/>
      <c r="Z80" s="271"/>
    </row>
    <row r="81" spans="1:26" ht="15.75" customHeight="1">
      <c r="A81" s="271"/>
      <c r="B81" s="272" t="s">
        <v>1097</v>
      </c>
      <c r="C81" s="290">
        <f>SUM(C78:C80)</f>
        <v>48515493.220000021</v>
      </c>
      <c r="D81" s="301">
        <f>+ROUND(C81/1000,0)</f>
        <v>48515</v>
      </c>
      <c r="E81" s="271"/>
      <c r="I81" s="271"/>
      <c r="J81" s="271"/>
      <c r="K81" s="271"/>
      <c r="M81" s="271"/>
      <c r="T81" s="271"/>
      <c r="U81" s="271"/>
      <c r="V81" s="271"/>
      <c r="W81" s="271"/>
      <c r="X81" s="271"/>
      <c r="Y81" s="271"/>
      <c r="Z81" s="271"/>
    </row>
    <row r="82" spans="1:26" ht="15.75" customHeight="1">
      <c r="A82" s="271"/>
      <c r="B82" s="271"/>
      <c r="C82" s="271"/>
      <c r="D82" s="301"/>
      <c r="E82" s="271"/>
      <c r="I82" s="271"/>
      <c r="M82" s="271"/>
      <c r="T82" s="271"/>
      <c r="U82" s="271"/>
      <c r="V82" s="271"/>
      <c r="W82" s="271"/>
      <c r="X82" s="271"/>
      <c r="Y82" s="271"/>
      <c r="Z82" s="271"/>
    </row>
    <row r="83" spans="1:26" ht="15.75" customHeight="1">
      <c r="A83" s="271"/>
      <c r="B83" s="271" t="s">
        <v>1075</v>
      </c>
      <c r="C83" s="290">
        <f>C81-L9</f>
        <v>1.1400000229477882</v>
      </c>
      <c r="D83" s="301"/>
      <c r="E83" s="271"/>
      <c r="I83" s="271"/>
      <c r="M83" s="271"/>
      <c r="T83" s="271"/>
      <c r="U83" s="271"/>
      <c r="V83" s="271"/>
      <c r="W83" s="271"/>
      <c r="X83" s="271"/>
      <c r="Y83" s="271"/>
      <c r="Z83" s="271"/>
    </row>
    <row r="84" spans="1:26" ht="15.75" customHeight="1" thickBot="1">
      <c r="A84" s="271"/>
      <c r="B84" s="271"/>
      <c r="C84" s="290"/>
      <c r="D84" s="301"/>
      <c r="E84" s="271"/>
      <c r="I84" s="271"/>
      <c r="M84" s="271"/>
      <c r="T84" s="271"/>
      <c r="U84" s="271"/>
      <c r="V84" s="271"/>
      <c r="W84" s="271"/>
      <c r="X84" s="271"/>
      <c r="Y84" s="271"/>
      <c r="Z84" s="271"/>
    </row>
    <row r="85" spans="1:26" ht="15.75" customHeight="1">
      <c r="A85" s="271"/>
      <c r="B85" s="651" t="s">
        <v>1082</v>
      </c>
      <c r="C85" s="652">
        <f>I21</f>
        <v>415468.35000000003</v>
      </c>
      <c r="D85" s="653">
        <f>C85/1000</f>
        <v>415.46835000000004</v>
      </c>
      <c r="E85" s="271"/>
      <c r="I85" s="271"/>
      <c r="M85" s="271"/>
      <c r="T85" s="271"/>
      <c r="U85" s="271"/>
      <c r="V85" s="271"/>
      <c r="W85" s="271"/>
      <c r="X85" s="271"/>
      <c r="Y85" s="271"/>
      <c r="Z85" s="271"/>
    </row>
    <row r="86" spans="1:26" ht="15.75" customHeight="1">
      <c r="A86" s="271"/>
      <c r="B86" s="657" t="s">
        <v>1269</v>
      </c>
      <c r="C86" s="658">
        <f>'P&amp;L LTD  USD'!D77</f>
        <v>266889.07999999996</v>
      </c>
      <c r="D86" s="659">
        <f>C86/1000</f>
        <v>266.88907999999998</v>
      </c>
      <c r="E86" s="271"/>
      <c r="I86" s="271"/>
      <c r="M86" s="271"/>
      <c r="T86" s="271"/>
      <c r="U86" s="271"/>
      <c r="V86" s="271"/>
      <c r="W86" s="271"/>
      <c r="X86" s="271"/>
      <c r="Y86" s="271"/>
      <c r="Z86" s="271"/>
    </row>
    <row r="87" spans="1:26" ht="15.75" customHeight="1">
      <c r="A87" s="271"/>
      <c r="B87" s="657" t="s">
        <v>1267</v>
      </c>
      <c r="C87" s="658">
        <f>I12</f>
        <v>610280.11133064516</v>
      </c>
      <c r="D87" s="659">
        <f>C87/1000</f>
        <v>610.28011133064513</v>
      </c>
      <c r="E87" s="271"/>
      <c r="I87" s="271"/>
      <c r="M87" s="271"/>
      <c r="T87" s="271"/>
      <c r="U87" s="271"/>
      <c r="V87" s="271"/>
      <c r="W87" s="271"/>
      <c r="X87" s="271"/>
      <c r="Y87" s="271"/>
      <c r="Z87" s="271"/>
    </row>
    <row r="88" spans="1:26" ht="15.75" customHeight="1" thickBot="1">
      <c r="A88" s="271"/>
      <c r="B88" s="654" t="s">
        <v>1265</v>
      </c>
      <c r="C88" s="655">
        <f>SUM('TB LTD 12.21'!G14:G18)</f>
        <v>57709.009999999995</v>
      </c>
      <c r="D88" s="656">
        <f>C88/1000</f>
        <v>57.709009999999992</v>
      </c>
      <c r="E88" s="271"/>
      <c r="I88" s="271"/>
      <c r="M88" s="271"/>
      <c r="T88" s="271"/>
      <c r="U88" s="271"/>
      <c r="V88" s="271"/>
      <c r="W88" s="271"/>
      <c r="X88" s="271"/>
      <c r="Y88" s="271"/>
      <c r="Z88" s="271"/>
    </row>
    <row r="89" spans="1:26" ht="15.75" customHeight="1">
      <c r="A89" s="271"/>
      <c r="B89" s="271"/>
      <c r="C89" s="271"/>
      <c r="D89" s="271"/>
      <c r="E89" s="271"/>
      <c r="I89" s="271"/>
      <c r="J89" s="271"/>
      <c r="K89" s="271"/>
      <c r="M89" s="271"/>
      <c r="T89" s="271"/>
      <c r="U89" s="271"/>
      <c r="V89" s="271"/>
      <c r="W89" s="271"/>
      <c r="X89" s="271"/>
      <c r="Y89" s="271"/>
      <c r="Z89" s="271"/>
    </row>
    <row r="90" spans="1:26" ht="15.75" customHeight="1">
      <c r="A90" s="271"/>
      <c r="B90" s="273" t="s">
        <v>1115</v>
      </c>
      <c r="C90" s="271"/>
      <c r="D90" s="271"/>
      <c r="E90" s="271"/>
      <c r="I90" s="271"/>
      <c r="J90" s="271"/>
      <c r="K90" s="271"/>
      <c r="M90" s="271"/>
      <c r="T90" s="271"/>
      <c r="U90" s="271"/>
      <c r="V90" s="271"/>
      <c r="W90" s="271"/>
      <c r="X90" s="271"/>
      <c r="Y90" s="271"/>
      <c r="Z90" s="271"/>
    </row>
    <row r="91" spans="1:26" ht="15.75" customHeight="1" thickBot="1">
      <c r="A91" s="271"/>
      <c r="B91" s="271"/>
      <c r="C91" s="271"/>
      <c r="D91" s="271"/>
      <c r="E91" s="271"/>
      <c r="I91" s="271"/>
      <c r="J91" s="271"/>
      <c r="K91" s="271"/>
      <c r="M91" s="271"/>
      <c r="T91" s="271"/>
      <c r="U91" s="271"/>
      <c r="V91" s="271"/>
      <c r="W91" s="271"/>
      <c r="X91" s="271"/>
      <c r="Y91" s="271"/>
      <c r="Z91" s="271"/>
    </row>
    <row r="92" spans="1:26" ht="15.75" customHeight="1">
      <c r="A92" s="364">
        <f>A13</f>
        <v>1</v>
      </c>
      <c r="B92" s="278" t="s">
        <v>1116</v>
      </c>
      <c r="C92" s="279"/>
      <c r="D92" s="280"/>
      <c r="E92" s="271"/>
      <c r="I92" s="271"/>
      <c r="J92" s="271"/>
      <c r="K92" s="271"/>
      <c r="M92" s="271"/>
      <c r="T92" s="271"/>
      <c r="U92" s="271"/>
      <c r="V92" s="271"/>
      <c r="W92" s="271"/>
      <c r="X92" s="271"/>
      <c r="Y92" s="271"/>
      <c r="Z92" s="271"/>
    </row>
    <row r="93" spans="1:26" ht="15.75" customHeight="1">
      <c r="A93" s="364"/>
      <c r="B93" s="285"/>
      <c r="C93" s="271"/>
      <c r="D93" s="286"/>
      <c r="E93" s="271"/>
      <c r="I93" s="271"/>
      <c r="J93" s="271"/>
      <c r="K93" s="271"/>
      <c r="M93" s="271"/>
      <c r="T93" s="271"/>
      <c r="U93" s="271"/>
      <c r="V93" s="271"/>
      <c r="W93" s="271"/>
      <c r="X93" s="271"/>
      <c r="Y93" s="271"/>
      <c r="Z93" s="271"/>
    </row>
    <row r="94" spans="1:26" ht="15.75" customHeight="1">
      <c r="A94" s="364"/>
      <c r="B94" s="285"/>
      <c r="C94" s="272" t="s">
        <v>1077</v>
      </c>
      <c r="D94" s="340">
        <f>+D13</f>
        <v>81585</v>
      </c>
      <c r="E94" s="271"/>
      <c r="I94" s="271"/>
      <c r="J94" s="271"/>
      <c r="K94" s="271"/>
      <c r="M94" s="271"/>
      <c r="T94" s="271"/>
      <c r="U94" s="271"/>
      <c r="V94" s="271"/>
      <c r="W94" s="271"/>
      <c r="X94" s="271"/>
      <c r="Y94" s="271"/>
      <c r="Z94" s="271"/>
    </row>
    <row r="95" spans="1:26" ht="15.75" customHeight="1">
      <c r="A95" s="364"/>
      <c r="B95" s="285"/>
      <c r="C95" s="272" t="s">
        <v>1078</v>
      </c>
      <c r="D95" s="340">
        <f>501155.3-44</f>
        <v>501111.3</v>
      </c>
      <c r="E95" s="271"/>
      <c r="I95" s="271"/>
      <c r="J95" s="271"/>
      <c r="K95" s="271"/>
      <c r="M95" s="271"/>
      <c r="T95" s="271"/>
      <c r="U95" s="271"/>
      <c r="V95" s="271"/>
      <c r="W95" s="271"/>
      <c r="X95" s="271"/>
      <c r="Y95" s="271"/>
      <c r="Z95" s="271"/>
    </row>
    <row r="96" spans="1:26" ht="15.75" customHeight="1">
      <c r="A96" s="364"/>
      <c r="B96" s="285"/>
      <c r="C96" s="272" t="s">
        <v>1079</v>
      </c>
      <c r="D96" s="340">
        <v>0</v>
      </c>
      <c r="E96" s="271"/>
      <c r="I96" s="271"/>
      <c r="J96" s="271"/>
      <c r="K96" s="271"/>
      <c r="M96" s="271"/>
      <c r="T96" s="271"/>
      <c r="U96" s="271"/>
      <c r="V96" s="271"/>
      <c r="W96" s="271"/>
      <c r="X96" s="271"/>
      <c r="Y96" s="271"/>
      <c r="Z96" s="271"/>
    </row>
    <row r="97" spans="1:26" ht="15.75" customHeight="1">
      <c r="A97" s="364"/>
      <c r="B97" s="291"/>
      <c r="C97" s="272" t="s">
        <v>1080</v>
      </c>
      <c r="D97" s="340">
        <f>-80801.5</f>
        <v>-80801.5</v>
      </c>
      <c r="E97" s="271"/>
      <c r="I97" s="271"/>
      <c r="J97" s="271"/>
      <c r="K97" s="271"/>
      <c r="M97" s="271"/>
      <c r="T97" s="271"/>
      <c r="U97" s="271"/>
      <c r="V97" s="271"/>
      <c r="W97" s="271"/>
      <c r="X97" s="271"/>
      <c r="Y97" s="271"/>
      <c r="Z97" s="271"/>
    </row>
    <row r="98" spans="1:26" ht="15.75" customHeight="1">
      <c r="A98" s="364"/>
      <c r="B98" s="291"/>
      <c r="C98" s="272"/>
      <c r="D98" s="340"/>
      <c r="E98" s="271"/>
      <c r="I98" s="271"/>
      <c r="J98" s="271"/>
      <c r="K98" s="271"/>
      <c r="M98" s="271"/>
      <c r="T98" s="271"/>
      <c r="U98" s="271"/>
      <c r="V98" s="271"/>
      <c r="W98" s="271"/>
      <c r="X98" s="271"/>
      <c r="Y98" s="271"/>
      <c r="Z98" s="271"/>
    </row>
    <row r="99" spans="1:26" ht="15.75" customHeight="1">
      <c r="A99" s="364"/>
      <c r="B99" s="285"/>
      <c r="C99" s="272"/>
      <c r="D99" s="341"/>
      <c r="E99" s="271"/>
      <c r="I99" s="271"/>
      <c r="J99" s="271"/>
      <c r="K99" s="271"/>
      <c r="M99" s="271"/>
      <c r="T99" s="271"/>
      <c r="U99" s="271"/>
      <c r="V99" s="271"/>
      <c r="W99" s="271"/>
      <c r="X99" s="271"/>
      <c r="Y99" s="271"/>
      <c r="Z99" s="271"/>
    </row>
    <row r="100" spans="1:26" ht="15.75" customHeight="1">
      <c r="A100" s="364"/>
      <c r="B100" s="291"/>
      <c r="C100" s="272" t="s">
        <v>1081</v>
      </c>
      <c r="D100" s="340">
        <f>SUM(D94:D99)</f>
        <v>501894.80000000005</v>
      </c>
      <c r="E100" s="271"/>
      <c r="I100" s="271"/>
      <c r="J100" s="271"/>
      <c r="K100" s="271"/>
      <c r="M100" s="271"/>
      <c r="T100" s="271"/>
      <c r="U100" s="271"/>
      <c r="V100" s="271"/>
      <c r="W100" s="271"/>
      <c r="X100" s="271"/>
      <c r="Y100" s="271"/>
      <c r="Z100" s="271"/>
    </row>
    <row r="101" spans="1:26" ht="15.75" customHeight="1" thickBot="1">
      <c r="A101" s="364"/>
      <c r="B101" s="293"/>
      <c r="C101" s="294" t="s">
        <v>1075</v>
      </c>
      <c r="D101" s="295">
        <f>+D100-L13</f>
        <v>-0.49999999994179234</v>
      </c>
      <c r="E101" s="271"/>
      <c r="I101" s="271"/>
      <c r="J101" s="271"/>
      <c r="K101" s="271"/>
      <c r="M101" s="271"/>
      <c r="T101" s="271"/>
      <c r="U101" s="271"/>
      <c r="V101" s="271"/>
      <c r="W101" s="271"/>
      <c r="X101" s="271"/>
      <c r="Y101" s="271"/>
      <c r="Z101" s="271"/>
    </row>
    <row r="102" spans="1:26" ht="15.75" customHeight="1" thickBot="1">
      <c r="A102" s="364"/>
      <c r="B102" s="372"/>
      <c r="C102" s="372"/>
      <c r="D102" s="372"/>
      <c r="E102" s="271"/>
      <c r="I102" s="271"/>
      <c r="J102" s="271"/>
      <c r="K102" s="271"/>
      <c r="M102" s="271"/>
      <c r="T102" s="271"/>
      <c r="U102" s="271"/>
      <c r="V102" s="271"/>
      <c r="W102" s="271"/>
      <c r="X102" s="271"/>
      <c r="Y102" s="271"/>
      <c r="Z102" s="271"/>
    </row>
    <row r="103" spans="1:26" ht="15.75" customHeight="1">
      <c r="A103" s="364">
        <f>A25</f>
        <v>2</v>
      </c>
      <c r="B103" s="281" t="s">
        <v>1117</v>
      </c>
      <c r="C103" s="373"/>
      <c r="D103" s="282"/>
      <c r="E103" s="271"/>
      <c r="I103" s="271"/>
      <c r="J103" s="271"/>
      <c r="K103" s="271"/>
      <c r="M103" s="271"/>
      <c r="T103" s="271"/>
      <c r="U103" s="271"/>
      <c r="V103" s="271"/>
      <c r="W103" s="271"/>
      <c r="X103" s="271"/>
      <c r="Y103" s="271"/>
      <c r="Z103" s="271"/>
    </row>
    <row r="104" spans="1:26" ht="15.75" customHeight="1">
      <c r="A104" s="364"/>
      <c r="B104" s="287"/>
      <c r="C104" s="271"/>
      <c r="D104" s="288"/>
      <c r="E104" s="271"/>
      <c r="I104" s="271"/>
      <c r="J104" s="271"/>
      <c r="K104" s="271"/>
      <c r="M104" s="271"/>
      <c r="T104" s="271"/>
      <c r="U104" s="271"/>
      <c r="V104" s="271"/>
      <c r="W104" s="271"/>
      <c r="X104" s="271"/>
      <c r="Y104" s="271"/>
      <c r="Z104" s="271"/>
    </row>
    <row r="105" spans="1:26" ht="15.75" customHeight="1">
      <c r="A105" s="364"/>
      <c r="B105" s="287"/>
      <c r="C105" s="272" t="s">
        <v>1077</v>
      </c>
      <c r="D105" s="374">
        <f>D25</f>
        <v>-266667</v>
      </c>
      <c r="E105" s="271"/>
      <c r="I105" s="271"/>
      <c r="J105" s="271"/>
      <c r="K105" s="271"/>
      <c r="M105" s="271"/>
      <c r="T105" s="271"/>
      <c r="U105" s="271"/>
      <c r="V105" s="271"/>
      <c r="W105" s="271"/>
      <c r="X105" s="271"/>
      <c r="Y105" s="271"/>
      <c r="Z105" s="271"/>
    </row>
    <row r="106" spans="1:26" ht="15.75" customHeight="1">
      <c r="A106" s="364"/>
      <c r="B106" s="287"/>
      <c r="C106" s="272" t="s">
        <v>1099</v>
      </c>
      <c r="D106" s="374">
        <f>-3266667</f>
        <v>-3266667</v>
      </c>
      <c r="E106" s="271"/>
      <c r="I106" s="271"/>
      <c r="J106" s="271"/>
      <c r="K106" s="271"/>
      <c r="M106" s="271"/>
      <c r="T106" s="271"/>
      <c r="U106" s="271"/>
      <c r="V106" s="271"/>
      <c r="W106" s="271"/>
      <c r="X106" s="271"/>
      <c r="Y106" s="271"/>
      <c r="Z106" s="271"/>
    </row>
    <row r="107" spans="1:26" ht="15.75" customHeight="1">
      <c r="A107" s="364"/>
      <c r="B107" s="287"/>
      <c r="C107" s="272" t="s">
        <v>1100</v>
      </c>
      <c r="D107" s="374">
        <v>1500000.03</v>
      </c>
      <c r="E107" s="271"/>
      <c r="I107" s="271"/>
      <c r="J107" s="271"/>
      <c r="K107" s="271"/>
      <c r="M107" s="271"/>
      <c r="T107" s="271"/>
      <c r="U107" s="271"/>
      <c r="V107" s="271"/>
      <c r="W107" s="271"/>
      <c r="X107" s="271"/>
      <c r="Y107" s="271"/>
      <c r="Z107" s="271"/>
    </row>
    <row r="108" spans="1:26" ht="15.75" customHeight="1">
      <c r="A108" s="364"/>
      <c r="B108" s="344"/>
      <c r="C108" s="380" t="s">
        <v>1268</v>
      </c>
      <c r="D108" s="611"/>
      <c r="E108" s="271"/>
      <c r="I108" s="271"/>
      <c r="J108" s="271"/>
      <c r="K108" s="271"/>
      <c r="M108" s="271"/>
      <c r="T108" s="271"/>
      <c r="U108" s="271"/>
      <c r="V108" s="271"/>
      <c r="W108" s="271"/>
      <c r="X108" s="271"/>
      <c r="Y108" s="271"/>
      <c r="Z108" s="271"/>
    </row>
    <row r="109" spans="1:26" ht="15.75" customHeight="1">
      <c r="A109" s="364"/>
      <c r="B109" s="344"/>
      <c r="C109" s="272"/>
      <c r="D109" s="374"/>
      <c r="E109" s="271"/>
      <c r="I109" s="271"/>
      <c r="J109" s="271"/>
      <c r="K109" s="271"/>
      <c r="M109" s="271"/>
      <c r="T109" s="271"/>
      <c r="U109" s="271"/>
      <c r="V109" s="271"/>
      <c r="W109" s="271"/>
      <c r="X109" s="271"/>
      <c r="Y109" s="271"/>
      <c r="Z109" s="271"/>
    </row>
    <row r="110" spans="1:26" ht="15.75" customHeight="1">
      <c r="A110" s="364"/>
      <c r="B110" s="287"/>
      <c r="C110" s="272"/>
      <c r="D110" s="375"/>
      <c r="E110" s="271"/>
      <c r="H110" s="271"/>
      <c r="I110" s="271"/>
      <c r="J110" s="271"/>
      <c r="K110" s="271"/>
      <c r="M110" s="271"/>
      <c r="T110" s="271"/>
      <c r="U110" s="271"/>
      <c r="V110" s="271"/>
      <c r="W110" s="271"/>
      <c r="X110" s="271"/>
      <c r="Y110" s="271"/>
      <c r="Z110" s="271"/>
    </row>
    <row r="111" spans="1:26" ht="15.75" customHeight="1">
      <c r="A111" s="364"/>
      <c r="B111" s="344"/>
      <c r="C111" s="272" t="s">
        <v>1081</v>
      </c>
      <c r="D111" s="374">
        <f>SUM(D105:D110)</f>
        <v>-2033333.97</v>
      </c>
      <c r="E111" s="271"/>
      <c r="H111" s="271"/>
      <c r="I111" s="271"/>
      <c r="J111" s="271"/>
      <c r="K111" s="271"/>
      <c r="M111" s="271"/>
      <c r="T111" s="271"/>
      <c r="U111" s="271"/>
      <c r="V111" s="271"/>
      <c r="W111" s="271"/>
      <c r="X111" s="271"/>
      <c r="Y111" s="271"/>
      <c r="Z111" s="271"/>
    </row>
    <row r="112" spans="1:26" ht="15.75" customHeight="1" thickBot="1">
      <c r="A112" s="364"/>
      <c r="B112" s="345"/>
      <c r="C112" s="376" t="s">
        <v>1075</v>
      </c>
      <c r="D112" s="377">
        <f>D111-L25</f>
        <v>3.0000000027939677E-2</v>
      </c>
      <c r="E112" s="271"/>
      <c r="H112" s="271"/>
      <c r="I112" s="271"/>
      <c r="J112" s="271"/>
      <c r="K112" s="271"/>
      <c r="M112" s="271"/>
      <c r="T112" s="271"/>
      <c r="U112" s="271"/>
      <c r="V112" s="271"/>
      <c r="W112" s="271"/>
      <c r="X112" s="271"/>
      <c r="Y112" s="271"/>
      <c r="Z112" s="271"/>
    </row>
    <row r="113" spans="1:26" ht="15.75" customHeight="1" thickBot="1">
      <c r="A113" s="364"/>
      <c r="E113" s="271"/>
      <c r="H113" s="271"/>
      <c r="I113" s="271"/>
      <c r="J113" s="271"/>
      <c r="K113" s="271"/>
      <c r="M113" s="271"/>
      <c r="T113" s="271"/>
      <c r="U113" s="271"/>
      <c r="V113" s="271"/>
      <c r="W113" s="271"/>
      <c r="X113" s="271"/>
      <c r="Y113" s="271"/>
      <c r="Z113" s="271"/>
    </row>
    <row r="114" spans="1:26" ht="15.75" customHeight="1">
      <c r="A114" s="364">
        <f>A26</f>
        <v>3</v>
      </c>
      <c r="B114" s="281" t="s">
        <v>1118</v>
      </c>
      <c r="C114" s="373"/>
      <c r="D114" s="282"/>
      <c r="E114" s="271"/>
      <c r="H114" s="271"/>
      <c r="I114" s="271"/>
      <c r="J114" s="271"/>
      <c r="K114" s="271"/>
      <c r="M114" s="271"/>
      <c r="T114" s="271"/>
      <c r="U114" s="271"/>
      <c r="V114" s="271"/>
      <c r="W114" s="271"/>
      <c r="X114" s="271"/>
      <c r="Y114" s="271"/>
      <c r="Z114" s="271"/>
    </row>
    <row r="115" spans="1:26" ht="15.75" customHeight="1">
      <c r="A115" s="364"/>
      <c r="B115" s="287"/>
      <c r="C115" s="271"/>
      <c r="D115" s="288"/>
      <c r="E115" s="271"/>
      <c r="H115" s="271"/>
      <c r="I115" s="271"/>
      <c r="J115" s="271"/>
      <c r="K115" s="271"/>
      <c r="M115" s="271"/>
      <c r="T115" s="271"/>
      <c r="U115" s="271"/>
      <c r="V115" s="271"/>
      <c r="W115" s="271"/>
      <c r="X115" s="271"/>
      <c r="Y115" s="271"/>
      <c r="Z115" s="271"/>
    </row>
    <row r="116" spans="1:26" ht="15.75" customHeight="1">
      <c r="A116" s="364"/>
      <c r="B116" s="287"/>
      <c r="C116" s="272" t="s">
        <v>1077</v>
      </c>
      <c r="D116" s="374">
        <f>D26</f>
        <v>-466666</v>
      </c>
      <c r="E116" s="271"/>
      <c r="H116" s="271"/>
      <c r="I116" s="271"/>
      <c r="J116" s="271"/>
      <c r="K116" s="271"/>
      <c r="M116" s="271"/>
      <c r="T116" s="271"/>
      <c r="U116" s="271"/>
      <c r="V116" s="271"/>
      <c r="W116" s="271"/>
      <c r="X116" s="271"/>
      <c r="Y116" s="271"/>
      <c r="Z116" s="271"/>
    </row>
    <row r="117" spans="1:26" ht="15.75" customHeight="1">
      <c r="A117" s="364"/>
      <c r="B117" s="287"/>
      <c r="C117" s="272" t="s">
        <v>1099</v>
      </c>
      <c r="D117" s="374">
        <v>-600001.31999999983</v>
      </c>
      <c r="E117" s="271"/>
      <c r="H117" s="271"/>
      <c r="I117" s="271"/>
      <c r="J117" s="271"/>
      <c r="K117" s="271"/>
      <c r="M117" s="271"/>
      <c r="T117" s="271"/>
      <c r="U117" s="271"/>
      <c r="V117" s="271"/>
      <c r="W117" s="271"/>
      <c r="X117" s="271"/>
      <c r="Y117" s="271"/>
      <c r="Z117" s="271"/>
    </row>
    <row r="118" spans="1:26" ht="15.75" customHeight="1">
      <c r="A118" s="364"/>
      <c r="B118" s="287"/>
      <c r="C118" s="378" t="s">
        <v>1100</v>
      </c>
      <c r="D118" s="374">
        <v>533332.61</v>
      </c>
      <c r="E118" s="271"/>
      <c r="H118" s="271"/>
      <c r="I118" s="271"/>
      <c r="J118" s="271"/>
      <c r="K118" s="271"/>
      <c r="M118" s="271"/>
      <c r="T118" s="271"/>
      <c r="U118" s="271"/>
      <c r="V118" s="271"/>
      <c r="W118" s="271"/>
      <c r="X118" s="271"/>
      <c r="Y118" s="271"/>
      <c r="Z118" s="271"/>
    </row>
    <row r="119" spans="1:26" ht="15.75" customHeight="1">
      <c r="A119" s="364"/>
      <c r="B119" s="344"/>
      <c r="C119" s="378" t="s">
        <v>1119</v>
      </c>
      <c r="D119" s="374">
        <v>2.3200000000000003</v>
      </c>
      <c r="E119" s="271"/>
      <c r="H119" s="271"/>
      <c r="I119" s="271"/>
      <c r="J119" s="271"/>
      <c r="K119" s="271"/>
      <c r="M119" s="271"/>
      <c r="T119" s="271"/>
      <c r="U119" s="271"/>
      <c r="V119" s="271"/>
      <c r="W119" s="271"/>
      <c r="X119" s="271"/>
      <c r="Y119" s="271"/>
      <c r="Z119" s="271"/>
    </row>
    <row r="120" spans="1:26" ht="15.75" customHeight="1">
      <c r="A120" s="364"/>
      <c r="B120" s="344"/>
      <c r="C120" s="272"/>
      <c r="D120" s="374"/>
      <c r="E120" s="271"/>
      <c r="H120" s="271"/>
      <c r="I120" s="271"/>
      <c r="J120" s="271"/>
      <c r="K120" s="271"/>
      <c r="M120" s="271"/>
      <c r="T120" s="271"/>
      <c r="U120" s="271"/>
      <c r="V120" s="271"/>
      <c r="W120" s="271"/>
      <c r="X120" s="271"/>
      <c r="Y120" s="271"/>
      <c r="Z120" s="271"/>
    </row>
    <row r="121" spans="1:26" ht="15.75" customHeight="1">
      <c r="A121" s="364"/>
      <c r="B121" s="287"/>
      <c r="C121" s="272"/>
      <c r="D121" s="375"/>
      <c r="E121" s="271"/>
      <c r="H121" s="271"/>
      <c r="I121" s="271"/>
      <c r="J121" s="271"/>
      <c r="K121" s="271"/>
      <c r="M121" s="271"/>
      <c r="T121" s="271"/>
      <c r="U121" s="271"/>
      <c r="V121" s="271"/>
      <c r="W121" s="271"/>
      <c r="X121" s="271"/>
      <c r="Y121" s="271"/>
      <c r="Z121" s="271"/>
    </row>
    <row r="122" spans="1:26" ht="15.75" customHeight="1">
      <c r="A122" s="364"/>
      <c r="B122" s="344"/>
      <c r="C122" s="272" t="s">
        <v>1081</v>
      </c>
      <c r="D122" s="374">
        <f>SUM(D116:D121)</f>
        <v>-533332.3899999999</v>
      </c>
      <c r="E122" s="271"/>
      <c r="H122" s="271"/>
      <c r="I122" s="271"/>
      <c r="J122" s="271"/>
      <c r="K122" s="271"/>
      <c r="M122" s="271"/>
      <c r="T122" s="271"/>
      <c r="U122" s="271"/>
      <c r="V122" s="271"/>
      <c r="W122" s="271"/>
      <c r="X122" s="271"/>
      <c r="Y122" s="271"/>
      <c r="Z122" s="271"/>
    </row>
    <row r="123" spans="1:26" ht="15.75" customHeight="1" thickBot="1">
      <c r="A123" s="364"/>
      <c r="B123" s="345"/>
      <c r="C123" s="376" t="s">
        <v>1075</v>
      </c>
      <c r="D123" s="377">
        <f>D122-L26</f>
        <v>0.33000000007450581</v>
      </c>
      <c r="E123" s="271"/>
      <c r="F123" s="271"/>
      <c r="G123" s="271"/>
      <c r="H123" s="271"/>
      <c r="I123" s="271"/>
      <c r="J123" s="271"/>
      <c r="K123" s="271"/>
      <c r="M123" s="271"/>
      <c r="T123" s="271"/>
      <c r="U123" s="271"/>
      <c r="V123" s="271"/>
      <c r="W123" s="271"/>
      <c r="X123" s="271"/>
      <c r="Y123" s="271"/>
      <c r="Z123" s="271"/>
    </row>
    <row r="124" spans="1:26" ht="15.75" customHeight="1" thickBot="1">
      <c r="A124" s="364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M124" s="271"/>
      <c r="T124" s="271"/>
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>
      </c>
      <c r="B125" s="346" t="s">
        <v>1120</v>
      </c>
      <c r="C125" s="347"/>
      <c r="D125" s="348"/>
      <c r="E125" s="271"/>
      <c r="F125" s="271"/>
      <c r="G125" s="271"/>
      <c r="H125" s="271"/>
      <c r="I125" s="271"/>
      <c r="J125" s="271"/>
      <c r="K125" s="271"/>
      <c r="M125" s="271"/>
      <c r="T125" s="271"/>
      <c r="U125" s="271"/>
      <c r="V125" s="271"/>
      <c r="W125" s="271"/>
      <c r="X125" s="271"/>
      <c r="Y125" s="271"/>
      <c r="Z125" s="271"/>
    </row>
    <row r="126" spans="1:26" ht="15.75" customHeight="1">
      <c r="A126" s="364"/>
      <c r="B126" s="349"/>
      <c r="D126" s="350"/>
      <c r="E126" s="271"/>
      <c r="F126" s="271"/>
      <c r="G126" s="271"/>
      <c r="H126" s="271"/>
      <c r="I126" s="271"/>
      <c r="J126" s="271"/>
      <c r="K126" s="271"/>
      <c r="M126" s="271"/>
      <c r="T126" s="271"/>
      <c r="U126" s="271"/>
      <c r="V126" s="271"/>
      <c r="W126" s="271"/>
      <c r="X126" s="271"/>
      <c r="Y126" s="271"/>
      <c r="Z126" s="271"/>
    </row>
    <row r="127" spans="1:26" ht="15.75" customHeight="1">
      <c r="A127" s="364"/>
      <c r="B127" s="349"/>
      <c r="C127" s="272" t="s">
        <v>1077</v>
      </c>
      <c r="D127" s="379">
        <f>D18</f>
        <v>400515.77</v>
      </c>
      <c r="E127" s="271"/>
      <c r="F127" s="271"/>
      <c r="G127" s="271"/>
      <c r="H127" s="271"/>
      <c r="I127" s="271"/>
      <c r="J127" s="271"/>
      <c r="K127" s="271"/>
      <c r="M127" s="271"/>
      <c r="T127" s="271"/>
      <c r="U127" s="271"/>
      <c r="V127" s="271"/>
      <c r="W127" s="271"/>
      <c r="X127" s="271"/>
      <c r="Y127" s="271"/>
      <c r="Z127" s="271"/>
    </row>
    <row r="128" spans="1:26" ht="15.75" customHeight="1">
      <c r="A128" s="364"/>
      <c r="B128" s="349"/>
      <c r="C128" s="380"/>
      <c r="D128" s="351"/>
      <c r="E128" s="271"/>
      <c r="F128" s="271"/>
      <c r="G128" s="271"/>
      <c r="H128" s="271"/>
      <c r="I128" s="271"/>
      <c r="J128" s="271"/>
      <c r="K128" s="271"/>
      <c r="M128" s="271"/>
      <c r="T128" s="271"/>
      <c r="U128" s="271"/>
      <c r="V128" s="271"/>
      <c r="W128" s="271"/>
      <c r="X128" s="271"/>
      <c r="Y128" s="271"/>
      <c r="Z128" s="271"/>
    </row>
    <row r="129" spans="1:26" ht="15.75" customHeight="1">
      <c r="A129" s="364"/>
      <c r="B129" s="349"/>
      <c r="C129" s="380" t="s">
        <v>1238</v>
      </c>
      <c r="D129" s="611">
        <f>5148*3</f>
        <v>15444</v>
      </c>
      <c r="E129" s="271"/>
      <c r="F129" s="271"/>
      <c r="G129" s="271"/>
      <c r="H129" s="271"/>
      <c r="I129" s="271"/>
      <c r="J129" s="271"/>
      <c r="K129" s="271"/>
      <c r="M129" s="271"/>
      <c r="T129" s="271"/>
      <c r="U129" s="271"/>
      <c r="V129" s="271"/>
      <c r="W129" s="271"/>
      <c r="X129" s="271"/>
      <c r="Y129" s="271"/>
      <c r="Z129" s="271"/>
    </row>
    <row r="130" spans="1:26" ht="15.75" customHeight="1">
      <c r="A130" s="364"/>
      <c r="B130" s="349"/>
      <c r="C130" s="380" t="s">
        <v>1100</v>
      </c>
      <c r="D130" s="379">
        <f>-138489.45*3</f>
        <v>-415468.35000000003</v>
      </c>
      <c r="E130" s="271"/>
      <c r="F130" s="271"/>
      <c r="G130" s="271"/>
      <c r="H130" s="271"/>
      <c r="I130" s="271"/>
      <c r="J130" s="271"/>
      <c r="K130" s="271"/>
      <c r="M130" s="271"/>
      <c r="T130" s="271"/>
      <c r="U130" s="271"/>
      <c r="V130" s="271"/>
      <c r="W130" s="271"/>
      <c r="X130" s="271"/>
      <c r="Y130" s="271"/>
      <c r="Z130" s="271"/>
    </row>
    <row r="131" spans="1:26" ht="15.75" customHeight="1">
      <c r="A131" s="364"/>
      <c r="B131" s="381"/>
      <c r="C131" s="382" t="s">
        <v>1119</v>
      </c>
      <c r="D131" s="383">
        <v>-491</v>
      </c>
      <c r="E131" s="271"/>
      <c r="F131" s="271"/>
      <c r="G131" s="271"/>
      <c r="H131" s="271"/>
      <c r="I131" s="271"/>
      <c r="J131" s="271"/>
      <c r="K131" s="271"/>
      <c r="M131" s="271"/>
      <c r="T131" s="271"/>
      <c r="U131" s="271"/>
      <c r="V131" s="271"/>
      <c r="W131" s="271"/>
      <c r="X131" s="271"/>
      <c r="Y131" s="271"/>
      <c r="Z131" s="271"/>
    </row>
    <row r="132" spans="1:26" ht="15.75" customHeight="1">
      <c r="A132" s="364"/>
      <c r="B132" s="381"/>
      <c r="C132" s="382"/>
      <c r="D132" s="383"/>
      <c r="E132" s="271"/>
      <c r="F132" s="271"/>
      <c r="G132" s="271"/>
      <c r="H132" s="271"/>
      <c r="I132" s="271"/>
      <c r="J132" s="271"/>
      <c r="K132" s="271"/>
      <c r="M132" s="271"/>
      <c r="T132" s="271"/>
      <c r="U132" s="271"/>
      <c r="V132" s="271"/>
      <c r="W132" s="271"/>
      <c r="X132" s="271"/>
      <c r="Y132" s="271"/>
      <c r="Z132" s="271"/>
    </row>
    <row r="133" spans="1:26" ht="15.75" customHeight="1">
      <c r="A133" s="364"/>
      <c r="B133" s="381"/>
      <c r="C133" s="382" t="s">
        <v>1081</v>
      </c>
      <c r="D133" s="384">
        <f>SUM(D127:D131)</f>
        <v>0.41999999998370185</v>
      </c>
      <c r="E133" s="271"/>
      <c r="F133" s="271"/>
      <c r="G133" s="271"/>
      <c r="H133" s="271"/>
      <c r="I133" s="271"/>
      <c r="J133" s="271"/>
      <c r="K133" s="271"/>
      <c r="M133" s="271"/>
      <c r="T133" s="271"/>
      <c r="U133" s="271"/>
      <c r="V133" s="271"/>
      <c r="W133" s="271"/>
      <c r="X133" s="271"/>
      <c r="Y133" s="271"/>
      <c r="Z133" s="271"/>
    </row>
    <row r="134" spans="1:26" ht="15.75" customHeight="1" thickBot="1">
      <c r="A134" s="364"/>
      <c r="B134" s="352"/>
      <c r="C134" s="353" t="s">
        <v>1075</v>
      </c>
      <c r="D134" s="354">
        <f>D133-L18</f>
        <v>0.41999999998370185</v>
      </c>
      <c r="E134" s="271"/>
      <c r="F134" s="271"/>
      <c r="G134" s="271"/>
      <c r="H134" s="271"/>
      <c r="I134" s="271"/>
      <c r="J134" s="271"/>
      <c r="K134" s="271"/>
      <c r="M134" s="271"/>
      <c r="T134" s="271"/>
      <c r="U134" s="271"/>
      <c r="V134" s="271"/>
      <c r="W134" s="271"/>
      <c r="X134" s="271"/>
      <c r="Y134" s="271"/>
      <c r="Z134" s="271"/>
    </row>
    <row r="135" spans="1:26" ht="15.75" customHeight="1" thickBot="1">
      <c r="A135" s="364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M135" s="271"/>
      <c r="T135" s="271"/>
      <c r="U135" s="271"/>
      <c r="V135" s="271"/>
      <c r="W135" s="271"/>
      <c r="X135" s="271"/>
      <c r="Y135" s="271"/>
      <c r="Z135" s="271"/>
    </row>
    <row r="136" spans="1:26" ht="15.75" customHeight="1">
      <c r="A136" s="364">
        <v>5</v>
      </c>
      <c r="B136" s="281" t="s">
        <v>1121</v>
      </c>
      <c r="C136" s="282"/>
      <c r="D136" s="271"/>
      <c r="E136" s="271"/>
      <c r="F136" s="271"/>
      <c r="G136" s="271"/>
      <c r="H136" s="271"/>
      <c r="I136" s="271"/>
      <c r="J136" s="271"/>
      <c r="K136" s="271"/>
      <c r="M136" s="271"/>
      <c r="T136" s="271"/>
      <c r="U136" s="271"/>
      <c r="V136" s="271"/>
      <c r="W136" s="271"/>
      <c r="X136" s="271"/>
      <c r="Y136" s="271"/>
      <c r="Z136" s="271"/>
    </row>
    <row r="137" spans="1:26" ht="15.75" customHeight="1">
      <c r="A137" s="364"/>
      <c r="B137" s="287"/>
      <c r="C137" s="288"/>
      <c r="D137" s="271"/>
      <c r="E137" s="271"/>
      <c r="F137" s="271"/>
      <c r="G137" s="271"/>
      <c r="H137" s="271"/>
      <c r="I137" s="271"/>
      <c r="J137" s="271"/>
      <c r="K137" s="271"/>
      <c r="M137" s="271"/>
      <c r="T137" s="271"/>
      <c r="U137" s="271"/>
      <c r="V137" s="271"/>
      <c r="W137" s="271"/>
      <c r="X137" s="271"/>
      <c r="Y137" s="271"/>
      <c r="Z137" s="271"/>
    </row>
    <row r="138" spans="1:26" ht="15.75" customHeight="1">
      <c r="A138" s="364"/>
      <c r="B138" s="344" t="s">
        <v>1077</v>
      </c>
      <c r="C138" s="333">
        <f>D31</f>
        <v>-6771841</v>
      </c>
      <c r="D138" s="271"/>
      <c r="E138" s="271"/>
      <c r="F138" s="271"/>
      <c r="G138" s="271"/>
      <c r="H138" s="271"/>
      <c r="I138" s="271"/>
      <c r="J138" s="271"/>
      <c r="K138" s="271"/>
      <c r="M138" s="271"/>
      <c r="T138" s="271"/>
      <c r="U138" s="271"/>
      <c r="V138" s="271"/>
      <c r="W138" s="271"/>
      <c r="X138" s="271"/>
      <c r="Y138" s="271"/>
      <c r="Z138" s="271"/>
    </row>
    <row r="139" spans="1:26" ht="15.75" customHeight="1">
      <c r="A139" s="364"/>
      <c r="B139" s="344"/>
      <c r="C139" s="333"/>
      <c r="D139" s="271"/>
      <c r="E139" s="271"/>
      <c r="F139" s="271"/>
      <c r="G139" s="271"/>
      <c r="H139" s="271"/>
      <c r="I139" s="271"/>
      <c r="J139" s="271"/>
      <c r="K139" s="271"/>
      <c r="M139" s="271"/>
      <c r="T139" s="271"/>
      <c r="U139" s="271"/>
      <c r="V139" s="271"/>
      <c r="W139" s="271"/>
      <c r="X139" s="271"/>
      <c r="Y139" s="271"/>
      <c r="Z139" s="271"/>
    </row>
    <row r="140" spans="1:26" ht="15.75" customHeight="1">
      <c r="A140" s="364"/>
      <c r="B140" s="344" t="s">
        <v>1101</v>
      </c>
      <c r="C140" s="333">
        <f>-SUM('TB LTD 12.21'!G179,'TB LTD 12.21'!G245,'TB LTD 12.21'!G281,'TB LTD 12.21'!G332)-'P&amp;L LTD  USD'!E30-'P&amp;L LTD  USD'!E41-'P&amp;L LTD  USD'!E68-'P&amp;L LTD  USD'!E18</f>
        <v>-1799715.2884866977</v>
      </c>
      <c r="D140" s="271"/>
      <c r="E140" s="271"/>
      <c r="F140" s="271"/>
      <c r="G140" s="271"/>
      <c r="H140" s="271"/>
      <c r="I140" s="271"/>
      <c r="J140" s="271"/>
      <c r="K140" s="271"/>
      <c r="M140" s="271"/>
      <c r="T140" s="271"/>
      <c r="U140" s="271"/>
      <c r="V140" s="271"/>
      <c r="W140" s="271"/>
      <c r="X140" s="271"/>
      <c r="Y140" s="271"/>
      <c r="Z140" s="271"/>
    </row>
    <row r="141" spans="1:26" ht="15.75" customHeight="1">
      <c r="A141" s="364"/>
      <c r="B141" s="344" t="s">
        <v>1102</v>
      </c>
      <c r="C141" s="333">
        <v>-27468.540000000037</v>
      </c>
      <c r="D141" s="271" t="s">
        <v>1274</v>
      </c>
      <c r="E141" s="271"/>
      <c r="F141" s="271"/>
      <c r="G141" s="271"/>
      <c r="H141" s="271"/>
      <c r="I141" s="271"/>
      <c r="J141" s="271"/>
      <c r="K141" s="271"/>
      <c r="M141" s="271"/>
      <c r="T141" s="271"/>
      <c r="U141" s="271"/>
      <c r="V141" s="271"/>
      <c r="W141" s="271"/>
      <c r="X141" s="271"/>
      <c r="Y141" s="271"/>
      <c r="Z141" s="271"/>
    </row>
    <row r="142" spans="1:26" ht="15.75" customHeight="1">
      <c r="A142" s="364"/>
      <c r="B142" s="344" t="s">
        <v>1103</v>
      </c>
      <c r="C142" s="333">
        <v>-15883.299999999963</v>
      </c>
      <c r="D142" s="271"/>
      <c r="E142" s="271"/>
      <c r="F142" s="271"/>
      <c r="G142" s="271"/>
      <c r="H142" s="271"/>
      <c r="I142" s="271"/>
      <c r="J142" s="271"/>
      <c r="K142" s="271"/>
      <c r="M142" s="271"/>
      <c r="T142" s="271"/>
      <c r="U142" s="271"/>
      <c r="V142" s="271"/>
      <c r="W142" s="271"/>
      <c r="X142" s="271"/>
      <c r="Y142" s="271"/>
      <c r="Z142" s="271"/>
    </row>
    <row r="143" spans="1:26" ht="15.75" customHeight="1">
      <c r="A143" s="364"/>
      <c r="B143" s="344"/>
      <c r="C143" s="333"/>
      <c r="D143" s="271"/>
      <c r="E143" s="271"/>
      <c r="F143" s="271"/>
      <c r="G143" s="271"/>
      <c r="H143" s="271"/>
      <c r="I143" s="271"/>
      <c r="J143" s="271"/>
      <c r="K143" s="271"/>
      <c r="M143" s="271"/>
      <c r="T143" s="271"/>
      <c r="U143" s="271"/>
      <c r="V143" s="271"/>
      <c r="W143" s="271"/>
      <c r="X143" s="271"/>
      <c r="Y143" s="271"/>
      <c r="Z143" s="271"/>
    </row>
    <row r="144" spans="1:26" ht="15.75" customHeight="1">
      <c r="A144" s="364"/>
      <c r="B144" s="344"/>
      <c r="C144" s="333"/>
      <c r="D144" s="271"/>
      <c r="E144" s="271"/>
      <c r="F144" s="271"/>
      <c r="G144" s="271"/>
      <c r="H144" s="271"/>
      <c r="I144" s="271"/>
      <c r="J144" s="271"/>
      <c r="K144" s="271"/>
      <c r="M144" s="271"/>
      <c r="T144" s="271"/>
      <c r="U144" s="271"/>
      <c r="V144" s="271"/>
      <c r="W144" s="271"/>
      <c r="X144" s="271"/>
      <c r="Y144" s="271"/>
      <c r="Z144" s="271"/>
    </row>
    <row r="145" spans="1:26" ht="15.75" customHeight="1">
      <c r="A145" s="364"/>
      <c r="B145" s="344"/>
      <c r="C145" s="333"/>
      <c r="D145" s="271"/>
      <c r="E145" s="271"/>
      <c r="F145" s="271"/>
      <c r="G145" s="271"/>
      <c r="H145" s="271"/>
      <c r="I145" s="271"/>
      <c r="J145" s="271"/>
      <c r="K145" s="271"/>
      <c r="M145" s="271"/>
      <c r="T145" s="271"/>
      <c r="U145" s="271"/>
      <c r="V145" s="271"/>
      <c r="W145" s="271"/>
      <c r="X145" s="271"/>
      <c r="Y145" s="271"/>
      <c r="Z145" s="271"/>
    </row>
    <row r="146" spans="1:26" ht="15.75" customHeight="1">
      <c r="A146" s="364"/>
      <c r="B146" s="344"/>
      <c r="C146" s="333"/>
      <c r="D146" s="271"/>
      <c r="E146" s="271"/>
      <c r="F146" s="271"/>
      <c r="G146" s="271"/>
      <c r="H146" s="271"/>
      <c r="I146" s="271"/>
      <c r="J146" s="271"/>
      <c r="K146" s="271"/>
      <c r="M146" s="271"/>
      <c r="T146" s="271"/>
      <c r="U146" s="271"/>
      <c r="V146" s="271"/>
      <c r="W146" s="271"/>
      <c r="X146" s="271"/>
      <c r="Y146" s="271"/>
      <c r="Z146" s="271"/>
    </row>
    <row r="147" spans="1:26" ht="15.75" customHeight="1">
      <c r="A147" s="364"/>
      <c r="B147" s="344" t="s">
        <v>1081</v>
      </c>
      <c r="C147" s="333">
        <f>SUM(C138:C145)</f>
        <v>-8614908.1284866966</v>
      </c>
      <c r="D147" s="271"/>
      <c r="E147" s="271"/>
      <c r="F147" s="271"/>
      <c r="G147" s="271"/>
      <c r="H147" s="271"/>
      <c r="I147" s="271"/>
      <c r="J147" s="271"/>
      <c r="K147" s="271"/>
      <c r="M147" s="271"/>
      <c r="T147" s="271"/>
      <c r="U147" s="271"/>
      <c r="V147" s="271"/>
      <c r="W147" s="271"/>
      <c r="X147" s="271"/>
      <c r="Y147" s="271"/>
      <c r="Z147" s="271"/>
    </row>
    <row r="148" spans="1:26" ht="15.75" customHeight="1" thickBot="1">
      <c r="A148" s="364"/>
      <c r="B148" s="345" t="s">
        <v>1075</v>
      </c>
      <c r="C148" s="385">
        <f>+C147-L31</f>
        <v>0</v>
      </c>
      <c r="D148" s="271"/>
      <c r="E148" s="271"/>
      <c r="F148" s="365"/>
      <c r="G148" s="271"/>
      <c r="H148" s="271"/>
      <c r="I148" s="271"/>
      <c r="J148" s="271"/>
      <c r="K148" s="271"/>
      <c r="M148" s="271"/>
      <c r="T148" s="271"/>
      <c r="U148" s="271"/>
      <c r="V148" s="271"/>
      <c r="W148" s="271"/>
      <c r="X148" s="271"/>
      <c r="Y148" s="271"/>
      <c r="Z148" s="271"/>
    </row>
    <row r="149" spans="1:26" ht="15.75" customHeight="1" thickBot="1">
      <c r="A149" s="364"/>
      <c r="B149" s="372"/>
      <c r="C149" s="372"/>
      <c r="D149" s="271"/>
      <c r="E149" s="271"/>
      <c r="F149" s="271"/>
      <c r="G149" s="271"/>
      <c r="H149" s="271"/>
      <c r="I149" s="271"/>
      <c r="J149" s="271"/>
      <c r="K149" s="271"/>
      <c r="M149" s="271"/>
      <c r="T149" s="271"/>
      <c r="U149" s="271"/>
      <c r="V149" s="271"/>
      <c r="W149" s="271"/>
      <c r="X149" s="271"/>
      <c r="Y149" s="271"/>
      <c r="Z149" s="271"/>
    </row>
    <row r="150" spans="1:26" ht="15.75" customHeight="1">
      <c r="A150" s="364">
        <v>6</v>
      </c>
      <c r="B150" s="281" t="s">
        <v>1122</v>
      </c>
      <c r="C150" s="282"/>
      <c r="D150" s="271"/>
      <c r="E150" s="271"/>
      <c r="F150" s="271"/>
      <c r="G150" s="271"/>
      <c r="H150" s="271"/>
      <c r="I150" s="271"/>
      <c r="J150" s="271"/>
      <c r="K150" s="271"/>
      <c r="M150" s="271"/>
      <c r="T150" s="271"/>
      <c r="U150" s="271"/>
      <c r="V150" s="271"/>
      <c r="W150" s="271"/>
      <c r="X150" s="271"/>
      <c r="Y150" s="271"/>
      <c r="Z150" s="271"/>
    </row>
    <row r="151" spans="1:26" ht="15.75" customHeight="1">
      <c r="A151" s="364"/>
      <c r="B151" s="287"/>
      <c r="C151" s="288"/>
      <c r="D151" s="271"/>
      <c r="E151" s="271"/>
      <c r="F151" s="271"/>
      <c r="G151" s="271"/>
      <c r="H151" s="271"/>
      <c r="I151" s="271"/>
      <c r="J151" s="271"/>
      <c r="K151" s="271"/>
      <c r="M151" s="271"/>
      <c r="T151" s="271"/>
      <c r="U151" s="271"/>
      <c r="V151" s="271"/>
      <c r="W151" s="271"/>
      <c r="X151" s="271"/>
      <c r="Y151" s="271"/>
      <c r="Z151" s="271"/>
    </row>
    <row r="152" spans="1:26" ht="15.75" customHeight="1">
      <c r="A152" s="364"/>
      <c r="B152" s="344" t="s">
        <v>1077</v>
      </c>
      <c r="C152" s="333">
        <f>D28</f>
        <v>-346</v>
      </c>
      <c r="D152" s="271"/>
      <c r="E152" s="271"/>
      <c r="F152" s="271"/>
      <c r="G152" s="271"/>
      <c r="H152" s="271"/>
      <c r="I152" s="271"/>
      <c r="J152" s="271"/>
      <c r="K152" s="271"/>
      <c r="M152" s="271"/>
      <c r="T152" s="271"/>
      <c r="U152" s="271"/>
      <c r="V152" s="271"/>
      <c r="W152" s="271"/>
      <c r="X152" s="271"/>
      <c r="Y152" s="271"/>
      <c r="Z152" s="271"/>
    </row>
    <row r="153" spans="1:26" ht="15.75" customHeight="1">
      <c r="A153" s="364"/>
      <c r="B153" s="344" t="s">
        <v>1103</v>
      </c>
      <c r="C153" s="333">
        <v>-73.319999999999993</v>
      </c>
      <c r="D153" s="271"/>
      <c r="E153" s="271"/>
      <c r="F153" s="271"/>
      <c r="G153" s="271"/>
      <c r="H153" s="271"/>
      <c r="J153" s="271"/>
      <c r="K153" s="271"/>
      <c r="M153" s="271"/>
      <c r="T153" s="271"/>
      <c r="U153" s="271"/>
      <c r="V153" s="271"/>
      <c r="W153" s="271"/>
      <c r="X153" s="271"/>
      <c r="Y153" s="271"/>
      <c r="Z153" s="271"/>
    </row>
    <row r="154" spans="1:26" ht="15.75" customHeight="1">
      <c r="A154" s="364"/>
      <c r="B154" s="344" t="s">
        <v>1081</v>
      </c>
      <c r="C154" s="333">
        <f>SUM(C152:C153)</f>
        <v>-419.32</v>
      </c>
      <c r="D154" s="271"/>
      <c r="E154" s="271"/>
      <c r="F154" s="271"/>
      <c r="G154" s="271"/>
      <c r="H154" s="271"/>
      <c r="I154" s="271"/>
      <c r="J154" s="271"/>
      <c r="K154" s="271"/>
      <c r="M154" s="271"/>
      <c r="T154" s="271"/>
      <c r="U154" s="271"/>
      <c r="V154" s="271"/>
      <c r="W154" s="271"/>
      <c r="X154" s="271"/>
      <c r="Y154" s="271"/>
      <c r="Z154" s="271"/>
    </row>
    <row r="155" spans="1:26" ht="15.75" customHeight="1" thickBot="1">
      <c r="A155" s="364"/>
      <c r="B155" s="345" t="s">
        <v>1075</v>
      </c>
      <c r="C155" s="385">
        <f>C154-L28</f>
        <v>-0.40000000000003411</v>
      </c>
      <c r="D155" s="271"/>
      <c r="E155" s="271"/>
      <c r="F155" s="271"/>
      <c r="G155" s="271"/>
      <c r="H155" s="271"/>
      <c r="I155" s="271"/>
      <c r="J155" s="271"/>
      <c r="K155" s="271"/>
      <c r="M155" s="271"/>
      <c r="T155" s="271"/>
      <c r="U155" s="271"/>
      <c r="V155" s="271"/>
      <c r="W155" s="271"/>
      <c r="X155" s="271"/>
      <c r="Y155" s="271"/>
      <c r="Z155" s="271"/>
    </row>
    <row r="156" spans="1:2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M156" s="271"/>
      <c r="T156" s="271"/>
      <c r="U156" s="271"/>
      <c r="V156" s="271"/>
      <c r="W156" s="271"/>
      <c r="X156" s="271"/>
      <c r="Y156" s="271"/>
      <c r="Z156" s="271"/>
    </row>
    <row r="157" spans="1:26" ht="15.75" customHeight="1" thickBo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M157" s="271"/>
      <c r="T157" s="271"/>
      <c r="U157" s="271"/>
      <c r="V157" s="271"/>
      <c r="W157" s="271"/>
      <c r="X157" s="271"/>
      <c r="Y157" s="271"/>
      <c r="Z157" s="271"/>
    </row>
    <row r="158" spans="1:26" ht="15.75" customHeight="1">
      <c r="A158" s="364">
        <v>7</v>
      </c>
      <c r="B158" s="281" t="s">
        <v>1237</v>
      </c>
      <c r="C158" s="282"/>
      <c r="D158" s="271"/>
      <c r="E158" s="271"/>
      <c r="F158" s="271"/>
      <c r="G158" s="271"/>
      <c r="H158" s="271"/>
      <c r="I158" s="271"/>
      <c r="J158" s="271"/>
      <c r="K158" s="271"/>
      <c r="M158" s="271"/>
      <c r="T158" s="271"/>
      <c r="U158" s="271"/>
      <c r="V158" s="271"/>
      <c r="W158" s="271"/>
      <c r="X158" s="271"/>
      <c r="Y158" s="271"/>
      <c r="Z158" s="271"/>
    </row>
    <row r="159" spans="1:26" ht="15.75" customHeight="1">
      <c r="A159" s="364"/>
      <c r="B159" s="287"/>
      <c r="C159" s="288"/>
      <c r="D159" s="271"/>
      <c r="E159" s="271"/>
      <c r="F159" s="271"/>
      <c r="G159" s="271"/>
      <c r="H159" s="271"/>
      <c r="I159" s="271"/>
      <c r="J159" s="271"/>
      <c r="K159" s="271"/>
      <c r="M159" s="271"/>
      <c r="T159" s="271"/>
      <c r="U159" s="271"/>
      <c r="V159" s="271"/>
      <c r="W159" s="271"/>
      <c r="X159" s="271"/>
      <c r="Y159" s="271"/>
      <c r="Z159" s="271"/>
    </row>
    <row r="160" spans="1:26" ht="15.75" customHeight="1">
      <c r="A160" s="364"/>
      <c r="B160" s="344" t="s">
        <v>1077</v>
      </c>
      <c r="C160" s="608">
        <v>0</v>
      </c>
      <c r="D160" s="271"/>
      <c r="E160" s="271"/>
      <c r="F160" s="271"/>
      <c r="G160" s="271"/>
      <c r="H160" s="271"/>
      <c r="I160" s="271"/>
      <c r="J160" s="271"/>
      <c r="K160" s="271"/>
      <c r="M160" s="271"/>
      <c r="T160" s="271"/>
      <c r="U160" s="271"/>
      <c r="V160" s="271"/>
      <c r="W160" s="271"/>
      <c r="X160" s="271"/>
      <c r="Y160" s="271"/>
      <c r="Z160" s="271"/>
    </row>
    <row r="161" spans="1:26" ht="15.75" customHeight="1">
      <c r="A161" s="364"/>
      <c r="B161" s="344"/>
      <c r="C161" s="333"/>
      <c r="D161" s="271"/>
      <c r="E161" s="271"/>
      <c r="F161" s="271"/>
      <c r="G161" s="271"/>
      <c r="H161" s="271"/>
      <c r="I161" s="271"/>
      <c r="J161" s="271"/>
      <c r="K161" s="271"/>
      <c r="M161" s="271"/>
      <c r="T161" s="271"/>
      <c r="U161" s="271"/>
      <c r="V161" s="271"/>
      <c r="W161" s="271"/>
      <c r="X161" s="271"/>
      <c r="Y161" s="271"/>
      <c r="Z161" s="271"/>
    </row>
    <row r="162" spans="1:26" ht="15.75" customHeight="1">
      <c r="A162" s="364"/>
      <c r="B162" s="344" t="s">
        <v>964</v>
      </c>
      <c r="C162" s="333">
        <f>'TB LTD 12.21'!G352</f>
        <v>85635.03</v>
      </c>
      <c r="D162" s="271"/>
      <c r="E162" s="271"/>
      <c r="F162" s="271"/>
      <c r="G162" s="271"/>
      <c r="H162" s="271"/>
      <c r="I162" s="271"/>
      <c r="J162" s="271"/>
      <c r="K162" s="271"/>
      <c r="M162" s="271"/>
      <c r="T162" s="271"/>
      <c r="U162" s="271"/>
      <c r="V162" s="271"/>
      <c r="W162" s="271"/>
      <c r="X162" s="271"/>
      <c r="Y162" s="271"/>
      <c r="Z162" s="271"/>
    </row>
    <row r="163" spans="1:26" ht="15.75" customHeight="1">
      <c r="A163" s="364"/>
      <c r="B163" s="344" t="s">
        <v>1119</v>
      </c>
      <c r="C163" s="333">
        <f>C198</f>
        <v>18328.260000000046</v>
      </c>
      <c r="D163" s="271"/>
      <c r="E163" s="271"/>
      <c r="F163" s="271"/>
      <c r="G163" s="271"/>
      <c r="H163" s="271"/>
      <c r="I163" s="271"/>
      <c r="J163" s="271"/>
      <c r="K163" s="271"/>
      <c r="M163" s="271"/>
      <c r="T163" s="271"/>
      <c r="U163" s="271"/>
      <c r="V163" s="271"/>
      <c r="W163" s="271"/>
      <c r="X163" s="271"/>
      <c r="Y163" s="271"/>
      <c r="Z163" s="271"/>
    </row>
    <row r="164" spans="1:26" ht="15.75" customHeight="1">
      <c r="A164" s="364"/>
      <c r="B164" s="344" t="s">
        <v>1109</v>
      </c>
      <c r="C164" s="333">
        <f>'TB LTD 12.21'!G353+'TB LTD 12.21'!G354+'TB LTD 12.21'!G355</f>
        <v>282333.07999999996</v>
      </c>
      <c r="D164" s="271"/>
      <c r="E164" s="271"/>
      <c r="F164" s="271"/>
      <c r="G164" s="271"/>
      <c r="H164" s="271"/>
      <c r="I164" s="271"/>
      <c r="J164" s="271"/>
      <c r="K164" s="271"/>
      <c r="M164" s="271"/>
      <c r="T164" s="271"/>
      <c r="U164" s="271"/>
      <c r="V164" s="271"/>
      <c r="W164" s="271"/>
      <c r="X164" s="271"/>
      <c r="Y164" s="271"/>
      <c r="Z164" s="271"/>
    </row>
    <row r="165" spans="1:26" ht="15.75" customHeight="1">
      <c r="A165" s="364"/>
      <c r="B165" s="344" t="s">
        <v>1236</v>
      </c>
      <c r="C165" s="333"/>
      <c r="D165" s="271"/>
      <c r="E165" s="271"/>
      <c r="F165" s="271"/>
      <c r="G165" s="271"/>
      <c r="H165" s="271"/>
      <c r="I165" s="271"/>
      <c r="J165" s="271"/>
      <c r="K165" s="271"/>
      <c r="M165" s="271"/>
      <c r="T165" s="271"/>
      <c r="U165" s="271"/>
      <c r="V165" s="271"/>
      <c r="W165" s="271"/>
      <c r="X165" s="271"/>
      <c r="Y165" s="271"/>
      <c r="Z165" s="271"/>
    </row>
    <row r="166" spans="1:26" ht="15.75" customHeight="1">
      <c r="A166" s="364"/>
      <c r="B166" s="344" t="s">
        <v>1152</v>
      </c>
      <c r="C166" s="333">
        <f>'TB LTD 12.21'!G356+'TB LTD 12.21'!G358</f>
        <v>-15413.89</v>
      </c>
      <c r="D166" s="271"/>
      <c r="E166" s="271"/>
      <c r="F166" s="271"/>
      <c r="G166" s="271"/>
      <c r="H166" s="271"/>
      <c r="I166" s="271"/>
      <c r="J166" s="271"/>
      <c r="K166" s="271"/>
      <c r="M166" s="271"/>
      <c r="T166" s="271"/>
      <c r="U166" s="271"/>
      <c r="V166" s="271"/>
      <c r="W166" s="271"/>
      <c r="X166" s="271"/>
      <c r="Y166" s="271"/>
      <c r="Z166" s="271"/>
    </row>
    <row r="167" spans="1:26" ht="15.75" customHeight="1">
      <c r="A167" s="364"/>
      <c r="B167" s="344"/>
      <c r="C167" s="333"/>
      <c r="D167" s="271"/>
      <c r="E167" s="271"/>
      <c r="F167" s="271"/>
      <c r="G167" s="271"/>
      <c r="H167" s="271"/>
      <c r="I167" s="271"/>
      <c r="J167" s="271"/>
      <c r="K167" s="271"/>
      <c r="M167" s="271"/>
      <c r="T167" s="271"/>
      <c r="U167" s="271"/>
      <c r="V167" s="271"/>
      <c r="W167" s="271"/>
      <c r="X167" s="271"/>
      <c r="Y167" s="271"/>
      <c r="Z167" s="271"/>
    </row>
    <row r="168" spans="1:26" ht="15.75" customHeight="1">
      <c r="A168" s="364"/>
      <c r="B168" s="344"/>
      <c r="C168" s="333"/>
      <c r="D168" s="271"/>
      <c r="E168" s="271"/>
      <c r="F168" s="271"/>
      <c r="G168" s="271"/>
      <c r="H168" s="271"/>
      <c r="I168" s="271"/>
      <c r="J168" s="271"/>
      <c r="K168" s="271"/>
      <c r="M168" s="271"/>
      <c r="T168" s="271"/>
      <c r="U168" s="271"/>
      <c r="V168" s="271"/>
      <c r="W168" s="271"/>
      <c r="X168" s="271"/>
      <c r="Y168" s="271"/>
      <c r="Z168" s="271"/>
    </row>
    <row r="169" spans="1:26" ht="15.75" customHeight="1">
      <c r="A169" s="364"/>
      <c r="B169" s="344" t="s">
        <v>1081</v>
      </c>
      <c r="C169" s="333">
        <f>SUM(C160:C167)</f>
        <v>370882.48</v>
      </c>
      <c r="D169" s="271"/>
      <c r="E169" s="271"/>
      <c r="F169" s="271"/>
      <c r="G169" s="271"/>
      <c r="H169" s="271"/>
      <c r="I169" s="271"/>
      <c r="J169" s="271"/>
      <c r="K169" s="271"/>
      <c r="M169" s="271"/>
      <c r="T169" s="271"/>
      <c r="U169" s="271"/>
      <c r="V169" s="271"/>
      <c r="W169" s="271"/>
      <c r="X169" s="271"/>
      <c r="Y169" s="271"/>
      <c r="Z169" s="271"/>
    </row>
    <row r="170" spans="1:26" ht="15.75" customHeight="1" thickBot="1">
      <c r="A170" s="364"/>
      <c r="B170" s="345" t="s">
        <v>1075</v>
      </c>
      <c r="C170" s="385"/>
      <c r="D170" s="271"/>
      <c r="E170" s="271"/>
      <c r="F170" s="271"/>
      <c r="G170" s="271"/>
      <c r="H170" s="271"/>
      <c r="I170" s="271"/>
      <c r="J170" s="271"/>
      <c r="K170" s="271"/>
      <c r="M170" s="271"/>
      <c r="T170" s="271"/>
      <c r="U170" s="271"/>
      <c r="V170" s="271"/>
      <c r="W170" s="271"/>
      <c r="X170" s="271"/>
      <c r="Y170" s="271"/>
      <c r="Z170" s="271"/>
    </row>
    <row r="171" spans="1:26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M171" s="271"/>
      <c r="T171" s="271"/>
      <c r="U171" s="271"/>
      <c r="V171" s="271"/>
      <c r="W171" s="271"/>
      <c r="X171" s="271"/>
      <c r="Y171" s="271"/>
      <c r="Z171" s="271"/>
    </row>
    <row r="172" spans="1:26" ht="15.75" customHeight="1" thickBo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M172" s="271"/>
      <c r="T172" s="271"/>
      <c r="U172" s="271"/>
      <c r="V172" s="271"/>
      <c r="W172" s="271"/>
      <c r="X172" s="271"/>
      <c r="Y172" s="271"/>
      <c r="Z172" s="271"/>
    </row>
    <row r="173" spans="1:26" ht="15.75" customHeight="1">
      <c r="A173" s="364">
        <v>8</v>
      </c>
      <c r="B173" s="281" t="s">
        <v>1119</v>
      </c>
      <c r="C173" s="282"/>
      <c r="D173" s="271"/>
      <c r="E173" s="271"/>
      <c r="F173" s="271"/>
      <c r="G173" s="271"/>
      <c r="H173" s="271"/>
      <c r="I173" s="271"/>
      <c r="J173" s="271"/>
      <c r="K173" s="271"/>
      <c r="M173" s="271"/>
      <c r="T173" s="271"/>
      <c r="U173" s="271"/>
      <c r="V173" s="271"/>
      <c r="W173" s="271"/>
      <c r="X173" s="271"/>
      <c r="Y173" s="271"/>
      <c r="Z173" s="271"/>
    </row>
    <row r="174" spans="1:26" ht="15.75" customHeight="1">
      <c r="A174" s="364"/>
      <c r="B174" s="344"/>
      <c r="C174" s="288"/>
      <c r="D174" s="271"/>
      <c r="E174" s="271"/>
      <c r="F174" s="271"/>
      <c r="G174" s="271"/>
      <c r="H174" s="271"/>
      <c r="I174" s="271"/>
      <c r="J174" s="271"/>
      <c r="K174" s="271"/>
      <c r="M174" s="271"/>
      <c r="T174" s="271"/>
      <c r="U174" s="271"/>
      <c r="V174" s="271"/>
      <c r="W174" s="271"/>
      <c r="X174" s="271"/>
      <c r="Y174" s="271"/>
      <c r="Z174" s="271"/>
    </row>
    <row r="175" spans="1:26" ht="15.75" customHeight="1">
      <c r="A175" s="364"/>
      <c r="B175" s="287"/>
      <c r="C175" s="288"/>
      <c r="D175" s="271"/>
      <c r="E175" s="271"/>
      <c r="F175" s="271"/>
      <c r="G175" s="271"/>
      <c r="H175" s="271"/>
      <c r="I175" s="271"/>
      <c r="J175" s="271"/>
      <c r="K175" s="271"/>
      <c r="M175" s="271"/>
      <c r="T175" s="271"/>
      <c r="U175" s="271"/>
      <c r="V175" s="271"/>
      <c r="W175" s="271"/>
      <c r="X175" s="271"/>
      <c r="Y175" s="271"/>
      <c r="Z175" s="271"/>
    </row>
    <row r="176" spans="1:26" ht="15.75" customHeight="1">
      <c r="A176" s="364"/>
      <c r="B176" s="344" t="s">
        <v>1077</v>
      </c>
      <c r="C176" s="608">
        <v>0</v>
      </c>
      <c r="D176" s="271"/>
      <c r="E176" s="271"/>
      <c r="F176" s="271"/>
      <c r="G176" s="271"/>
      <c r="H176" s="271"/>
      <c r="I176" s="271"/>
      <c r="J176" s="271"/>
      <c r="K176" s="271"/>
      <c r="M176" s="271"/>
      <c r="T176" s="271"/>
      <c r="U176" s="271"/>
      <c r="V176" s="271"/>
      <c r="W176" s="271"/>
      <c r="X176" s="271"/>
      <c r="Y176" s="271"/>
      <c r="Z176" s="271"/>
    </row>
    <row r="177" spans="1:26" ht="15.75" customHeight="1">
      <c r="A177" s="364"/>
      <c r="B177" s="344"/>
      <c r="C177" s="608"/>
      <c r="D177" s="271"/>
      <c r="E177" s="271"/>
      <c r="F177" s="271"/>
      <c r="G177" s="271"/>
      <c r="H177" s="271"/>
      <c r="I177" s="271"/>
      <c r="J177" s="271"/>
      <c r="K177" s="271"/>
      <c r="M177" s="271"/>
      <c r="T177" s="271"/>
      <c r="U177" s="271"/>
      <c r="V177" s="271"/>
      <c r="W177" s="271"/>
      <c r="X177" s="271"/>
      <c r="Y177" s="271"/>
      <c r="Z177" s="271"/>
    </row>
    <row r="178" spans="1:26" ht="15.75" customHeight="1">
      <c r="A178" s="364"/>
      <c r="B178" s="647" t="s">
        <v>1258</v>
      </c>
      <c r="C178" s="608"/>
      <c r="D178" s="271"/>
      <c r="E178" s="271"/>
      <c r="F178" s="271"/>
      <c r="G178" s="271"/>
      <c r="H178" s="271"/>
      <c r="I178" s="271"/>
      <c r="J178" s="271"/>
      <c r="K178" s="271"/>
      <c r="M178" s="271"/>
      <c r="T178" s="271"/>
      <c r="U178" s="271"/>
      <c r="V178" s="271"/>
      <c r="W178" s="271"/>
      <c r="X178" s="271"/>
      <c r="Y178" s="271"/>
      <c r="Z178" s="271"/>
    </row>
    <row r="179" spans="1:26" ht="15.75" customHeight="1">
      <c r="A179" s="364"/>
      <c r="B179" s="344" t="s">
        <v>62</v>
      </c>
      <c r="C179" s="610">
        <v>10013.800000000007</v>
      </c>
      <c r="D179" s="271"/>
      <c r="E179" s="271"/>
      <c r="F179" s="271"/>
      <c r="G179" s="271"/>
      <c r="H179" s="271"/>
      <c r="I179" s="271"/>
      <c r="J179" s="271"/>
      <c r="K179" s="271"/>
      <c r="M179" s="271"/>
      <c r="T179" s="271"/>
      <c r="U179" s="271"/>
      <c r="V179" s="271"/>
      <c r="W179" s="271"/>
      <c r="X179" s="271"/>
      <c r="Y179" s="271"/>
      <c r="Z179" s="271"/>
    </row>
    <row r="180" spans="1:26" ht="15.75" customHeight="1">
      <c r="A180" s="364"/>
      <c r="B180" s="344" t="s">
        <v>54</v>
      </c>
      <c r="C180" s="610">
        <v>-127858.41</v>
      </c>
      <c r="D180" s="271"/>
      <c r="E180" s="271"/>
      <c r="F180" s="271"/>
      <c r="G180" s="271"/>
      <c r="H180" s="271"/>
      <c r="I180" s="271"/>
      <c r="J180" s="271"/>
      <c r="K180" s="271"/>
      <c r="M180" s="271"/>
      <c r="T180" s="271"/>
      <c r="U180" s="271"/>
      <c r="V180" s="271"/>
      <c r="W180" s="271"/>
      <c r="X180" s="271"/>
      <c r="Y180" s="271"/>
      <c r="Z180" s="271"/>
    </row>
    <row r="181" spans="1:26" ht="15.75" customHeight="1">
      <c r="A181" s="364"/>
      <c r="B181" s="344" t="s">
        <v>1098</v>
      </c>
      <c r="C181" s="610">
        <v>80650.47</v>
      </c>
      <c r="D181" s="271"/>
      <c r="E181" s="271"/>
      <c r="F181" s="271"/>
      <c r="G181" s="271"/>
      <c r="H181" s="271"/>
      <c r="I181" s="271"/>
      <c r="J181" s="271"/>
      <c r="K181" s="271"/>
      <c r="M181" s="271"/>
      <c r="T181" s="271"/>
      <c r="U181" s="271"/>
      <c r="V181" s="271"/>
      <c r="W181" s="271"/>
      <c r="X181" s="271"/>
      <c r="Y181" s="271"/>
      <c r="Z181" s="271"/>
    </row>
    <row r="182" spans="1:26" ht="15.75" customHeight="1">
      <c r="A182" s="364"/>
      <c r="B182" s="344" t="s">
        <v>531</v>
      </c>
      <c r="C182" s="610">
        <v>-823.97</v>
      </c>
      <c r="D182" s="271"/>
      <c r="E182" s="271"/>
      <c r="F182" s="271"/>
      <c r="G182" s="271"/>
      <c r="H182" s="271"/>
      <c r="I182" s="271"/>
      <c r="J182" s="271"/>
      <c r="K182" s="271"/>
      <c r="M182" s="271"/>
      <c r="T182" s="271"/>
      <c r="U182" s="271"/>
      <c r="V182" s="271"/>
      <c r="W182" s="271"/>
      <c r="X182" s="271"/>
      <c r="Y182" s="271"/>
      <c r="Z182" s="271"/>
    </row>
    <row r="183" spans="1:26" ht="15.75" customHeight="1">
      <c r="A183" s="364"/>
      <c r="B183" s="344" t="s">
        <v>286</v>
      </c>
      <c r="C183" s="610">
        <v>-1485.130000000001</v>
      </c>
      <c r="D183" s="271"/>
      <c r="E183" s="271"/>
      <c r="F183" s="271"/>
      <c r="G183" s="271"/>
      <c r="H183" s="271"/>
      <c r="I183" s="271"/>
      <c r="J183" s="271"/>
      <c r="K183" s="271"/>
      <c r="M183" s="271"/>
      <c r="T183" s="271"/>
      <c r="U183" s="271"/>
      <c r="V183" s="271"/>
      <c r="W183" s="271"/>
      <c r="X183" s="271"/>
      <c r="Y183" s="271"/>
      <c r="Z183" s="271"/>
    </row>
    <row r="184" spans="1:26" ht="15.75" customHeight="1">
      <c r="A184" s="364"/>
      <c r="B184" s="344" t="s">
        <v>84</v>
      </c>
      <c r="C184" s="610">
        <v>71310.150000000067</v>
      </c>
      <c r="D184" s="271"/>
      <c r="E184" s="271"/>
      <c r="F184" s="271"/>
      <c r="G184" s="271"/>
      <c r="H184" s="271"/>
      <c r="I184" s="271"/>
      <c r="J184" s="271"/>
      <c r="K184" s="271"/>
      <c r="M184" s="271"/>
      <c r="T184" s="271"/>
      <c r="U184" s="271"/>
      <c r="V184" s="271"/>
      <c r="W184" s="271"/>
      <c r="X184" s="271"/>
      <c r="Y184" s="271"/>
      <c r="Z184" s="271"/>
    </row>
    <row r="185" spans="1:26" ht="15.75" customHeight="1">
      <c r="A185" s="364"/>
      <c r="B185" s="344" t="s">
        <v>71</v>
      </c>
      <c r="C185" s="610">
        <v>-50271.140000000007</v>
      </c>
      <c r="D185" s="271"/>
      <c r="E185" s="271"/>
      <c r="F185" s="271"/>
      <c r="G185" s="271"/>
      <c r="H185" s="271"/>
      <c r="I185" s="271"/>
      <c r="J185" s="271"/>
      <c r="K185" s="271"/>
      <c r="M185" s="271"/>
      <c r="T185" s="271"/>
      <c r="U185" s="271"/>
      <c r="V185" s="271"/>
      <c r="W185" s="271"/>
      <c r="X185" s="271"/>
      <c r="Y185" s="271"/>
      <c r="Z185" s="271"/>
    </row>
    <row r="186" spans="1:26" ht="15.75" customHeight="1">
      <c r="A186" s="364"/>
      <c r="B186" s="344" t="s">
        <v>297</v>
      </c>
      <c r="C186" s="610">
        <v>23247.65</v>
      </c>
      <c r="D186" s="271"/>
      <c r="E186" s="271"/>
      <c r="F186" s="271"/>
      <c r="G186" s="271"/>
      <c r="H186" s="271"/>
      <c r="I186" s="271"/>
      <c r="J186" s="271"/>
      <c r="K186" s="271"/>
      <c r="M186" s="271"/>
      <c r="T186" s="271"/>
      <c r="U186" s="271"/>
      <c r="V186" s="271"/>
      <c r="W186" s="271"/>
      <c r="X186" s="271"/>
      <c r="Y186" s="271"/>
      <c r="Z186" s="271"/>
    </row>
    <row r="187" spans="1:26" ht="15.75" customHeight="1">
      <c r="A187" s="364"/>
      <c r="B187" s="344" t="s">
        <v>303</v>
      </c>
      <c r="C187" s="610">
        <v>-0.56000000000000005</v>
      </c>
      <c r="D187" s="271"/>
      <c r="E187" s="271"/>
      <c r="F187" s="271"/>
      <c r="G187" s="271"/>
      <c r="H187" s="271"/>
      <c r="I187" s="271"/>
      <c r="J187" s="271"/>
      <c r="K187" s="271"/>
      <c r="M187" s="271"/>
      <c r="T187" s="271"/>
      <c r="U187" s="271"/>
      <c r="V187" s="271"/>
      <c r="W187" s="271"/>
      <c r="X187" s="271"/>
      <c r="Y187" s="271"/>
      <c r="Z187" s="271"/>
    </row>
    <row r="188" spans="1:26" ht="15.75" customHeight="1">
      <c r="A188" s="364"/>
      <c r="B188" s="344" t="s">
        <v>294</v>
      </c>
      <c r="C188" s="610">
        <v>-45358.610000000008</v>
      </c>
      <c r="D188" s="271"/>
      <c r="E188" s="271"/>
      <c r="F188" s="271"/>
      <c r="G188" s="271"/>
      <c r="H188" s="271"/>
      <c r="I188" s="271"/>
      <c r="J188" s="271"/>
      <c r="K188" s="271"/>
      <c r="M188" s="271"/>
      <c r="T188" s="271"/>
      <c r="U188" s="271"/>
      <c r="V188" s="271"/>
      <c r="W188" s="271"/>
      <c r="X188" s="271"/>
      <c r="Y188" s="271"/>
      <c r="Z188" s="271"/>
    </row>
    <row r="189" spans="1:26" ht="15.75" customHeight="1">
      <c r="A189" s="364"/>
      <c r="B189" s="344" t="s">
        <v>120</v>
      </c>
      <c r="C189" s="610">
        <v>14482.749999999993</v>
      </c>
      <c r="D189" s="271"/>
      <c r="E189" s="271"/>
      <c r="F189" s="271"/>
      <c r="G189" s="271"/>
      <c r="H189" s="271"/>
      <c r="I189" s="271"/>
      <c r="J189" s="271"/>
      <c r="K189" s="271"/>
      <c r="M189" s="271"/>
      <c r="T189" s="271"/>
      <c r="U189" s="271"/>
      <c r="V189" s="271"/>
      <c r="W189" s="271"/>
      <c r="X189" s="271"/>
      <c r="Y189" s="271"/>
      <c r="Z189" s="271"/>
    </row>
    <row r="190" spans="1:26" ht="15.75" customHeight="1">
      <c r="A190" s="364"/>
      <c r="B190" s="344" t="s">
        <v>500</v>
      </c>
      <c r="C190" s="610">
        <v>-4225.74</v>
      </c>
      <c r="D190" s="271"/>
      <c r="E190" s="271"/>
      <c r="F190" s="271"/>
      <c r="G190" s="271"/>
      <c r="H190" s="271"/>
      <c r="I190" s="271"/>
      <c r="J190" s="271"/>
      <c r="K190" s="271"/>
      <c r="M190" s="271"/>
      <c r="T190" s="271"/>
      <c r="U190" s="271"/>
      <c r="V190" s="271"/>
      <c r="W190" s="271"/>
      <c r="X190" s="271"/>
      <c r="Y190" s="271"/>
      <c r="Z190" s="271"/>
    </row>
    <row r="191" spans="1:26" ht="15.75" customHeight="1">
      <c r="A191" s="364"/>
      <c r="B191" s="344"/>
      <c r="C191" s="610"/>
      <c r="D191" s="271"/>
      <c r="E191" s="271"/>
      <c r="F191" s="271"/>
      <c r="G191" s="271"/>
      <c r="H191" s="271"/>
      <c r="I191" s="271"/>
      <c r="J191" s="271"/>
      <c r="K191" s="271"/>
      <c r="M191" s="271"/>
      <c r="T191" s="271"/>
      <c r="U191" s="271"/>
      <c r="V191" s="271"/>
      <c r="W191" s="271"/>
      <c r="X191" s="271"/>
      <c r="Y191" s="271"/>
      <c r="Z191" s="271"/>
    </row>
    <row r="192" spans="1:26" ht="15.75" customHeight="1">
      <c r="A192" s="364"/>
      <c r="B192" s="647" t="s">
        <v>1259</v>
      </c>
      <c r="C192" s="610"/>
      <c r="D192" s="271"/>
      <c r="E192" s="271"/>
      <c r="F192" s="271"/>
      <c r="G192" s="271"/>
      <c r="H192" s="271"/>
      <c r="I192" s="271"/>
      <c r="J192" s="271"/>
      <c r="K192" s="271"/>
      <c r="M192" s="271"/>
      <c r="T192" s="271"/>
      <c r="U192" s="271"/>
      <c r="V192" s="271"/>
      <c r="W192" s="271"/>
      <c r="X192" s="271"/>
      <c r="Y192" s="271"/>
      <c r="Z192" s="271"/>
    </row>
    <row r="193" spans="1:26" ht="15.75" customHeight="1">
      <c r="A193" s="364"/>
      <c r="B193" s="344" t="str">
        <f>'BS &amp; P&amp;L INC '!E63</f>
        <v>Exchange rate paypal</v>
      </c>
      <c r="C193" s="610">
        <f>'BS &amp; P&amp;L INC '!F63</f>
        <v>48647</v>
      </c>
      <c r="D193" s="271"/>
      <c r="E193" s="271"/>
      <c r="F193" s="271"/>
      <c r="G193" s="271"/>
      <c r="H193" s="271"/>
      <c r="I193" s="271"/>
      <c r="J193" s="271"/>
      <c r="K193" s="271"/>
      <c r="M193" s="271"/>
      <c r="T193" s="271"/>
      <c r="U193" s="271"/>
      <c r="V193" s="271"/>
      <c r="W193" s="271"/>
      <c r="X193" s="271"/>
      <c r="Y193" s="271"/>
      <c r="Z193" s="271"/>
    </row>
    <row r="194" spans="1:26" ht="15.75" customHeight="1">
      <c r="A194" s="364"/>
      <c r="B194" s="344"/>
      <c r="C194" s="610"/>
      <c r="D194" s="271"/>
      <c r="E194" s="271"/>
      <c r="F194" s="271"/>
      <c r="G194" s="271"/>
      <c r="H194" s="271"/>
      <c r="I194" s="271"/>
      <c r="J194" s="271"/>
      <c r="K194" s="271"/>
      <c r="M194" s="271"/>
      <c r="T194" s="271"/>
      <c r="U194" s="271"/>
      <c r="V194" s="271"/>
      <c r="W194" s="271"/>
      <c r="X194" s="271"/>
      <c r="Y194" s="271"/>
      <c r="Z194" s="271"/>
    </row>
    <row r="195" spans="1:26" ht="15.75" customHeight="1">
      <c r="A195" s="364"/>
      <c r="B195" s="344"/>
      <c r="C195" s="610"/>
      <c r="D195" s="271"/>
      <c r="E195" s="271"/>
      <c r="F195" s="271"/>
      <c r="G195" s="271"/>
      <c r="H195" s="271"/>
      <c r="I195" s="271"/>
      <c r="J195" s="271"/>
      <c r="K195" s="271"/>
      <c r="M195" s="271"/>
      <c r="T195" s="271"/>
      <c r="U195" s="271"/>
      <c r="V195" s="271"/>
      <c r="W195" s="271"/>
      <c r="X195" s="271"/>
      <c r="Y195" s="271"/>
      <c r="Z195" s="271"/>
    </row>
    <row r="196" spans="1:26" ht="15.75" customHeight="1">
      <c r="A196" s="364"/>
      <c r="B196" s="344"/>
      <c r="C196" s="333"/>
      <c r="D196" s="271"/>
      <c r="E196" s="271"/>
      <c r="F196" s="271"/>
      <c r="G196" s="271"/>
      <c r="H196" s="271"/>
      <c r="I196" s="271"/>
      <c r="J196" s="271"/>
      <c r="K196" s="271"/>
      <c r="M196" s="271"/>
      <c r="T196" s="271"/>
      <c r="U196" s="271"/>
      <c r="V196" s="271"/>
      <c r="W196" s="271"/>
      <c r="X196" s="271"/>
      <c r="Y196" s="271"/>
      <c r="Z196" s="271"/>
    </row>
    <row r="197" spans="1:26" ht="15.75" customHeight="1">
      <c r="A197" s="364"/>
      <c r="B197" s="344"/>
      <c r="C197" s="333"/>
      <c r="D197" s="271"/>
      <c r="E197" s="271"/>
      <c r="F197" s="271"/>
      <c r="G197" s="271"/>
      <c r="H197" s="271"/>
      <c r="I197" s="271"/>
      <c r="J197" s="271"/>
      <c r="K197" s="271"/>
      <c r="M197" s="271"/>
      <c r="T197" s="271"/>
      <c r="U197" s="271"/>
      <c r="V197" s="271"/>
      <c r="W197" s="271"/>
      <c r="X197" s="271"/>
      <c r="Y197" s="271"/>
      <c r="Z197" s="271"/>
    </row>
    <row r="198" spans="1:26" ht="15.75" customHeight="1">
      <c r="A198" s="364"/>
      <c r="B198" s="344" t="s">
        <v>1081</v>
      </c>
      <c r="C198" s="333">
        <f>SUM(C176:C196)</f>
        <v>18328.260000000046</v>
      </c>
      <c r="D198" s="271"/>
      <c r="E198" s="365"/>
      <c r="F198" s="271"/>
      <c r="G198" s="271"/>
      <c r="H198" s="271"/>
      <c r="I198" s="271"/>
      <c r="J198" s="271"/>
      <c r="K198" s="271"/>
      <c r="M198" s="271"/>
      <c r="T198" s="271"/>
      <c r="U198" s="271"/>
      <c r="V198" s="271"/>
      <c r="W198" s="271"/>
      <c r="X198" s="271"/>
      <c r="Y198" s="271"/>
      <c r="Z198" s="271"/>
    </row>
    <row r="199" spans="1:26" ht="15.75" customHeight="1" thickBot="1">
      <c r="A199" s="364"/>
      <c r="B199" s="345" t="s">
        <v>1075</v>
      </c>
      <c r="C199" s="385">
        <f>K36+C198</f>
        <v>0</v>
      </c>
      <c r="D199" s="271"/>
      <c r="E199" s="271"/>
      <c r="F199" s="271"/>
      <c r="G199" s="271"/>
      <c r="H199" s="271"/>
      <c r="I199" s="271"/>
      <c r="J199" s="271"/>
      <c r="K199" s="271"/>
      <c r="M199" s="271"/>
      <c r="T199" s="271"/>
      <c r="U199" s="271"/>
      <c r="V199" s="271"/>
      <c r="W199" s="271"/>
      <c r="X199" s="271"/>
      <c r="Y199" s="271"/>
      <c r="Z199" s="271"/>
    </row>
    <row r="200" spans="1:26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M200" s="271"/>
      <c r="T200" s="271"/>
      <c r="U200" s="271"/>
      <c r="V200" s="271"/>
      <c r="W200" s="271"/>
      <c r="X200" s="271"/>
      <c r="Y200" s="271"/>
      <c r="Z200" s="271"/>
    </row>
    <row r="201" spans="1:26" ht="15.75" customHeight="1" thickBo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M201" s="271"/>
      <c r="T201" s="271"/>
      <c r="U201" s="271"/>
      <c r="V201" s="271"/>
      <c r="W201" s="271"/>
      <c r="X201" s="271"/>
      <c r="Y201" s="271"/>
      <c r="Z201" s="271"/>
    </row>
    <row r="202" spans="1:26" ht="15.75" customHeight="1">
      <c r="A202" s="364">
        <v>9</v>
      </c>
      <c r="B202" s="281" t="s">
        <v>1261</v>
      </c>
      <c r="C202" s="282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T202" s="271"/>
      <c r="U202" s="271"/>
      <c r="V202" s="271"/>
      <c r="W202" s="271"/>
      <c r="X202" s="271"/>
      <c r="Y202" s="271"/>
      <c r="Z202" s="271"/>
    </row>
    <row r="203" spans="1:26" ht="15.75" customHeight="1">
      <c r="A203" s="271"/>
      <c r="B203" s="344" t="s">
        <v>1262</v>
      </c>
      <c r="C203" s="288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T203" s="271"/>
      <c r="U203" s="271"/>
      <c r="V203" s="271"/>
      <c r="W203" s="271"/>
      <c r="X203" s="271"/>
      <c r="Y203" s="271"/>
      <c r="Z203" s="271"/>
    </row>
    <row r="204" spans="1:26" ht="15.75" customHeight="1">
      <c r="A204" s="271"/>
      <c r="B204" s="344"/>
      <c r="C204" s="288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T204" s="271"/>
      <c r="U204" s="271"/>
      <c r="V204" s="271"/>
      <c r="W204" s="271"/>
      <c r="X204" s="271"/>
      <c r="Y204" s="271"/>
      <c r="Z204" s="271"/>
    </row>
    <row r="205" spans="1:26" ht="15.75" customHeight="1">
      <c r="A205" s="271"/>
      <c r="B205" s="344" t="s">
        <v>1077</v>
      </c>
      <c r="C205" s="288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T205" s="271"/>
      <c r="U205" s="271"/>
      <c r="V205" s="271"/>
      <c r="W205" s="271"/>
      <c r="X205" s="271"/>
      <c r="Y205" s="271"/>
      <c r="Z205" s="271"/>
    </row>
    <row r="206" spans="1:26" ht="15.75" customHeight="1">
      <c r="A206" s="271"/>
      <c r="B206" s="344" t="s">
        <v>1263</v>
      </c>
      <c r="C206" s="648">
        <v>610280.11133064516</v>
      </c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 spans="1:26" ht="15.75" customHeight="1">
      <c r="A207" s="271"/>
      <c r="B207" s="344" t="s">
        <v>1080</v>
      </c>
      <c r="C207" s="648">
        <v>-201158.440648416</v>
      </c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 spans="1:26" ht="15.75" customHeight="1">
      <c r="A208" s="271"/>
      <c r="B208" s="344"/>
      <c r="C208" s="288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 spans="1:26" ht="15.75" customHeight="1">
      <c r="A209" s="271"/>
      <c r="B209" s="344" t="s">
        <v>1081</v>
      </c>
      <c r="C209" s="649">
        <f>SUM(C206:C207)</f>
        <v>409121.67068222916</v>
      </c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 spans="1:26" ht="15.75" customHeight="1">
      <c r="A210" s="271"/>
      <c r="B210" s="344" t="s">
        <v>1075</v>
      </c>
      <c r="C210" s="649">
        <f>C209-L12</f>
        <v>0</v>
      </c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 spans="1:26" ht="15.75" customHeight="1">
      <c r="A211" s="271"/>
      <c r="B211" s="344"/>
      <c r="C211" s="288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 spans="1:26" ht="15.75" customHeight="1">
      <c r="A212" s="271"/>
      <c r="B212" s="344" t="s">
        <v>1264</v>
      </c>
      <c r="C212" s="288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 spans="1:26" ht="15.75" customHeight="1">
      <c r="A213" s="271"/>
      <c r="B213" s="344"/>
      <c r="C213" s="288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 spans="1:26" ht="15.75" customHeight="1">
      <c r="A214" s="271"/>
      <c r="B214" s="344" t="s">
        <v>1077</v>
      </c>
      <c r="C214" s="649">
        <v>0</v>
      </c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 spans="1:26" ht="15.75" customHeight="1">
      <c r="A215" s="271"/>
      <c r="B215" s="344" t="s">
        <v>1263</v>
      </c>
      <c r="C215" s="648">
        <f>-C206</f>
        <v>-610280.11133064516</v>
      </c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 spans="1:26" ht="15.75" customHeight="1">
      <c r="A216" s="271"/>
      <c r="B216" s="344" t="s">
        <v>1100</v>
      </c>
      <c r="C216" s="648">
        <v>219796.38633664555</v>
      </c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 spans="1:26" ht="15.75" customHeight="1">
      <c r="A217" s="271"/>
      <c r="B217" s="344" t="s">
        <v>1238</v>
      </c>
      <c r="C217" s="648">
        <v>5124.0372295378729</v>
      </c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 spans="1:26" ht="15.75" customHeight="1">
      <c r="A218" s="271"/>
      <c r="B218" s="344"/>
      <c r="C218" s="288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 spans="1:26" ht="15.75" customHeight="1">
      <c r="A219" s="271"/>
      <c r="B219" s="344" t="s">
        <v>1081</v>
      </c>
      <c r="C219" s="649">
        <f>SUM(C215:C217)</f>
        <v>-385359.68776446173</v>
      </c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 spans="1:26" ht="15.75" customHeight="1" thickBot="1">
      <c r="A220" s="271"/>
      <c r="B220" s="345" t="s">
        <v>1075</v>
      </c>
      <c r="C220" s="650">
        <f>C219-L23</f>
        <v>0</v>
      </c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 spans="1:26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spans="1:26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 spans="1:26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 spans="1:26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 spans="1:26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 spans="1: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 spans="1:26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 spans="1:26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 spans="1:26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 spans="1:26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 spans="1:26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 spans="1:26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 spans="1:26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 spans="1:26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 spans="1:26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 spans="1:2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 spans="1:26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 spans="1:26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 spans="1:26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 spans="1:26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 spans="1:26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 spans="1:26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 spans="1:26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 spans="1:26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 spans="1:26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 spans="1:2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 spans="1:26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 spans="1:26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 spans="1:26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 spans="1:26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 spans="1:26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 spans="1:26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 spans="1:26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 spans="1:26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 spans="1:26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 spans="1:2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 spans="1:26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 spans="1:26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 spans="1:26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 spans="1:26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 spans="1:26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 spans="1:26" ht="15.75" customHeight="1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 spans="1:26" ht="15.75" customHeight="1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 spans="1:26" ht="15.75" customHeight="1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 spans="1:26" ht="15.75" customHeight="1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 spans="1:26" ht="15.75" customHeight="1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 spans="1:26" ht="15.75" customHeight="1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 spans="1:26" ht="15.75" customHeight="1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 spans="1:26" ht="15.75" customHeight="1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 spans="1:26" ht="15.75" customHeight="1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 spans="1:26" ht="15.75" customHeight="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 spans="1:26" ht="15.75" customHeight="1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 spans="1:26" ht="15.75" customHeight="1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 spans="1:26" ht="15.75" customHeight="1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 spans="1:26" ht="15.75" customHeight="1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 spans="1:26" ht="15.75" customHeight="1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 spans="1:26" ht="15.75" customHeight="1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 spans="1:26" ht="15.75" customHeight="1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 spans="1:26" ht="15.75" customHeight="1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 spans="1:26" ht="15.75" customHeight="1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 spans="1:26" ht="15.75" customHeight="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 spans="1:26" ht="15.75" customHeight="1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 spans="1:26" ht="15.75" customHeight="1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 spans="1:26" ht="15.75" customHeight="1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 spans="1:26" ht="15.75" customHeight="1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 spans="1:26" ht="15.75" customHeight="1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 spans="1:26" ht="15.75" customHeight="1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 spans="1:26" ht="15.75" customHeight="1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 spans="1:26" ht="15.75" customHeight="1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 spans="1:26" ht="15.75" customHeight="1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 spans="1:26" ht="15.75" customHeight="1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 spans="1:26" ht="15.75" customHeight="1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 spans="1:26" ht="15.75" customHeight="1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 spans="1:26" ht="15.75" customHeight="1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 spans="1:26" ht="15.75" customHeight="1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 spans="1:26" ht="15.75" customHeight="1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 spans="1:26" ht="15.75" customHeight="1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 spans="1:26" ht="15.75" customHeight="1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 spans="1:26" ht="15.75" customHeight="1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 spans="1:26" ht="15.75" customHeight="1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 spans="1:26" ht="15.75" customHeight="1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 spans="1:26" ht="15.75" customHeight="1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 spans="1:26" ht="15.75" customHeight="1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 spans="1:26" ht="15.75" customHeight="1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 spans="1:26" ht="15.75" customHeight="1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 spans="1:26" ht="15.75" customHeight="1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 spans="1:26" ht="15.75" customHeight="1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 spans="1:26" ht="15.75" customHeight="1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 spans="1:26" ht="15.75" customHeight="1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 spans="1:26" ht="15.75" customHeight="1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 spans="1:26" ht="15.75" customHeight="1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 spans="1:26" ht="15.75" customHeight="1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 spans="1:26" ht="15.75" customHeight="1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 spans="1:26" ht="15.75" customHeight="1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 spans="1:26" ht="15.75" customHeight="1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 spans="1:26" ht="15.75" customHeight="1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 spans="1:26" ht="15.75" customHeight="1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 spans="1:26" ht="15.75" customHeight="1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 spans="1:26" ht="15.75" customHeight="1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 spans="1:26" ht="15.75" customHeight="1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 spans="1:26" ht="15.75" customHeight="1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 spans="1:26" ht="15.75" customHeight="1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 spans="1:26" ht="15.75" customHeight="1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 spans="1:26" ht="15.75" customHeight="1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 spans="1:26" ht="15.75" customHeight="1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 spans="1:26" ht="15.75" customHeight="1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 spans="1:26" ht="15.75" customHeight="1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 spans="1:26" ht="15.75" customHeight="1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 spans="1:26" ht="15.75" customHeight="1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 spans="1:26" ht="15.75" customHeight="1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 spans="1:26" ht="15.75" customHeight="1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 spans="1:26" ht="15.75" customHeight="1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 spans="1:26" ht="15.75" customHeight="1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 spans="1:26" ht="15.75" customHeight="1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 spans="1:26" ht="15.75" customHeight="1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 spans="1:26" ht="15.75" customHeight="1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 spans="1:26" ht="15.75" customHeight="1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 spans="1:26" ht="15.75" customHeight="1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 spans="1:26" ht="15.75" customHeight="1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 spans="1:26" ht="15.75" customHeight="1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 spans="1:26" ht="15.75" customHeight="1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 spans="1:26" ht="15.75" customHeight="1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 spans="1:26" ht="15.75" customHeight="1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 spans="1:26" ht="15.75" customHeight="1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 spans="1:26" ht="15.75" customHeight="1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 spans="1:26" ht="15.75" customHeight="1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 spans="1:26" ht="15.75" customHeight="1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 spans="1:26" ht="15.75" customHeight="1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 spans="1:26" ht="15.75" customHeight="1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 spans="1:26" ht="15.75" customHeight="1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 spans="1:26" ht="15.75" customHeight="1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 spans="1:26" ht="15.75" customHeight="1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 spans="1:26" ht="15.75" customHeight="1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 spans="1:26" ht="15.75" customHeight="1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 spans="1:26" ht="15.75" customHeight="1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 spans="1:26" ht="15.75" customHeight="1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 spans="1:26" ht="15.75" customHeight="1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 spans="1:26" ht="15.75" customHeight="1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 spans="1:26" ht="15.75" customHeight="1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 spans="1:26" ht="15.75" customHeight="1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 spans="1:26" ht="15.75" customHeight="1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 spans="1:26" ht="15.75" customHeight="1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 spans="1:26" ht="15.75" customHeight="1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 spans="1:26" ht="15.75" customHeight="1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 spans="1:26" ht="15.75" customHeight="1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 spans="1:26" ht="15.75" customHeight="1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 spans="1:26" ht="15.75" customHeight="1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 spans="1:26" ht="15.75" customHeight="1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 spans="1:26" ht="15.75" customHeight="1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 spans="1:26" ht="15.75" customHeight="1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 spans="1:26" ht="15.75" customHeight="1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 spans="1:26" ht="15.75" customHeight="1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 spans="1:26" ht="15.75" customHeight="1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 spans="1:26" ht="15.75" customHeight="1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 spans="1:26" ht="15.75" customHeight="1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 spans="1:26" ht="15.75" customHeight="1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 spans="1:26" ht="15.75" customHeight="1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 spans="1:26" ht="15.75" customHeight="1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 spans="1:26" ht="15.75" customHeight="1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 spans="1:26" ht="15.75" customHeight="1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 spans="1:26" ht="15.75" customHeight="1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 spans="1:26" ht="15.75" customHeight="1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 spans="1:26" ht="15.75" customHeight="1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 spans="1:26" ht="15.75" customHeight="1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 spans="1:26" ht="15.75" customHeight="1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 spans="1:26" ht="15.75" customHeight="1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 spans="1:26" ht="15.75" customHeight="1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 spans="1:26" ht="15.75" customHeight="1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 spans="1:26" ht="15.75" customHeight="1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 spans="1:26" ht="15.75" customHeight="1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 spans="1:26" ht="15.75" customHeight="1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 spans="1:26" ht="15.75" customHeight="1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 spans="1:26" ht="15.75" customHeight="1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 spans="1:26" ht="15.75" customHeight="1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 spans="1:26" ht="15.75" customHeight="1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 spans="1:26" ht="15.75" customHeight="1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 spans="1:26" ht="15.75" customHeight="1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 spans="1:26" ht="15.75" customHeight="1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 spans="1:26" ht="15.75" customHeight="1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 spans="1:26" ht="15.75" customHeight="1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 spans="1:26" ht="15.75" customHeight="1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 spans="1:26" ht="15.75" customHeight="1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 spans="1:26" ht="15.75" customHeight="1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 spans="1:26" ht="15.75" customHeight="1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 spans="1:26" ht="15.75" customHeight="1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 spans="1:26" ht="15.75" customHeight="1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 spans="1:26" ht="15.75" customHeight="1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 spans="1:26" ht="15.75" customHeight="1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 spans="1:26" ht="15.75" customHeight="1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 spans="1:26" ht="15.75" customHeight="1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 spans="1:26" ht="15.75" customHeight="1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 spans="1:26" ht="15.75" customHeight="1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 spans="1:26" ht="15.75" customHeight="1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 spans="1:26" ht="15.75" customHeight="1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 spans="1:26" ht="15.75" customHeight="1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 spans="1:26" ht="15.75" customHeight="1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 spans="1:26" ht="15.75" customHeight="1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 spans="1:26" ht="15.75" customHeight="1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 spans="1:26" ht="15.75" customHeight="1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 spans="1:26" ht="15.75" customHeight="1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 spans="1:26" ht="15.75" customHeight="1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 spans="1:26" ht="15.75" customHeight="1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 spans="1:26" ht="15.75" customHeight="1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 spans="1:26" ht="15.75" customHeight="1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 spans="1:26" ht="15.75" customHeight="1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 spans="1:26" ht="15.75" customHeight="1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 spans="1:26" ht="15.75" customHeight="1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 spans="1:26" ht="15.75" customHeight="1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 spans="1:26" ht="15.75" customHeight="1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 spans="1:26" ht="15.75" customHeight="1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 spans="1:26" ht="15.75" customHeight="1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 spans="1:26" ht="15.75" customHeight="1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 spans="1:26" ht="15.75" customHeight="1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 spans="1:26" ht="15.75" customHeight="1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 spans="1:26" ht="15.75" customHeight="1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 spans="1:26" ht="15.75" customHeight="1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 spans="1:26" ht="15.75" customHeight="1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 spans="1:26" ht="15.75" customHeight="1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 spans="1:26" ht="15.75" customHeight="1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 spans="1:26" ht="15.75" customHeight="1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 spans="1:26" ht="15.75" customHeight="1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 spans="1:26" ht="15.75" customHeight="1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 spans="1:26" ht="15.75" customHeight="1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 spans="1:26" ht="15.75" customHeight="1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 spans="1:26" ht="15.75" customHeight="1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 spans="1:26" ht="15.75" customHeight="1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 spans="1:26" ht="15.75" customHeight="1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 spans="1:26" ht="15.75" customHeight="1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 spans="1:26" ht="15.75" customHeight="1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 spans="1:26" ht="15.75" customHeight="1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 spans="1:26" ht="15.75" customHeight="1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 spans="1:26" ht="15.75" customHeight="1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 spans="1:26" ht="15.75" customHeight="1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 spans="1:26" ht="15.75" customHeight="1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 spans="1:26" ht="15.75" customHeight="1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 spans="1:26" ht="15.75" customHeight="1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 spans="1:26" ht="15.75" customHeight="1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 spans="1:26" ht="15.75" customHeight="1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 spans="1:26" ht="15.75" customHeight="1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 spans="1:26" ht="15.75" customHeight="1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 spans="1:26" ht="15.75" customHeight="1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 spans="1:26" ht="15.75" customHeight="1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 spans="1:26" ht="15.75" customHeight="1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 spans="1:26" ht="15.75" customHeight="1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 spans="1:26" ht="15.75" customHeight="1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 spans="1:26" ht="15.75" customHeight="1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 spans="1:26" ht="15.75" customHeight="1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 spans="1:26" ht="15.75" customHeight="1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 spans="1:26" ht="15.75" customHeight="1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 spans="1:26" ht="15.75" customHeight="1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 spans="1:26" ht="15.75" customHeight="1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 spans="1:26" ht="15.75" customHeight="1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 spans="1:26" ht="15.75" customHeight="1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 spans="1:26" ht="15.75" customHeight="1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 spans="1:26" ht="15.75" customHeight="1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 spans="1:26" ht="15.75" customHeight="1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 spans="1:26" ht="15.75" customHeight="1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 spans="1:26" ht="15.75" customHeight="1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 spans="1:26" ht="15.75" customHeight="1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 spans="1:26" ht="15.75" customHeight="1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 spans="1:26" ht="15.75" customHeight="1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 spans="1:26" ht="15.75" customHeight="1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 spans="1:26" ht="15.75" customHeight="1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 spans="1:26" ht="15.75" customHeight="1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 spans="1:26" ht="15.75" customHeight="1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 spans="1:26" ht="15.75" customHeight="1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 spans="1:26" ht="15.75" customHeight="1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 spans="1:26" ht="15.75" customHeight="1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 spans="1:26" ht="15.75" customHeight="1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 spans="1:26" ht="15.75" customHeight="1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 spans="1:26" ht="15.75" customHeight="1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 spans="1:26" ht="15.75" customHeight="1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 spans="1:26" ht="15.75" customHeight="1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 spans="1:26" ht="15.75" customHeight="1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 spans="1:26" ht="15.75" customHeight="1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 spans="1:26" ht="15.75" customHeight="1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 spans="1:26" ht="15.75" customHeight="1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 spans="1:26" ht="15.75" customHeight="1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 spans="1:26" ht="15.75" customHeight="1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 spans="1:26" ht="15.75" customHeight="1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 spans="1:26" ht="15.75" customHeight="1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 spans="1:26" ht="15.75" customHeight="1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 spans="1:26" ht="15.75" customHeight="1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 spans="1:26" ht="15.75" customHeight="1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 spans="1:26" ht="15.75" customHeight="1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 spans="1:26" ht="15.75" customHeight="1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 spans="1:26" ht="15.75" customHeight="1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 spans="1:26" ht="15.75" customHeight="1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 spans="1:26" ht="15.75" customHeight="1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 spans="1:26" ht="15.75" customHeight="1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 spans="1:26" ht="15.75" customHeight="1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 spans="1:26" ht="15.75" customHeight="1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 spans="1:26" ht="15.75" customHeight="1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 spans="1:26" ht="15.75" customHeight="1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 spans="1:26" ht="15.75" customHeight="1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 spans="1:26" ht="15.75" customHeight="1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 spans="1:26" ht="15.75" customHeight="1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 spans="1:26" ht="15.75" customHeight="1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 spans="1:26" ht="15.75" customHeight="1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 spans="1:26" ht="15.75" customHeight="1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 spans="1:26" ht="15.75" customHeight="1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 spans="1:26" ht="15.75" customHeight="1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 spans="1:26" ht="15.75" customHeight="1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 spans="1:26" ht="15.75" customHeight="1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 spans="1:26" ht="15.75" customHeight="1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 spans="1:26" ht="15.75" customHeight="1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 spans="1:26" ht="15.75" customHeight="1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 spans="1:26" ht="15.75" customHeight="1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 spans="1:26" ht="15.75" customHeight="1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 spans="1:26" ht="15.75" customHeight="1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 spans="1:26" ht="15.75" customHeight="1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 spans="1:26" ht="15.75" customHeight="1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 spans="1:26" ht="15.75" customHeight="1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 spans="1:26" ht="15.75" customHeight="1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 spans="1:26" ht="15.75" customHeight="1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 spans="1:26" ht="15.75" customHeight="1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 spans="1:26" ht="15.75" customHeight="1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 spans="1:26" ht="15.75" customHeight="1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 spans="1:26" ht="15.75" customHeight="1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 spans="1:26" ht="15.75" customHeight="1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 spans="1:26" ht="15.75" customHeight="1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 spans="1:26" ht="15.75" customHeight="1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 spans="1:26" ht="15.75" customHeight="1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 spans="1:26" ht="15.75" customHeight="1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 spans="1:26" ht="15.75" customHeight="1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 spans="1:26" ht="15.75" customHeight="1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 spans="1:26" ht="15.75" customHeight="1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 spans="1:26" ht="15.75" customHeight="1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 spans="1:26" ht="15.75" customHeight="1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 spans="1:26" ht="15.75" customHeight="1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 spans="1:26" ht="15.75" customHeight="1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 spans="1:26" ht="15.75" customHeight="1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 spans="1:26" ht="15.75" customHeight="1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 spans="1:26" ht="15.75" customHeight="1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 spans="1:26" ht="15.75" customHeight="1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 spans="1:26" ht="15.75" customHeight="1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 spans="1:26" ht="15.75" customHeight="1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 spans="1:26" ht="15.75" customHeight="1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 spans="1:26" ht="15.75" customHeight="1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 spans="1:26" ht="15.75" customHeight="1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spans="1:26" ht="15.75" customHeight="1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 spans="1:26" ht="15.75" customHeight="1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 spans="1:26" ht="15.75" customHeight="1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 spans="1:26" ht="15.75" customHeight="1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 spans="1:26" ht="15.75" customHeight="1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 spans="1:26" ht="15.75" customHeight="1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 spans="1:26" ht="15.75" customHeight="1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 spans="1:26" ht="15.75" customHeight="1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 spans="1:26" ht="15.75" customHeight="1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 spans="1:26" ht="15.75" customHeight="1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 spans="1:26" ht="15.75" customHeight="1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 spans="1:26" ht="15.75" customHeight="1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 spans="1:26" ht="15.75" customHeight="1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 spans="1:26" ht="15.75" customHeight="1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 spans="1:26" ht="15.75" customHeight="1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 spans="1:26" ht="15.75" customHeight="1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 spans="1:26" ht="15.75" customHeight="1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 spans="1:26" ht="15.75" customHeight="1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 spans="1:26" ht="15.75" customHeight="1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 spans="1:26" ht="15.75" customHeight="1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 spans="1:26" ht="15.75" customHeight="1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 spans="1:26" ht="15.75" customHeight="1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 spans="1:26" ht="15.75" customHeight="1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 spans="1:26" ht="15.75" customHeight="1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 spans="1:26" ht="15.75" customHeight="1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 spans="1:26" ht="15.75" customHeight="1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 spans="1:26" ht="15.75" customHeight="1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 spans="1:26" ht="15.75" customHeight="1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 spans="1:26" ht="15.75" customHeight="1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 spans="1:26" ht="15.75" customHeight="1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 spans="1:26" ht="15.75" customHeight="1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 spans="1:26" ht="15.75" customHeight="1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 spans="1:26" ht="15.75" customHeight="1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 spans="1:26" ht="15.75" customHeight="1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 spans="1:26" ht="15.75" customHeight="1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 spans="1:26" ht="15.75" customHeight="1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 spans="1:26" ht="15.75" customHeight="1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 spans="1:26" ht="15.75" customHeight="1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 spans="1:26" ht="15.75" customHeight="1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 spans="1:26" ht="15.75" customHeight="1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 spans="1:26" ht="15.75" customHeight="1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 spans="1:26" ht="15.75" customHeight="1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 spans="1:26" ht="15.75" customHeight="1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 spans="1:26" ht="15.75" customHeight="1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 spans="1:26" ht="15.75" customHeight="1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 spans="1:26" ht="15.75" customHeight="1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 spans="1:26" ht="15.75" customHeight="1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 spans="1:26" ht="15.75" customHeight="1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 spans="1:26" ht="15.75" customHeight="1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 spans="1:26" ht="15.75" customHeight="1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 spans="1:26" ht="15.75" customHeight="1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 spans="1:26" ht="15.75" customHeight="1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 spans="1:26" ht="15.75" customHeight="1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 spans="1:26" ht="15.75" customHeight="1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 spans="1:26" ht="15.75" customHeight="1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 spans="1:26" ht="15.75" customHeight="1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 spans="1:26" ht="15.75" customHeight="1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 spans="1:26" ht="15.75" customHeight="1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 spans="1:26" ht="15.75" customHeight="1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 spans="1:26" ht="15.75" customHeight="1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 spans="1:26" ht="15.75" customHeight="1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 spans="1:26" ht="15.75" customHeight="1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 spans="1:26" ht="15.75" customHeight="1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 spans="1:26" ht="15.75" customHeight="1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 spans="1:26" ht="15.75" customHeight="1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 spans="1:26" ht="15.75" customHeight="1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 spans="1:26" ht="15.75" customHeight="1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 spans="1:26" ht="15.75" customHeight="1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 spans="1:26" ht="15.75" customHeight="1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 spans="1:26" ht="15.75" customHeight="1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 spans="1:26" ht="15.75" customHeight="1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 spans="1:26" ht="15.75" customHeight="1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 spans="1:26" ht="15.75" customHeight="1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 spans="1:26" ht="15.75" customHeight="1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 spans="1:26" ht="15.75" customHeight="1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 spans="1:26" ht="15.75" customHeight="1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 spans="1:26" ht="15.75" customHeight="1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 spans="1:26" ht="15.75" customHeight="1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 spans="1:26" ht="15.75" customHeight="1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 spans="1:26" ht="15.75" customHeight="1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 spans="1:26" ht="15.75" customHeight="1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 spans="1:26" ht="15.75" customHeight="1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 spans="1:26" ht="15.75" customHeight="1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 spans="1:26" ht="15.75" customHeight="1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 spans="1:26" ht="15.75" customHeight="1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 spans="1:26" ht="15.75" customHeight="1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 spans="1:26" ht="15.75" customHeight="1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 spans="1:26" ht="15.75" customHeight="1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 spans="1:26" ht="15.75" customHeight="1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 spans="1:26" ht="15.75" customHeight="1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 spans="1:26" ht="15.75" customHeight="1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 spans="1:26" ht="15.75" customHeight="1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 spans="1:26" ht="15.75" customHeight="1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 spans="1:26" ht="15.75" customHeight="1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 spans="1:26" ht="15.75" customHeight="1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 spans="1:26" ht="15.75" customHeight="1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 spans="1:26" ht="15.75" customHeight="1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 spans="1:26" ht="15.75" customHeight="1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 spans="1:26" ht="15.75" customHeight="1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 spans="1:26" ht="15.75" customHeight="1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 spans="1:26" ht="15.75" customHeight="1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 spans="1:26" ht="15.75" customHeight="1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 spans="1:26" ht="15.75" customHeight="1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 spans="1:26" ht="15.75" customHeight="1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 spans="1:26" ht="15.75" customHeight="1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 spans="1:26" ht="15.75" customHeight="1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 spans="1:26" ht="15.75" customHeight="1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 spans="1:26" ht="15.75" customHeight="1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 spans="1:26" ht="15.75" customHeight="1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 spans="1:26" ht="15.75" customHeight="1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 spans="1:26" ht="15.75" customHeight="1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 spans="1:26" ht="15.75" customHeight="1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 spans="1:26" ht="15.75" customHeight="1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 spans="1:26" ht="15.75" customHeight="1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 spans="1:26" ht="15.75" customHeight="1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 spans="1:26" ht="15.75" customHeight="1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 spans="1:26" ht="15.75" customHeight="1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 spans="1:26" ht="15.75" customHeight="1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 spans="1:26" ht="15.75" customHeight="1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 spans="1:26" ht="15.75" customHeight="1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 spans="1:26" ht="15.75" customHeight="1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 spans="1:26" ht="15.75" customHeight="1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 spans="1:26" ht="15.75" customHeight="1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 spans="1:26" ht="15.75" customHeight="1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 spans="1:26" ht="15.75" customHeight="1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 spans="1:26" ht="15.75" customHeight="1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 spans="1:26" ht="15.75" customHeight="1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 spans="1:26" ht="15.75" customHeight="1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 spans="1:26" ht="15.75" customHeight="1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 spans="1:26" ht="15.75" customHeight="1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 spans="1:26" ht="15.75" customHeight="1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 spans="1:26" ht="15.75" customHeight="1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 spans="1:26" ht="15.75" customHeight="1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 spans="1:26" ht="15.75" customHeight="1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 spans="1:26" ht="15.75" customHeight="1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 spans="1:26" ht="15.75" customHeight="1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 spans="1:26" ht="15.75" customHeight="1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 spans="1:26" ht="15.75" customHeight="1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 spans="1:26" ht="15.75" customHeight="1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 spans="1:26" ht="15.75" customHeight="1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 spans="1:26" ht="15.75" customHeight="1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 spans="1:26" ht="15.75" customHeight="1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 spans="1:26" ht="15.75" customHeight="1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 spans="1:26" ht="15.75" customHeight="1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 spans="1:26" ht="15.75" customHeight="1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 spans="1:26" ht="15.75" customHeight="1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 spans="1:26" ht="15.75" customHeight="1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 spans="1:26" ht="15.75" customHeight="1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 spans="1:26" ht="15.75" customHeight="1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 spans="1:26" ht="15.75" customHeight="1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 spans="1:26" ht="15.75" customHeight="1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 spans="1:26" ht="15.75" customHeight="1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 spans="1:26" ht="15.75" customHeight="1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 spans="1:26" ht="15.75" customHeight="1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 spans="1:26" ht="15.75" customHeight="1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 spans="1:26" ht="15.75" customHeight="1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 spans="1:26" ht="15.75" customHeight="1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 spans="1:26" ht="15.75" customHeight="1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 spans="1:26" ht="15.75" customHeight="1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 spans="1:26" ht="15.75" customHeight="1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 spans="1:26" ht="15.75" customHeight="1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 spans="1:26" ht="15.75" customHeight="1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 spans="1:26" ht="15.75" customHeight="1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 spans="1:26" ht="15.75" customHeight="1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 spans="1:26" ht="15.75" customHeight="1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 spans="1:26" ht="15.75" customHeight="1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 spans="1:26" ht="15.75" customHeight="1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 spans="1:26" ht="15.75" customHeight="1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 spans="1:26" ht="15.75" customHeight="1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 spans="1:26" ht="15.75" customHeight="1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 spans="1:26" ht="15.75" customHeight="1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 spans="1:26" ht="15.75" customHeight="1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 spans="1:26" ht="15.75" customHeight="1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 spans="1:26" ht="15.75" customHeight="1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 spans="1:26" ht="15.75" customHeight="1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 spans="1:26" ht="15.75" customHeight="1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 spans="1:26" ht="15.75" customHeight="1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 spans="1:26" ht="15.75" customHeight="1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 spans="1:26" ht="15.75" customHeight="1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 spans="1:26" ht="15.75" customHeight="1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 spans="1:26" ht="15.75" customHeight="1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 spans="1:26" ht="15.75" customHeight="1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 spans="1:26" ht="15.75" customHeight="1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 spans="1:26" ht="15.75" customHeight="1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 spans="1:26" ht="15.75" customHeight="1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 spans="1:26" ht="15.75" customHeight="1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 spans="1:26" ht="15.75" customHeight="1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 spans="1:26" ht="15.75" customHeight="1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 spans="1:26" ht="15.75" customHeight="1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 spans="1:26" ht="15.75" customHeight="1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 spans="1:26" ht="15.75" customHeight="1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 spans="1:26" ht="15.75" customHeight="1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 spans="1:26" ht="15.75" customHeight="1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 spans="1:26" ht="15.75" customHeight="1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 spans="1:26" ht="15.75" customHeight="1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 spans="1:26" ht="15.75" customHeight="1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 spans="1:26" ht="15.75" customHeight="1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 spans="1:26" ht="15.75" customHeight="1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 spans="1:26" ht="15.75" customHeight="1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 spans="1:26" ht="15.75" customHeight="1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 spans="1:26" ht="15.75" customHeight="1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 spans="1:26" ht="15.75" customHeight="1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 spans="1:26" ht="15.75" customHeight="1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 spans="1:26" ht="15.75" customHeight="1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 spans="1:26" ht="15.75" customHeight="1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 spans="1:26" ht="15.75" customHeight="1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 spans="1:26" ht="15.75" customHeight="1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 spans="1:26" ht="15.75" customHeight="1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 spans="1:26" ht="15.75" customHeight="1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 spans="1:26" ht="15.75" customHeight="1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 spans="1:26" ht="15.75" customHeight="1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 spans="1:26" ht="15.75" customHeight="1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 spans="1:26" ht="15.75" customHeight="1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 spans="1:26" ht="15.75" customHeight="1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 spans="1:26" ht="15.75" customHeight="1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 spans="1:26" ht="15.75" customHeight="1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 spans="1:26" ht="15.75" customHeight="1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 spans="1:26" ht="15.75" customHeight="1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 spans="1:26" ht="15.75" customHeight="1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 spans="1:26" ht="15.75" customHeight="1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 spans="1:26" ht="15.75" customHeight="1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 spans="1:26" ht="15.75" customHeight="1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 spans="1:26" ht="15.75" customHeight="1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 spans="1:26" ht="15.75" customHeight="1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 spans="1:26" ht="15.75" customHeight="1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 spans="1:26" ht="15.75" customHeight="1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 spans="1:26" ht="15.75" customHeight="1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 spans="1:26" ht="15.75" customHeight="1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 spans="1:26" ht="15.75" customHeight="1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 spans="1:26" ht="15.75" customHeight="1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 spans="1:26" ht="15.75" customHeight="1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 spans="1:26" ht="15.75" customHeight="1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 spans="1:26" ht="15.75" customHeight="1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 spans="1:26" ht="15.75" customHeight="1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 spans="1:26" ht="15.75" customHeight="1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 spans="1:26" ht="15.75" customHeight="1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 spans="1:26" ht="15.75" customHeight="1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 spans="1:26" ht="15.75" customHeight="1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 spans="1:26" ht="15.75" customHeight="1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 spans="1:26" ht="15.75" customHeight="1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 spans="1:26" ht="15.75" customHeight="1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 spans="1:26" ht="15.75" customHeight="1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 spans="1:26" ht="15.75" customHeight="1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 spans="1:26" ht="15.75" customHeight="1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 spans="1:26" ht="15.75" customHeight="1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 spans="1:26" ht="15.75" customHeight="1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 spans="1:26" ht="15.75" customHeight="1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 spans="1:26" ht="15.75" customHeight="1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 spans="1:26" ht="15.75" customHeight="1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 spans="1:26" ht="15.75" customHeight="1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 spans="1:26" ht="15.75" customHeight="1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 spans="1:26" ht="15.75" customHeight="1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 spans="1:26" ht="15.75" customHeight="1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 spans="1:26" ht="15.75" customHeight="1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 spans="1:26" ht="15.75" customHeight="1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 spans="1:26" ht="15.75" customHeight="1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 spans="1:26" ht="15.75" customHeight="1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 spans="1:26" ht="15.75" customHeight="1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 spans="1:26" ht="15.75" customHeight="1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 spans="1:26" ht="15.75" customHeight="1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 spans="1:26" ht="15.75" customHeight="1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 spans="1:26" ht="15.75" customHeight="1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 spans="1:26" ht="15.75" customHeight="1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 spans="1:26" ht="15.75" customHeight="1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 spans="1:26" ht="15.75" customHeight="1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 spans="1:26" ht="15.75" customHeight="1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 spans="1:26" ht="15.75" customHeight="1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 spans="1:26" ht="15.75" customHeight="1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 spans="1:26" ht="15.75" customHeight="1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 spans="1:26" ht="15.75" customHeight="1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 spans="1:26" ht="15.75" customHeight="1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 spans="1:26" ht="15.75" customHeight="1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 spans="1:26" ht="15.75" customHeight="1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 spans="1:26" ht="15.75" customHeight="1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 spans="1:26" ht="15.75" customHeight="1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 spans="1:26" ht="15.75" customHeight="1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 spans="1:26" ht="15.75" customHeight="1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 spans="1:26" ht="15.75" customHeight="1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 spans="1:26" ht="15.75" customHeight="1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 spans="1:26" ht="15.75" customHeight="1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 spans="1:26" ht="15.75" customHeight="1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 spans="1:26" ht="15.75" customHeight="1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 spans="1:26" ht="15.75" customHeight="1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 spans="1:26" ht="15.75" customHeight="1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 spans="1:26" ht="15.75" customHeight="1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 spans="1:26" ht="15.75" customHeight="1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 spans="1:26" ht="15.75" customHeight="1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 spans="1:26" ht="15.75" customHeight="1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 spans="1:26" ht="15.75" customHeight="1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 spans="1:26" ht="15.75" customHeight="1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 spans="1:26" ht="15.75" customHeight="1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 spans="1:26" ht="15.75" customHeight="1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 spans="1:26" ht="15.75" customHeight="1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 spans="1:26" ht="15.75" customHeight="1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 spans="1:26" ht="15.75" customHeight="1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 spans="1:26" ht="15.75" customHeight="1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 spans="1:26" ht="15.75" customHeight="1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 spans="1:26" ht="15.75" customHeight="1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 spans="1:26" ht="15.75" customHeight="1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 spans="1:26" ht="15.75" customHeight="1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 spans="1:26" ht="15.75" customHeight="1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 spans="1:26" ht="15.75" customHeight="1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 spans="1:26" ht="15.75" customHeight="1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 spans="1:26" ht="15.75" customHeight="1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 spans="1:26" ht="15.75" customHeight="1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 spans="1:26" ht="15.75" customHeight="1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 spans="1:26" ht="15.75" customHeight="1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 spans="1:26" ht="15.75" customHeight="1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 spans="1:26" ht="15.75" customHeight="1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 spans="1:26" ht="15.75" customHeight="1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 spans="1:26" ht="15.75" customHeight="1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 spans="1:26" ht="15.75" customHeight="1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 spans="1:26" ht="15.75" customHeight="1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 spans="1:26" ht="15.75" customHeight="1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 spans="1:26" ht="15.75" customHeight="1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 spans="1:26" ht="15.75" customHeight="1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 spans="1:26" ht="15.75" customHeight="1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 spans="1:26" ht="15.75" customHeight="1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 spans="1:26" ht="15.75" customHeight="1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 spans="1:26" ht="15.75" customHeight="1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 spans="1:26" ht="15.75" customHeight="1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 spans="1:26" ht="15.75" customHeight="1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 spans="1:26" ht="15.75" customHeight="1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 spans="1:26" ht="15.75" customHeight="1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 spans="1:26" ht="15.75" customHeight="1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 spans="1:26" ht="15.75" customHeight="1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 spans="1:26" ht="15.75" customHeight="1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 spans="1:26" ht="15.75" customHeight="1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 spans="1:26" ht="15.75" customHeight="1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 spans="1:26" ht="15.75" customHeight="1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 spans="1:26" ht="15.75" customHeight="1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 spans="1:26" ht="15.75" customHeight="1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 spans="1:26" ht="15.75" customHeight="1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 spans="1:26" ht="15.75" customHeight="1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 spans="1:26" ht="15.75" customHeight="1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 spans="1:26" ht="15.75" customHeight="1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 spans="1:26" ht="15.75" customHeight="1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 spans="1:26" ht="15.75" customHeight="1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 spans="1:26" ht="15.75" customHeight="1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 spans="1:26" ht="15.75" customHeight="1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 spans="1:26" ht="15.75" customHeight="1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 spans="1:26" ht="15.75" customHeight="1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 spans="1:26" ht="15.75" customHeight="1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 spans="1:26" ht="15.75" customHeight="1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 spans="1:26" ht="15.75" customHeight="1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 spans="1:26" ht="15.75" customHeight="1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 spans="1:26" ht="15.75" customHeight="1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 spans="1:26" ht="15.75" customHeight="1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 spans="1:26" ht="15.75" customHeight="1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 spans="1:26" ht="15.75" customHeight="1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 spans="1:26" ht="15.75" customHeight="1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 spans="1:26" ht="15.75" customHeight="1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 spans="1:26" ht="15.75" customHeight="1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 spans="1:26" ht="15.75" customHeight="1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 spans="1:26" ht="15.75" customHeight="1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 spans="1:26" ht="15.75" customHeight="1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 spans="1:26" ht="15.75" customHeight="1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 spans="1:26" ht="15.75" customHeight="1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 spans="1:26" ht="15.75" customHeight="1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 spans="1:26" ht="15.75" customHeight="1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 spans="1:26" ht="15.75" customHeight="1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 spans="1:26" ht="15.75" customHeight="1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 spans="1:26" ht="15.75" customHeight="1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 spans="1:26" ht="15.75" customHeight="1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 spans="1:26" ht="15.75" customHeight="1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 spans="1:26" ht="15.75" customHeight="1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 spans="1:26" ht="15.75" customHeight="1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 spans="1:26" ht="15.75" customHeight="1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 spans="1:26" ht="15.75" customHeight="1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 spans="1:26" ht="15.75" customHeight="1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 spans="1:26" ht="15.75" customHeight="1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 spans="1:26" ht="15.75" customHeight="1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 spans="1:26" ht="15.75" customHeight="1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 spans="1:26" ht="15.75" customHeight="1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 spans="1:26" ht="15.75" customHeight="1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 spans="1:26" ht="15.75" customHeight="1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 spans="1:26" ht="15.75" customHeight="1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 spans="1:26" ht="15.75" customHeight="1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 spans="1:26" ht="15.75" customHeight="1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 spans="1:26" ht="15.75" customHeight="1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 spans="1:26" ht="15.75" customHeight="1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 spans="1:26" ht="15.75" customHeight="1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 spans="1:26" ht="15.75" customHeight="1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 spans="1:26" ht="15.75" customHeight="1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 spans="1:26" ht="15.75" customHeight="1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 spans="1:26" ht="15.75" customHeight="1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 spans="1:26" ht="15.75" customHeight="1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 spans="1:26" ht="15.75" customHeight="1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 spans="1:26" ht="15.75" customHeight="1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 spans="1:26" ht="15.75" customHeight="1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 spans="1:26" ht="15.75" customHeight="1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 spans="1:26" ht="15.75" customHeight="1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 spans="1:26" ht="15.75" customHeight="1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 spans="1:26" ht="15.75" customHeight="1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 spans="1:26" ht="15.75" customHeight="1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 spans="1:26" ht="15.75" customHeight="1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 spans="1:26" ht="15.75" customHeight="1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 spans="1:26" ht="15.75" customHeight="1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 spans="1:26" ht="15.75" customHeight="1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 spans="1:26" ht="15.75" customHeight="1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 spans="1:26" ht="15.75" customHeight="1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 spans="1:26" ht="15.75" customHeight="1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 spans="1:26" ht="15.75" customHeight="1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 spans="1:26" ht="15.75" customHeight="1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 spans="1:26" ht="15.75" customHeight="1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 spans="1:26" ht="15.75" customHeight="1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 spans="1:26" ht="15.75" customHeight="1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 spans="1:26" ht="15.75" customHeight="1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 spans="1:26" ht="15.75" customHeight="1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 spans="1:26" ht="15.75" customHeight="1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 spans="1:26" ht="15.75" customHeight="1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 spans="1:26" ht="15.75" customHeight="1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 spans="1:26" ht="15.75" customHeight="1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 spans="1:26" ht="15.75" customHeight="1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 spans="1:26" ht="15.75" customHeight="1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 spans="1:26" ht="15.75" customHeight="1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 spans="1:26" ht="15.75" customHeight="1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 spans="1:26" ht="15.75" customHeight="1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 spans="1:26" ht="15.75" customHeight="1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 spans="1:26" ht="15.75" customHeight="1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 spans="1:26" ht="15.75" customHeight="1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 spans="1:26" ht="15.75" customHeight="1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 spans="1:26" ht="15.75" customHeight="1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 spans="1:26" ht="15.75" customHeight="1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 spans="1:26" ht="15.75" customHeight="1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 spans="1:26" ht="15.75" customHeight="1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 spans="1:26" ht="15.75" customHeight="1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 spans="1:26" ht="15.75" customHeight="1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 spans="1:26" ht="15.75" customHeight="1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 spans="1:26" ht="15.75" customHeight="1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 spans="1:26" ht="15.75" customHeight="1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 spans="1:26" ht="15.75" customHeight="1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 spans="1:26" ht="15.75" customHeight="1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 spans="1:26" ht="15.75" customHeight="1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 spans="1:26" ht="15.75" customHeight="1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 spans="1:26" ht="15.75" customHeight="1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 spans="1:26" ht="15.75" customHeight="1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 spans="1:26" ht="15.75" customHeight="1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 spans="1:26" ht="15.75" customHeight="1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 spans="1:26" ht="15.75" customHeight="1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  <row r="1001" spans="1:26" ht="15.75" customHeight="1">
      <c r="A1001" s="271"/>
      <c r="B1001" s="271"/>
      <c r="C1001" s="271"/>
      <c r="D1001" s="271"/>
      <c r="E1001" s="271"/>
      <c r="F1001" s="271"/>
      <c r="G1001" s="271"/>
      <c r="H1001" s="271"/>
      <c r="I1001" s="271"/>
      <c r="J1001" s="271"/>
      <c r="K1001" s="271"/>
      <c r="L1001" s="271"/>
      <c r="M1001" s="271"/>
      <c r="N1001" s="271"/>
      <c r="O1001" s="271"/>
      <c r="P1001" s="271"/>
      <c r="Q1001" s="271"/>
      <c r="R1001" s="271"/>
      <c r="S1001" s="271"/>
      <c r="T1001" s="271"/>
      <c r="U1001" s="271"/>
      <c r="V1001" s="271"/>
      <c r="W1001" s="271"/>
      <c r="X1001" s="271"/>
      <c r="Y1001" s="271"/>
      <c r="Z1001" s="271"/>
    </row>
    <row r="1002" spans="1:26" ht="15.75" customHeight="1">
      <c r="A1002" s="271"/>
      <c r="B1002" s="271"/>
      <c r="C1002" s="271"/>
      <c r="D1002" s="271"/>
      <c r="E1002" s="271"/>
      <c r="F1002" s="271"/>
      <c r="G1002" s="271"/>
      <c r="H1002" s="271"/>
      <c r="I1002" s="271"/>
      <c r="J1002" s="271"/>
      <c r="K1002" s="271"/>
      <c r="L1002" s="271"/>
      <c r="M1002" s="271"/>
      <c r="N1002" s="271"/>
      <c r="O1002" s="271"/>
      <c r="P1002" s="271"/>
      <c r="Q1002" s="271"/>
      <c r="R1002" s="271"/>
      <c r="S1002" s="271"/>
      <c r="T1002" s="271"/>
      <c r="U1002" s="271"/>
      <c r="V1002" s="271"/>
      <c r="W1002" s="271"/>
      <c r="X1002" s="271"/>
      <c r="Y1002" s="271"/>
      <c r="Z1002" s="271"/>
    </row>
    <row r="1003" spans="1:26" ht="15.75" customHeight="1">
      <c r="A1003" s="271"/>
      <c r="B1003" s="271"/>
      <c r="C1003" s="271"/>
      <c r="D1003" s="271"/>
      <c r="E1003" s="271"/>
      <c r="F1003" s="271"/>
      <c r="G1003" s="271"/>
      <c r="H1003" s="271"/>
      <c r="I1003" s="271"/>
      <c r="J1003" s="271"/>
      <c r="K1003" s="271"/>
      <c r="L1003" s="271"/>
      <c r="M1003" s="271"/>
      <c r="N1003" s="271"/>
      <c r="O1003" s="271"/>
      <c r="P1003" s="271"/>
      <c r="Q1003" s="271"/>
      <c r="R1003" s="271"/>
      <c r="S1003" s="271"/>
      <c r="T1003" s="271"/>
      <c r="U1003" s="271"/>
      <c r="V1003" s="271"/>
      <c r="W1003" s="271"/>
      <c r="X1003" s="271"/>
      <c r="Y1003" s="271"/>
      <c r="Z1003" s="271"/>
    </row>
    <row r="1004" spans="1:26" ht="15.75" customHeight="1">
      <c r="A1004" s="271"/>
      <c r="B1004" s="271"/>
      <c r="C1004" s="271"/>
      <c r="D1004" s="271"/>
      <c r="E1004" s="271"/>
      <c r="F1004" s="271"/>
      <c r="G1004" s="271"/>
      <c r="H1004" s="271"/>
      <c r="I1004" s="271"/>
      <c r="J1004" s="271"/>
      <c r="K1004" s="271"/>
      <c r="L1004" s="271"/>
      <c r="M1004" s="271"/>
      <c r="N1004" s="271"/>
      <c r="O1004" s="271"/>
      <c r="P1004" s="271"/>
      <c r="Q1004" s="271"/>
      <c r="R1004" s="271"/>
      <c r="S1004" s="271"/>
      <c r="T1004" s="271"/>
      <c r="U1004" s="271"/>
      <c r="V1004" s="271"/>
      <c r="W1004" s="271"/>
      <c r="X1004" s="271"/>
      <c r="Y1004" s="271"/>
      <c r="Z1004" s="271"/>
    </row>
    <row r="1005" spans="1:26" ht="15.75" customHeight="1">
      <c r="A1005" s="271"/>
      <c r="B1005" s="271"/>
      <c r="C1005" s="271"/>
      <c r="D1005" s="271"/>
      <c r="E1005" s="271"/>
      <c r="F1005" s="271"/>
      <c r="G1005" s="271"/>
      <c r="H1005" s="271"/>
      <c r="I1005" s="271"/>
      <c r="J1005" s="271"/>
      <c r="K1005" s="271"/>
      <c r="L1005" s="271"/>
      <c r="M1005" s="271"/>
      <c r="N1005" s="271"/>
      <c r="O1005" s="271"/>
      <c r="P1005" s="271"/>
      <c r="Q1005" s="271"/>
      <c r="R1005" s="271"/>
      <c r="S1005" s="271"/>
      <c r="T1005" s="271"/>
      <c r="U1005" s="271"/>
      <c r="V1005" s="271"/>
      <c r="W1005" s="271"/>
      <c r="X1005" s="271"/>
      <c r="Y1005" s="271"/>
      <c r="Z1005" s="271"/>
    </row>
    <row r="1006" spans="1:26" ht="15.75" customHeight="1">
      <c r="A1006" s="271"/>
      <c r="B1006" s="271"/>
      <c r="C1006" s="271"/>
      <c r="D1006" s="271"/>
      <c r="E1006" s="271"/>
      <c r="F1006" s="271"/>
      <c r="G1006" s="271"/>
      <c r="H1006" s="271"/>
      <c r="I1006" s="271"/>
      <c r="J1006" s="271"/>
      <c r="K1006" s="271"/>
      <c r="L1006" s="271"/>
      <c r="M1006" s="271"/>
      <c r="N1006" s="271"/>
      <c r="O1006" s="271"/>
      <c r="P1006" s="271"/>
      <c r="Q1006" s="271"/>
      <c r="R1006" s="271"/>
      <c r="S1006" s="271"/>
      <c r="T1006" s="271"/>
      <c r="U1006" s="271"/>
      <c r="V1006" s="271"/>
      <c r="W1006" s="271"/>
      <c r="X1006" s="271"/>
      <c r="Y1006" s="271"/>
      <c r="Z1006" s="271"/>
    </row>
    <row r="1007" spans="1:26" ht="15.75" customHeight="1">
      <c r="A1007" s="271"/>
      <c r="B1007" s="271"/>
      <c r="C1007" s="271"/>
      <c r="D1007" s="271"/>
      <c r="E1007" s="271"/>
      <c r="F1007" s="271"/>
      <c r="G1007" s="271"/>
      <c r="H1007" s="271"/>
      <c r="I1007" s="271"/>
      <c r="J1007" s="271"/>
      <c r="K1007" s="271"/>
      <c r="L1007" s="271"/>
      <c r="M1007" s="271"/>
      <c r="N1007" s="271"/>
      <c r="O1007" s="271"/>
      <c r="P1007" s="271"/>
      <c r="Q1007" s="271"/>
      <c r="R1007" s="271"/>
      <c r="S1007" s="271"/>
      <c r="T1007" s="271"/>
      <c r="U1007" s="271"/>
      <c r="V1007" s="271"/>
      <c r="W1007" s="271"/>
      <c r="X1007" s="271"/>
      <c r="Y1007" s="271"/>
      <c r="Z1007" s="271"/>
    </row>
    <row r="1008" spans="1:26" ht="15.75" customHeight="1">
      <c r="A1008" s="271"/>
      <c r="B1008" s="271"/>
      <c r="C1008" s="271"/>
      <c r="D1008" s="271"/>
      <c r="E1008" s="271"/>
      <c r="F1008" s="271"/>
      <c r="G1008" s="271"/>
      <c r="H1008" s="271"/>
      <c r="I1008" s="271"/>
      <c r="J1008" s="271"/>
      <c r="K1008" s="271"/>
      <c r="L1008" s="271"/>
      <c r="M1008" s="271"/>
      <c r="N1008" s="271"/>
      <c r="O1008" s="271"/>
      <c r="P1008" s="271"/>
      <c r="Q1008" s="271"/>
      <c r="R1008" s="271"/>
      <c r="S1008" s="271"/>
      <c r="T1008" s="271"/>
      <c r="U1008" s="271"/>
      <c r="V1008" s="271"/>
      <c r="W1008" s="271"/>
      <c r="X1008" s="271"/>
      <c r="Y1008" s="271"/>
      <c r="Z1008" s="271"/>
    </row>
    <row r="1009" spans="1:26" ht="15.75" customHeight="1">
      <c r="A1009" s="271"/>
      <c r="B1009" s="271"/>
      <c r="C1009" s="271"/>
      <c r="D1009" s="271"/>
      <c r="E1009" s="271"/>
      <c r="F1009" s="271"/>
      <c r="G1009" s="271"/>
      <c r="H1009" s="271"/>
      <c r="I1009" s="271"/>
      <c r="J1009" s="271"/>
      <c r="K1009" s="271"/>
      <c r="L1009" s="271"/>
      <c r="M1009" s="271"/>
      <c r="N1009" s="271"/>
      <c r="O1009" s="271"/>
      <c r="P1009" s="271"/>
      <c r="Q1009" s="271"/>
      <c r="R1009" s="271"/>
      <c r="S1009" s="271"/>
      <c r="T1009" s="271"/>
      <c r="U1009" s="271"/>
      <c r="V1009" s="271"/>
      <c r="W1009" s="271"/>
      <c r="X1009" s="271"/>
      <c r="Y1009" s="271"/>
      <c r="Z1009" s="271"/>
    </row>
    <row r="1010" spans="1:26" ht="15.75" customHeight="1">
      <c r="A1010" s="271"/>
      <c r="B1010" s="271"/>
      <c r="C1010" s="271"/>
      <c r="D1010" s="271"/>
      <c r="E1010" s="271"/>
      <c r="F1010" s="271"/>
      <c r="G1010" s="271"/>
      <c r="H1010" s="271"/>
      <c r="I1010" s="271"/>
      <c r="J1010" s="271"/>
      <c r="K1010" s="271"/>
      <c r="L1010" s="271"/>
      <c r="M1010" s="271"/>
      <c r="N1010" s="271"/>
      <c r="O1010" s="271"/>
      <c r="P1010" s="271"/>
      <c r="Q1010" s="271"/>
      <c r="R1010" s="271"/>
      <c r="S1010" s="271"/>
      <c r="T1010" s="271"/>
      <c r="U1010" s="271"/>
      <c r="V1010" s="271"/>
      <c r="W1010" s="271"/>
      <c r="X1010" s="271"/>
      <c r="Y1010" s="271"/>
      <c r="Z1010" s="271"/>
    </row>
    <row r="1011" spans="1:26" ht="15.75" customHeight="1">
      <c r="A1011" s="271"/>
      <c r="B1011" s="271"/>
      <c r="C1011" s="271"/>
      <c r="D1011" s="271"/>
      <c r="E1011" s="271"/>
      <c r="F1011" s="271"/>
      <c r="G1011" s="271"/>
      <c r="H1011" s="271"/>
      <c r="I1011" s="271"/>
      <c r="J1011" s="271"/>
      <c r="K1011" s="271"/>
      <c r="L1011" s="271"/>
      <c r="M1011" s="271"/>
      <c r="N1011" s="271"/>
      <c r="O1011" s="271"/>
      <c r="P1011" s="271"/>
      <c r="Q1011" s="271"/>
      <c r="R1011" s="271"/>
      <c r="S1011" s="271"/>
      <c r="T1011" s="271"/>
      <c r="U1011" s="271"/>
      <c r="V1011" s="271"/>
      <c r="W1011" s="271"/>
      <c r="X1011" s="271"/>
      <c r="Y1011" s="271"/>
      <c r="Z1011" s="271"/>
    </row>
    <row r="1012" spans="1:26" ht="15.75" customHeight="1">
      <c r="A1012" s="271"/>
      <c r="B1012" s="271"/>
      <c r="C1012" s="271"/>
      <c r="D1012" s="271"/>
      <c r="E1012" s="271"/>
      <c r="F1012" s="271"/>
      <c r="G1012" s="271"/>
      <c r="H1012" s="271"/>
      <c r="I1012" s="271"/>
      <c r="J1012" s="271"/>
      <c r="K1012" s="271"/>
      <c r="L1012" s="271"/>
      <c r="M1012" s="271"/>
      <c r="N1012" s="271"/>
      <c r="O1012" s="271"/>
      <c r="P1012" s="271"/>
      <c r="Q1012" s="271"/>
      <c r="R1012" s="271"/>
      <c r="S1012" s="271"/>
      <c r="T1012" s="271"/>
      <c r="U1012" s="271"/>
      <c r="V1012" s="271"/>
      <c r="W1012" s="271"/>
      <c r="X1012" s="271"/>
      <c r="Y1012" s="271"/>
      <c r="Z1012" s="271"/>
    </row>
    <row r="1013" spans="1:26" ht="15.75" customHeight="1">
      <c r="A1013" s="271"/>
      <c r="B1013" s="271"/>
      <c r="C1013" s="271"/>
      <c r="D1013" s="271"/>
      <c r="E1013" s="271"/>
      <c r="F1013" s="271"/>
      <c r="G1013" s="271"/>
      <c r="H1013" s="271"/>
      <c r="I1013" s="271"/>
      <c r="J1013" s="271"/>
      <c r="K1013" s="271"/>
      <c r="L1013" s="271"/>
      <c r="M1013" s="271"/>
      <c r="N1013" s="271"/>
      <c r="O1013" s="271"/>
      <c r="P1013" s="271"/>
      <c r="Q1013" s="271"/>
      <c r="R1013" s="271"/>
      <c r="S1013" s="271"/>
      <c r="T1013" s="271"/>
      <c r="U1013" s="271"/>
      <c r="V1013" s="271"/>
      <c r="W1013" s="271"/>
      <c r="X1013" s="271"/>
      <c r="Y1013" s="271"/>
      <c r="Z1013" s="271"/>
    </row>
    <row r="1014" spans="1:26" ht="15.75" customHeight="1">
      <c r="A1014" s="271"/>
      <c r="B1014" s="271"/>
      <c r="C1014" s="271"/>
      <c r="D1014" s="271"/>
      <c r="E1014" s="271"/>
      <c r="F1014" s="271"/>
      <c r="G1014" s="271"/>
      <c r="H1014" s="271"/>
      <c r="I1014" s="271"/>
      <c r="J1014" s="271"/>
      <c r="K1014" s="271"/>
      <c r="L1014" s="271"/>
      <c r="M1014" s="271"/>
      <c r="N1014" s="271"/>
      <c r="O1014" s="271"/>
      <c r="P1014" s="271"/>
      <c r="Q1014" s="271"/>
      <c r="R1014" s="271"/>
      <c r="S1014" s="271"/>
      <c r="T1014" s="271"/>
      <c r="U1014" s="271"/>
      <c r="V1014" s="271"/>
      <c r="W1014" s="271"/>
      <c r="X1014" s="271"/>
      <c r="Y1014" s="271"/>
      <c r="Z1014" s="271"/>
    </row>
    <row r="1015" spans="1:26" ht="15.75" customHeight="1">
      <c r="A1015" s="271"/>
      <c r="B1015" s="271"/>
      <c r="C1015" s="271"/>
      <c r="D1015" s="271"/>
      <c r="E1015" s="271"/>
      <c r="F1015" s="271"/>
      <c r="G1015" s="271"/>
      <c r="H1015" s="271"/>
      <c r="I1015" s="271"/>
      <c r="J1015" s="271"/>
      <c r="K1015" s="271"/>
      <c r="L1015" s="271"/>
      <c r="M1015" s="271"/>
      <c r="N1015" s="271"/>
      <c r="O1015" s="271"/>
      <c r="P1015" s="271"/>
      <c r="Q1015" s="271"/>
      <c r="R1015" s="271"/>
      <c r="S1015" s="271"/>
      <c r="T1015" s="271"/>
      <c r="U1015" s="271"/>
      <c r="V1015" s="271"/>
      <c r="W1015" s="271"/>
      <c r="X1015" s="271"/>
      <c r="Y1015" s="271"/>
      <c r="Z1015" s="271"/>
    </row>
    <row r="1016" spans="1:26" ht="15.75" customHeight="1">
      <c r="A1016" s="271"/>
      <c r="B1016" s="271"/>
      <c r="C1016" s="271"/>
      <c r="D1016" s="271"/>
      <c r="E1016" s="271"/>
      <c r="F1016" s="271"/>
      <c r="G1016" s="271"/>
      <c r="H1016" s="271"/>
      <c r="I1016" s="271"/>
      <c r="J1016" s="271"/>
      <c r="K1016" s="271"/>
      <c r="L1016" s="271"/>
      <c r="M1016" s="271"/>
      <c r="N1016" s="271"/>
      <c r="O1016" s="271"/>
      <c r="P1016" s="271"/>
      <c r="Q1016" s="271"/>
      <c r="R1016" s="271"/>
      <c r="S1016" s="271"/>
      <c r="T1016" s="271"/>
      <c r="U1016" s="271"/>
      <c r="V1016" s="271"/>
      <c r="W1016" s="271"/>
      <c r="X1016" s="271"/>
      <c r="Y1016" s="271"/>
      <c r="Z1016" s="271"/>
    </row>
    <row r="1017" spans="1:26" ht="15.75" customHeight="1">
      <c r="A1017" s="271"/>
      <c r="B1017" s="271"/>
      <c r="C1017" s="271"/>
      <c r="D1017" s="271"/>
      <c r="E1017" s="271"/>
      <c r="F1017" s="271"/>
      <c r="G1017" s="271"/>
      <c r="H1017" s="271"/>
      <c r="I1017" s="271"/>
      <c r="J1017" s="271"/>
      <c r="K1017" s="271"/>
      <c r="L1017" s="271"/>
      <c r="M1017" s="271"/>
      <c r="N1017" s="271"/>
      <c r="O1017" s="271"/>
      <c r="P1017" s="271"/>
      <c r="Q1017" s="271"/>
      <c r="R1017" s="271"/>
      <c r="S1017" s="271"/>
      <c r="T1017" s="271"/>
      <c r="U1017" s="271"/>
      <c r="V1017" s="271"/>
      <c r="W1017" s="271"/>
      <c r="X1017" s="271"/>
      <c r="Y1017" s="271"/>
      <c r="Z1017" s="271"/>
    </row>
    <row r="1018" spans="1:26" ht="15.75" customHeight="1">
      <c r="A1018" s="271"/>
      <c r="B1018" s="271"/>
      <c r="C1018" s="271"/>
      <c r="D1018" s="271"/>
      <c r="E1018" s="271"/>
      <c r="F1018" s="271"/>
      <c r="G1018" s="271"/>
      <c r="H1018" s="271"/>
      <c r="I1018" s="271"/>
      <c r="J1018" s="271"/>
      <c r="K1018" s="271"/>
      <c r="L1018" s="271"/>
      <c r="M1018" s="271"/>
      <c r="N1018" s="271"/>
      <c r="O1018" s="271"/>
      <c r="P1018" s="271"/>
      <c r="Q1018" s="271"/>
      <c r="R1018" s="271"/>
      <c r="S1018" s="271"/>
      <c r="T1018" s="271"/>
      <c r="U1018" s="271"/>
      <c r="V1018" s="271"/>
      <c r="W1018" s="271"/>
      <c r="X1018" s="271"/>
      <c r="Y1018" s="271"/>
      <c r="Z1018" s="271"/>
    </row>
    <row r="1019" spans="1:26" ht="15.75" customHeight="1">
      <c r="A1019" s="271"/>
      <c r="B1019" s="271"/>
      <c r="C1019" s="271"/>
      <c r="D1019" s="271"/>
      <c r="E1019" s="271"/>
      <c r="F1019" s="271"/>
      <c r="G1019" s="271"/>
      <c r="H1019" s="271"/>
      <c r="I1019" s="271"/>
      <c r="J1019" s="271"/>
      <c r="K1019" s="271"/>
      <c r="L1019" s="271"/>
      <c r="M1019" s="271"/>
      <c r="N1019" s="271"/>
      <c r="O1019" s="271"/>
      <c r="P1019" s="271"/>
      <c r="Q1019" s="271"/>
      <c r="R1019" s="271"/>
      <c r="S1019" s="271"/>
      <c r="T1019" s="271"/>
      <c r="U1019" s="271"/>
      <c r="V1019" s="271"/>
      <c r="W1019" s="271"/>
      <c r="X1019" s="271"/>
      <c r="Y1019" s="271"/>
      <c r="Z1019" s="271"/>
    </row>
    <row r="1020" spans="1:26" ht="15.75" customHeight="1">
      <c r="A1020" s="271"/>
      <c r="B1020" s="271"/>
      <c r="C1020" s="271"/>
      <c r="D1020" s="271"/>
      <c r="E1020" s="271"/>
      <c r="F1020" s="271"/>
      <c r="G1020" s="271"/>
      <c r="H1020" s="271"/>
      <c r="I1020" s="271"/>
      <c r="J1020" s="271"/>
      <c r="K1020" s="271"/>
      <c r="L1020" s="271"/>
      <c r="M1020" s="271"/>
      <c r="N1020" s="271"/>
      <c r="O1020" s="271"/>
      <c r="P1020" s="271"/>
      <c r="Q1020" s="271"/>
      <c r="R1020" s="271"/>
      <c r="S1020" s="271"/>
      <c r="T1020" s="271"/>
      <c r="U1020" s="271"/>
      <c r="V1020" s="271"/>
      <c r="W1020" s="271"/>
      <c r="X1020" s="271"/>
      <c r="Y1020" s="271"/>
      <c r="Z1020" s="271"/>
    </row>
    <row r="1021" spans="1:26" ht="15.75" customHeight="1">
      <c r="A1021" s="271"/>
      <c r="B1021" s="271"/>
      <c r="C1021" s="271"/>
      <c r="D1021" s="271"/>
      <c r="E1021" s="271"/>
      <c r="F1021" s="271"/>
      <c r="G1021" s="271"/>
      <c r="H1021" s="271"/>
      <c r="I1021" s="271"/>
      <c r="J1021" s="271"/>
      <c r="K1021" s="271"/>
      <c r="L1021" s="271"/>
      <c r="M1021" s="271"/>
      <c r="N1021" s="271"/>
      <c r="O1021" s="271"/>
      <c r="P1021" s="271"/>
      <c r="Q1021" s="271"/>
      <c r="R1021" s="271"/>
      <c r="S1021" s="271"/>
      <c r="T1021" s="271"/>
      <c r="U1021" s="271"/>
      <c r="V1021" s="271"/>
      <c r="W1021" s="271"/>
      <c r="X1021" s="271"/>
      <c r="Y1021" s="271"/>
      <c r="Z1021" s="271"/>
    </row>
    <row r="1022" spans="1:26" ht="15.75" customHeight="1">
      <c r="A1022" s="271"/>
      <c r="B1022" s="271"/>
      <c r="C1022" s="271"/>
      <c r="D1022" s="271"/>
      <c r="E1022" s="271"/>
      <c r="F1022" s="271"/>
      <c r="G1022" s="271"/>
      <c r="H1022" s="271"/>
      <c r="I1022" s="271"/>
      <c r="J1022" s="271"/>
      <c r="K1022" s="271"/>
      <c r="L1022" s="271"/>
      <c r="M1022" s="271"/>
      <c r="N1022" s="271"/>
      <c r="O1022" s="271"/>
      <c r="P1022" s="271"/>
      <c r="Q1022" s="271"/>
      <c r="R1022" s="271"/>
      <c r="S1022" s="271"/>
      <c r="T1022" s="271"/>
      <c r="U1022" s="271"/>
      <c r="V1022" s="271"/>
      <c r="W1022" s="271"/>
      <c r="X1022" s="271"/>
      <c r="Y1022" s="271"/>
      <c r="Z1022" s="271"/>
    </row>
    <row r="1023" spans="1:26" ht="15.75" customHeight="1">
      <c r="A1023" s="271"/>
      <c r="B1023" s="271"/>
      <c r="C1023" s="271"/>
      <c r="D1023" s="271"/>
      <c r="E1023" s="271"/>
      <c r="F1023" s="271"/>
      <c r="G1023" s="271"/>
      <c r="H1023" s="271"/>
      <c r="I1023" s="271"/>
      <c r="J1023" s="271"/>
      <c r="K1023" s="271"/>
      <c r="L1023" s="271"/>
      <c r="M1023" s="271"/>
      <c r="N1023" s="271"/>
      <c r="O1023" s="271"/>
      <c r="P1023" s="271"/>
      <c r="Q1023" s="271"/>
      <c r="R1023" s="271"/>
      <c r="S1023" s="271"/>
      <c r="T1023" s="271"/>
      <c r="U1023" s="271"/>
      <c r="V1023" s="271"/>
      <c r="W1023" s="271"/>
      <c r="X1023" s="271"/>
      <c r="Y1023" s="271"/>
      <c r="Z1023" s="271"/>
    </row>
    <row r="1024" spans="1:26" ht="15.75" customHeight="1">
      <c r="A1024" s="271"/>
      <c r="B1024" s="271"/>
      <c r="C1024" s="271"/>
      <c r="D1024" s="271"/>
      <c r="E1024" s="271"/>
      <c r="F1024" s="271"/>
      <c r="G1024" s="271"/>
      <c r="H1024" s="271"/>
      <c r="I1024" s="271"/>
      <c r="J1024" s="271"/>
      <c r="K1024" s="271"/>
      <c r="L1024" s="271"/>
      <c r="M1024" s="271"/>
      <c r="N1024" s="271"/>
      <c r="O1024" s="271"/>
      <c r="P1024" s="271"/>
      <c r="Q1024" s="271"/>
      <c r="R1024" s="271"/>
      <c r="S1024" s="271"/>
      <c r="T1024" s="271"/>
      <c r="U1024" s="271"/>
      <c r="V1024" s="271"/>
      <c r="W1024" s="271"/>
      <c r="X1024" s="271"/>
      <c r="Y1024" s="271"/>
      <c r="Z1024" s="271"/>
    </row>
    <row r="1025" spans="1:26" ht="15.75" customHeight="1">
      <c r="A1025" s="271"/>
      <c r="B1025" s="271"/>
      <c r="C1025" s="271"/>
      <c r="D1025" s="271"/>
      <c r="E1025" s="271"/>
      <c r="F1025" s="271"/>
      <c r="G1025" s="271"/>
      <c r="H1025" s="271"/>
      <c r="I1025" s="271"/>
      <c r="J1025" s="271"/>
      <c r="K1025" s="271"/>
      <c r="L1025" s="271"/>
      <c r="M1025" s="271"/>
      <c r="N1025" s="271"/>
      <c r="O1025" s="271"/>
      <c r="P1025" s="271"/>
      <c r="Q1025" s="271"/>
      <c r="R1025" s="271"/>
      <c r="S1025" s="271"/>
      <c r="T1025" s="271"/>
      <c r="U1025" s="271"/>
      <c r="V1025" s="271"/>
      <c r="W1025" s="271"/>
      <c r="X1025" s="271"/>
      <c r="Y1025" s="271"/>
      <c r="Z1025" s="271"/>
    </row>
    <row r="1026" spans="1:26" ht="15.75" customHeight="1">
      <c r="A1026" s="271"/>
      <c r="B1026" s="271"/>
      <c r="C1026" s="271"/>
      <c r="D1026" s="271"/>
      <c r="E1026" s="271"/>
      <c r="F1026" s="271"/>
      <c r="G1026" s="271"/>
      <c r="H1026" s="271"/>
      <c r="I1026" s="271"/>
      <c r="J1026" s="271"/>
      <c r="K1026" s="271"/>
      <c r="L1026" s="271"/>
      <c r="M1026" s="271"/>
      <c r="N1026" s="271"/>
      <c r="O1026" s="271"/>
      <c r="P1026" s="271"/>
      <c r="Q1026" s="271"/>
      <c r="R1026" s="271"/>
      <c r="S1026" s="271"/>
      <c r="T1026" s="271"/>
      <c r="U1026" s="271"/>
      <c r="V1026" s="271"/>
      <c r="W1026" s="271"/>
      <c r="X1026" s="271"/>
      <c r="Y1026" s="271"/>
      <c r="Z1026" s="271"/>
    </row>
    <row r="1027" spans="1:26" ht="15.75" customHeight="1">
      <c r="A1027" s="271"/>
      <c r="B1027" s="271"/>
      <c r="C1027" s="271"/>
      <c r="D1027" s="271"/>
      <c r="E1027" s="271"/>
      <c r="F1027" s="271"/>
      <c r="G1027" s="271"/>
      <c r="H1027" s="271"/>
      <c r="I1027" s="271"/>
      <c r="J1027" s="271"/>
      <c r="K1027" s="271"/>
      <c r="L1027" s="271"/>
      <c r="M1027" s="271"/>
      <c r="N1027" s="271"/>
      <c r="O1027" s="271"/>
      <c r="P1027" s="271"/>
      <c r="Q1027" s="271"/>
      <c r="R1027" s="271"/>
      <c r="S1027" s="271"/>
      <c r="T1027" s="271"/>
      <c r="U1027" s="271"/>
      <c r="V1027" s="271"/>
      <c r="W1027" s="271"/>
      <c r="X1027" s="271"/>
      <c r="Y1027" s="271"/>
      <c r="Z1027" s="271"/>
    </row>
    <row r="1028" spans="1:26" ht="15.75" customHeight="1">
      <c r="A1028" s="271"/>
      <c r="B1028" s="271"/>
      <c r="C1028" s="271"/>
      <c r="D1028" s="271"/>
      <c r="E1028" s="271"/>
      <c r="F1028" s="271"/>
      <c r="G1028" s="271"/>
      <c r="H1028" s="271"/>
      <c r="I1028" s="271"/>
      <c r="J1028" s="271"/>
      <c r="K1028" s="271"/>
      <c r="L1028" s="271"/>
      <c r="M1028" s="271"/>
      <c r="N1028" s="271"/>
      <c r="O1028" s="271"/>
      <c r="P1028" s="271"/>
      <c r="Q1028" s="271"/>
      <c r="R1028" s="271"/>
      <c r="S1028" s="271"/>
      <c r="T1028" s="271"/>
      <c r="U1028" s="271"/>
      <c r="V1028" s="271"/>
      <c r="W1028" s="271"/>
      <c r="X1028" s="271"/>
      <c r="Y1028" s="271"/>
      <c r="Z1028" s="271"/>
    </row>
    <row r="1029" spans="1:26" ht="15.75" customHeight="1">
      <c r="A1029" s="271"/>
      <c r="B1029" s="271"/>
      <c r="C1029" s="271"/>
      <c r="D1029" s="271"/>
      <c r="E1029" s="271"/>
      <c r="F1029" s="271"/>
      <c r="G1029" s="271"/>
      <c r="H1029" s="271"/>
      <c r="I1029" s="271"/>
      <c r="J1029" s="271"/>
      <c r="K1029" s="271"/>
      <c r="L1029" s="271"/>
      <c r="M1029" s="271"/>
      <c r="N1029" s="271"/>
      <c r="O1029" s="271"/>
      <c r="P1029" s="271"/>
      <c r="Q1029" s="271"/>
      <c r="R1029" s="271"/>
      <c r="S1029" s="271"/>
      <c r="T1029" s="271"/>
      <c r="U1029" s="271"/>
      <c r="V1029" s="271"/>
      <c r="W1029" s="271"/>
      <c r="X1029" s="271"/>
      <c r="Y1029" s="271"/>
      <c r="Z1029" s="271"/>
    </row>
    <row r="1030" spans="1:26" ht="15.75" customHeight="1">
      <c r="A1030" s="271"/>
      <c r="B1030" s="271"/>
      <c r="C1030" s="271"/>
      <c r="D1030" s="271"/>
      <c r="E1030" s="271"/>
      <c r="F1030" s="271"/>
      <c r="G1030" s="271"/>
      <c r="H1030" s="271"/>
      <c r="I1030" s="271"/>
      <c r="J1030" s="271"/>
      <c r="K1030" s="271"/>
      <c r="L1030" s="271"/>
      <c r="M1030" s="271"/>
      <c r="N1030" s="271"/>
      <c r="O1030" s="271"/>
      <c r="P1030" s="271"/>
      <c r="Q1030" s="271"/>
      <c r="R1030" s="271"/>
      <c r="S1030" s="271"/>
      <c r="T1030" s="271"/>
      <c r="U1030" s="271"/>
      <c r="V1030" s="271"/>
      <c r="W1030" s="271"/>
      <c r="X1030" s="271"/>
      <c r="Y1030" s="271"/>
      <c r="Z1030" s="271"/>
    </row>
    <row r="1031" spans="1:26" ht="15.75" customHeight="1">
      <c r="A1031" s="271"/>
      <c r="B1031" s="271"/>
      <c r="C1031" s="271"/>
      <c r="D1031" s="271"/>
      <c r="E1031" s="271"/>
      <c r="F1031" s="271"/>
      <c r="G1031" s="271"/>
      <c r="H1031" s="271"/>
      <c r="I1031" s="271"/>
      <c r="J1031" s="271"/>
      <c r="K1031" s="271"/>
      <c r="L1031" s="271"/>
      <c r="M1031" s="271"/>
      <c r="N1031" s="271"/>
      <c r="O1031" s="271"/>
      <c r="P1031" s="271"/>
      <c r="Q1031" s="271"/>
      <c r="R1031" s="271"/>
      <c r="S1031" s="271"/>
      <c r="T1031" s="271"/>
      <c r="U1031" s="271"/>
      <c r="V1031" s="271"/>
      <c r="W1031" s="271"/>
      <c r="X1031" s="271"/>
      <c r="Y1031" s="271"/>
      <c r="Z1031" s="271"/>
    </row>
    <row r="1032" spans="1:26" ht="15.75" customHeight="1">
      <c r="A1032" s="271"/>
      <c r="B1032" s="271"/>
      <c r="C1032" s="271"/>
      <c r="D1032" s="271"/>
      <c r="E1032" s="271"/>
      <c r="F1032" s="271"/>
      <c r="G1032" s="271"/>
      <c r="H1032" s="271"/>
      <c r="I1032" s="271"/>
      <c r="J1032" s="271"/>
      <c r="K1032" s="271"/>
      <c r="L1032" s="271"/>
      <c r="M1032" s="271"/>
      <c r="N1032" s="271"/>
      <c r="O1032" s="271"/>
      <c r="P1032" s="271"/>
      <c r="Q1032" s="271"/>
      <c r="R1032" s="271"/>
      <c r="S1032" s="271"/>
      <c r="T1032" s="271"/>
      <c r="U1032" s="271"/>
      <c r="V1032" s="271"/>
      <c r="W1032" s="271"/>
      <c r="X1032" s="271"/>
      <c r="Y1032" s="271"/>
      <c r="Z1032" s="271"/>
    </row>
    <row r="1033" spans="1:26" ht="15.75" customHeight="1">
      <c r="A1033" s="271"/>
      <c r="B1033" s="271"/>
      <c r="C1033" s="271"/>
      <c r="D1033" s="271"/>
      <c r="E1033" s="271"/>
      <c r="F1033" s="271"/>
      <c r="G1033" s="271"/>
      <c r="H1033" s="271"/>
      <c r="I1033" s="271"/>
      <c r="J1033" s="271"/>
      <c r="K1033" s="271"/>
      <c r="L1033" s="271"/>
      <c r="M1033" s="271"/>
      <c r="N1033" s="271"/>
      <c r="O1033" s="271"/>
      <c r="P1033" s="271"/>
      <c r="Q1033" s="271"/>
      <c r="R1033" s="271"/>
      <c r="S1033" s="271"/>
      <c r="T1033" s="271"/>
      <c r="U1033" s="271"/>
      <c r="V1033" s="271"/>
      <c r="W1033" s="271"/>
      <c r="X1033" s="271"/>
      <c r="Y1033" s="271"/>
      <c r="Z1033" s="271"/>
    </row>
    <row r="1034" spans="1:26" ht="15.75" customHeight="1">
      <c r="A1034" s="271"/>
      <c r="B1034" s="271"/>
      <c r="C1034" s="271"/>
      <c r="D1034" s="271"/>
      <c r="E1034" s="271"/>
      <c r="F1034" s="271"/>
      <c r="G1034" s="271"/>
      <c r="H1034" s="271"/>
      <c r="I1034" s="271"/>
      <c r="J1034" s="271"/>
      <c r="K1034" s="271"/>
      <c r="L1034" s="271"/>
      <c r="M1034" s="271"/>
      <c r="N1034" s="271"/>
      <c r="O1034" s="271"/>
      <c r="P1034" s="271"/>
      <c r="Q1034" s="271"/>
      <c r="R1034" s="271"/>
      <c r="S1034" s="271"/>
      <c r="T1034" s="271"/>
      <c r="U1034" s="271"/>
      <c r="V1034" s="271"/>
      <c r="W1034" s="271"/>
      <c r="X1034" s="271"/>
      <c r="Y1034" s="271"/>
      <c r="Z1034" s="271"/>
    </row>
    <row r="1035" spans="1:26" ht="15.75" customHeight="1">
      <c r="A1035" s="271"/>
      <c r="B1035" s="271"/>
      <c r="C1035" s="271"/>
      <c r="D1035" s="271"/>
      <c r="E1035" s="271"/>
      <c r="F1035" s="271"/>
      <c r="G1035" s="271"/>
      <c r="H1035" s="271"/>
      <c r="I1035" s="271"/>
      <c r="J1035" s="271"/>
      <c r="K1035" s="271"/>
      <c r="L1035" s="271"/>
      <c r="M1035" s="271"/>
      <c r="N1035" s="271"/>
      <c r="O1035" s="271"/>
      <c r="P1035" s="271"/>
      <c r="Q1035" s="271"/>
      <c r="R1035" s="271"/>
      <c r="S1035" s="271"/>
      <c r="T1035" s="271"/>
      <c r="U1035" s="271"/>
      <c r="V1035" s="271"/>
      <c r="W1035" s="271"/>
      <c r="X1035" s="271"/>
      <c r="Y1035" s="271"/>
      <c r="Z1035" s="271"/>
    </row>
    <row r="1036" spans="1:26" ht="15.75" customHeight="1">
      <c r="A1036" s="271"/>
      <c r="B1036" s="271"/>
      <c r="C1036" s="271"/>
      <c r="D1036" s="271"/>
      <c r="E1036" s="271"/>
      <c r="F1036" s="271"/>
      <c r="G1036" s="271"/>
      <c r="H1036" s="271"/>
      <c r="I1036" s="271"/>
      <c r="J1036" s="271"/>
      <c r="K1036" s="271"/>
      <c r="L1036" s="271"/>
      <c r="M1036" s="271"/>
      <c r="N1036" s="271"/>
      <c r="O1036" s="271"/>
      <c r="P1036" s="271"/>
      <c r="Q1036" s="271"/>
      <c r="R1036" s="271"/>
      <c r="S1036" s="271"/>
      <c r="T1036" s="271"/>
      <c r="U1036" s="271"/>
      <c r="V1036" s="271"/>
      <c r="W1036" s="271"/>
      <c r="X1036" s="271"/>
      <c r="Y1036" s="271"/>
      <c r="Z1036" s="271"/>
    </row>
    <row r="1037" spans="1:26" ht="15.75" customHeight="1">
      <c r="A1037" s="271"/>
      <c r="B1037" s="271"/>
      <c r="C1037" s="271"/>
      <c r="D1037" s="271"/>
      <c r="E1037" s="271"/>
      <c r="F1037" s="271"/>
      <c r="G1037" s="271"/>
      <c r="H1037" s="271"/>
      <c r="I1037" s="271"/>
      <c r="J1037" s="271"/>
      <c r="K1037" s="271"/>
      <c r="L1037" s="271"/>
      <c r="M1037" s="271"/>
      <c r="N1037" s="271"/>
      <c r="O1037" s="271"/>
      <c r="P1037" s="271"/>
      <c r="Q1037" s="271"/>
      <c r="R1037" s="271"/>
      <c r="S1037" s="271"/>
      <c r="T1037" s="271"/>
      <c r="U1037" s="271"/>
      <c r="V1037" s="271"/>
      <c r="W1037" s="271"/>
      <c r="X1037" s="271"/>
      <c r="Y1037" s="271"/>
      <c r="Z1037" s="271"/>
    </row>
    <row r="1038" spans="1:26" ht="15.75" customHeight="1">
      <c r="A1038" s="271"/>
      <c r="B1038" s="271"/>
      <c r="C1038" s="271"/>
      <c r="D1038" s="271"/>
      <c r="E1038" s="271"/>
      <c r="F1038" s="271"/>
      <c r="G1038" s="271"/>
      <c r="H1038" s="271"/>
      <c r="I1038" s="271"/>
      <c r="J1038" s="271"/>
      <c r="K1038" s="271"/>
      <c r="L1038" s="271"/>
      <c r="M1038" s="271"/>
      <c r="N1038" s="271"/>
      <c r="O1038" s="271"/>
      <c r="P1038" s="271"/>
      <c r="Q1038" s="271"/>
      <c r="R1038" s="271"/>
      <c r="S1038" s="271"/>
      <c r="T1038" s="271"/>
      <c r="U1038" s="271"/>
      <c r="V1038" s="271"/>
      <c r="W1038" s="271"/>
      <c r="X1038" s="271"/>
      <c r="Y1038" s="271"/>
      <c r="Z1038" s="271"/>
    </row>
  </sheetData>
  <mergeCells count="1">
    <mergeCell ref="D6:K6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78C9-4D3F-414B-AE7C-BABC0EF83503}">
  <sheetPr>
    <tabColor rgb="FF7030A0"/>
  </sheetPr>
  <dimension ref="A1:S55"/>
  <sheetViews>
    <sheetView topLeftCell="F1" zoomScale="150" zoomScaleNormal="150" workbookViewId="0">
      <selection activeCell="J13" sqref="J13"/>
    </sheetView>
  </sheetViews>
  <sheetFormatPr defaultColWidth="10.85546875" defaultRowHeight="12.75"/>
  <cols>
    <col min="1" max="1" width="10.85546875" style="425"/>
    <col min="2" max="2" width="42" style="425" bestFit="1" customWidth="1"/>
    <col min="3" max="3" width="22" style="425" customWidth="1"/>
    <col min="4" max="4" width="13.140625" style="425" bestFit="1" customWidth="1"/>
    <col min="5" max="5" width="19.28515625" style="425" customWidth="1"/>
    <col min="6" max="6" width="12.42578125" style="425" customWidth="1"/>
    <col min="7" max="7" width="21.42578125" style="425" customWidth="1"/>
    <col min="8" max="8" width="28.42578125" style="425" bestFit="1" customWidth="1"/>
    <col min="9" max="9" width="15.85546875" style="425" customWidth="1"/>
    <col min="10" max="10" width="12.140625" style="425" bestFit="1" customWidth="1"/>
    <col min="11" max="16384" width="10.85546875" style="425"/>
  </cols>
  <sheetData>
    <row r="1" spans="1:16">
      <c r="A1" s="424">
        <v>44561</v>
      </c>
    </row>
    <row r="2" spans="1:16">
      <c r="A2" s="426" t="s">
        <v>1138</v>
      </c>
    </row>
    <row r="3" spans="1:16" ht="13.5" thickBot="1">
      <c r="A3" s="426" t="s">
        <v>1066</v>
      </c>
    </row>
    <row r="4" spans="1:16" ht="13.5" thickBot="1">
      <c r="A4" s="426" t="s">
        <v>32</v>
      </c>
      <c r="B4" s="689" t="s">
        <v>32</v>
      </c>
      <c r="C4" s="690"/>
      <c r="D4" s="690"/>
      <c r="E4" s="690"/>
      <c r="F4" s="690"/>
      <c r="G4" s="690"/>
      <c r="H4" s="690"/>
      <c r="I4" s="690"/>
      <c r="J4" s="691"/>
    </row>
    <row r="5" spans="1:16">
      <c r="C5" s="688" t="s">
        <v>1127</v>
      </c>
      <c r="D5" s="688"/>
      <c r="E5" s="688" t="s">
        <v>1128</v>
      </c>
      <c r="F5" s="688"/>
    </row>
    <row r="6" spans="1:16">
      <c r="B6" s="427"/>
      <c r="C6" s="428" t="s">
        <v>1129</v>
      </c>
      <c r="D6" s="427" t="s">
        <v>1130</v>
      </c>
      <c r="E6" s="427" t="s">
        <v>1129</v>
      </c>
      <c r="F6" s="427" t="s">
        <v>1130</v>
      </c>
      <c r="G6" s="427" t="s">
        <v>1131</v>
      </c>
      <c r="H6" s="427" t="s">
        <v>1272</v>
      </c>
      <c r="I6" s="427" t="s">
        <v>338</v>
      </c>
      <c r="J6" s="427" t="s">
        <v>1132</v>
      </c>
    </row>
    <row r="7" spans="1:16">
      <c r="D7" s="429"/>
      <c r="F7" s="429"/>
    </row>
    <row r="8" spans="1:16">
      <c r="B8" s="430" t="s">
        <v>1133</v>
      </c>
      <c r="C8" s="431">
        <f>81852*500</f>
        <v>40926000</v>
      </c>
      <c r="D8" s="432" t="s">
        <v>1134</v>
      </c>
      <c r="E8" s="433">
        <f>130507*500</f>
        <v>65253500</v>
      </c>
      <c r="F8" s="434" t="s">
        <v>1134</v>
      </c>
      <c r="G8" s="435">
        <v>6772</v>
      </c>
      <c r="H8" s="435">
        <v>-50</v>
      </c>
      <c r="I8" s="435">
        <v>-3981</v>
      </c>
      <c r="J8" s="435">
        <f t="shared" ref="J8:J13" si="0">SUM(G8:I8)</f>
        <v>2741</v>
      </c>
      <c r="P8" s="665"/>
    </row>
    <row r="9" spans="1:16">
      <c r="B9" s="425" t="s">
        <v>1135</v>
      </c>
      <c r="C9" s="419"/>
      <c r="D9" s="420"/>
      <c r="E9" s="666">
        <f>(98*500+324*500)+2083+21875</f>
        <v>234958</v>
      </c>
      <c r="F9" s="429"/>
      <c r="G9" s="422">
        <f>-'CF WP'!C142/1000</f>
        <v>15.883299999999963</v>
      </c>
      <c r="H9" s="422"/>
      <c r="I9" s="422"/>
      <c r="J9" s="422">
        <f t="shared" si="0"/>
        <v>15.883299999999963</v>
      </c>
      <c r="P9" s="665"/>
    </row>
    <row r="10" spans="1:16">
      <c r="B10" s="425" t="s">
        <v>1149</v>
      </c>
      <c r="C10" s="419"/>
      <c r="D10" s="420"/>
      <c r="E10" s="421"/>
      <c r="F10" s="429"/>
      <c r="G10" s="422">
        <f>-('CF WP'!C140+'CF WP'!C141)/1000</f>
        <v>1827.1838284866978</v>
      </c>
      <c r="H10" s="422"/>
      <c r="I10" s="422"/>
      <c r="J10" s="422">
        <f>SUM(G10:I10)</f>
        <v>1827.1838284866978</v>
      </c>
      <c r="P10" s="644"/>
    </row>
    <row r="11" spans="1:16">
      <c r="B11" s="425" t="s">
        <v>1273</v>
      </c>
      <c r="C11" s="419"/>
      <c r="D11" s="420"/>
      <c r="E11" s="421"/>
      <c r="F11" s="429"/>
      <c r="G11" s="422"/>
      <c r="H11" s="422">
        <f>-H8</f>
        <v>50</v>
      </c>
      <c r="I11" s="422"/>
      <c r="J11" s="422">
        <f>SUM(G11:I11)</f>
        <v>50</v>
      </c>
      <c r="P11" s="644"/>
    </row>
    <row r="12" spans="1:16">
      <c r="B12" s="425" t="s">
        <v>1136</v>
      </c>
      <c r="C12" s="419"/>
      <c r="D12" s="420"/>
      <c r="E12" s="421"/>
      <c r="F12" s="429"/>
      <c r="G12" s="422"/>
      <c r="H12" s="422"/>
      <c r="I12" s="422">
        <f>-'P&amp;L USD CONS'!I37</f>
        <v>8067.4747245350454</v>
      </c>
      <c r="J12" s="422">
        <f t="shared" si="0"/>
        <v>8067.4747245350454</v>
      </c>
      <c r="P12" s="644"/>
    </row>
    <row r="13" spans="1:16">
      <c r="B13" s="436" t="s">
        <v>1137</v>
      </c>
      <c r="C13" s="437">
        <f t="shared" ref="C13:I13" si="1">SUM(C8:C12)</f>
        <v>40926000</v>
      </c>
      <c r="D13" s="438">
        <f t="shared" si="1"/>
        <v>0</v>
      </c>
      <c r="E13" s="439">
        <f t="shared" si="1"/>
        <v>65488458</v>
      </c>
      <c r="F13" s="440">
        <f t="shared" si="1"/>
        <v>0</v>
      </c>
      <c r="G13" s="441">
        <f t="shared" si="1"/>
        <v>8615.0671284866967</v>
      </c>
      <c r="H13" s="441">
        <f t="shared" ref="H13" si="2">SUM(H8:H12)</f>
        <v>0</v>
      </c>
      <c r="I13" s="441">
        <f t="shared" si="1"/>
        <v>4086.4747245350454</v>
      </c>
      <c r="J13" s="441">
        <f t="shared" si="0"/>
        <v>12701.541853021743</v>
      </c>
      <c r="K13" s="442">
        <f>SUM(J8:J12)-J13</f>
        <v>0</v>
      </c>
      <c r="P13" s="644"/>
    </row>
    <row r="14" spans="1:16">
      <c r="D14" s="429" t="s">
        <v>1134</v>
      </c>
      <c r="F14" s="429" t="s">
        <v>1134</v>
      </c>
      <c r="G14" s="421">
        <f>-'BS USD CONS '!L57</f>
        <v>8614.908128486697</v>
      </c>
      <c r="H14" s="421">
        <f>-'BS USD CONS '!M57</f>
        <v>0</v>
      </c>
      <c r="P14" s="644"/>
    </row>
    <row r="15" spans="1:16">
      <c r="G15" s="422">
        <f>G13-G14</f>
        <v>0.15899999999965075</v>
      </c>
      <c r="H15" s="422">
        <f>H13-H14</f>
        <v>0</v>
      </c>
      <c r="P15" s="644"/>
    </row>
    <row r="16" spans="1:16">
      <c r="C16" s="643"/>
      <c r="E16" s="644"/>
      <c r="P16" s="644"/>
    </row>
    <row r="17" spans="2:19">
      <c r="C17" s="662"/>
      <c r="E17" s="644"/>
      <c r="P17" s="644"/>
    </row>
    <row r="18" spans="2:19">
      <c r="C18" s="642"/>
      <c r="D18" s="662"/>
      <c r="E18" s="644"/>
      <c r="F18" s="662"/>
      <c r="P18" s="644"/>
      <c r="S18" s="662"/>
    </row>
    <row r="19" spans="2:19">
      <c r="D19" s="662"/>
      <c r="E19" s="644"/>
      <c r="F19" s="663"/>
      <c r="P19" s="644"/>
      <c r="S19" s="662"/>
    </row>
    <row r="20" spans="2:19">
      <c r="C20" s="443"/>
      <c r="D20" s="642"/>
      <c r="E20" s="421"/>
      <c r="F20" s="663"/>
      <c r="P20" s="644"/>
      <c r="S20" s="662"/>
    </row>
    <row r="21" spans="2:19" ht="13.5" thickBot="1">
      <c r="C21" s="664"/>
      <c r="E21" s="421"/>
      <c r="F21" s="423"/>
      <c r="P21" s="644"/>
      <c r="S21" s="662"/>
    </row>
    <row r="22" spans="2:19" ht="13.5" thickBot="1">
      <c r="B22" s="689" t="s">
        <v>1256</v>
      </c>
      <c r="C22" s="690"/>
      <c r="D22" s="690"/>
      <c r="E22" s="690"/>
      <c r="F22" s="690"/>
      <c r="G22" s="690"/>
      <c r="H22" s="690"/>
      <c r="I22" s="690"/>
      <c r="J22" s="691"/>
      <c r="P22" s="644"/>
      <c r="S22" s="662"/>
    </row>
    <row r="23" spans="2:19">
      <c r="C23" s="688" t="s">
        <v>1127</v>
      </c>
      <c r="D23" s="688"/>
      <c r="E23" s="688" t="s">
        <v>1128</v>
      </c>
      <c r="F23" s="688"/>
      <c r="P23" s="644"/>
      <c r="S23" s="644"/>
    </row>
    <row r="24" spans="2:19">
      <c r="B24" s="427"/>
      <c r="C24" s="428" t="s">
        <v>1129</v>
      </c>
      <c r="D24" s="427" t="s">
        <v>1130</v>
      </c>
      <c r="E24" s="427" t="s">
        <v>1129</v>
      </c>
      <c r="F24" s="427" t="s">
        <v>1130</v>
      </c>
      <c r="G24" s="427" t="s">
        <v>1131</v>
      </c>
      <c r="H24" s="427" t="s">
        <v>1272</v>
      </c>
      <c r="I24" s="427" t="s">
        <v>338</v>
      </c>
      <c r="J24" s="427" t="s">
        <v>1132</v>
      </c>
      <c r="P24" s="644"/>
    </row>
    <row r="25" spans="2:19">
      <c r="D25" s="429"/>
      <c r="F25" s="429"/>
      <c r="P25" s="644"/>
    </row>
    <row r="26" spans="2:19">
      <c r="B26" s="430" t="s">
        <v>1133</v>
      </c>
      <c r="C26" s="431">
        <f>81852*500</f>
        <v>40926000</v>
      </c>
      <c r="D26" s="432" t="s">
        <v>1134</v>
      </c>
      <c r="E26" s="433">
        <f>130507*500</f>
        <v>65253500</v>
      </c>
      <c r="F26" s="645" t="s">
        <v>1134</v>
      </c>
      <c r="G26" s="435">
        <f>23106</f>
        <v>23106</v>
      </c>
      <c r="H26" s="435">
        <v>-170</v>
      </c>
      <c r="I26" s="435">
        <v>-14212</v>
      </c>
      <c r="J26" s="435">
        <f>SUM(F26:I26)</f>
        <v>8724</v>
      </c>
      <c r="P26" s="644"/>
    </row>
    <row r="27" spans="2:19">
      <c r="B27" s="425" t="s">
        <v>1135</v>
      </c>
      <c r="C27" s="419"/>
      <c r="D27" s="420"/>
      <c r="E27" s="666">
        <f>E9</f>
        <v>234958</v>
      </c>
      <c r="F27" s="429"/>
      <c r="G27" s="422">
        <f>(2584.16+40202.57+8575)/1000</f>
        <v>51.361729999999994</v>
      </c>
      <c r="H27" s="422"/>
      <c r="I27" s="422"/>
      <c r="J27" s="422">
        <f t="shared" ref="J27:J30" si="3">SUM(G27:I27)</f>
        <v>51.361729999999994</v>
      </c>
      <c r="P27" s="644"/>
    </row>
    <row r="28" spans="2:19">
      <c r="B28" s="425" t="s">
        <v>1149</v>
      </c>
      <c r="C28" s="419"/>
      <c r="D28" s="420"/>
      <c r="E28" s="421"/>
      <c r="F28" s="429"/>
      <c r="G28" s="422">
        <f>('P&amp;L LTD  USD'!L18+'P&amp;L LTD  USD'!L30+'P&amp;L LTD  USD'!L41+'P&amp;L LTD  USD'!L68+88091.6)/1000</f>
        <v>5989.8784757100921</v>
      </c>
      <c r="H28" s="422"/>
      <c r="I28" s="422"/>
      <c r="J28" s="422">
        <f t="shared" si="3"/>
        <v>5989.8784757100921</v>
      </c>
      <c r="P28" s="644"/>
    </row>
    <row r="29" spans="2:19">
      <c r="B29" s="425" t="s">
        <v>1273</v>
      </c>
      <c r="C29" s="419"/>
      <c r="D29" s="420"/>
      <c r="E29" s="421"/>
      <c r="F29" s="429"/>
      <c r="G29" s="422"/>
      <c r="H29" s="422">
        <f>-H26</f>
        <v>170</v>
      </c>
      <c r="I29" s="422"/>
      <c r="J29" s="422">
        <f t="shared" si="3"/>
        <v>170</v>
      </c>
      <c r="P29" s="644"/>
    </row>
    <row r="30" spans="2:19">
      <c r="B30" s="425" t="s">
        <v>1136</v>
      </c>
      <c r="C30" s="419"/>
      <c r="D30" s="420"/>
      <c r="E30" s="421"/>
      <c r="F30" s="429"/>
      <c r="G30" s="422"/>
      <c r="H30" s="422"/>
      <c r="I30" s="422">
        <f>-'BS LTD USD '!L55/1000</f>
        <v>23911.592258593955</v>
      </c>
      <c r="J30" s="422">
        <f t="shared" si="3"/>
        <v>23911.592258593955</v>
      </c>
      <c r="P30" s="644"/>
    </row>
    <row r="31" spans="2:19">
      <c r="B31" s="436" t="s">
        <v>1137</v>
      </c>
      <c r="C31" s="437">
        <f t="shared" ref="C31:I31" si="4">SUM(C26:C30)</f>
        <v>40926000</v>
      </c>
      <c r="D31" s="438">
        <f t="shared" si="4"/>
        <v>0</v>
      </c>
      <c r="E31" s="439">
        <f t="shared" si="4"/>
        <v>65488458</v>
      </c>
      <c r="F31" s="440" t="s">
        <v>1134</v>
      </c>
      <c r="G31" s="441">
        <f>SUM(G26:G30)-1</f>
        <v>29146.240205710092</v>
      </c>
      <c r="H31" s="441">
        <v>0</v>
      </c>
      <c r="I31" s="441">
        <f t="shared" si="4"/>
        <v>9699.5922585939552</v>
      </c>
      <c r="J31" s="441">
        <f>SUM(F31:I31)</f>
        <v>38845.832464304047</v>
      </c>
      <c r="P31" s="644"/>
    </row>
    <row r="32" spans="2:19">
      <c r="D32" s="429" t="s">
        <v>1134</v>
      </c>
      <c r="F32" s="429" t="s">
        <v>1134</v>
      </c>
      <c r="G32" s="421">
        <f>-'BS LTD USD '!L52/1000</f>
        <v>29146.286895710105</v>
      </c>
      <c r="H32" s="421">
        <f>-'BS LTD USD '!M52/1000</f>
        <v>0</v>
      </c>
      <c r="J32" s="422">
        <f>SUM(J26:J30)-J31</f>
        <v>1</v>
      </c>
      <c r="P32" s="644"/>
    </row>
    <row r="33" spans="3:8">
      <c r="G33" s="422">
        <f>G31-G32</f>
        <v>-4.669000001376844E-2</v>
      </c>
      <c r="H33" s="422">
        <f>H31-H32</f>
        <v>0</v>
      </c>
    </row>
    <row r="34" spans="3:8">
      <c r="C34" s="643">
        <f>C26/500</f>
        <v>81852</v>
      </c>
      <c r="F34" s="423"/>
    </row>
    <row r="35" spans="3:8">
      <c r="F35" s="423"/>
    </row>
    <row r="36" spans="3:8">
      <c r="F36" s="423"/>
    </row>
    <row r="37" spans="3:8">
      <c r="F37" s="423"/>
    </row>
    <row r="38" spans="3:8">
      <c r="F38" s="423"/>
    </row>
    <row r="39" spans="3:8">
      <c r="F39" s="423"/>
    </row>
    <row r="40" spans="3:8">
      <c r="F40" s="423"/>
    </row>
    <row r="41" spans="3:8">
      <c r="F41" s="423"/>
    </row>
    <row r="42" spans="3:8">
      <c r="F42" s="423"/>
    </row>
    <row r="43" spans="3:8">
      <c r="F43" s="423"/>
    </row>
    <row r="44" spans="3:8">
      <c r="C44" s="644"/>
      <c r="F44" s="423"/>
    </row>
    <row r="45" spans="3:8">
      <c r="C45" s="644"/>
      <c r="F45" s="423"/>
    </row>
    <row r="46" spans="3:8">
      <c r="C46" s="644"/>
      <c r="D46" s="643"/>
      <c r="F46" s="423"/>
    </row>
    <row r="47" spans="3:8">
      <c r="C47" s="644"/>
    </row>
    <row r="48" spans="3:8">
      <c r="C48" s="644"/>
    </row>
    <row r="49" spans="3:3">
      <c r="C49" s="644"/>
    </row>
    <row r="50" spans="3:3">
      <c r="C50" s="644"/>
    </row>
    <row r="51" spans="3:3">
      <c r="C51" s="644"/>
    </row>
    <row r="52" spans="3:3">
      <c r="C52" s="644"/>
    </row>
    <row r="53" spans="3:3">
      <c r="C53" s="644"/>
    </row>
    <row r="54" spans="3:3">
      <c r="C54" s="644"/>
    </row>
    <row r="55" spans="3:3">
      <c r="C55" s="644"/>
    </row>
  </sheetData>
  <mergeCells count="6">
    <mergeCell ref="C5:D5"/>
    <mergeCell ref="E5:F5"/>
    <mergeCell ref="B4:J4"/>
    <mergeCell ref="C23:D23"/>
    <mergeCell ref="E23:F23"/>
    <mergeCell ref="B22:J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AB986"/>
  <sheetViews>
    <sheetView topLeftCell="A83" zoomScale="116" zoomScaleNormal="116" workbookViewId="0">
      <selection activeCell="J104" sqref="J104"/>
    </sheetView>
  </sheetViews>
  <sheetFormatPr defaultColWidth="12.7109375" defaultRowHeight="15" customHeight="1"/>
  <cols>
    <col min="1" max="4" width="10.7109375" customWidth="1"/>
    <col min="5" max="5" width="10.85546875" customWidth="1"/>
    <col min="6" max="6" width="38.85546875" customWidth="1"/>
    <col min="7" max="7" width="16" customWidth="1"/>
    <col min="8" max="8" width="14.85546875" customWidth="1"/>
    <col min="9" max="9" width="13.140625" customWidth="1"/>
    <col min="10" max="10" width="17" customWidth="1"/>
    <col min="11" max="11" width="15.28515625" customWidth="1"/>
    <col min="12" max="12" width="10.85546875" customWidth="1"/>
    <col min="13" max="13" width="13.42578125" customWidth="1"/>
    <col min="14" max="14" width="10.28515625" customWidth="1"/>
    <col min="15" max="15" width="13.85546875" customWidth="1"/>
    <col min="16" max="16" width="16" customWidth="1"/>
    <col min="17" max="17" width="2.7109375" customWidth="1"/>
    <col min="18" max="20" width="10.7109375" customWidth="1"/>
    <col min="21" max="21" width="26.140625" bestFit="1" customWidth="1"/>
    <col min="22" max="22" width="16.28515625" customWidth="1"/>
    <col min="23" max="23" width="17.42578125" customWidth="1"/>
    <col min="24" max="27" width="10.7109375" customWidth="1"/>
  </cols>
  <sheetData>
    <row r="1" spans="1:28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46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1045</v>
      </c>
      <c r="N2" s="2">
        <v>3.11</v>
      </c>
      <c r="O2" s="2"/>
      <c r="P2" s="2"/>
      <c r="Q2" s="246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8" ht="12.75" customHeight="1">
      <c r="A3" s="2"/>
      <c r="B3" s="2"/>
      <c r="C3" s="2"/>
      <c r="D3" s="2"/>
      <c r="E3" s="2"/>
      <c r="F3" s="692" t="s">
        <v>880</v>
      </c>
      <c r="G3" s="693"/>
      <c r="H3" s="693"/>
      <c r="I3" s="693"/>
      <c r="J3" s="694"/>
      <c r="K3" s="247"/>
      <c r="L3" s="247"/>
      <c r="M3" s="2" t="s">
        <v>1046</v>
      </c>
      <c r="N3" s="2">
        <v>3.2292999999999998</v>
      </c>
      <c r="O3" s="2"/>
      <c r="P3" s="2"/>
      <c r="Q3" s="246"/>
      <c r="R3" s="2"/>
      <c r="S3" s="2"/>
      <c r="T3" s="692" t="s">
        <v>1047</v>
      </c>
      <c r="U3" s="693"/>
      <c r="V3" s="693"/>
      <c r="W3" s="693"/>
      <c r="X3" s="694"/>
      <c r="Y3" s="2"/>
      <c r="Z3" s="2"/>
      <c r="AA3" s="2"/>
    </row>
    <row r="4" spans="1:28" ht="20.25" thickBot="1">
      <c r="A4" s="2"/>
      <c r="B4" s="2"/>
      <c r="C4" s="2"/>
      <c r="D4" s="2"/>
      <c r="E4" s="2"/>
      <c r="F4" s="695"/>
      <c r="G4" s="696"/>
      <c r="H4" s="696"/>
      <c r="I4" s="696"/>
      <c r="J4" s="697"/>
      <c r="K4" s="247"/>
      <c r="L4" s="247"/>
      <c r="M4" s="342">
        <v>44245</v>
      </c>
      <c r="N4" s="2">
        <v>3.2650000000000001</v>
      </c>
      <c r="O4" s="2"/>
      <c r="P4" s="2"/>
      <c r="Q4" s="246"/>
      <c r="R4" s="2"/>
      <c r="S4" s="2"/>
      <c r="T4" s="695"/>
      <c r="U4" s="696"/>
      <c r="V4" s="696"/>
      <c r="W4" s="696"/>
      <c r="X4" s="697"/>
      <c r="Y4" s="2"/>
      <c r="Z4" s="2"/>
      <c r="AA4" s="2"/>
    </row>
    <row r="5" spans="1:28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1213</v>
      </c>
      <c r="N5" s="2">
        <v>3.286</v>
      </c>
      <c r="O5" s="2"/>
      <c r="P5" s="2"/>
      <c r="Q5" s="246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46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 ht="12.75" customHeight="1" thickBot="1">
      <c r="A7" s="2"/>
      <c r="B7" s="2"/>
      <c r="C7" s="2"/>
      <c r="D7" s="2"/>
      <c r="E7" s="2"/>
      <c r="F7" s="87"/>
      <c r="G7" s="530"/>
      <c r="H7" s="87"/>
      <c r="I7" s="2"/>
      <c r="J7" s="2"/>
      <c r="K7" s="2"/>
      <c r="L7" s="2"/>
      <c r="M7" s="2"/>
      <c r="N7" s="2"/>
      <c r="O7" s="2"/>
      <c r="P7" s="2"/>
      <c r="Q7" s="246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12.75" customHeight="1">
      <c r="A8" s="2"/>
      <c r="B8" s="2"/>
      <c r="C8" s="2"/>
      <c r="D8" s="2"/>
      <c r="E8" s="2"/>
      <c r="F8" s="2"/>
      <c r="G8" s="2"/>
      <c r="H8" s="87"/>
      <c r="I8" s="2"/>
      <c r="J8" s="2"/>
      <c r="K8" s="2"/>
      <c r="L8" s="2"/>
      <c r="M8" s="2"/>
      <c r="N8" s="2"/>
      <c r="O8" s="2"/>
      <c r="P8" s="2"/>
      <c r="Q8" s="246"/>
      <c r="R8" s="2"/>
      <c r="S8" s="394">
        <v>1</v>
      </c>
      <c r="T8" s="395" t="s">
        <v>1057</v>
      </c>
      <c r="U8" s="508" t="s">
        <v>952</v>
      </c>
      <c r="V8" s="509"/>
      <c r="W8" s="510">
        <f>'BS &amp; P&amp;L INC '!F48</f>
        <v>328087</v>
      </c>
      <c r="X8" s="395"/>
      <c r="Y8" s="395"/>
      <c r="Z8" s="395"/>
      <c r="AA8" s="399" t="s">
        <v>1193</v>
      </c>
    </row>
    <row r="9" spans="1:28" ht="12.75" customHeight="1">
      <c r="E9" s="2"/>
      <c r="K9" s="2"/>
      <c r="L9" s="2"/>
      <c r="M9" s="2"/>
      <c r="Q9" s="246"/>
      <c r="S9" s="400"/>
      <c r="T9" s="401" t="s">
        <v>1057</v>
      </c>
      <c r="U9" s="511" t="s">
        <v>953</v>
      </c>
      <c r="V9" s="506"/>
      <c r="W9" s="507">
        <f>'BS &amp; P&amp;L INC '!F49</f>
        <v>121298</v>
      </c>
      <c r="X9" s="401"/>
      <c r="Y9" s="401"/>
      <c r="Z9" s="401"/>
      <c r="AA9" s="410"/>
    </row>
    <row r="10" spans="1:28" ht="17.100000000000001" customHeight="1">
      <c r="E10" s="2"/>
      <c r="F10" s="59"/>
      <c r="G10" s="2" t="s">
        <v>1048</v>
      </c>
      <c r="H10" s="2" t="s">
        <v>1049</v>
      </c>
      <c r="J10" s="2" t="s">
        <v>1050</v>
      </c>
      <c r="K10" s="2" t="s">
        <v>1051</v>
      </c>
      <c r="L10" s="2"/>
      <c r="M10" s="2"/>
      <c r="Q10" s="246"/>
      <c r="S10" s="400"/>
      <c r="T10" s="401" t="s">
        <v>1057</v>
      </c>
      <c r="U10" s="511" t="s">
        <v>954</v>
      </c>
      <c r="V10" s="506"/>
      <c r="W10" s="507">
        <f>'BS &amp; P&amp;L INC '!F50</f>
        <v>1253.8399999999999</v>
      </c>
      <c r="X10" s="401"/>
      <c r="Y10" s="401"/>
      <c r="Z10" s="401"/>
      <c r="AA10" s="410"/>
    </row>
    <row r="11" spans="1:28" ht="12.75" customHeight="1" thickBot="1">
      <c r="E11" s="2"/>
      <c r="F11" s="1"/>
      <c r="G11" s="87"/>
      <c r="H11" s="87"/>
      <c r="J11" s="140"/>
      <c r="K11" s="140"/>
      <c r="L11" s="2"/>
      <c r="M11" s="2"/>
      <c r="P11" s="603">
        <f>'AJE 2021'!J53-'AJE 2021'!K26-'AJE 2021'!J64+'AJE 2021'!J81</f>
        <v>-3514747.8252160568</v>
      </c>
      <c r="Q11" s="246"/>
      <c r="S11" s="400"/>
      <c r="T11" s="401" t="s">
        <v>1052</v>
      </c>
      <c r="U11" s="511" t="s">
        <v>947</v>
      </c>
      <c r="V11" s="506">
        <f>W10</f>
        <v>1253.8399999999999</v>
      </c>
      <c r="W11" s="506"/>
      <c r="X11" s="401"/>
      <c r="Y11" s="401"/>
      <c r="Z11" s="401"/>
      <c r="AA11" s="410"/>
    </row>
    <row r="12" spans="1:28" ht="12.75" customHeight="1">
      <c r="B12" s="248">
        <v>1</v>
      </c>
      <c r="C12" s="188" t="s">
        <v>1052</v>
      </c>
      <c r="D12" s="188"/>
      <c r="E12" s="343">
        <v>3335</v>
      </c>
      <c r="F12" s="249" t="str">
        <f>VLOOKUP(E12,'TB LTD 12.21'!D:E,2,0)</f>
        <v>מימוש אופציות/מניות</v>
      </c>
      <c r="G12" s="478">
        <v>2626.34</v>
      </c>
      <c r="H12" s="479"/>
      <c r="I12" s="188"/>
      <c r="J12" s="250">
        <f>G12*N4</f>
        <v>8575.0001000000011</v>
      </c>
      <c r="K12" s="250"/>
      <c r="L12" s="188"/>
      <c r="M12" s="188"/>
      <c r="N12" s="188"/>
      <c r="O12" s="355" t="s">
        <v>1104</v>
      </c>
      <c r="Q12" s="246"/>
      <c r="S12" s="400"/>
      <c r="T12" s="401" t="s">
        <v>1052</v>
      </c>
      <c r="U12" s="511" t="s">
        <v>949</v>
      </c>
      <c r="V12" s="507">
        <f>W9</f>
        <v>121298</v>
      </c>
      <c r="W12" s="401"/>
      <c r="X12" s="401"/>
      <c r="Y12" s="401"/>
      <c r="Z12" s="401"/>
      <c r="AA12" s="404"/>
    </row>
    <row r="13" spans="1:28" ht="12.75" customHeight="1">
      <c r="A13" s="444" t="s">
        <v>1197</v>
      </c>
      <c r="B13" s="252"/>
      <c r="C13" s="2" t="s">
        <v>1057</v>
      </c>
      <c r="D13" s="2"/>
      <c r="E13" s="138">
        <v>3000</v>
      </c>
      <c r="F13" s="356" t="str">
        <f>VLOOKUP(E13,'TB LTD 12.21'!D:E,2,0)</f>
        <v>הון מניות</v>
      </c>
      <c r="G13" s="19"/>
      <c r="H13" s="481">
        <v>0.3001531393568147</v>
      </c>
      <c r="I13" s="2"/>
      <c r="J13" s="140"/>
      <c r="K13" s="140">
        <f>N4*H13</f>
        <v>0.98000000000000009</v>
      </c>
      <c r="L13" s="2"/>
      <c r="M13" s="2"/>
      <c r="N13" s="2"/>
      <c r="O13" s="192"/>
      <c r="Q13" s="246"/>
      <c r="S13" s="488"/>
      <c r="V13" s="323"/>
      <c r="W13" s="323"/>
      <c r="X13" s="323"/>
      <c r="Y13" s="323"/>
      <c r="Z13" s="323"/>
      <c r="AA13" s="489"/>
    </row>
    <row r="14" spans="1:28" ht="12.75" customHeight="1" thickBot="1">
      <c r="A14" s="2"/>
      <c r="B14" s="252"/>
      <c r="C14" s="2" t="s">
        <v>1057</v>
      </c>
      <c r="D14" s="2"/>
      <c r="E14" s="138">
        <v>80000</v>
      </c>
      <c r="F14" s="356" t="str">
        <f>VLOOKUP(E14,'TB LTD 12.21'!D:E,2,0)</f>
        <v>פרמיה</v>
      </c>
      <c r="G14" s="19"/>
      <c r="H14" s="19">
        <v>2626.0398468606431</v>
      </c>
      <c r="I14" s="2"/>
      <c r="J14" s="140"/>
      <c r="K14" s="140">
        <f>H14*N4</f>
        <v>8574.0200999999997</v>
      </c>
      <c r="L14" s="2"/>
      <c r="M14" s="2"/>
      <c r="N14" s="2"/>
      <c r="O14" s="192"/>
      <c r="P14" s="2"/>
      <c r="Q14" s="246"/>
      <c r="R14" s="2"/>
      <c r="S14" s="490"/>
      <c r="T14" s="486"/>
      <c r="U14" s="486"/>
      <c r="V14" s="486"/>
      <c r="W14" s="486"/>
      <c r="X14" s="486"/>
      <c r="Y14" s="486"/>
      <c r="Z14" s="486"/>
      <c r="AA14" s="491"/>
    </row>
    <row r="15" spans="1:28" ht="12.75" customHeight="1" thickBot="1">
      <c r="A15" s="2"/>
      <c r="B15" s="254"/>
      <c r="C15" s="255"/>
      <c r="D15" s="255"/>
      <c r="E15" s="255"/>
      <c r="F15" s="256"/>
      <c r="G15" s="480"/>
      <c r="H15" s="480"/>
      <c r="I15" s="255"/>
      <c r="J15" s="257"/>
      <c r="K15" s="257"/>
      <c r="L15" s="255"/>
      <c r="M15" s="255"/>
      <c r="N15" s="255"/>
      <c r="O15" s="258"/>
      <c r="P15" s="2"/>
      <c r="Q15" s="246"/>
      <c r="R15" s="2"/>
    </row>
    <row r="16" spans="1:28" ht="12.75" customHeight="1" thickBot="1">
      <c r="E16" s="2"/>
      <c r="K16" s="2"/>
      <c r="L16" s="2"/>
      <c r="M16" s="2"/>
      <c r="Q16" s="246"/>
      <c r="S16" s="248">
        <v>2</v>
      </c>
      <c r="T16" s="188" t="s">
        <v>1052</v>
      </c>
      <c r="U16" s="249" t="s">
        <v>1059</v>
      </c>
      <c r="V16" s="531">
        <f>G25</f>
        <v>1039517.91</v>
      </c>
      <c r="W16" s="251"/>
      <c r="X16" s="188"/>
      <c r="Y16" s="188"/>
      <c r="Z16" s="188"/>
      <c r="AA16" s="399" t="s">
        <v>1123</v>
      </c>
      <c r="AB16" s="444" t="s">
        <v>1196</v>
      </c>
    </row>
    <row r="17" spans="1:28" ht="12.75" customHeight="1">
      <c r="B17" s="394">
        <v>2</v>
      </c>
      <c r="C17" s="395" t="s">
        <v>1052</v>
      </c>
      <c r="D17" s="395"/>
      <c r="E17" s="535">
        <v>20048</v>
      </c>
      <c r="F17" s="397" t="str">
        <f>VLOOKUP(E17,'TB LTD 12.21'!D:E,2,0)</f>
        <v>הוצאות אופציות הנהלה וכלליות</v>
      </c>
      <c r="G17" s="634">
        <v>614042.01579460222</v>
      </c>
      <c r="H17" s="483"/>
      <c r="I17" s="395"/>
      <c r="J17" s="398">
        <f>G17*$N$3</f>
        <v>1982925.881605509</v>
      </c>
      <c r="K17" s="398"/>
      <c r="L17" s="395"/>
      <c r="M17" s="395"/>
      <c r="N17" s="395"/>
      <c r="O17" s="399" t="s">
        <v>1202</v>
      </c>
      <c r="Q17" s="246"/>
      <c r="S17" s="252"/>
      <c r="T17" s="2" t="s">
        <v>1057</v>
      </c>
      <c r="U17" s="54" t="s">
        <v>923</v>
      </c>
      <c r="V17" s="253"/>
      <c r="W17" s="253">
        <f>V16</f>
        <v>1039517.91</v>
      </c>
      <c r="X17" s="2"/>
      <c r="Y17" s="2"/>
      <c r="Z17" s="2"/>
      <c r="AA17" s="410" t="s">
        <v>1124</v>
      </c>
    </row>
    <row r="18" spans="1:28" ht="12.75" customHeight="1">
      <c r="B18" s="400"/>
      <c r="C18" s="401" t="s">
        <v>1052</v>
      </c>
      <c r="D18" s="401"/>
      <c r="E18" s="533">
        <v>61003</v>
      </c>
      <c r="F18" s="356" t="str">
        <f>VLOOKUP(E18,'TB LTD 12.21'!D:E,2,0)</f>
        <v>הוצאות אופציות COGS</v>
      </c>
      <c r="G18" s="631">
        <v>-6811.1171063624588</v>
      </c>
      <c r="H18" s="89"/>
      <c r="I18" s="401"/>
      <c r="J18" s="403">
        <f>G18*$N$3</f>
        <v>-21995.140471576287</v>
      </c>
      <c r="K18" s="403"/>
      <c r="L18" s="401"/>
      <c r="M18" s="401"/>
      <c r="N18" s="401"/>
      <c r="O18" s="410"/>
      <c r="Q18" s="262"/>
      <c r="S18" s="252"/>
      <c r="T18" s="2"/>
      <c r="U18" s="54"/>
      <c r="V18" s="253"/>
      <c r="W18" s="253"/>
      <c r="X18" s="2"/>
      <c r="Y18" s="2"/>
      <c r="Z18" s="2"/>
      <c r="AA18" s="534"/>
    </row>
    <row r="19" spans="1:28" ht="12.75" customHeight="1">
      <c r="B19" s="400"/>
      <c r="C19" s="401" t="s">
        <v>1052</v>
      </c>
      <c r="D19" s="401"/>
      <c r="E19" s="533">
        <v>23031</v>
      </c>
      <c r="F19" s="356" t="str">
        <f>VLOOKUP(E19,'TB LTD 12.21'!D:E,2,0)</f>
        <v>הוצאות אופציות מחקר ופיתוח</v>
      </c>
      <c r="G19" s="631">
        <v>539214</v>
      </c>
      <c r="H19" s="322"/>
      <c r="I19" s="401"/>
      <c r="J19" s="403">
        <f>G19*$N$3</f>
        <v>1741283.7701999999</v>
      </c>
      <c r="K19" s="403"/>
      <c r="L19" s="401"/>
      <c r="M19" s="401"/>
      <c r="N19" s="401"/>
      <c r="O19" s="410"/>
      <c r="Q19" s="262"/>
      <c r="S19" s="252"/>
      <c r="T19" s="2"/>
      <c r="U19" s="54"/>
      <c r="V19" s="253"/>
      <c r="W19" s="253"/>
      <c r="X19" s="2"/>
      <c r="Y19" s="2"/>
      <c r="Z19" s="2"/>
      <c r="AA19" s="534"/>
    </row>
    <row r="20" spans="1:28" ht="12.75" customHeight="1">
      <c r="B20" s="400"/>
      <c r="C20" s="401" t="s">
        <v>1052</v>
      </c>
      <c r="D20" s="401"/>
      <c r="E20" s="533">
        <v>20060</v>
      </c>
      <c r="F20" s="356" t="str">
        <f>VLOOKUP(E20,'TB LTD 12.21'!D:E,2,0)</f>
        <v>הוצאות אופציות שיווק</v>
      </c>
      <c r="G20" s="631">
        <v>-22807.610201542113</v>
      </c>
      <c r="H20" s="322"/>
      <c r="I20" s="401"/>
      <c r="J20" s="403">
        <f>G20*$N$3</f>
        <v>-73652.615623839942</v>
      </c>
      <c r="K20" s="403"/>
      <c r="L20" s="401"/>
      <c r="M20" s="401"/>
      <c r="N20" s="401"/>
      <c r="O20" s="410"/>
      <c r="Q20" s="262"/>
      <c r="S20" s="252"/>
      <c r="T20" s="2"/>
      <c r="U20" s="54"/>
      <c r="V20" s="253"/>
      <c r="W20" s="253"/>
      <c r="X20" s="2"/>
      <c r="Y20" s="2"/>
      <c r="Z20" s="2"/>
      <c r="AA20" s="534"/>
    </row>
    <row r="21" spans="1:28" ht="15" customHeight="1" thickBot="1">
      <c r="A21" s="444" t="s">
        <v>1197</v>
      </c>
      <c r="B21" s="400"/>
      <c r="C21" s="401" t="s">
        <v>1057</v>
      </c>
      <c r="D21" s="401"/>
      <c r="E21" s="533">
        <v>3337</v>
      </c>
      <c r="F21" s="356" t="str">
        <f>VLOOKUP(E21,'TB LTD 12.21'!D:E,2,0)</f>
        <v>קרן הון תשלום מבוסס מניות</v>
      </c>
      <c r="G21" s="309"/>
      <c r="H21" s="625">
        <f>SUM(G17:G20)</f>
        <v>1123637.2884866977</v>
      </c>
      <c r="I21" s="401"/>
      <c r="J21" s="403"/>
      <c r="K21" s="309">
        <f>SUM(J17:J20)</f>
        <v>3628561.8957100925</v>
      </c>
      <c r="L21" s="401"/>
      <c r="M21" s="401"/>
      <c r="N21" s="401"/>
      <c r="O21" s="404"/>
      <c r="Q21" s="246"/>
      <c r="S21" s="254"/>
      <c r="T21" s="255"/>
      <c r="U21" s="256"/>
      <c r="V21" s="255"/>
      <c r="W21" s="255"/>
      <c r="X21" s="255"/>
      <c r="Y21" s="255"/>
      <c r="Z21" s="255"/>
      <c r="AA21" s="258"/>
    </row>
    <row r="22" spans="1:28" ht="12.95" customHeight="1" thickBot="1">
      <c r="B22" s="400"/>
      <c r="C22" s="401"/>
      <c r="D22" s="401"/>
      <c r="E22" s="401"/>
      <c r="F22" s="356"/>
      <c r="G22" s="309"/>
      <c r="H22" s="309"/>
      <c r="I22" s="401"/>
      <c r="J22" s="403"/>
      <c r="K22" s="403"/>
      <c r="L22" s="401"/>
      <c r="M22" s="401"/>
      <c r="N22" s="401"/>
      <c r="O22" s="404"/>
      <c r="Q22" s="246"/>
      <c r="S22" s="2"/>
      <c r="T22" s="2"/>
      <c r="U22" s="2"/>
      <c r="V22" s="2"/>
      <c r="W22" s="2"/>
      <c r="X22" s="2"/>
      <c r="Y22" s="2"/>
      <c r="Z22" s="2"/>
      <c r="AA22" s="2"/>
    </row>
    <row r="23" spans="1:28" ht="12.75" customHeight="1" thickBot="1">
      <c r="B23" s="405"/>
      <c r="C23" s="406"/>
      <c r="D23" s="406"/>
      <c r="E23" s="406"/>
      <c r="F23" s="407"/>
      <c r="G23" s="484"/>
      <c r="H23" s="484"/>
      <c r="I23" s="406"/>
      <c r="J23" s="408"/>
      <c r="K23" s="408"/>
      <c r="L23" s="406"/>
      <c r="M23" s="406"/>
      <c r="N23" s="406"/>
      <c r="O23" s="409"/>
      <c r="Q23" s="246"/>
      <c r="S23" s="248">
        <v>3</v>
      </c>
      <c r="T23" s="188" t="s">
        <v>1052</v>
      </c>
      <c r="U23" s="249" t="str">
        <f>'BS &amp; P&amp;L INC '!E45</f>
        <v xml:space="preserve">Revenue - Sales Tax </v>
      </c>
      <c r="V23" s="531">
        <f>'[3]Top 10 income '!$R$21</f>
        <v>4903754.3897870891</v>
      </c>
      <c r="W23" s="251"/>
      <c r="X23" s="188"/>
      <c r="Y23" s="188"/>
      <c r="Z23" s="188"/>
      <c r="AA23" s="399" t="s">
        <v>1190</v>
      </c>
    </row>
    <row r="24" spans="1:28" ht="12.75" customHeight="1" thickBot="1">
      <c r="E24" s="2"/>
      <c r="K24" s="65"/>
      <c r="L24" s="66"/>
      <c r="M24" s="2"/>
      <c r="Q24" s="246"/>
      <c r="S24" s="252"/>
      <c r="T24" s="2" t="s">
        <v>1057</v>
      </c>
      <c r="U24" s="54" t="s">
        <v>1191</v>
      </c>
      <c r="V24" s="253"/>
      <c r="W24" s="253">
        <f>V23</f>
        <v>4903754.3897870891</v>
      </c>
      <c r="X24" s="2"/>
      <c r="Y24" s="2"/>
      <c r="Z24" s="2"/>
      <c r="AA24" s="410"/>
      <c r="AB24" s="444" t="s">
        <v>1196</v>
      </c>
    </row>
    <row r="25" spans="1:28" ht="12.75" customHeight="1" thickBot="1">
      <c r="B25" s="394">
        <v>3</v>
      </c>
      <c r="C25" s="395" t="s">
        <v>1052</v>
      </c>
      <c r="D25" s="395"/>
      <c r="E25" s="396">
        <v>90030</v>
      </c>
      <c r="F25" s="397" t="str">
        <f>VLOOKUP(E25,'TB LTD 12.21'!D:E,2,0)</f>
        <v>הכנסות לקבל - מאזני</v>
      </c>
      <c r="G25" s="624">
        <f>612287.91+427230</f>
        <v>1039517.91</v>
      </c>
      <c r="H25" s="483"/>
      <c r="I25" s="395"/>
      <c r="J25" s="398">
        <f>G25*N2</f>
        <v>3232900.7001</v>
      </c>
      <c r="K25" s="398"/>
      <c r="L25" s="395"/>
      <c r="M25" s="395"/>
      <c r="N25" s="395"/>
      <c r="O25" s="399" t="s">
        <v>1123</v>
      </c>
      <c r="Q25" s="246"/>
      <c r="S25" s="254"/>
      <c r="T25" s="255"/>
      <c r="U25" s="256"/>
      <c r="V25" s="255"/>
      <c r="W25" s="255"/>
      <c r="X25" s="255"/>
      <c r="Y25" s="255"/>
      <c r="Z25" s="255"/>
      <c r="AA25" s="258"/>
    </row>
    <row r="26" spans="1:28" ht="12.75" customHeight="1" thickBot="1">
      <c r="B26" s="400"/>
      <c r="C26" s="401" t="s">
        <v>1057</v>
      </c>
      <c r="D26" s="401"/>
      <c r="E26" s="402">
        <v>51009</v>
      </c>
      <c r="F26" s="356" t="str">
        <f>VLOOKUP(E26,'TB LTD 12.21'!D:E,2,0)</f>
        <v>PAPAYA GAMING INC</v>
      </c>
      <c r="G26" s="309"/>
      <c r="H26" s="625">
        <f>G25</f>
        <v>1039517.91</v>
      </c>
      <c r="I26" s="401"/>
      <c r="J26" s="403"/>
      <c r="K26" s="403">
        <f>J25</f>
        <v>3232900.7001</v>
      </c>
      <c r="L26" s="401"/>
      <c r="M26" s="401"/>
      <c r="N26" s="401"/>
      <c r="O26" s="404" t="s">
        <v>1124</v>
      </c>
      <c r="P26">
        <f>K26/H26</f>
        <v>3.11</v>
      </c>
      <c r="Q26" s="246"/>
    </row>
    <row r="27" spans="1:28" ht="12.75" customHeight="1">
      <c r="B27" s="400"/>
      <c r="C27" s="401"/>
      <c r="D27" s="401"/>
      <c r="E27" s="401"/>
      <c r="F27" s="356"/>
      <c r="G27" s="309"/>
      <c r="H27" s="309"/>
      <c r="I27" s="401"/>
      <c r="J27" s="403"/>
      <c r="K27" s="403"/>
      <c r="L27" s="401"/>
      <c r="M27" s="401"/>
      <c r="N27" s="401"/>
      <c r="O27" s="404"/>
      <c r="Q27" s="262"/>
      <c r="S27" s="546">
        <v>3</v>
      </c>
      <c r="T27" s="547" t="s">
        <v>1052</v>
      </c>
      <c r="U27" s="548" t="s">
        <v>1191</v>
      </c>
      <c r="V27" s="549">
        <f>'[3]Top 10 income '!$R$21</f>
        <v>4903754.3897870891</v>
      </c>
      <c r="W27" s="550"/>
      <c r="X27" s="547"/>
      <c r="Y27" s="547"/>
      <c r="Z27" s="547"/>
      <c r="AA27" s="551" t="s">
        <v>1211</v>
      </c>
      <c r="AB27" s="444"/>
    </row>
    <row r="28" spans="1:28" ht="12.75" customHeight="1" thickBot="1">
      <c r="B28" s="405"/>
      <c r="C28" s="406"/>
      <c r="D28" s="406"/>
      <c r="E28" s="406"/>
      <c r="F28" s="407"/>
      <c r="G28" s="484"/>
      <c r="H28" s="484"/>
      <c r="I28" s="406"/>
      <c r="J28" s="408"/>
      <c r="K28" s="408"/>
      <c r="L28" s="406"/>
      <c r="M28" s="406"/>
      <c r="N28" s="406"/>
      <c r="O28" s="409"/>
      <c r="Q28" s="262"/>
      <c r="S28" s="552"/>
      <c r="T28" s="401" t="s">
        <v>1057</v>
      </c>
      <c r="U28" s="553" t="s">
        <v>1059</v>
      </c>
      <c r="V28" s="506"/>
      <c r="W28" s="506">
        <f>V27</f>
        <v>4903754.3897870891</v>
      </c>
      <c r="X28" s="401"/>
      <c r="Y28" s="401"/>
      <c r="Z28" s="401"/>
      <c r="AA28" s="554"/>
    </row>
    <row r="29" spans="1:28" ht="12.75" customHeight="1" thickBot="1">
      <c r="A29" s="444" t="s">
        <v>1197</v>
      </c>
      <c r="E29" s="2"/>
      <c r="K29" s="2"/>
      <c r="L29" s="2"/>
      <c r="M29" s="2"/>
      <c r="Q29" s="262"/>
      <c r="S29" s="555"/>
      <c r="T29" s="556"/>
      <c r="U29" s="557"/>
      <c r="V29" s="556"/>
      <c r="W29" s="556"/>
      <c r="X29" s="556"/>
      <c r="Y29" s="556"/>
      <c r="Z29" s="556"/>
      <c r="AA29" s="558"/>
    </row>
    <row r="30" spans="1:28" ht="12.75" customHeight="1" thickBot="1">
      <c r="B30" s="394">
        <v>4</v>
      </c>
      <c r="C30" s="395" t="s">
        <v>1052</v>
      </c>
      <c r="D30" s="395"/>
      <c r="E30" s="396">
        <v>20090</v>
      </c>
      <c r="F30" s="397" t="str">
        <f>VLOOKUP(E30,'TB LTD 12.21'!D:E,2,0)</f>
        <v>ייעוץ מקצועי- הנהלה וכלליות</v>
      </c>
      <c r="G30" s="482"/>
      <c r="H30" s="632">
        <v>17606.080000000002</v>
      </c>
      <c r="I30" s="395"/>
      <c r="J30" s="398"/>
      <c r="K30" s="398">
        <v>55600</v>
      </c>
      <c r="L30" s="395"/>
      <c r="M30" s="395"/>
      <c r="N30" s="395"/>
      <c r="O30" s="399" t="s">
        <v>1175</v>
      </c>
      <c r="Q30" s="262"/>
    </row>
    <row r="31" spans="1:28" ht="12.75" customHeight="1">
      <c r="B31" s="400"/>
      <c r="C31" s="401" t="s">
        <v>1057</v>
      </c>
      <c r="D31" s="401"/>
      <c r="E31" s="402">
        <v>90031</v>
      </c>
      <c r="F31" s="356" t="str">
        <f>VLOOKUP(E31,'TB LTD 12.21'!D:E,2,0)</f>
        <v>הוצאות מראש</v>
      </c>
      <c r="G31" s="625">
        <f>H30</f>
        <v>17606.080000000002</v>
      </c>
      <c r="H31" s="309"/>
      <c r="I31" s="401"/>
      <c r="J31" s="403">
        <f>K30</f>
        <v>55600</v>
      </c>
      <c r="K31" s="403"/>
      <c r="L31" s="401"/>
      <c r="M31" s="401"/>
      <c r="N31" s="401"/>
      <c r="O31" s="404"/>
      <c r="Q31" s="246"/>
      <c r="S31" s="248">
        <v>1</v>
      </c>
      <c r="T31" s="188" t="s">
        <v>1052</v>
      </c>
      <c r="U31" s="249" t="s">
        <v>1059</v>
      </c>
      <c r="V31" s="531">
        <f>-'BS &amp; P&amp;L INC '!N93</f>
        <v>5389318.1997870803</v>
      </c>
      <c r="W31" s="251"/>
      <c r="X31" s="188"/>
      <c r="Y31" s="188"/>
      <c r="Z31" s="188"/>
      <c r="AA31" s="190" t="s">
        <v>1056</v>
      </c>
      <c r="AB31" s="444" t="s">
        <v>1196</v>
      </c>
    </row>
    <row r="32" spans="1:28" ht="12.75" customHeight="1">
      <c r="A32" s="444" t="s">
        <v>1197</v>
      </c>
      <c r="B32" s="400"/>
      <c r="C32" s="401"/>
      <c r="D32" s="401"/>
      <c r="E32" s="401"/>
      <c r="F32" s="356"/>
      <c r="G32" s="309"/>
      <c r="H32" s="309"/>
      <c r="I32" s="401"/>
      <c r="J32" s="403"/>
      <c r="K32" s="403"/>
      <c r="L32" s="401"/>
      <c r="M32" s="401"/>
      <c r="N32" s="401"/>
      <c r="O32" s="404"/>
      <c r="Q32" s="246"/>
      <c r="S32" s="252"/>
      <c r="T32" s="2" t="s">
        <v>1057</v>
      </c>
      <c r="U32" s="59" t="s">
        <v>969</v>
      </c>
      <c r="V32" s="253"/>
      <c r="W32" s="253">
        <f>V31</f>
        <v>5389318.1997870803</v>
      </c>
      <c r="X32" s="2"/>
      <c r="Y32" s="2"/>
      <c r="Z32" s="2"/>
      <c r="AA32" s="192"/>
    </row>
    <row r="33" spans="1:27" ht="12.75" customHeight="1" thickBot="1">
      <c r="B33" s="405"/>
      <c r="C33" s="406"/>
      <c r="D33" s="406"/>
      <c r="E33" s="406"/>
      <c r="F33" s="407"/>
      <c r="G33" s="484"/>
      <c r="H33" s="484"/>
      <c r="I33" s="406"/>
      <c r="J33" s="408"/>
      <c r="K33" s="408"/>
      <c r="L33" s="406"/>
      <c r="M33" s="406"/>
      <c r="N33" s="406"/>
      <c r="O33" s="409"/>
      <c r="Q33" s="246"/>
      <c r="S33" s="254"/>
      <c r="T33" s="255"/>
      <c r="U33" s="256"/>
      <c r="V33" s="255"/>
      <c r="W33" s="255"/>
      <c r="X33" s="255"/>
      <c r="Y33" s="255"/>
      <c r="Z33" s="255"/>
      <c r="AA33" s="258"/>
    </row>
    <row r="34" spans="1:27" ht="12.75" customHeight="1" thickBot="1">
      <c r="E34" s="2"/>
      <c r="G34" s="529"/>
      <c r="H34" s="473"/>
      <c r="K34" s="2"/>
      <c r="L34" s="2"/>
      <c r="M34" s="2"/>
      <c r="Q34" s="246"/>
    </row>
    <row r="35" spans="1:27" ht="12.75" customHeight="1">
      <c r="B35" s="394">
        <v>5</v>
      </c>
      <c r="C35" s="487"/>
      <c r="D35" s="487"/>
      <c r="E35" s="396"/>
      <c r="F35" s="397"/>
      <c r="G35" s="482"/>
      <c r="H35" s="485"/>
      <c r="I35" s="395"/>
      <c r="J35" s="398"/>
      <c r="K35" s="398"/>
      <c r="L35" s="395"/>
      <c r="M35" s="395"/>
      <c r="N35" s="395"/>
      <c r="O35" s="399" t="s">
        <v>1176</v>
      </c>
      <c r="Q35" s="246"/>
      <c r="S35" s="513">
        <v>1</v>
      </c>
      <c r="T35" s="514" t="s">
        <v>1052</v>
      </c>
      <c r="U35" s="515" t="s">
        <v>1055</v>
      </c>
      <c r="V35" s="532">
        <f>-'BS &amp; P&amp;L INC '!H89</f>
        <v>579444.47640000284</v>
      </c>
      <c r="W35" s="516"/>
      <c r="X35" s="514"/>
      <c r="Y35" s="514"/>
      <c r="Z35" s="514"/>
      <c r="AA35" s="517" t="s">
        <v>1056</v>
      </c>
    </row>
    <row r="36" spans="1:27" ht="12.75" customHeight="1">
      <c r="A36" s="444" t="s">
        <v>1197</v>
      </c>
      <c r="B36" s="400"/>
      <c r="C36" s="401" t="s">
        <v>1057</v>
      </c>
      <c r="D36" s="401"/>
      <c r="E36" s="402">
        <v>79999</v>
      </c>
      <c r="F36" s="356" t="str">
        <f>VLOOKUP(E36,'TB LTD 12.21'!D:E,2,0)</f>
        <v>הוצאות לשלם</v>
      </c>
      <c r="G36" s="309"/>
      <c r="H36" s="625">
        <f>G37+G38+G39</f>
        <v>13720.37037037037</v>
      </c>
      <c r="I36" s="401"/>
      <c r="J36" s="403"/>
      <c r="K36" s="309">
        <f>J37+J38+J39</f>
        <v>42670.351851851854</v>
      </c>
      <c r="L36" s="401"/>
      <c r="M36" s="401"/>
      <c r="N36" s="401"/>
      <c r="O36" s="404"/>
      <c r="Q36" s="246"/>
      <c r="S36" s="518"/>
      <c r="T36" s="519" t="s">
        <v>1057</v>
      </c>
      <c r="U36" s="520" t="s">
        <v>1058</v>
      </c>
      <c r="V36" s="521"/>
      <c r="W36" s="521">
        <f>V35</f>
        <v>579444.47640000284</v>
      </c>
      <c r="X36" s="519"/>
      <c r="Y36" s="519"/>
      <c r="Z36" s="519"/>
      <c r="AA36" s="522"/>
    </row>
    <row r="37" spans="1:27" ht="12.75" customHeight="1" thickBot="1">
      <c r="B37" s="400"/>
      <c r="C37" s="401" t="s">
        <v>1052</v>
      </c>
      <c r="D37" s="401"/>
      <c r="E37" s="402">
        <v>22003</v>
      </c>
      <c r="F37" s="356" t="str">
        <f>VLOOKUP(E37,'TB LTD 12.21'!D:E,2,0)</f>
        <v>ריבית הלוואה ראשונה SVB 800K-$ (1100493372)</v>
      </c>
      <c r="G37" s="635">
        <v>2612.0370370370401</v>
      </c>
      <c r="H37" s="309"/>
      <c r="I37" s="401"/>
      <c r="J37" s="403">
        <f>G37*$N$2</f>
        <v>8123.4351851851943</v>
      </c>
      <c r="K37" s="403"/>
      <c r="L37" s="401"/>
      <c r="M37" s="401"/>
      <c r="N37" s="401"/>
      <c r="O37" s="404"/>
      <c r="Q37" s="246"/>
      <c r="S37" s="523"/>
      <c r="T37" s="524"/>
      <c r="U37" s="525"/>
      <c r="V37" s="524"/>
      <c r="W37" s="524"/>
      <c r="X37" s="524"/>
      <c r="Y37" s="524"/>
      <c r="Z37" s="524"/>
      <c r="AA37" s="526"/>
    </row>
    <row r="38" spans="1:27" ht="12.75" customHeight="1">
      <c r="B38" s="400"/>
      <c r="C38" s="401" t="s">
        <v>1052</v>
      </c>
      <c r="D38" s="401"/>
      <c r="E38" s="402">
        <v>22004</v>
      </c>
      <c r="F38" s="356" t="str">
        <f>VLOOKUP(E38,'TB LTD 12.21'!D:E,2,0)</f>
        <v>ריבית הלוואה שניה SVB 800K-$ (1100501685)</v>
      </c>
      <c r="G38" s="631">
        <v>3358.3333333333298</v>
      </c>
      <c r="H38" s="322"/>
      <c r="I38" s="401"/>
      <c r="J38" s="403">
        <f t="shared" ref="J38:J39" si="0">G38*$N$2</f>
        <v>10444.416666666655</v>
      </c>
      <c r="K38" s="403"/>
      <c r="L38" s="401"/>
      <c r="M38" s="401"/>
      <c r="N38" s="401"/>
      <c r="O38" s="404"/>
      <c r="Q38" s="246"/>
    </row>
    <row r="39" spans="1:27" ht="12.75" customHeight="1">
      <c r="B39" s="488"/>
      <c r="C39" s="401" t="s">
        <v>1052</v>
      </c>
      <c r="D39" s="401"/>
      <c r="E39" s="402">
        <v>22005</v>
      </c>
      <c r="F39" s="356" t="str">
        <f>VLOOKUP(E39,'TB LTD 12.21'!D:E,2,0)</f>
        <v>ריבית הלוואה שלישית  SVB 3M-NIS (1100514309)</v>
      </c>
      <c r="G39" s="618">
        <v>7750</v>
      </c>
      <c r="H39" s="323"/>
      <c r="I39" s="323"/>
      <c r="J39" s="403">
        <f t="shared" si="0"/>
        <v>24102.5</v>
      </c>
      <c r="K39" s="401"/>
      <c r="L39" s="401"/>
      <c r="M39" s="401"/>
      <c r="N39" s="323"/>
      <c r="O39" s="489"/>
      <c r="Q39" s="246"/>
    </row>
    <row r="40" spans="1:27" ht="12.75" customHeight="1" thickBot="1">
      <c r="B40" s="490"/>
      <c r="C40" s="486"/>
      <c r="D40" s="486"/>
      <c r="E40" s="406"/>
      <c r="F40" s="486"/>
      <c r="G40" s="486"/>
      <c r="H40" s="486"/>
      <c r="I40" s="486"/>
      <c r="J40" s="486"/>
      <c r="K40" s="406"/>
      <c r="L40" s="406"/>
      <c r="M40" s="406"/>
      <c r="N40" s="486"/>
      <c r="O40" s="491"/>
      <c r="Q40" s="246"/>
    </row>
    <row r="41" spans="1:27" ht="12.75" customHeight="1" thickBot="1">
      <c r="E41" s="2"/>
      <c r="K41" s="2"/>
      <c r="L41" s="2"/>
      <c r="M41" s="2"/>
      <c r="Q41" s="246"/>
    </row>
    <row r="42" spans="1:27" ht="12.75" customHeight="1">
      <c r="B42" s="394">
        <v>6</v>
      </c>
      <c r="C42" s="395" t="s">
        <v>1052</v>
      </c>
      <c r="D42" s="395"/>
      <c r="E42" s="396">
        <v>300006</v>
      </c>
      <c r="F42" s="397" t="str">
        <f>VLOOKUP(E42,'TB LTD 12.21'!D:E,2,0)</f>
        <v>אוריאל בכר - ספק יעוץ</v>
      </c>
      <c r="G42" s="482"/>
      <c r="H42" s="624">
        <v>35980.71</v>
      </c>
      <c r="I42" s="395"/>
      <c r="J42" s="398"/>
      <c r="K42" s="398">
        <v>111900</v>
      </c>
      <c r="L42" s="395"/>
      <c r="M42" s="395"/>
      <c r="N42" s="395"/>
      <c r="O42" s="399" t="s">
        <v>1177</v>
      </c>
      <c r="Q42" s="246"/>
    </row>
    <row r="43" spans="1:27" ht="12.75" customHeight="1">
      <c r="B43" s="400"/>
      <c r="C43" s="401" t="s">
        <v>1057</v>
      </c>
      <c r="D43" s="401"/>
      <c r="E43" s="402">
        <v>20090</v>
      </c>
      <c r="F43" s="356" t="str">
        <f>VLOOKUP(E43,'TB LTD 12.21'!D:E,2,0)</f>
        <v>ייעוץ מקצועי- הנהלה וכלליות</v>
      </c>
      <c r="G43" s="631">
        <f>H42</f>
        <v>35980.71</v>
      </c>
      <c r="H43" s="309"/>
      <c r="I43" s="401"/>
      <c r="J43" s="403">
        <f>K42</f>
        <v>111900</v>
      </c>
      <c r="K43" s="403"/>
      <c r="L43" s="401"/>
      <c r="M43" s="401"/>
      <c r="N43" s="401"/>
      <c r="O43" s="404"/>
      <c r="Q43" s="246"/>
    </row>
    <row r="44" spans="1:27" ht="12.75" customHeight="1">
      <c r="A44" s="444" t="s">
        <v>1197</v>
      </c>
      <c r="B44" s="400"/>
      <c r="C44" s="401"/>
      <c r="D44" s="401"/>
      <c r="E44" s="401"/>
      <c r="F44" s="356"/>
      <c r="G44" s="309"/>
      <c r="H44" s="309"/>
      <c r="I44" s="401"/>
      <c r="J44" s="403"/>
      <c r="K44" s="403"/>
      <c r="L44" s="401"/>
      <c r="M44" s="401"/>
      <c r="N44" s="401"/>
      <c r="O44" s="404"/>
      <c r="Q44" s="246"/>
    </row>
    <row r="45" spans="1:27" ht="12.75" customHeight="1" thickBot="1">
      <c r="B45" s="405"/>
      <c r="C45" s="406"/>
      <c r="D45" s="406"/>
      <c r="E45" s="406"/>
      <c r="F45" s="407"/>
      <c r="G45" s="484"/>
      <c r="H45" s="484"/>
      <c r="I45" s="406"/>
      <c r="J45" s="408"/>
      <c r="K45" s="408"/>
      <c r="L45" s="406"/>
      <c r="M45" s="406"/>
      <c r="N45" s="406"/>
      <c r="O45" s="409"/>
      <c r="Q45" s="246"/>
    </row>
    <row r="46" spans="1:27" ht="15" customHeight="1" thickBot="1"/>
    <row r="47" spans="1:27" ht="12.75" customHeight="1">
      <c r="B47" s="394">
        <v>7</v>
      </c>
      <c r="C47" s="395" t="s">
        <v>1052</v>
      </c>
      <c r="D47" s="395"/>
      <c r="E47" s="396">
        <v>79998</v>
      </c>
      <c r="F47" s="397" t="str">
        <f>VLOOKUP(E47,'TB LTD 12.21'!D:E,2,0)</f>
        <v>Net cash balance -LIABILITIES</v>
      </c>
      <c r="G47" s="482"/>
      <c r="H47" s="624">
        <f>G48</f>
        <v>225333</v>
      </c>
      <c r="I47" s="395"/>
      <c r="J47" s="398"/>
      <c r="K47" s="398">
        <f>H47*N2</f>
        <v>700785.63</v>
      </c>
      <c r="L47" s="395"/>
      <c r="M47" s="395"/>
      <c r="N47" s="395"/>
      <c r="O47" s="399" t="s">
        <v>1187</v>
      </c>
      <c r="Q47" s="246"/>
    </row>
    <row r="48" spans="1:27" ht="12.75" customHeight="1">
      <c r="B48" s="400"/>
      <c r="C48" s="401" t="s">
        <v>1057</v>
      </c>
      <c r="D48" s="401"/>
      <c r="E48" s="402">
        <v>4007</v>
      </c>
      <c r="F48" s="356" t="str">
        <f>VLOOKUP(E48,'TB LTD 12.21'!D:E,2,0)</f>
        <v>Income - net cash balance</v>
      </c>
      <c r="G48" s="631">
        <v>225333</v>
      </c>
      <c r="H48" s="309"/>
      <c r="I48" s="401"/>
      <c r="J48" s="403">
        <f>K47</f>
        <v>700785.63</v>
      </c>
      <c r="K48" s="403"/>
      <c r="L48" s="401"/>
      <c r="M48" s="401"/>
      <c r="N48" s="401"/>
      <c r="O48" s="404"/>
      <c r="Q48" s="246"/>
    </row>
    <row r="49" spans="1:17" ht="12.75" customHeight="1">
      <c r="A49" s="444" t="s">
        <v>1197</v>
      </c>
      <c r="B49" s="400"/>
      <c r="C49" s="401"/>
      <c r="D49" s="401"/>
      <c r="E49" s="401"/>
      <c r="F49" s="356"/>
      <c r="G49" s="309"/>
      <c r="H49" s="309"/>
      <c r="I49" s="401"/>
      <c r="J49" s="403"/>
      <c r="K49" s="403"/>
      <c r="L49" s="401"/>
      <c r="M49" s="401"/>
      <c r="N49" s="401"/>
      <c r="O49" s="404"/>
      <c r="Q49" s="246"/>
    </row>
    <row r="50" spans="1:17" ht="12.75" customHeight="1" thickBot="1">
      <c r="B50" s="405"/>
      <c r="C50" s="406"/>
      <c r="D50" s="406"/>
      <c r="E50" s="406"/>
      <c r="F50" s="407"/>
      <c r="G50" s="484"/>
      <c r="H50" s="484"/>
      <c r="I50" s="406"/>
      <c r="J50" s="408"/>
      <c r="K50" s="408"/>
      <c r="L50" s="406"/>
      <c r="M50" s="406"/>
      <c r="N50" s="406"/>
      <c r="O50" s="409"/>
      <c r="Q50" s="246"/>
    </row>
    <row r="51" spans="1:17" ht="12.75" customHeight="1">
      <c r="E51" s="2"/>
      <c r="F51" s="450"/>
      <c r="J51" s="450"/>
      <c r="K51" s="2"/>
      <c r="L51" s="2"/>
      <c r="M51" s="2"/>
      <c r="Q51" s="246"/>
    </row>
    <row r="52" spans="1:17" ht="12.75" customHeight="1" thickBot="1">
      <c r="E52" s="2"/>
      <c r="F52" s="450"/>
      <c r="J52" s="450"/>
      <c r="K52" s="2"/>
      <c r="L52" s="2"/>
      <c r="M52" s="2"/>
      <c r="Q52" s="246"/>
    </row>
    <row r="53" spans="1:17" ht="12.75" customHeight="1">
      <c r="B53" s="248">
        <v>8</v>
      </c>
      <c r="C53" s="188" t="s">
        <v>1052</v>
      </c>
      <c r="D53" s="188"/>
      <c r="E53" s="188"/>
      <c r="F53" s="249" t="s">
        <v>1059</v>
      </c>
      <c r="G53" s="626">
        <f>H54+H55</f>
        <v>579445.07639999909</v>
      </c>
      <c r="H53" s="479"/>
      <c r="I53" s="188"/>
      <c r="J53" s="250">
        <f>G53*N3</f>
        <v>1871201.985218517</v>
      </c>
      <c r="K53" s="250"/>
      <c r="L53" s="188"/>
      <c r="M53" s="188"/>
      <c r="N53" s="188"/>
      <c r="O53" s="190" t="s">
        <v>1060</v>
      </c>
      <c r="P53">
        <f>J53/G53</f>
        <v>3.2292999999999998</v>
      </c>
      <c r="Q53" s="246"/>
    </row>
    <row r="54" spans="1:17" ht="12.75" customHeight="1">
      <c r="A54" s="444" t="s">
        <v>1197</v>
      </c>
      <c r="B54" s="252"/>
      <c r="C54" s="2" t="s">
        <v>1057</v>
      </c>
      <c r="D54" s="2"/>
      <c r="E54" s="2"/>
      <c r="F54" s="59" t="s">
        <v>1061</v>
      </c>
      <c r="G54" s="19"/>
      <c r="H54" s="630">
        <f>-'BS &amp; P&amp;L INC '!N86</f>
        <v>546352.16389999911</v>
      </c>
      <c r="I54" s="2"/>
      <c r="J54" s="140"/>
      <c r="K54" s="140">
        <f>H54*N3</f>
        <v>1764335.0428822672</v>
      </c>
      <c r="L54" s="2"/>
      <c r="M54" s="2"/>
      <c r="N54" s="2"/>
      <c r="O54" s="192"/>
      <c r="Q54" s="246"/>
    </row>
    <row r="55" spans="1:17" ht="12.75" customHeight="1">
      <c r="B55" s="252"/>
      <c r="C55" s="2" t="s">
        <v>1057</v>
      </c>
      <c r="D55" s="2"/>
      <c r="E55" s="2"/>
      <c r="F55" s="59" t="s">
        <v>1062</v>
      </c>
      <c r="G55" s="19"/>
      <c r="H55" s="630">
        <f>-'BS &amp; P&amp;L INC '!N88</f>
        <v>33092.912499999991</v>
      </c>
      <c r="I55" s="2"/>
      <c r="J55" s="140"/>
      <c r="K55" s="140">
        <f>H55*N3</f>
        <v>106866.94233624997</v>
      </c>
      <c r="L55" s="2"/>
      <c r="M55" s="2"/>
      <c r="N55" s="2"/>
      <c r="O55" s="192"/>
      <c r="Q55" s="246"/>
    </row>
    <row r="56" spans="1:17" ht="12.75" customHeight="1">
      <c r="B56" s="252"/>
      <c r="C56" s="2"/>
      <c r="D56" s="2"/>
      <c r="E56" s="2"/>
      <c r="F56" s="37"/>
      <c r="G56" s="19"/>
      <c r="H56" s="19"/>
      <c r="I56" s="2"/>
      <c r="J56" s="140"/>
      <c r="K56" s="140"/>
      <c r="L56" s="2"/>
      <c r="M56" s="2"/>
      <c r="N56" s="2"/>
      <c r="O56" s="192"/>
      <c r="Q56" s="246"/>
    </row>
    <row r="57" spans="1:17" ht="12.75" customHeight="1" thickBot="1">
      <c r="B57" s="254"/>
      <c r="C57" s="255"/>
      <c r="D57" s="255"/>
      <c r="E57" s="255"/>
      <c r="F57" s="256"/>
      <c r="G57" s="480"/>
      <c r="H57" s="480"/>
      <c r="I57" s="255"/>
      <c r="J57" s="257"/>
      <c r="K57" s="257"/>
      <c r="L57" s="255"/>
      <c r="M57" s="255"/>
      <c r="N57" s="255"/>
      <c r="O57" s="258"/>
      <c r="Q57" s="246"/>
    </row>
    <row r="58" spans="1:17" ht="12.75" customHeight="1" thickBot="1">
      <c r="E58" s="2"/>
      <c r="K58" s="2"/>
      <c r="L58" s="2"/>
      <c r="M58" s="2"/>
      <c r="Q58" s="246"/>
    </row>
    <row r="59" spans="1:17" ht="12.75" customHeight="1">
      <c r="B59" s="248">
        <v>9</v>
      </c>
      <c r="C59" s="188" t="s">
        <v>1052</v>
      </c>
      <c r="D59" s="188"/>
      <c r="E59" s="259" t="s">
        <v>813</v>
      </c>
      <c r="F59" s="259">
        <v>25000</v>
      </c>
      <c r="G59" s="626">
        <f>-'BS &amp; P&amp;L INC '!I82</f>
        <v>93880.666399985552</v>
      </c>
      <c r="H59" s="479"/>
      <c r="I59" s="188"/>
      <c r="J59" s="250">
        <f>G59*N3</f>
        <v>303168.83600547333</v>
      </c>
      <c r="K59" s="250"/>
      <c r="L59" s="188"/>
      <c r="M59" s="188"/>
      <c r="N59" s="188"/>
      <c r="O59" s="190" t="s">
        <v>1063</v>
      </c>
      <c r="Q59" s="246"/>
    </row>
    <row r="60" spans="1:17" ht="12.75" customHeight="1">
      <c r="B60" s="252"/>
      <c r="C60" s="2" t="s">
        <v>1057</v>
      </c>
      <c r="D60" s="2"/>
      <c r="E60" s="2" t="s">
        <v>1064</v>
      </c>
      <c r="F60" s="55">
        <v>3334</v>
      </c>
      <c r="G60" s="19"/>
      <c r="H60" s="630">
        <f>G59</f>
        <v>93880.666399985552</v>
      </c>
      <c r="I60" s="2"/>
      <c r="J60" s="140"/>
      <c r="K60" s="140">
        <f>H60*N3</f>
        <v>303168.83600547333</v>
      </c>
      <c r="L60" s="2"/>
      <c r="M60" s="2"/>
      <c r="N60" s="2"/>
      <c r="O60" s="192"/>
      <c r="Q60" s="246"/>
    </row>
    <row r="61" spans="1:17" ht="12.75" customHeight="1" thickBot="1">
      <c r="B61" s="254"/>
      <c r="C61" s="255"/>
      <c r="D61" s="255"/>
      <c r="E61" s="255"/>
      <c r="F61" s="256"/>
      <c r="G61" s="255"/>
      <c r="H61" s="255"/>
      <c r="I61" s="255"/>
      <c r="J61" s="257"/>
      <c r="K61" s="257"/>
      <c r="L61" s="255"/>
      <c r="M61" s="255"/>
      <c r="N61" s="255"/>
      <c r="O61" s="258"/>
      <c r="Q61" s="246"/>
    </row>
    <row r="62" spans="1:17" ht="12.75" customHeight="1" thickBot="1">
      <c r="E62" s="2"/>
      <c r="K62" s="2"/>
      <c r="L62" s="2"/>
      <c r="M62" s="2"/>
      <c r="Q62" s="246"/>
    </row>
    <row r="63" spans="1:17" ht="12.75" customHeight="1">
      <c r="B63" s="248">
        <v>10</v>
      </c>
      <c r="C63" s="188" t="s">
        <v>1052</v>
      </c>
      <c r="D63" s="188"/>
      <c r="E63" s="188"/>
      <c r="F63" s="249"/>
      <c r="G63" s="478"/>
      <c r="H63" s="479"/>
      <c r="I63" s="188"/>
      <c r="J63" s="250"/>
      <c r="K63" s="250"/>
      <c r="L63" s="188"/>
      <c r="M63" s="188"/>
      <c r="N63" s="188"/>
      <c r="O63" s="190" t="s">
        <v>1060</v>
      </c>
      <c r="Q63" s="246"/>
    </row>
    <row r="64" spans="1:17" ht="12.75" customHeight="1">
      <c r="B64" s="252"/>
      <c r="C64" s="2" t="s">
        <v>1057</v>
      </c>
      <c r="D64" s="2"/>
      <c r="E64" s="402">
        <v>51009</v>
      </c>
      <c r="F64" s="356" t="str">
        <f>VLOOKUP(E64,'TB LTD 12.21'!D:E,2,0)</f>
        <v>PAPAYA GAMING INC</v>
      </c>
      <c r="G64" s="627">
        <f>V31</f>
        <v>5389318.1997870803</v>
      </c>
      <c r="H64" s="19"/>
      <c r="I64" s="2"/>
      <c r="J64" s="140">
        <f>G64*N3</f>
        <v>17403725.262572419</v>
      </c>
      <c r="K64" s="140"/>
      <c r="L64" s="2"/>
      <c r="M64" s="2"/>
      <c r="N64" s="2"/>
      <c r="O64" s="192"/>
      <c r="P64">
        <f>J64/G64</f>
        <v>3.2293000000000003</v>
      </c>
    </row>
    <row r="65" spans="2:15" ht="12.75" customHeight="1">
      <c r="B65" s="252"/>
      <c r="C65" s="2" t="s">
        <v>1057</v>
      </c>
      <c r="D65" s="2"/>
      <c r="E65" s="2"/>
      <c r="F65" s="59" t="s">
        <v>1198</v>
      </c>
      <c r="G65" s="19"/>
      <c r="H65" s="630">
        <f>G64</f>
        <v>5389318.1997870803</v>
      </c>
      <c r="I65" s="2"/>
      <c r="J65" s="140"/>
      <c r="K65" s="140">
        <f>J64</f>
        <v>17403725.262572419</v>
      </c>
      <c r="L65" s="2"/>
      <c r="M65" s="2"/>
      <c r="N65" s="2"/>
      <c r="O65" s="192"/>
    </row>
    <row r="66" spans="2:15" ht="12.75" customHeight="1">
      <c r="B66" s="252"/>
      <c r="C66" s="2"/>
      <c r="D66" s="2"/>
      <c r="E66" s="2"/>
      <c r="F66" s="37"/>
      <c r="G66" s="19"/>
      <c r="H66" s="19"/>
      <c r="I66" s="2"/>
      <c r="J66" s="140"/>
      <c r="K66" s="140"/>
      <c r="L66" s="2"/>
      <c r="M66" s="2"/>
      <c r="N66" s="2"/>
      <c r="O66" s="192"/>
    </row>
    <row r="67" spans="2:15" ht="12.75" customHeight="1" thickBot="1">
      <c r="B67" s="254"/>
      <c r="C67" s="255"/>
      <c r="D67" s="255"/>
      <c r="E67" s="255"/>
      <c r="F67" s="256"/>
      <c r="G67" s="480"/>
      <c r="H67" s="480"/>
      <c r="I67" s="255"/>
      <c r="J67" s="257"/>
      <c r="K67" s="257"/>
      <c r="L67" s="255"/>
      <c r="M67" s="255"/>
      <c r="N67" s="255"/>
      <c r="O67" s="258"/>
    </row>
    <row r="68" spans="2:15" ht="12.75" customHeight="1" thickBot="1">
      <c r="E68" s="2"/>
      <c r="K68" s="2"/>
      <c r="L68" s="2"/>
      <c r="M68" s="2"/>
    </row>
    <row r="69" spans="2:15" ht="12.75" customHeight="1">
      <c r="B69" s="539"/>
      <c r="C69" s="487"/>
      <c r="D69" s="487"/>
      <c r="E69" s="395"/>
      <c r="F69" s="487"/>
      <c r="G69" s="487"/>
      <c r="H69" s="487"/>
      <c r="I69" s="487"/>
      <c r="J69" s="487"/>
      <c r="K69" s="487"/>
      <c r="L69" s="395"/>
      <c r="M69" s="395"/>
      <c r="N69" s="487"/>
      <c r="O69" s="540" t="s">
        <v>1208</v>
      </c>
    </row>
    <row r="70" spans="2:15" ht="12.75" customHeight="1">
      <c r="B70" s="488"/>
      <c r="C70" s="323"/>
      <c r="D70" s="323"/>
      <c r="E70" s="401"/>
      <c r="F70" s="59"/>
      <c r="G70" s="542"/>
      <c r="H70" s="542"/>
      <c r="I70" s="323"/>
      <c r="J70" s="140"/>
      <c r="K70" s="140"/>
      <c r="L70" s="401"/>
      <c r="M70" s="401"/>
      <c r="N70" s="323"/>
      <c r="O70" s="489"/>
    </row>
    <row r="71" spans="2:15" ht="12.75" customHeight="1">
      <c r="B71" s="488">
        <v>11</v>
      </c>
      <c r="C71" s="323" t="s">
        <v>1210</v>
      </c>
      <c r="D71" s="2"/>
      <c r="E71" s="401"/>
      <c r="F71" s="59" t="s">
        <v>1209</v>
      </c>
      <c r="G71" s="636">
        <v>1355.6410869294</v>
      </c>
      <c r="H71" s="542"/>
      <c r="I71" s="323"/>
      <c r="J71" s="140"/>
      <c r="K71" s="140"/>
      <c r="L71" s="401"/>
      <c r="M71" s="609"/>
      <c r="N71" s="323"/>
      <c r="O71" s="489"/>
    </row>
    <row r="72" spans="2:15" ht="12.75" customHeight="1">
      <c r="B72" s="488"/>
      <c r="C72" s="323" t="s">
        <v>1210</v>
      </c>
      <c r="D72" s="323"/>
      <c r="E72" s="545"/>
      <c r="F72" s="59" t="s">
        <v>1180</v>
      </c>
      <c r="G72" s="629">
        <v>409121.67068222899</v>
      </c>
      <c r="H72" s="542"/>
      <c r="I72" s="323"/>
      <c r="J72" s="140">
        <v>1306529.9038966768</v>
      </c>
      <c r="K72" s="140"/>
      <c r="L72" s="401"/>
      <c r="M72" s="401"/>
      <c r="N72" s="323"/>
      <c r="O72" s="489"/>
    </row>
    <row r="73" spans="2:15" ht="12.75" customHeight="1">
      <c r="B73" s="488"/>
      <c r="C73" s="2" t="s">
        <v>1057</v>
      </c>
      <c r="D73" s="2"/>
      <c r="E73" s="401"/>
      <c r="F73" s="59" t="s">
        <v>1207</v>
      </c>
      <c r="G73" s="542"/>
      <c r="H73" s="628">
        <v>385359.68776446173</v>
      </c>
      <c r="I73" s="323"/>
      <c r="J73" s="140"/>
      <c r="K73" s="140">
        <v>1196813.8184170271</v>
      </c>
      <c r="L73" s="401"/>
      <c r="M73" s="401"/>
      <c r="N73" s="323"/>
      <c r="O73" s="489"/>
    </row>
    <row r="74" spans="2:15" ht="12.75" customHeight="1">
      <c r="B74" s="488"/>
      <c r="C74" s="323" t="s">
        <v>1210</v>
      </c>
      <c r="D74" s="323"/>
      <c r="E74" s="401"/>
      <c r="F74" s="59" t="s">
        <v>448</v>
      </c>
      <c r="G74" s="633">
        <v>34860.775995303353</v>
      </c>
      <c r="H74" s="543"/>
      <c r="I74" s="323"/>
      <c r="J74" s="140">
        <v>76681.842903225799</v>
      </c>
      <c r="K74" s="140"/>
      <c r="L74" s="401"/>
      <c r="M74" s="401"/>
      <c r="N74" s="323"/>
      <c r="O74" s="489"/>
    </row>
    <row r="75" spans="2:15" ht="12.75" customHeight="1">
      <c r="B75" s="488"/>
      <c r="C75" s="2" t="s">
        <v>1057</v>
      </c>
      <c r="D75" s="323"/>
      <c r="E75" s="401"/>
      <c r="F75" s="59" t="s">
        <v>1252</v>
      </c>
      <c r="G75" s="542"/>
      <c r="H75" s="628">
        <v>59978.400000000001</v>
      </c>
      <c r="I75" s="323"/>
      <c r="J75" s="140"/>
      <c r="K75" s="140">
        <v>186398.21127209696</v>
      </c>
      <c r="L75" s="401"/>
      <c r="M75" s="401"/>
      <c r="N75" s="323"/>
      <c r="O75" s="489"/>
    </row>
    <row r="76" spans="2:15" ht="12.75" customHeight="1">
      <c r="B76" s="488"/>
      <c r="C76" s="323"/>
      <c r="D76" s="323"/>
      <c r="E76" s="401"/>
      <c r="F76" s="310"/>
      <c r="G76" s="542"/>
      <c r="H76" s="542"/>
      <c r="I76" s="323"/>
      <c r="J76" s="140"/>
      <c r="K76" s="140"/>
      <c r="L76" s="401"/>
      <c r="M76" s="401"/>
      <c r="N76" s="323"/>
      <c r="O76" s="489"/>
    </row>
    <row r="77" spans="2:15" ht="12.75" customHeight="1">
      <c r="B77" s="488"/>
      <c r="C77" s="323"/>
      <c r="D77" s="323"/>
      <c r="E77" s="401"/>
      <c r="F77" s="323"/>
      <c r="G77" s="544">
        <f>SUM(G70:G75)</f>
        <v>445338.08776446176</v>
      </c>
      <c r="H77" s="544">
        <f>SUM(H70:H75)</f>
        <v>445338.08776446176</v>
      </c>
      <c r="I77" s="323"/>
      <c r="J77" s="544">
        <f>SUM(J70:J75)</f>
        <v>1383211.7467999025</v>
      </c>
      <c r="K77" s="544">
        <f>SUM(K70:K75)</f>
        <v>1383212.0296891241</v>
      </c>
      <c r="L77" s="401"/>
      <c r="M77" s="401"/>
      <c r="N77" s="323"/>
      <c r="O77" s="489"/>
    </row>
    <row r="78" spans="2:15" ht="12.75" customHeight="1" thickBot="1">
      <c r="B78" s="490"/>
      <c r="C78" s="486"/>
      <c r="D78" s="486"/>
      <c r="E78" s="406"/>
      <c r="F78" s="486"/>
      <c r="G78" s="541"/>
      <c r="H78" s="486"/>
      <c r="I78" s="486"/>
      <c r="J78" s="486"/>
      <c r="K78" s="406"/>
      <c r="L78" s="406"/>
      <c r="M78" s="406"/>
      <c r="N78" s="486"/>
      <c r="O78" s="491"/>
    </row>
    <row r="79" spans="2:15" ht="12.75" customHeight="1" thickBot="1">
      <c r="E79" s="2"/>
      <c r="K79" s="2"/>
      <c r="L79" s="2"/>
      <c r="M79" s="2"/>
    </row>
    <row r="80" spans="2:15" ht="12.75" customHeight="1">
      <c r="B80" s="394">
        <v>12</v>
      </c>
      <c r="C80" s="395" t="s">
        <v>1052</v>
      </c>
      <c r="D80" s="395"/>
      <c r="E80" s="396"/>
      <c r="F80" s="548" t="s">
        <v>1191</v>
      </c>
      <c r="G80" s="482"/>
      <c r="H80" s="624">
        <f>V27</f>
        <v>4903754.3897870891</v>
      </c>
      <c r="I80" s="395"/>
      <c r="J80" s="398"/>
      <c r="K80" s="398">
        <f>H80*N2</f>
        <v>15250676.152237846</v>
      </c>
      <c r="L80" s="395"/>
      <c r="M80" s="395"/>
      <c r="N80" s="395"/>
      <c r="O80" s="399" t="s">
        <v>1271</v>
      </c>
    </row>
    <row r="81" spans="1:28" ht="12.75" customHeight="1">
      <c r="B81" s="400"/>
      <c r="C81" s="401" t="s">
        <v>1057</v>
      </c>
      <c r="D81" s="401"/>
      <c r="E81" s="402"/>
      <c r="F81" s="356" t="s">
        <v>1059</v>
      </c>
      <c r="G81" s="625">
        <f>H80</f>
        <v>4903754.3897870891</v>
      </c>
      <c r="H81" s="309"/>
      <c r="I81" s="401"/>
      <c r="J81" s="403">
        <f>K80</f>
        <v>15250676.152237846</v>
      </c>
      <c r="K81" s="403"/>
      <c r="L81" s="401"/>
      <c r="M81" s="401"/>
      <c r="N81" s="401"/>
      <c r="O81" s="404"/>
      <c r="P81" s="323">
        <v>3.2292999999999998</v>
      </c>
    </row>
    <row r="82" spans="1:28" ht="12.75" customHeight="1">
      <c r="B82" s="400"/>
      <c r="C82" s="401"/>
      <c r="D82" s="401"/>
      <c r="E82" s="401"/>
      <c r="F82" s="356"/>
      <c r="G82" s="309"/>
      <c r="H82" s="309"/>
      <c r="I82" s="401"/>
      <c r="J82" s="403"/>
      <c r="K82" s="403"/>
      <c r="L82" s="401"/>
      <c r="M82" s="401"/>
      <c r="N82" s="401"/>
      <c r="O82" s="404"/>
    </row>
    <row r="83" spans="1:28" ht="12.75" customHeight="1" thickBot="1">
      <c r="B83" s="405"/>
      <c r="C83" s="406"/>
      <c r="D83" s="406"/>
      <c r="E83" s="406"/>
      <c r="F83" s="407"/>
      <c r="G83" s="484"/>
      <c r="H83" s="484"/>
      <c r="I83" s="406"/>
      <c r="J83" s="408"/>
      <c r="K83" s="408"/>
      <c r="L83" s="406"/>
      <c r="M83" s="406"/>
      <c r="N83" s="406"/>
      <c r="O83" s="409"/>
    </row>
    <row r="84" spans="1:28" ht="12.75" customHeight="1" thickBot="1">
      <c r="E84" s="2"/>
      <c r="K84" s="2"/>
      <c r="L84" s="2"/>
      <c r="M84" s="2"/>
    </row>
    <row r="85" spans="1:28" ht="12.75" customHeight="1">
      <c r="B85" s="248">
        <v>13</v>
      </c>
      <c r="C85" s="188" t="s">
        <v>1052</v>
      </c>
      <c r="D85" s="188"/>
      <c r="E85" s="188">
        <v>90032</v>
      </c>
      <c r="F85" s="249" t="s">
        <v>1053</v>
      </c>
      <c r="G85" s="626">
        <v>2216041</v>
      </c>
      <c r="H85" s="479"/>
      <c r="I85" s="188"/>
      <c r="J85" s="478">
        <v>6939064</v>
      </c>
      <c r="K85" s="250"/>
      <c r="L85" s="188"/>
      <c r="M85" s="188"/>
      <c r="N85" s="188"/>
      <c r="O85" s="190" t="s">
        <v>1054</v>
      </c>
      <c r="Q85" s="246"/>
      <c r="S85" s="400"/>
      <c r="T85" s="401" t="s">
        <v>1057</v>
      </c>
      <c r="U85" s="511" t="s">
        <v>955</v>
      </c>
      <c r="V85" s="506"/>
      <c r="W85" s="507">
        <f>'BS &amp; P&amp;L INC '!F51</f>
        <v>34927</v>
      </c>
      <c r="X85" s="401"/>
      <c r="Y85" s="401"/>
      <c r="Z85" s="401"/>
      <c r="AA85" s="410"/>
      <c r="AB85" s="444" t="s">
        <v>1196</v>
      </c>
    </row>
    <row r="86" spans="1:28" ht="12.75" customHeight="1">
      <c r="B86" s="252"/>
      <c r="C86" s="2" t="s">
        <v>1057</v>
      </c>
      <c r="D86" s="2"/>
      <c r="E86" s="2" t="s">
        <v>1241</v>
      </c>
      <c r="F86" s="54" t="s">
        <v>1243</v>
      </c>
      <c r="G86" s="19"/>
      <c r="H86" s="627">
        <f>G85</f>
        <v>2216041</v>
      </c>
      <c r="I86" s="2"/>
      <c r="J86" s="140"/>
      <c r="K86" s="140">
        <f>J85</f>
        <v>6939064</v>
      </c>
      <c r="L86" s="2"/>
      <c r="M86" s="2"/>
      <c r="N86" s="2"/>
      <c r="O86" s="192"/>
      <c r="Q86" s="246"/>
      <c r="S86" s="400"/>
      <c r="T86" s="401" t="s">
        <v>1052</v>
      </c>
      <c r="U86" s="511" t="s">
        <v>946</v>
      </c>
      <c r="V86" s="506">
        <f>W8</f>
        <v>328087</v>
      </c>
      <c r="W86" s="507"/>
      <c r="X86" s="401"/>
      <c r="Y86" s="401"/>
      <c r="Z86" s="401"/>
      <c r="AA86" s="410"/>
    </row>
    <row r="87" spans="1:28" ht="12.75" customHeight="1" thickBot="1">
      <c r="A87" s="444"/>
      <c r="B87" s="254"/>
      <c r="C87" s="255"/>
      <c r="D87" s="255"/>
      <c r="E87" s="255"/>
      <c r="F87" s="256"/>
      <c r="G87" s="480"/>
      <c r="H87" s="480"/>
      <c r="I87" s="255"/>
      <c r="J87" s="257"/>
      <c r="K87" s="257"/>
      <c r="L87" s="255"/>
      <c r="M87" s="255"/>
      <c r="N87" s="255"/>
      <c r="O87" s="258"/>
      <c r="P87" s="473">
        <f>'AJE 2021'!G53-'AJE 2021'!H26-'AJE 2021'!G64+'AJE 2021'!G81</f>
        <v>-945636.64359999262</v>
      </c>
      <c r="Q87" s="246"/>
      <c r="S87" s="400"/>
      <c r="T87" s="401" t="s">
        <v>1052</v>
      </c>
      <c r="U87" s="511" t="s">
        <v>1188</v>
      </c>
      <c r="V87" s="506">
        <f>W85</f>
        <v>34927</v>
      </c>
      <c r="W87" s="507"/>
      <c r="X87" s="401"/>
      <c r="Y87" s="401"/>
      <c r="Z87" s="401"/>
      <c r="AA87" s="410"/>
    </row>
    <row r="88" spans="1:28" ht="12.75" customHeight="1" thickBot="1">
      <c r="E88" s="2"/>
      <c r="K88" s="2"/>
      <c r="L88" s="2"/>
      <c r="M88" s="2"/>
    </row>
    <row r="89" spans="1:28" ht="12.75" customHeight="1">
      <c r="B89" s="394">
        <v>14</v>
      </c>
      <c r="C89" s="395" t="s">
        <v>1052</v>
      </c>
      <c r="D89" s="395"/>
      <c r="E89" s="395" t="s">
        <v>1241</v>
      </c>
      <c r="F89" s="615" t="s">
        <v>1243</v>
      </c>
      <c r="G89" s="482">
        <f>J89/N2</f>
        <v>334087.45980707399</v>
      </c>
      <c r="H89" s="624">
        <f>K89/N2</f>
        <v>0</v>
      </c>
      <c r="I89" s="619"/>
      <c r="J89" s="623">
        <v>1039012</v>
      </c>
      <c r="K89" s="619"/>
      <c r="L89" s="619"/>
      <c r="M89" s="395"/>
      <c r="N89" s="395"/>
      <c r="O89" s="399" t="s">
        <v>1233</v>
      </c>
    </row>
    <row r="90" spans="1:28" ht="12.75" customHeight="1">
      <c r="B90" s="400"/>
      <c r="C90" s="401" t="s">
        <v>1057</v>
      </c>
      <c r="D90" s="401"/>
      <c r="E90" s="402">
        <v>24000</v>
      </c>
      <c r="F90" s="356" t="str">
        <f>VLOOKUP(E90,'TB LTD 12.21'!D:E,2,0)</f>
        <v>הוצאות מס</v>
      </c>
      <c r="G90" s="631">
        <f>H89</f>
        <v>0</v>
      </c>
      <c r="H90" s="309">
        <f>G89</f>
        <v>334087.45980707399</v>
      </c>
      <c r="I90" s="620"/>
      <c r="J90" s="620">
        <f>K89</f>
        <v>0</v>
      </c>
      <c r="K90" s="620">
        <f>J89</f>
        <v>1039012</v>
      </c>
      <c r="L90" s="620"/>
      <c r="M90" s="401"/>
      <c r="N90" s="401"/>
      <c r="O90" s="404"/>
    </row>
    <row r="91" spans="1:28" ht="12.75" customHeight="1">
      <c r="B91" s="400"/>
      <c r="C91" s="401"/>
      <c r="D91" s="401"/>
      <c r="E91" s="401"/>
      <c r="F91" s="356"/>
      <c r="G91" s="309"/>
      <c r="H91" s="309"/>
      <c r="I91" s="620"/>
      <c r="J91" s="620"/>
      <c r="K91" s="620"/>
      <c r="L91" s="620"/>
      <c r="M91" s="401"/>
      <c r="N91" s="401"/>
      <c r="O91" s="404"/>
    </row>
    <row r="92" spans="1:28" ht="12.75" customHeight="1" thickBot="1">
      <c r="B92" s="405"/>
      <c r="C92" s="406"/>
      <c r="D92" s="406"/>
      <c r="E92" s="406"/>
      <c r="F92" s="407"/>
      <c r="G92" s="484"/>
      <c r="H92" s="484"/>
      <c r="I92" s="621"/>
      <c r="J92" s="621"/>
      <c r="K92" s="621"/>
      <c r="L92" s="621"/>
      <c r="M92" s="406"/>
      <c r="N92" s="406"/>
      <c r="O92" s="409"/>
    </row>
    <row r="93" spans="1:28" ht="12.75" customHeight="1" thickBot="1">
      <c r="E93" s="2"/>
      <c r="I93" s="450"/>
      <c r="J93" s="622"/>
      <c r="K93" s="604"/>
      <c r="L93" s="604"/>
      <c r="M93" s="2"/>
    </row>
    <row r="94" spans="1:28" ht="12.75" customHeight="1">
      <c r="B94" s="394">
        <v>15</v>
      </c>
      <c r="C94" s="395" t="s">
        <v>1052</v>
      </c>
      <c r="D94" s="395"/>
      <c r="E94" s="188">
        <v>90032</v>
      </c>
      <c r="F94" s="249" t="s">
        <v>1053</v>
      </c>
      <c r="G94" s="624">
        <v>490118.03045432811</v>
      </c>
      <c r="H94" s="482">
        <f>G95</f>
        <v>0</v>
      </c>
      <c r="I94" s="619"/>
      <c r="J94" s="623">
        <f>K95</f>
        <v>1481116.7226185587</v>
      </c>
      <c r="K94" s="619"/>
      <c r="L94" s="619"/>
      <c r="M94" s="395"/>
      <c r="N94" s="395"/>
      <c r="O94" s="399" t="s">
        <v>1242</v>
      </c>
    </row>
    <row r="95" spans="1:28" ht="12.75" customHeight="1">
      <c r="B95" s="400"/>
      <c r="C95" s="401" t="s">
        <v>1057</v>
      </c>
      <c r="D95" s="401"/>
      <c r="E95" s="402">
        <v>24000</v>
      </c>
      <c r="F95" s="356" t="str">
        <f>VLOOKUP(E95,'TB LTD 12.21'!D:E,2,0)</f>
        <v>הוצאות מס</v>
      </c>
      <c r="G95" s="309"/>
      <c r="H95" s="631">
        <f>G94</f>
        <v>490118.03045432811</v>
      </c>
      <c r="I95" s="620"/>
      <c r="J95" s="620"/>
      <c r="K95" s="620">
        <v>1481116.7226185587</v>
      </c>
      <c r="L95" s="620"/>
      <c r="M95" s="401"/>
      <c r="N95" s="401"/>
      <c r="O95" s="404"/>
    </row>
    <row r="96" spans="1:28" ht="12.75" customHeight="1">
      <c r="B96" s="400"/>
      <c r="C96" s="401"/>
      <c r="D96" s="401"/>
      <c r="E96" s="401"/>
      <c r="F96" s="356"/>
      <c r="G96" s="309"/>
      <c r="H96" s="309"/>
      <c r="I96" s="620"/>
      <c r="J96" s="620"/>
      <c r="K96" s="620"/>
      <c r="L96" s="620"/>
      <c r="M96" s="401"/>
      <c r="N96" s="401"/>
      <c r="O96" s="404"/>
    </row>
    <row r="97" spans="1:17" ht="12.75" customHeight="1" thickBot="1">
      <c r="B97" s="405"/>
      <c r="C97" s="406"/>
      <c r="D97" s="406"/>
      <c r="E97" s="406"/>
      <c r="F97" s="407"/>
      <c r="G97" s="484"/>
      <c r="H97" s="484"/>
      <c r="I97" s="621"/>
      <c r="J97" s="621"/>
      <c r="K97" s="621"/>
      <c r="L97" s="621"/>
      <c r="M97" s="406"/>
      <c r="N97" s="406"/>
      <c r="O97" s="409"/>
    </row>
    <row r="98" spans="1:17" ht="12.75" customHeight="1" thickBot="1">
      <c r="E98" s="2"/>
      <c r="I98" s="450"/>
      <c r="J98" s="450"/>
      <c r="K98" s="600"/>
      <c r="L98" s="600"/>
      <c r="M98" s="2"/>
    </row>
    <row r="99" spans="1:17" ht="12.75" customHeight="1">
      <c r="B99" s="394">
        <v>16</v>
      </c>
      <c r="C99" s="395" t="s">
        <v>1052</v>
      </c>
      <c r="D99" s="395"/>
      <c r="E99" s="396">
        <v>24000</v>
      </c>
      <c r="F99" s="397" t="str">
        <f>VLOOKUP(E99,'TB LTD 12.21'!D:E,2,0)</f>
        <v>הוצאות מס</v>
      </c>
      <c r="G99" s="482"/>
      <c r="H99" s="634">
        <v>12133</v>
      </c>
      <c r="I99" s="619"/>
      <c r="J99" s="612"/>
      <c r="K99" s="619">
        <v>41768</v>
      </c>
      <c r="L99" s="619"/>
      <c r="M99" s="395"/>
      <c r="N99" s="395"/>
      <c r="O99" s="399" t="s">
        <v>1232</v>
      </c>
      <c r="Q99" s="246"/>
    </row>
    <row r="100" spans="1:17" ht="12.75" customHeight="1">
      <c r="B100" s="400"/>
      <c r="C100" s="401" t="s">
        <v>1057</v>
      </c>
      <c r="D100" s="401"/>
      <c r="E100" s="402">
        <v>50006</v>
      </c>
      <c r="F100" s="356" t="str">
        <f>VLOOKUP(E100,'TB LTD 12.21'!D:E,2,0)</f>
        <v>מקדמות בשל הוצאות עודפות 2020</v>
      </c>
      <c r="G100" s="625">
        <v>12133</v>
      </c>
      <c r="H100" s="309">
        <f>G99</f>
        <v>0</v>
      </c>
      <c r="I100" s="620"/>
      <c r="J100" s="620">
        <f>K99</f>
        <v>41768</v>
      </c>
      <c r="K100" s="620"/>
      <c r="L100" s="620"/>
      <c r="M100" s="401"/>
      <c r="N100" s="401"/>
      <c r="O100" s="404"/>
      <c r="Q100" s="246"/>
    </row>
    <row r="101" spans="1:17" ht="12.75" customHeight="1">
      <c r="A101" s="444"/>
      <c r="B101" s="400"/>
      <c r="C101" s="401"/>
      <c r="D101" s="401"/>
      <c r="E101" s="401"/>
      <c r="F101" s="356"/>
      <c r="G101" s="309"/>
      <c r="H101" s="309"/>
      <c r="I101" s="620"/>
      <c r="J101" s="620"/>
      <c r="K101" s="620"/>
      <c r="L101" s="620"/>
      <c r="M101" s="401"/>
      <c r="N101" s="401"/>
      <c r="O101" s="404"/>
      <c r="Q101" s="246"/>
    </row>
    <row r="102" spans="1:17" ht="12.75" customHeight="1" thickBot="1">
      <c r="B102" s="405"/>
      <c r="C102" s="406"/>
      <c r="D102" s="406"/>
      <c r="E102" s="406"/>
      <c r="F102" s="407"/>
      <c r="G102" s="484"/>
      <c r="H102" s="484"/>
      <c r="I102" s="621"/>
      <c r="J102" s="621"/>
      <c r="K102" s="621"/>
      <c r="L102" s="621"/>
      <c r="M102" s="406"/>
      <c r="N102" s="406"/>
      <c r="O102" s="409"/>
      <c r="Q102" s="246"/>
    </row>
    <row r="103" spans="1:17" ht="12.75" customHeight="1" thickBot="1">
      <c r="E103" s="2"/>
      <c r="I103" s="622"/>
      <c r="J103" s="450"/>
      <c r="K103" s="600"/>
      <c r="L103" s="600"/>
      <c r="M103" s="2"/>
      <c r="Q103" s="246"/>
    </row>
    <row r="104" spans="1:17" ht="12.75" customHeight="1">
      <c r="B104" s="394">
        <v>16</v>
      </c>
      <c r="C104" s="395" t="s">
        <v>1052</v>
      </c>
      <c r="D104" s="395"/>
      <c r="E104" s="396"/>
      <c r="F104" s="397" t="s">
        <v>1286</v>
      </c>
      <c r="G104" s="624">
        <v>1596966.82</v>
      </c>
      <c r="H104" s="482"/>
      <c r="I104" s="619"/>
      <c r="J104" s="612">
        <f>G104*$N$2</f>
        <v>4966566.8102000002</v>
      </c>
      <c r="K104" s="619"/>
      <c r="L104" s="619"/>
      <c r="M104" s="395"/>
      <c r="N104" s="395"/>
      <c r="O104" s="399" t="s">
        <v>1284</v>
      </c>
      <c r="Q104" s="262"/>
    </row>
    <row r="105" spans="1:17" ht="12.75" customHeight="1">
      <c r="B105" s="400"/>
      <c r="C105" s="401" t="s">
        <v>1057</v>
      </c>
      <c r="D105" s="401"/>
      <c r="E105" s="402"/>
      <c r="F105" s="356" t="s">
        <v>1285</v>
      </c>
      <c r="G105" s="309"/>
      <c r="H105" s="309">
        <f>G104</f>
        <v>1596966.82</v>
      </c>
      <c r="I105" s="620"/>
      <c r="J105" s="620"/>
      <c r="K105" s="620">
        <f>J104</f>
        <v>4966566.8102000002</v>
      </c>
      <c r="L105" s="620"/>
      <c r="M105" s="401"/>
      <c r="N105" s="401"/>
      <c r="O105" s="404"/>
      <c r="Q105" s="262"/>
    </row>
    <row r="106" spans="1:17" ht="12.75" customHeight="1">
      <c r="B106" s="400"/>
      <c r="C106" s="401"/>
      <c r="D106" s="401"/>
      <c r="E106" s="401"/>
      <c r="F106" s="356"/>
      <c r="G106" s="309"/>
      <c r="H106" s="309"/>
      <c r="I106" s="620"/>
      <c r="J106" s="620"/>
      <c r="K106" s="620"/>
      <c r="L106" s="620"/>
      <c r="M106" s="401"/>
      <c r="N106" s="401"/>
      <c r="O106" s="404"/>
      <c r="Q106" s="262"/>
    </row>
    <row r="107" spans="1:17" ht="12.75" customHeight="1" thickBot="1">
      <c r="B107" s="405"/>
      <c r="C107" s="406"/>
      <c r="D107" s="406"/>
      <c r="E107" s="406"/>
      <c r="F107" s="407"/>
      <c r="G107" s="484"/>
      <c r="H107" s="484"/>
      <c r="I107" s="621"/>
      <c r="J107" s="621"/>
      <c r="K107" s="621"/>
      <c r="L107" s="621"/>
      <c r="M107" s="406"/>
      <c r="N107" s="406"/>
      <c r="O107" s="409"/>
      <c r="Q107" s="262"/>
    </row>
    <row r="108" spans="1:17" ht="12.75" customHeight="1">
      <c r="E108" s="2"/>
      <c r="I108" s="622"/>
      <c r="J108" s="450"/>
      <c r="K108" s="600"/>
      <c r="L108" s="600"/>
      <c r="M108" s="2"/>
      <c r="Q108" s="262"/>
    </row>
    <row r="109" spans="1:17" ht="12.75" customHeight="1">
      <c r="E109" s="2"/>
      <c r="I109" s="622"/>
      <c r="J109" s="450"/>
      <c r="K109" s="600"/>
      <c r="L109" s="600"/>
      <c r="M109" s="2"/>
      <c r="Q109" s="262"/>
    </row>
    <row r="110" spans="1:17" ht="12.75" customHeight="1">
      <c r="E110" s="2"/>
      <c r="I110" s="622"/>
      <c r="J110" s="450"/>
      <c r="K110" s="600"/>
      <c r="L110" s="600"/>
      <c r="M110" s="2"/>
      <c r="Q110" s="262"/>
    </row>
    <row r="111" spans="1:17" ht="12.75" customHeight="1">
      <c r="E111" s="2"/>
      <c r="I111" s="622"/>
      <c r="J111" s="450"/>
      <c r="K111" s="600"/>
      <c r="L111" s="600"/>
      <c r="M111" s="2"/>
      <c r="Q111" s="262"/>
    </row>
    <row r="112" spans="1:17" ht="12.75" customHeight="1">
      <c r="E112" s="2"/>
      <c r="G112" s="473"/>
      <c r="H112" s="473"/>
      <c r="I112" s="473"/>
      <c r="J112" s="473"/>
      <c r="K112" s="140"/>
      <c r="L112" s="2"/>
      <c r="M112" s="2"/>
    </row>
    <row r="113" spans="5:13" ht="12.75" customHeight="1">
      <c r="E113" s="2"/>
      <c r="G113" s="473"/>
      <c r="H113" s="473"/>
      <c r="I113" s="473"/>
      <c r="J113">
        <v>6939064</v>
      </c>
      <c r="K113" s="87">
        <f>K90+K95+K99</f>
        <v>2561896.7226185584</v>
      </c>
      <c r="L113" s="87">
        <f>J113-K113</f>
        <v>4377167.2773814416</v>
      </c>
      <c r="M113" s="2"/>
    </row>
    <row r="114" spans="5:13" ht="12.75" customHeight="1">
      <c r="E114" s="2"/>
      <c r="F114" s="613"/>
      <c r="G114" s="444"/>
      <c r="H114" s="87">
        <f>-'AJE 2021'!H90-'AJE 2021'!H95-'AJE 2021'!H99</f>
        <v>-836338.4902614021</v>
      </c>
      <c r="I114" s="450"/>
      <c r="J114" s="614"/>
      <c r="K114" s="87">
        <f>-'AJE 2021'!K90-'AJE 2021'!K95-'AJE 2021'!K99</f>
        <v>-2561896.7226185584</v>
      </c>
      <c r="L114" s="2"/>
      <c r="M114" s="2"/>
    </row>
    <row r="115" spans="5:13" ht="12.75" customHeight="1">
      <c r="E115" s="2"/>
      <c r="G115" s="473"/>
      <c r="H115" s="473"/>
      <c r="K115" s="2"/>
      <c r="L115" s="87"/>
      <c r="M115" s="2"/>
    </row>
    <row r="116" spans="5:13" ht="12.75" customHeight="1">
      <c r="E116" s="2"/>
      <c r="G116" s="473"/>
      <c r="K116" s="87"/>
      <c r="L116" s="2"/>
      <c r="M116" s="2"/>
    </row>
    <row r="117" spans="5:13" ht="12.75" customHeight="1">
      <c r="E117" s="2"/>
      <c r="H117" s="140">
        <f>-'AJE 2021'!H86+'AJE 2021'!G89</f>
        <v>-1881953.5401929261</v>
      </c>
      <c r="K117" s="140">
        <f>-'AJE 2021'!K86+'AJE 2021'!J89</f>
        <v>-5900052</v>
      </c>
      <c r="L117" s="2"/>
      <c r="M117" s="2"/>
    </row>
    <row r="118" spans="5:13" ht="12.75" customHeight="1">
      <c r="E118" s="2"/>
      <c r="G118" s="444"/>
      <c r="H118" s="613"/>
      <c r="I118" s="444"/>
      <c r="J118" s="473"/>
      <c r="K118" s="2"/>
      <c r="L118" s="2"/>
      <c r="M118" s="2"/>
    </row>
    <row r="119" spans="5:13" ht="12.75" customHeight="1">
      <c r="E119" s="2"/>
      <c r="G119" s="444"/>
      <c r="H119" s="613"/>
      <c r="K119" s="2"/>
      <c r="L119" s="2"/>
      <c r="M119" s="2"/>
    </row>
    <row r="120" spans="5:13" ht="12.75" customHeight="1">
      <c r="E120" s="2"/>
      <c r="K120" s="2"/>
      <c r="L120" s="2"/>
      <c r="M120" s="2"/>
    </row>
    <row r="121" spans="5:13" ht="12.75" customHeight="1">
      <c r="E121" s="2"/>
      <c r="K121" s="2"/>
      <c r="L121" s="2"/>
      <c r="M121" s="2"/>
    </row>
    <row r="122" spans="5:13" ht="12.75" customHeight="1">
      <c r="E122" s="2"/>
      <c r="K122" s="2"/>
      <c r="L122" s="2"/>
      <c r="M122" s="2"/>
    </row>
    <row r="123" spans="5:13" ht="12.75" customHeight="1">
      <c r="E123" s="2"/>
      <c r="K123" s="2"/>
      <c r="L123" s="2"/>
      <c r="M123" s="2"/>
    </row>
    <row r="124" spans="5:13" ht="12.75" customHeight="1">
      <c r="E124" s="2"/>
      <c r="K124" s="2"/>
      <c r="L124" s="2"/>
      <c r="M124" s="2"/>
    </row>
    <row r="125" spans="5:13" ht="12.75" customHeight="1">
      <c r="E125" s="2"/>
      <c r="K125" s="2"/>
      <c r="L125" s="2"/>
      <c r="M125" s="2"/>
    </row>
    <row r="126" spans="5:13" ht="12.75" customHeight="1">
      <c r="E126" s="2"/>
      <c r="K126" s="2"/>
      <c r="L126" s="2"/>
      <c r="M126" s="2"/>
    </row>
    <row r="127" spans="5:13" ht="12.75" customHeight="1">
      <c r="E127" s="2"/>
      <c r="K127" s="2"/>
      <c r="L127" s="2"/>
      <c r="M127" s="2"/>
    </row>
    <row r="128" spans="5:13" ht="12.75" customHeight="1">
      <c r="E128" s="2"/>
      <c r="K128" s="2"/>
      <c r="L128" s="2"/>
      <c r="M128" s="2"/>
    </row>
    <row r="129" spans="5:13" ht="12.75" customHeight="1">
      <c r="E129" s="2"/>
      <c r="K129" s="2"/>
      <c r="L129" s="2"/>
      <c r="M129" s="2"/>
    </row>
    <row r="130" spans="5:13" ht="12.75" customHeight="1">
      <c r="E130" s="2"/>
      <c r="K130" s="2"/>
      <c r="L130" s="2"/>
      <c r="M130" s="2"/>
    </row>
    <row r="131" spans="5:13" ht="12.75" customHeight="1">
      <c r="E131" s="2"/>
      <c r="K131" s="2"/>
      <c r="L131" s="2"/>
      <c r="M131" s="2"/>
    </row>
    <row r="132" spans="5:13" ht="12.75" customHeight="1">
      <c r="E132" s="2"/>
      <c r="K132" s="2"/>
      <c r="L132" s="2"/>
      <c r="M132" s="2"/>
    </row>
    <row r="133" spans="5:13" ht="12.75" customHeight="1">
      <c r="E133" s="2"/>
      <c r="K133" s="2"/>
      <c r="L133" s="2"/>
      <c r="M133" s="2"/>
    </row>
    <row r="134" spans="5:13" ht="12.75" customHeight="1">
      <c r="E134" s="2"/>
      <c r="K134" s="2"/>
      <c r="L134" s="2"/>
      <c r="M134" s="2"/>
    </row>
    <row r="135" spans="5:13" ht="12.75" customHeight="1">
      <c r="E135" s="2"/>
      <c r="K135" s="2"/>
      <c r="L135" s="2"/>
      <c r="M135" s="2"/>
    </row>
    <row r="136" spans="5:13" ht="12.75" customHeight="1">
      <c r="E136" s="2"/>
      <c r="K136" s="2"/>
      <c r="L136" s="2"/>
      <c r="M136" s="2"/>
    </row>
    <row r="137" spans="5:13" ht="12.75" customHeight="1">
      <c r="E137" s="2"/>
      <c r="K137" s="2"/>
      <c r="L137" s="2"/>
      <c r="M137" s="2"/>
    </row>
    <row r="138" spans="5:13" ht="12.75" customHeight="1">
      <c r="E138" s="2"/>
      <c r="K138" s="2"/>
      <c r="L138" s="2"/>
      <c r="M138" s="2"/>
    </row>
    <row r="139" spans="5:13" ht="12.75" customHeight="1">
      <c r="E139" s="2"/>
      <c r="K139" s="2"/>
      <c r="L139" s="2"/>
      <c r="M139" s="2"/>
    </row>
    <row r="140" spans="5:13" ht="12.75" customHeight="1">
      <c r="E140" s="2"/>
      <c r="K140" s="2"/>
      <c r="L140" s="2"/>
      <c r="M140" s="2"/>
    </row>
    <row r="141" spans="5:13" ht="12.75" customHeight="1">
      <c r="E141" s="2"/>
      <c r="K141" s="2"/>
      <c r="L141" s="2"/>
      <c r="M141" s="2"/>
    </row>
    <row r="142" spans="5:13" ht="12.75" customHeight="1">
      <c r="E142" s="2"/>
      <c r="K142" s="2"/>
      <c r="L142" s="2"/>
      <c r="M142" s="2"/>
    </row>
    <row r="143" spans="5:13" ht="12.75" customHeight="1">
      <c r="E143" s="2"/>
      <c r="K143" s="2"/>
      <c r="L143" s="2"/>
      <c r="M143" s="2"/>
    </row>
    <row r="144" spans="5:13" ht="12.75" customHeight="1">
      <c r="E144" s="2"/>
      <c r="K144" s="2"/>
      <c r="L144" s="2"/>
      <c r="M144" s="2"/>
    </row>
    <row r="145" spans="5:13" ht="12.75" customHeight="1">
      <c r="E145" s="2"/>
      <c r="K145" s="2"/>
      <c r="L145" s="2"/>
      <c r="M145" s="2"/>
    </row>
    <row r="146" spans="5:13" ht="12.75" customHeight="1">
      <c r="E146" s="2"/>
      <c r="K146" s="2"/>
      <c r="L146" s="2"/>
      <c r="M146" s="2"/>
    </row>
    <row r="147" spans="5:13" ht="12.75" customHeight="1">
      <c r="E147" s="2"/>
      <c r="K147" s="2"/>
      <c r="L147" s="2"/>
      <c r="M147" s="2"/>
    </row>
    <row r="148" spans="5:13" ht="12.75" customHeight="1">
      <c r="E148" s="2"/>
      <c r="K148" s="2"/>
      <c r="L148" s="2"/>
      <c r="M148" s="2"/>
    </row>
    <row r="149" spans="5:13" ht="12.75" customHeight="1">
      <c r="E149" s="2"/>
      <c r="K149" s="2"/>
      <c r="L149" s="2"/>
      <c r="M149" s="2"/>
    </row>
    <row r="150" spans="5:13" ht="12.75" customHeight="1">
      <c r="E150" s="2"/>
      <c r="K150" s="2"/>
      <c r="L150" s="2"/>
      <c r="M150" s="2"/>
    </row>
    <row r="151" spans="5:13" ht="12.75" customHeight="1">
      <c r="E151" s="2"/>
      <c r="K151" s="2"/>
      <c r="L151" s="2"/>
      <c r="M151" s="2"/>
    </row>
    <row r="152" spans="5:13" ht="12.75" customHeight="1">
      <c r="E152" s="2"/>
      <c r="K152" s="2"/>
      <c r="L152" s="2"/>
      <c r="M152" s="2"/>
    </row>
    <row r="153" spans="5:13" ht="12.75" customHeight="1">
      <c r="E153" s="2"/>
      <c r="K153" s="2"/>
      <c r="L153" s="2"/>
      <c r="M153" s="2"/>
    </row>
    <row r="154" spans="5:13" ht="12.75" customHeight="1">
      <c r="E154" s="2"/>
      <c r="K154" s="2"/>
      <c r="L154" s="2"/>
      <c r="M154" s="2"/>
    </row>
    <row r="155" spans="5:13" ht="12.75" customHeight="1">
      <c r="E155" s="2"/>
      <c r="K155" s="2"/>
      <c r="L155" s="2"/>
      <c r="M155" s="2"/>
    </row>
    <row r="156" spans="5:13" ht="12.75" customHeight="1">
      <c r="E156" s="2"/>
      <c r="K156" s="2"/>
      <c r="L156" s="2"/>
      <c r="M156" s="2"/>
    </row>
    <row r="157" spans="5:13" ht="12.75" customHeight="1">
      <c r="E157" s="2"/>
      <c r="K157" s="2"/>
      <c r="L157" s="2"/>
      <c r="M157" s="2"/>
    </row>
    <row r="158" spans="5:13" ht="12.75" customHeight="1">
      <c r="E158" s="2"/>
      <c r="K158" s="2"/>
      <c r="L158" s="2"/>
      <c r="M158" s="2"/>
    </row>
    <row r="159" spans="5:13" ht="12.75" customHeight="1">
      <c r="E159" s="2"/>
      <c r="K159" s="2"/>
      <c r="L159" s="2"/>
      <c r="M159" s="2"/>
    </row>
    <row r="160" spans="5:13" ht="12.75" customHeight="1">
      <c r="E160" s="2"/>
      <c r="K160" s="2"/>
      <c r="L160" s="2"/>
      <c r="M160" s="2"/>
    </row>
    <row r="161" spans="5:13" ht="12.75" customHeight="1">
      <c r="E161" s="2"/>
      <c r="K161" s="2"/>
      <c r="L161" s="2"/>
      <c r="M161" s="2"/>
    </row>
    <row r="162" spans="5:13" ht="12.75" customHeight="1">
      <c r="E162" s="2"/>
      <c r="K162" s="2"/>
      <c r="L162" s="2"/>
      <c r="M162" s="2"/>
    </row>
    <row r="163" spans="5:13" ht="12.75" customHeight="1">
      <c r="E163" s="2"/>
      <c r="K163" s="2"/>
      <c r="L163" s="2"/>
      <c r="M163" s="2"/>
    </row>
    <row r="164" spans="5:13" ht="12.75" customHeight="1">
      <c r="E164" s="2"/>
      <c r="K164" s="2"/>
      <c r="L164" s="2"/>
      <c r="M164" s="2"/>
    </row>
    <row r="165" spans="5:13" ht="12.75" customHeight="1">
      <c r="E165" s="2"/>
      <c r="K165" s="2"/>
      <c r="L165" s="2"/>
      <c r="M165" s="2"/>
    </row>
    <row r="166" spans="5:13" ht="12.75" customHeight="1">
      <c r="E166" s="2"/>
      <c r="K166" s="2"/>
      <c r="L166" s="2"/>
      <c r="M166" s="2"/>
    </row>
    <row r="167" spans="5:13" ht="12.75" customHeight="1">
      <c r="E167" s="2"/>
      <c r="K167" s="2"/>
      <c r="L167" s="2"/>
      <c r="M167" s="2"/>
    </row>
    <row r="168" spans="5:13" ht="12.75" customHeight="1"/>
    <row r="169" spans="5:13" ht="12.75" customHeight="1"/>
    <row r="170" spans="5:13" ht="12.75" customHeight="1"/>
    <row r="171" spans="5:13" ht="12.75" customHeight="1"/>
    <row r="172" spans="5:13" ht="12.75" customHeight="1"/>
    <row r="173" spans="5:13" ht="12.75" customHeight="1">
      <c r="E173" s="2"/>
      <c r="K173" s="2"/>
      <c r="L173" s="2"/>
      <c r="M173" s="2"/>
    </row>
    <row r="174" spans="5:13" ht="12.75" customHeight="1">
      <c r="E174" s="2"/>
      <c r="K174" s="2"/>
      <c r="L174" s="2"/>
      <c r="M174" s="2"/>
    </row>
    <row r="175" spans="5:13" ht="12.75" customHeight="1">
      <c r="E175" s="2"/>
      <c r="K175" s="2"/>
      <c r="L175" s="2"/>
      <c r="M175" s="2"/>
    </row>
    <row r="176" spans="5:13" ht="12.75" customHeight="1">
      <c r="E176" s="2"/>
      <c r="K176" s="2"/>
      <c r="L176" s="2"/>
      <c r="M176" s="2"/>
    </row>
    <row r="177" spans="5:13" ht="12.75" customHeight="1">
      <c r="E177" s="2"/>
      <c r="K177" s="2"/>
      <c r="L177" s="2"/>
      <c r="M177" s="2"/>
    </row>
    <row r="178" spans="5:13" ht="12.75" customHeight="1">
      <c r="E178" s="2"/>
      <c r="K178" s="2"/>
      <c r="L178" s="2"/>
      <c r="M178" s="2"/>
    </row>
    <row r="179" spans="5:13" ht="12.75" customHeight="1">
      <c r="E179" s="2"/>
      <c r="K179" s="2"/>
      <c r="L179" s="2"/>
      <c r="M179" s="2"/>
    </row>
    <row r="180" spans="5:13" ht="12.75" customHeight="1">
      <c r="E180" s="2"/>
      <c r="K180" s="2"/>
      <c r="L180" s="2"/>
      <c r="M180" s="2"/>
    </row>
    <row r="181" spans="5:13" ht="12.75" customHeight="1">
      <c r="E181" s="2"/>
      <c r="K181" s="2"/>
      <c r="L181" s="2"/>
      <c r="M181" s="2"/>
    </row>
    <row r="182" spans="5:13" ht="12.75" customHeight="1">
      <c r="E182" s="2"/>
      <c r="K182" s="2"/>
      <c r="L182" s="2"/>
      <c r="M182" s="2"/>
    </row>
    <row r="183" spans="5:13" ht="12.75" customHeight="1">
      <c r="E183" s="2"/>
      <c r="K183" s="2"/>
      <c r="L183" s="2"/>
      <c r="M183" s="2"/>
    </row>
    <row r="184" spans="5:13" ht="12.75" customHeight="1">
      <c r="E184" s="2"/>
      <c r="K184" s="2"/>
      <c r="L184" s="2"/>
      <c r="M184" s="2"/>
    </row>
    <row r="185" spans="5:13" ht="12.75" customHeight="1">
      <c r="E185" s="2"/>
      <c r="K185" s="2"/>
      <c r="L185" s="2"/>
      <c r="M185" s="2"/>
    </row>
    <row r="186" spans="5:13" ht="12.75" customHeight="1">
      <c r="E186" s="2"/>
      <c r="K186" s="2"/>
      <c r="L186" s="2"/>
      <c r="M186" s="2"/>
    </row>
    <row r="187" spans="5:13" ht="12.75" customHeight="1">
      <c r="E187" s="2"/>
      <c r="K187" s="2"/>
      <c r="L187" s="2"/>
      <c r="M187" s="2"/>
    </row>
    <row r="188" spans="5:13" ht="12.75" customHeight="1">
      <c r="E188" s="2"/>
      <c r="K188" s="2"/>
      <c r="L188" s="2"/>
      <c r="M188" s="2"/>
    </row>
    <row r="189" spans="5:13" ht="12.75" customHeight="1">
      <c r="E189" s="2"/>
      <c r="K189" s="2"/>
      <c r="L189" s="2"/>
      <c r="M189" s="2"/>
    </row>
    <row r="190" spans="5:13" ht="12.75" customHeight="1">
      <c r="E190" s="2"/>
      <c r="K190" s="2"/>
      <c r="L190" s="2"/>
      <c r="M190" s="2"/>
    </row>
    <row r="191" spans="5:13" ht="12.75" customHeight="1">
      <c r="E191" s="2"/>
      <c r="K191" s="2"/>
      <c r="L191" s="2"/>
      <c r="M191" s="2"/>
    </row>
    <row r="192" spans="5:13" ht="12.75" customHeight="1">
      <c r="E192" s="2"/>
      <c r="K192" s="2"/>
      <c r="L192" s="2"/>
      <c r="M192" s="2"/>
    </row>
    <row r="193" spans="5:13" ht="12.75" customHeight="1">
      <c r="E193" s="2"/>
      <c r="K193" s="2"/>
      <c r="L193" s="2"/>
      <c r="M193" s="2"/>
    </row>
    <row r="194" spans="5:13" ht="12.75" customHeight="1">
      <c r="E194" s="2"/>
      <c r="K194" s="2"/>
      <c r="L194" s="2"/>
      <c r="M194" s="2"/>
    </row>
    <row r="195" spans="5:13" ht="12.75" customHeight="1">
      <c r="E195" s="2"/>
      <c r="K195" s="2"/>
      <c r="L195" s="2"/>
      <c r="M195" s="2"/>
    </row>
    <row r="196" spans="5:13" ht="12.75" customHeight="1">
      <c r="E196" s="2"/>
      <c r="K196" s="2"/>
      <c r="L196" s="2"/>
      <c r="M196" s="2"/>
    </row>
    <row r="197" spans="5:13" ht="12.75" customHeight="1">
      <c r="E197" s="2"/>
      <c r="K197" s="2"/>
      <c r="L197" s="2"/>
      <c r="M197" s="2"/>
    </row>
    <row r="198" spans="5:13" ht="12.75" customHeight="1">
      <c r="E198" s="2"/>
      <c r="K198" s="2"/>
      <c r="L198" s="2"/>
      <c r="M198" s="2"/>
    </row>
    <row r="199" spans="5:13" ht="12.75" customHeight="1">
      <c r="E199" s="2"/>
      <c r="K199" s="2"/>
      <c r="L199" s="2"/>
      <c r="M199" s="2"/>
    </row>
    <row r="200" spans="5:13" ht="12.75" customHeight="1">
      <c r="E200" s="2"/>
      <c r="K200" s="2"/>
      <c r="L200" s="2"/>
      <c r="M200" s="2"/>
    </row>
    <row r="201" spans="5:13" ht="12.75" customHeight="1">
      <c r="E201" s="2"/>
      <c r="K201" s="2"/>
      <c r="L201" s="2"/>
      <c r="M201" s="2"/>
    </row>
    <row r="202" spans="5:13" ht="12.75" customHeight="1">
      <c r="E202" s="2"/>
      <c r="K202" s="2"/>
      <c r="L202" s="2"/>
      <c r="M202" s="2"/>
    </row>
    <row r="203" spans="5:13" ht="12.75" customHeight="1">
      <c r="E203" s="2"/>
      <c r="K203" s="2"/>
      <c r="L203" s="2"/>
      <c r="M203" s="2"/>
    </row>
    <row r="204" spans="5:13" ht="12.75" customHeight="1">
      <c r="E204" s="2"/>
      <c r="K204" s="2"/>
      <c r="L204" s="2"/>
      <c r="M204" s="2"/>
    </row>
    <row r="205" spans="5:13" ht="12.75" customHeight="1">
      <c r="E205" s="2"/>
      <c r="K205" s="2"/>
      <c r="L205" s="2"/>
      <c r="M205" s="2"/>
    </row>
    <row r="206" spans="5:13" ht="12.75" customHeight="1">
      <c r="E206" s="2"/>
      <c r="K206" s="2"/>
      <c r="L206" s="2"/>
      <c r="M206" s="2"/>
    </row>
    <row r="207" spans="5:13" ht="12.75" customHeight="1">
      <c r="E207" s="2"/>
      <c r="K207" s="2"/>
      <c r="L207" s="2"/>
      <c r="M207" s="2"/>
    </row>
    <row r="208" spans="5:13" ht="12.75" customHeight="1">
      <c r="E208" s="2"/>
      <c r="K208" s="2"/>
      <c r="L208" s="2"/>
      <c r="M208" s="2"/>
    </row>
    <row r="209" spans="5:13" ht="12.75" customHeight="1">
      <c r="E209" s="2"/>
      <c r="K209" s="2"/>
      <c r="L209" s="2"/>
      <c r="M209" s="2"/>
    </row>
    <row r="210" spans="5:13" ht="12.75" customHeight="1">
      <c r="E210" s="2"/>
      <c r="K210" s="2"/>
      <c r="L210" s="2"/>
      <c r="M210" s="2"/>
    </row>
    <row r="211" spans="5:13" ht="12.75" customHeight="1">
      <c r="E211" s="2"/>
      <c r="K211" s="2"/>
      <c r="L211" s="2"/>
      <c r="M211" s="2"/>
    </row>
    <row r="212" spans="5:13" ht="12.75" customHeight="1">
      <c r="E212" s="2"/>
      <c r="K212" s="2"/>
      <c r="L212" s="2"/>
      <c r="M212" s="2"/>
    </row>
    <row r="213" spans="5:13" ht="12.75" customHeight="1">
      <c r="E213" s="2"/>
      <c r="K213" s="2"/>
      <c r="L213" s="2"/>
      <c r="M213" s="2"/>
    </row>
    <row r="214" spans="5:13" ht="12.75" customHeight="1">
      <c r="E214" s="2"/>
      <c r="K214" s="2"/>
      <c r="L214" s="2"/>
      <c r="M214" s="2"/>
    </row>
    <row r="215" spans="5:13" ht="12.75" customHeight="1">
      <c r="E215" s="2"/>
      <c r="K215" s="2"/>
      <c r="L215" s="2"/>
      <c r="M215" s="2"/>
    </row>
    <row r="216" spans="5:13" ht="12.75" customHeight="1">
      <c r="E216" s="2"/>
      <c r="K216" s="2"/>
      <c r="L216" s="2"/>
      <c r="M216" s="2"/>
    </row>
    <row r="217" spans="5:13" ht="12.75" customHeight="1">
      <c r="E217" s="2"/>
      <c r="K217" s="2"/>
      <c r="L217" s="2"/>
      <c r="M217" s="2"/>
    </row>
    <row r="218" spans="5:13" ht="12.75" customHeight="1">
      <c r="E218" s="2"/>
      <c r="K218" s="2"/>
      <c r="L218" s="2"/>
      <c r="M218" s="2"/>
    </row>
    <row r="219" spans="5:13" ht="12.75" customHeight="1">
      <c r="E219" s="2"/>
      <c r="K219" s="2"/>
      <c r="L219" s="2"/>
      <c r="M219" s="2"/>
    </row>
    <row r="220" spans="5:13" ht="12.75" customHeight="1">
      <c r="E220" s="2"/>
      <c r="K220" s="2"/>
      <c r="L220" s="2"/>
      <c r="M220" s="2"/>
    </row>
    <row r="221" spans="5:13" ht="12.75" customHeight="1">
      <c r="E221" s="2"/>
      <c r="K221" s="2"/>
      <c r="L221" s="2"/>
      <c r="M221" s="2"/>
    </row>
    <row r="222" spans="5:13" ht="12.75" customHeight="1">
      <c r="E222" s="2"/>
      <c r="K222" s="2"/>
      <c r="L222" s="2"/>
      <c r="M222" s="2"/>
    </row>
    <row r="223" spans="5:13" ht="12.75" customHeight="1">
      <c r="E223" s="2"/>
      <c r="K223" s="2"/>
      <c r="L223" s="2"/>
      <c r="M223" s="2"/>
    </row>
    <row r="224" spans="5:13" ht="12.75" customHeight="1">
      <c r="E224" s="2"/>
      <c r="K224" s="2"/>
      <c r="L224" s="2"/>
      <c r="M224" s="2"/>
    </row>
    <row r="225" spans="5:13" ht="12.75" customHeight="1">
      <c r="E225" s="2"/>
      <c r="K225" s="2"/>
      <c r="L225" s="2"/>
      <c r="M225" s="2"/>
    </row>
    <row r="226" spans="5:13" ht="12.75" customHeight="1">
      <c r="E226" s="2"/>
      <c r="K226" s="2"/>
      <c r="L226" s="2"/>
      <c r="M226" s="2"/>
    </row>
    <row r="227" spans="5:13" ht="12.75" customHeight="1">
      <c r="E227" s="2"/>
      <c r="K227" s="2"/>
      <c r="L227" s="2"/>
      <c r="M227" s="2"/>
    </row>
    <row r="228" spans="5:13" ht="12.75" customHeight="1">
      <c r="E228" s="2"/>
      <c r="K228" s="2"/>
      <c r="L228" s="2"/>
      <c r="M228" s="2"/>
    </row>
    <row r="229" spans="5:13" ht="12.75" customHeight="1">
      <c r="E229" s="2"/>
      <c r="K229" s="2"/>
      <c r="L229" s="2"/>
      <c r="M229" s="2"/>
    </row>
    <row r="230" spans="5:13" ht="12.75" customHeight="1">
      <c r="E230" s="2"/>
      <c r="K230" s="2"/>
      <c r="L230" s="2"/>
      <c r="M230" s="2"/>
    </row>
    <row r="231" spans="5:13" ht="12.75" customHeight="1">
      <c r="E231" s="2"/>
      <c r="K231" s="2"/>
      <c r="L231" s="2"/>
      <c r="M231" s="2"/>
    </row>
    <row r="232" spans="5:13" ht="12.75" customHeight="1">
      <c r="E232" s="2"/>
      <c r="K232" s="2"/>
      <c r="L232" s="2"/>
      <c r="M232" s="2"/>
    </row>
    <row r="233" spans="5:13" ht="12.75" customHeight="1">
      <c r="E233" s="2"/>
      <c r="K233" s="2"/>
      <c r="L233" s="2"/>
      <c r="M233" s="2"/>
    </row>
    <row r="234" spans="5:13" ht="12.75" customHeight="1">
      <c r="E234" s="2"/>
      <c r="K234" s="2"/>
      <c r="L234" s="2"/>
      <c r="M234" s="2"/>
    </row>
    <row r="235" spans="5:13" ht="12.75" customHeight="1">
      <c r="E235" s="2"/>
      <c r="K235" s="2"/>
      <c r="L235" s="2"/>
      <c r="M235" s="2"/>
    </row>
    <row r="236" spans="5:13" ht="12.75" customHeight="1">
      <c r="E236" s="2"/>
      <c r="K236" s="2"/>
      <c r="L236" s="2"/>
      <c r="M236" s="2"/>
    </row>
    <row r="237" spans="5:13" ht="12.75" customHeight="1">
      <c r="E237" s="2"/>
      <c r="K237" s="2"/>
      <c r="L237" s="2"/>
      <c r="M237" s="2"/>
    </row>
    <row r="238" spans="5:13" ht="12.75" customHeight="1">
      <c r="E238" s="2"/>
      <c r="K238" s="2"/>
      <c r="L238" s="2"/>
      <c r="M238" s="2"/>
    </row>
    <row r="239" spans="5:13" ht="12.75" customHeight="1">
      <c r="E239" s="2"/>
      <c r="K239" s="2"/>
      <c r="L239" s="2"/>
      <c r="M239" s="2"/>
    </row>
    <row r="240" spans="5:13" ht="12.75" customHeight="1">
      <c r="E240" s="2"/>
      <c r="K240" s="2"/>
      <c r="L240" s="2"/>
      <c r="M240" s="2"/>
    </row>
    <row r="241" spans="5:13" ht="12.75" customHeight="1">
      <c r="E241" s="2"/>
      <c r="K241" s="2"/>
      <c r="L241" s="2"/>
      <c r="M241" s="2"/>
    </row>
    <row r="242" spans="5:13" ht="12.75" customHeight="1">
      <c r="E242" s="2"/>
      <c r="K242" s="2"/>
      <c r="L242" s="2"/>
      <c r="M242" s="2"/>
    </row>
    <row r="243" spans="5:13" ht="12.75" customHeight="1">
      <c r="E243" s="2"/>
      <c r="K243" s="2"/>
      <c r="L243" s="2"/>
      <c r="M243" s="2"/>
    </row>
    <row r="244" spans="5:13" ht="12.75" customHeight="1">
      <c r="E244" s="2"/>
      <c r="K244" s="2"/>
      <c r="L244" s="2"/>
      <c r="M244" s="2"/>
    </row>
    <row r="245" spans="5:13" ht="12.75" customHeight="1">
      <c r="E245" s="2"/>
      <c r="K245" s="2"/>
      <c r="L245" s="2"/>
      <c r="M245" s="2"/>
    </row>
    <row r="246" spans="5:13" ht="12.75" customHeight="1">
      <c r="E246" s="2"/>
      <c r="K246" s="2"/>
      <c r="L246" s="2"/>
      <c r="M246" s="2"/>
    </row>
    <row r="247" spans="5:13" ht="12.75" customHeight="1">
      <c r="E247" s="2"/>
      <c r="K247" s="2"/>
      <c r="L247" s="2"/>
      <c r="M247" s="2"/>
    </row>
    <row r="248" spans="5:13" ht="12.75" customHeight="1">
      <c r="E248" s="2"/>
      <c r="K248" s="2"/>
      <c r="L248" s="2"/>
      <c r="M248" s="2"/>
    </row>
    <row r="249" spans="5:13" ht="12.75" customHeight="1">
      <c r="E249" s="2"/>
      <c r="K249" s="2"/>
      <c r="L249" s="2"/>
      <c r="M249" s="2"/>
    </row>
    <row r="250" spans="5:13" ht="12.75" customHeight="1">
      <c r="E250" s="2"/>
      <c r="K250" s="2"/>
      <c r="L250" s="2"/>
      <c r="M250" s="2"/>
    </row>
    <row r="251" spans="5:13" ht="12.75" customHeight="1">
      <c r="E251" s="2"/>
      <c r="K251" s="2"/>
      <c r="L251" s="2"/>
      <c r="M251" s="2"/>
    </row>
    <row r="252" spans="5:13" ht="12.75" customHeight="1">
      <c r="E252" s="2"/>
      <c r="K252" s="2"/>
      <c r="L252" s="2"/>
      <c r="M252" s="2"/>
    </row>
    <row r="253" spans="5:13" ht="12.75" customHeight="1">
      <c r="E253" s="2"/>
      <c r="K253" s="2"/>
      <c r="L253" s="2"/>
      <c r="M253" s="2"/>
    </row>
    <row r="254" spans="5:13" ht="12.75" customHeight="1">
      <c r="E254" s="2"/>
      <c r="K254" s="2"/>
      <c r="L254" s="2"/>
      <c r="M254" s="2"/>
    </row>
    <row r="255" spans="5:13" ht="12.75" customHeight="1">
      <c r="E255" s="2"/>
      <c r="K255" s="2"/>
      <c r="L255" s="2"/>
      <c r="M255" s="2"/>
    </row>
    <row r="256" spans="5:13" ht="12.75" customHeight="1">
      <c r="E256" s="2"/>
      <c r="K256" s="2"/>
      <c r="L256" s="2"/>
      <c r="M256" s="2"/>
    </row>
    <row r="257" spans="5:13" ht="12.75" customHeight="1">
      <c r="E257" s="2"/>
      <c r="K257" s="2"/>
      <c r="L257" s="2"/>
      <c r="M257" s="2"/>
    </row>
    <row r="258" spans="5:13" ht="12.75" customHeight="1">
      <c r="E258" s="2"/>
      <c r="K258" s="2"/>
      <c r="L258" s="2"/>
      <c r="M258" s="2"/>
    </row>
    <row r="259" spans="5:13" ht="12.75" customHeight="1">
      <c r="E259" s="2"/>
      <c r="K259" s="2"/>
      <c r="L259" s="2"/>
      <c r="M259" s="2"/>
    </row>
    <row r="260" spans="5:13" ht="12.75" customHeight="1">
      <c r="E260" s="2"/>
      <c r="K260" s="2"/>
      <c r="L260" s="2"/>
      <c r="M260" s="2"/>
    </row>
    <row r="261" spans="5:13" ht="12.75" customHeight="1">
      <c r="E261" s="2"/>
      <c r="K261" s="2"/>
      <c r="L261" s="2"/>
      <c r="M261" s="2"/>
    </row>
    <row r="262" spans="5:13" ht="12.75" customHeight="1">
      <c r="E262" s="2"/>
      <c r="K262" s="2"/>
      <c r="L262" s="2"/>
      <c r="M262" s="2"/>
    </row>
    <row r="263" spans="5:13" ht="12.75" customHeight="1">
      <c r="E263" s="2"/>
      <c r="K263" s="2"/>
      <c r="L263" s="2"/>
      <c r="M263" s="2"/>
    </row>
    <row r="264" spans="5:13" ht="12.75" customHeight="1">
      <c r="E264" s="2"/>
      <c r="K264" s="2"/>
      <c r="L264" s="2"/>
      <c r="M264" s="2"/>
    </row>
    <row r="265" spans="5:13" ht="12.75" customHeight="1">
      <c r="E265" s="2"/>
      <c r="K265" s="2"/>
      <c r="L265" s="2"/>
      <c r="M265" s="2"/>
    </row>
    <row r="266" spans="5:13" ht="12.75" customHeight="1">
      <c r="E266" s="2"/>
      <c r="K266" s="2"/>
      <c r="L266" s="2"/>
      <c r="M266" s="2"/>
    </row>
    <row r="267" spans="5:13" ht="12.75" customHeight="1">
      <c r="E267" s="2"/>
      <c r="K267" s="2"/>
      <c r="L267" s="2"/>
      <c r="M267" s="2"/>
    </row>
    <row r="268" spans="5:13" ht="12.75" customHeight="1">
      <c r="E268" s="2"/>
      <c r="K268" s="2"/>
      <c r="L268" s="2"/>
      <c r="M268" s="2"/>
    </row>
    <row r="269" spans="5:13" ht="12.75" customHeight="1">
      <c r="E269" s="2"/>
      <c r="K269" s="2"/>
      <c r="L269" s="2"/>
      <c r="M269" s="2"/>
    </row>
    <row r="270" spans="5:13" ht="12.75" customHeight="1">
      <c r="E270" s="2"/>
      <c r="K270" s="2"/>
      <c r="L270" s="2"/>
      <c r="M270" s="2"/>
    </row>
    <row r="271" spans="5:13" ht="12.75" customHeight="1">
      <c r="E271" s="2"/>
      <c r="K271" s="2"/>
      <c r="L271" s="2"/>
      <c r="M271" s="2"/>
    </row>
    <row r="272" spans="5:13" ht="12.75" customHeight="1">
      <c r="E272" s="2"/>
      <c r="K272" s="2"/>
      <c r="L272" s="2"/>
      <c r="M272" s="2"/>
    </row>
    <row r="273" spans="5:13" ht="12.75" customHeight="1">
      <c r="E273" s="2"/>
      <c r="K273" s="2"/>
      <c r="L273" s="2"/>
      <c r="M273" s="2"/>
    </row>
    <row r="274" spans="5:13" ht="12.75" customHeight="1">
      <c r="E274" s="2"/>
      <c r="K274" s="2"/>
      <c r="L274" s="2"/>
      <c r="M274" s="2"/>
    </row>
    <row r="275" spans="5:13" ht="12.75" customHeight="1">
      <c r="E275" s="2"/>
      <c r="K275" s="2"/>
      <c r="L275" s="2"/>
      <c r="M275" s="2"/>
    </row>
    <row r="276" spans="5:13" ht="12.75" customHeight="1">
      <c r="E276" s="2"/>
      <c r="K276" s="2"/>
      <c r="L276" s="2"/>
      <c r="M276" s="2"/>
    </row>
    <row r="277" spans="5:13" ht="12.75" customHeight="1">
      <c r="E277" s="2"/>
      <c r="K277" s="2"/>
      <c r="L277" s="2"/>
      <c r="M277" s="2"/>
    </row>
    <row r="278" spans="5:13" ht="12.75" customHeight="1">
      <c r="E278" s="2"/>
      <c r="K278" s="2"/>
      <c r="L278" s="2"/>
      <c r="M278" s="2"/>
    </row>
    <row r="279" spans="5:13" ht="12.75" customHeight="1">
      <c r="E279" s="2"/>
      <c r="K279" s="2"/>
      <c r="L279" s="2"/>
      <c r="M279" s="2"/>
    </row>
    <row r="280" spans="5:13" ht="12.75" customHeight="1">
      <c r="E280" s="2"/>
      <c r="K280" s="2"/>
      <c r="L280" s="2"/>
      <c r="M280" s="2"/>
    </row>
    <row r="281" spans="5:13" ht="12.75" customHeight="1">
      <c r="E281" s="2"/>
      <c r="K281" s="2"/>
      <c r="L281" s="2"/>
      <c r="M281" s="2"/>
    </row>
    <row r="282" spans="5:13" ht="12.75" customHeight="1">
      <c r="E282" s="2"/>
      <c r="K282" s="2"/>
      <c r="L282" s="2"/>
      <c r="M282" s="2"/>
    </row>
    <row r="283" spans="5:13" ht="12.75" customHeight="1">
      <c r="E283" s="2"/>
      <c r="K283" s="2"/>
      <c r="L283" s="2"/>
      <c r="M283" s="2"/>
    </row>
    <row r="284" spans="5:13" ht="12.75" customHeight="1">
      <c r="E284" s="2"/>
      <c r="K284" s="2"/>
      <c r="L284" s="2"/>
      <c r="M284" s="2"/>
    </row>
    <row r="285" spans="5:13" ht="12.75" customHeight="1">
      <c r="E285" s="2"/>
      <c r="K285" s="2"/>
      <c r="L285" s="2"/>
      <c r="M285" s="2"/>
    </row>
    <row r="286" spans="5:13" ht="12.75" customHeight="1">
      <c r="E286" s="2"/>
      <c r="K286" s="2"/>
      <c r="L286" s="2"/>
      <c r="M286" s="2"/>
    </row>
    <row r="287" spans="5:13" ht="12.75" customHeight="1">
      <c r="E287" s="2"/>
      <c r="K287" s="2"/>
      <c r="L287" s="2"/>
      <c r="M287" s="2"/>
    </row>
    <row r="288" spans="5:13" ht="12.75" customHeight="1">
      <c r="E288" s="2"/>
      <c r="K288" s="2"/>
      <c r="L288" s="2"/>
      <c r="M288" s="2"/>
    </row>
    <row r="289" spans="5:13" ht="12.75" customHeight="1">
      <c r="E289" s="2"/>
      <c r="K289" s="2"/>
      <c r="L289" s="2"/>
      <c r="M289" s="2"/>
    </row>
    <row r="290" spans="5:13" ht="12.75" customHeight="1">
      <c r="E290" s="2"/>
      <c r="K290" s="2"/>
      <c r="L290" s="2"/>
      <c r="M290" s="2"/>
    </row>
    <row r="291" spans="5:13" ht="12.75" customHeight="1">
      <c r="E291" s="2"/>
      <c r="K291" s="2"/>
      <c r="L291" s="2"/>
      <c r="M291" s="2"/>
    </row>
    <row r="292" spans="5:13" ht="12.75" customHeight="1">
      <c r="E292" s="2"/>
      <c r="K292" s="2"/>
      <c r="L292" s="2"/>
      <c r="M292" s="2"/>
    </row>
    <row r="293" spans="5:13" ht="12.75" customHeight="1">
      <c r="E293" s="2"/>
      <c r="K293" s="2"/>
      <c r="L293" s="2"/>
      <c r="M293" s="2"/>
    </row>
    <row r="294" spans="5:13" ht="12.75" customHeight="1">
      <c r="E294" s="2"/>
      <c r="K294" s="2"/>
      <c r="L294" s="2"/>
      <c r="M294" s="2"/>
    </row>
    <row r="295" spans="5:13" ht="12.75" customHeight="1">
      <c r="E295" s="2"/>
      <c r="K295" s="2"/>
      <c r="L295" s="2"/>
      <c r="M295" s="2"/>
    </row>
    <row r="296" spans="5:13" ht="12.75" customHeight="1">
      <c r="E296" s="2"/>
      <c r="K296" s="2"/>
      <c r="L296" s="2"/>
      <c r="M296" s="2"/>
    </row>
    <row r="297" spans="5:13" ht="12.75" customHeight="1">
      <c r="E297" s="2"/>
      <c r="K297" s="2"/>
      <c r="L297" s="2"/>
      <c r="M297" s="2"/>
    </row>
    <row r="298" spans="5:13" ht="12.75" customHeight="1">
      <c r="E298" s="2"/>
      <c r="K298" s="2"/>
      <c r="L298" s="2"/>
      <c r="M298" s="2"/>
    </row>
    <row r="299" spans="5:13" ht="12.75" customHeight="1">
      <c r="E299" s="2"/>
      <c r="K299" s="2"/>
      <c r="L299" s="2"/>
      <c r="M299" s="2"/>
    </row>
    <row r="300" spans="5:13" ht="12.75" customHeight="1">
      <c r="E300" s="2"/>
      <c r="K300" s="2"/>
      <c r="L300" s="2"/>
      <c r="M300" s="2"/>
    </row>
    <row r="301" spans="5:13" ht="12.75" customHeight="1">
      <c r="E301" s="2"/>
      <c r="K301" s="2"/>
      <c r="L301" s="2"/>
      <c r="M301" s="2"/>
    </row>
    <row r="302" spans="5:13" ht="12.75" customHeight="1">
      <c r="E302" s="2"/>
      <c r="K302" s="2"/>
      <c r="L302" s="2"/>
      <c r="M302" s="2"/>
    </row>
    <row r="303" spans="5:13" ht="12.75" customHeight="1">
      <c r="E303" s="2"/>
      <c r="K303" s="2"/>
      <c r="L303" s="2"/>
      <c r="M303" s="2"/>
    </row>
    <row r="304" spans="5:13" ht="12.75" customHeight="1">
      <c r="E304" s="2"/>
      <c r="K304" s="2"/>
      <c r="L304" s="2"/>
      <c r="M304" s="2"/>
    </row>
    <row r="305" spans="5:13" ht="12.75" customHeight="1">
      <c r="E305" s="2"/>
      <c r="K305" s="2"/>
      <c r="L305" s="2"/>
      <c r="M305" s="2"/>
    </row>
    <row r="306" spans="5:13" ht="12.75" customHeight="1">
      <c r="E306" s="2"/>
      <c r="K306" s="2"/>
      <c r="L306" s="2"/>
      <c r="M306" s="2"/>
    </row>
    <row r="307" spans="5:13" ht="12.75" customHeight="1">
      <c r="E307" s="2"/>
      <c r="K307" s="2"/>
      <c r="L307" s="2"/>
      <c r="M307" s="2"/>
    </row>
    <row r="308" spans="5:13" ht="12.75" customHeight="1">
      <c r="E308" s="2"/>
      <c r="K308" s="2"/>
      <c r="L308" s="2"/>
      <c r="M308" s="2"/>
    </row>
    <row r="309" spans="5:13" ht="12.75" customHeight="1">
      <c r="E309" s="2"/>
      <c r="K309" s="2"/>
      <c r="L309" s="2"/>
      <c r="M309" s="2"/>
    </row>
    <row r="310" spans="5:13" ht="12.75" customHeight="1">
      <c r="E310" s="2"/>
      <c r="K310" s="2"/>
      <c r="L310" s="2"/>
      <c r="M310" s="2"/>
    </row>
    <row r="311" spans="5:13" ht="12.75" customHeight="1">
      <c r="E311" s="2"/>
      <c r="K311" s="2"/>
      <c r="L311" s="2"/>
      <c r="M311" s="2"/>
    </row>
    <row r="312" spans="5:13" ht="12.75" customHeight="1">
      <c r="E312" s="2"/>
      <c r="K312" s="2"/>
      <c r="L312" s="2"/>
      <c r="M312" s="2"/>
    </row>
    <row r="313" spans="5:13" ht="12.75" customHeight="1">
      <c r="E313" s="2"/>
      <c r="K313" s="2"/>
      <c r="L313" s="2"/>
      <c r="M313" s="2"/>
    </row>
    <row r="314" spans="5:13" ht="12.75" customHeight="1">
      <c r="E314" s="2"/>
      <c r="K314" s="2"/>
      <c r="L314" s="2"/>
      <c r="M314" s="2"/>
    </row>
    <row r="315" spans="5:13" ht="12.75" customHeight="1">
      <c r="E315" s="2"/>
      <c r="K315" s="2"/>
      <c r="L315" s="2"/>
      <c r="M315" s="2"/>
    </row>
    <row r="316" spans="5:13" ht="12.75" customHeight="1">
      <c r="E316" s="2"/>
      <c r="K316" s="2"/>
      <c r="L316" s="2"/>
      <c r="M316" s="2"/>
    </row>
    <row r="317" spans="5:13" ht="12.75" customHeight="1">
      <c r="E317" s="2"/>
      <c r="K317" s="2"/>
      <c r="L317" s="2"/>
      <c r="M317" s="2"/>
    </row>
    <row r="318" spans="5:13" ht="12.75" customHeight="1">
      <c r="E318" s="2"/>
      <c r="K318" s="2"/>
      <c r="L318" s="2"/>
      <c r="M318" s="2"/>
    </row>
    <row r="319" spans="5:13" ht="12.75" customHeight="1">
      <c r="E319" s="2"/>
      <c r="K319" s="2"/>
      <c r="L319" s="2"/>
      <c r="M319" s="2"/>
    </row>
    <row r="320" spans="5:13" ht="12.75" customHeight="1">
      <c r="E320" s="2"/>
      <c r="K320" s="2"/>
      <c r="L320" s="2"/>
      <c r="M320" s="2"/>
    </row>
    <row r="321" spans="5:13" ht="12.75" customHeight="1">
      <c r="E321" s="2"/>
      <c r="K321" s="2"/>
      <c r="L321" s="2"/>
      <c r="M321" s="2"/>
    </row>
    <row r="322" spans="5:13" ht="12.75" customHeight="1">
      <c r="E322" s="2"/>
      <c r="K322" s="2"/>
      <c r="L322" s="2"/>
      <c r="M322" s="2"/>
    </row>
    <row r="323" spans="5:13" ht="12.75" customHeight="1">
      <c r="E323" s="2"/>
      <c r="K323" s="2"/>
      <c r="L323" s="2"/>
      <c r="M323" s="2"/>
    </row>
    <row r="324" spans="5:13" ht="12.75" customHeight="1">
      <c r="E324" s="2"/>
      <c r="K324" s="2"/>
      <c r="L324" s="2"/>
      <c r="M324" s="2"/>
    </row>
    <row r="325" spans="5:13" ht="12.75" customHeight="1">
      <c r="E325" s="2"/>
      <c r="K325" s="2"/>
      <c r="L325" s="2"/>
      <c r="M325" s="2"/>
    </row>
    <row r="326" spans="5:13" ht="12.75" customHeight="1">
      <c r="E326" s="2"/>
      <c r="K326" s="2"/>
      <c r="L326" s="2"/>
      <c r="M326" s="2"/>
    </row>
    <row r="327" spans="5:13" ht="12.75" customHeight="1">
      <c r="E327" s="2"/>
      <c r="K327" s="2"/>
      <c r="L327" s="2"/>
      <c r="M327" s="2"/>
    </row>
    <row r="328" spans="5:13" ht="12.75" customHeight="1">
      <c r="E328" s="2"/>
      <c r="K328" s="2"/>
      <c r="L328" s="2"/>
      <c r="M328" s="2"/>
    </row>
    <row r="329" spans="5:13" ht="12.75" customHeight="1">
      <c r="E329" s="2"/>
      <c r="K329" s="2"/>
      <c r="L329" s="2"/>
      <c r="M329" s="2"/>
    </row>
    <row r="330" spans="5:13" ht="12.75" customHeight="1">
      <c r="E330" s="2"/>
      <c r="K330" s="2"/>
      <c r="L330" s="2"/>
      <c r="M330" s="2"/>
    </row>
    <row r="331" spans="5:13" ht="12.75" customHeight="1">
      <c r="E331" s="2"/>
      <c r="K331" s="2"/>
      <c r="L331" s="2"/>
      <c r="M331" s="2"/>
    </row>
    <row r="332" spans="5:13" ht="12.75" customHeight="1">
      <c r="E332" s="2"/>
      <c r="K332" s="2"/>
      <c r="L332" s="2"/>
      <c r="M332" s="2"/>
    </row>
    <row r="333" spans="5:13" ht="12.75" customHeight="1">
      <c r="E333" s="2"/>
      <c r="K333" s="2"/>
      <c r="L333" s="2"/>
      <c r="M333" s="2"/>
    </row>
    <row r="334" spans="5:13" ht="12.75" customHeight="1">
      <c r="E334" s="2"/>
      <c r="K334" s="2"/>
      <c r="L334" s="2"/>
      <c r="M334" s="2"/>
    </row>
    <row r="335" spans="5:13" ht="12.75" customHeight="1">
      <c r="E335" s="2"/>
      <c r="K335" s="2"/>
      <c r="L335" s="2"/>
      <c r="M335" s="2"/>
    </row>
    <row r="336" spans="5:13" ht="12.75" customHeight="1">
      <c r="E336" s="2"/>
      <c r="K336" s="2"/>
      <c r="L336" s="2"/>
      <c r="M336" s="2"/>
    </row>
    <row r="337" spans="5:13" ht="12.75" customHeight="1">
      <c r="E337" s="2"/>
      <c r="K337" s="2"/>
      <c r="L337" s="2"/>
      <c r="M337" s="2"/>
    </row>
    <row r="338" spans="5:13" ht="12.75" customHeight="1">
      <c r="E338" s="2"/>
      <c r="K338" s="2"/>
      <c r="L338" s="2"/>
      <c r="M338" s="2"/>
    </row>
    <row r="339" spans="5:13" ht="12.75" customHeight="1">
      <c r="E339" s="2"/>
      <c r="K339" s="2"/>
      <c r="L339" s="2"/>
      <c r="M339" s="2"/>
    </row>
    <row r="340" spans="5:13" ht="12.75" customHeight="1">
      <c r="E340" s="2"/>
      <c r="K340" s="2"/>
      <c r="L340" s="2"/>
      <c r="M340" s="2"/>
    </row>
    <row r="341" spans="5:13" ht="12.75" customHeight="1">
      <c r="E341" s="2"/>
      <c r="K341" s="2"/>
      <c r="L341" s="2"/>
      <c r="M341" s="2"/>
    </row>
    <row r="342" spans="5:13" ht="12.75" customHeight="1">
      <c r="E342" s="2"/>
      <c r="K342" s="2"/>
      <c r="L342" s="2"/>
      <c r="M342" s="2"/>
    </row>
    <row r="343" spans="5:13" ht="12.75" customHeight="1">
      <c r="E343" s="2"/>
      <c r="K343" s="2"/>
      <c r="L343" s="2"/>
      <c r="M343" s="2"/>
    </row>
    <row r="344" spans="5:13" ht="12.75" customHeight="1">
      <c r="E344" s="2"/>
      <c r="K344" s="2"/>
      <c r="L344" s="2"/>
      <c r="M344" s="2"/>
    </row>
    <row r="345" spans="5:13" ht="12.75" customHeight="1">
      <c r="E345" s="2"/>
      <c r="K345" s="2"/>
      <c r="L345" s="2"/>
      <c r="M345" s="2"/>
    </row>
    <row r="346" spans="5:13" ht="12.75" customHeight="1">
      <c r="E346" s="2"/>
      <c r="K346" s="2"/>
      <c r="L346" s="2"/>
      <c r="M346" s="2"/>
    </row>
    <row r="347" spans="5:13" ht="12.75" customHeight="1">
      <c r="E347" s="2"/>
      <c r="K347" s="2"/>
      <c r="L347" s="2"/>
      <c r="M347" s="2"/>
    </row>
    <row r="348" spans="5:13" ht="12.75" customHeight="1">
      <c r="E348" s="2"/>
      <c r="K348" s="2"/>
      <c r="L348" s="2"/>
      <c r="M348" s="2"/>
    </row>
    <row r="349" spans="5:13" ht="12.75" customHeight="1">
      <c r="E349" s="2"/>
      <c r="K349" s="2"/>
      <c r="L349" s="2"/>
      <c r="M349" s="2"/>
    </row>
    <row r="350" spans="5:13" ht="12.75" customHeight="1">
      <c r="E350" s="2"/>
      <c r="K350" s="2"/>
      <c r="L350" s="2"/>
      <c r="M350" s="2"/>
    </row>
    <row r="351" spans="5:13" ht="12.75" customHeight="1">
      <c r="E351" s="2"/>
      <c r="K351" s="2"/>
      <c r="L351" s="2"/>
      <c r="M351" s="2"/>
    </row>
    <row r="352" spans="5:13" ht="12.75" customHeight="1">
      <c r="E352" s="2"/>
      <c r="K352" s="2"/>
      <c r="L352" s="2"/>
      <c r="M352" s="2"/>
    </row>
    <row r="353" spans="5:13" ht="12.75" customHeight="1">
      <c r="E353" s="2"/>
      <c r="K353" s="2"/>
      <c r="L353" s="2"/>
      <c r="M353" s="2"/>
    </row>
    <row r="354" spans="5:13" ht="12.75" customHeight="1">
      <c r="E354" s="2"/>
      <c r="K354" s="2"/>
      <c r="L354" s="2"/>
      <c r="M354" s="2"/>
    </row>
    <row r="355" spans="5:13" ht="12.75" customHeight="1">
      <c r="E355" s="2"/>
      <c r="K355" s="2"/>
      <c r="L355" s="2"/>
      <c r="M355" s="2"/>
    </row>
    <row r="356" spans="5:13" ht="12.75" customHeight="1">
      <c r="E356" s="2"/>
      <c r="K356" s="2"/>
      <c r="L356" s="2"/>
      <c r="M356" s="2"/>
    </row>
    <row r="357" spans="5:13" ht="12.75" customHeight="1">
      <c r="E357" s="2"/>
      <c r="K357" s="2"/>
      <c r="L357" s="2"/>
      <c r="M357" s="2"/>
    </row>
    <row r="358" spans="5:13" ht="12.75" customHeight="1">
      <c r="E358" s="2"/>
      <c r="K358" s="2"/>
      <c r="L358" s="2"/>
      <c r="M358" s="2"/>
    </row>
    <row r="359" spans="5:13" ht="12.75" customHeight="1">
      <c r="E359" s="2"/>
      <c r="K359" s="2"/>
      <c r="L359" s="2"/>
      <c r="M359" s="2"/>
    </row>
    <row r="360" spans="5:13" ht="12.75" customHeight="1">
      <c r="E360" s="2"/>
      <c r="K360" s="2"/>
      <c r="L360" s="2"/>
      <c r="M360" s="2"/>
    </row>
    <row r="361" spans="5:13" ht="12.75" customHeight="1">
      <c r="E361" s="2"/>
      <c r="K361" s="2"/>
      <c r="L361" s="2"/>
      <c r="M361" s="2"/>
    </row>
    <row r="362" spans="5:13" ht="12.75" customHeight="1">
      <c r="E362" s="2"/>
      <c r="K362" s="2"/>
      <c r="L362" s="2"/>
      <c r="M362" s="2"/>
    </row>
    <row r="363" spans="5:13" ht="12.75" customHeight="1">
      <c r="E363" s="2"/>
      <c r="K363" s="2"/>
      <c r="L363" s="2"/>
      <c r="M363" s="2"/>
    </row>
    <row r="364" spans="5:13" ht="12.75" customHeight="1">
      <c r="E364" s="2"/>
      <c r="K364" s="2"/>
      <c r="L364" s="2"/>
      <c r="M364" s="2"/>
    </row>
    <row r="365" spans="5:13" ht="12.75" customHeight="1">
      <c r="E365" s="2"/>
      <c r="K365" s="2"/>
      <c r="L365" s="2"/>
      <c r="M365" s="2"/>
    </row>
    <row r="366" spans="5:13" ht="12.75" customHeight="1">
      <c r="E366" s="2"/>
      <c r="K366" s="2"/>
      <c r="L366" s="2"/>
      <c r="M366" s="2"/>
    </row>
    <row r="367" spans="5:13" ht="12.75" customHeight="1">
      <c r="E367" s="2"/>
      <c r="K367" s="2"/>
      <c r="L367" s="2"/>
      <c r="M367" s="2"/>
    </row>
    <row r="368" spans="5:13" ht="12.75" customHeight="1">
      <c r="E368" s="2"/>
      <c r="K368" s="2"/>
      <c r="L368" s="2"/>
      <c r="M368" s="2"/>
    </row>
    <row r="369" spans="5:13" ht="12.75" customHeight="1">
      <c r="E369" s="2"/>
      <c r="K369" s="2"/>
      <c r="L369" s="2"/>
      <c r="M369" s="2"/>
    </row>
    <row r="370" spans="5:13" ht="12.75" customHeight="1">
      <c r="E370" s="2"/>
      <c r="K370" s="2"/>
      <c r="L370" s="2"/>
      <c r="M370" s="2"/>
    </row>
    <row r="371" spans="5:13" ht="12.75" customHeight="1">
      <c r="E371" s="2"/>
      <c r="K371" s="2"/>
      <c r="L371" s="2"/>
      <c r="M371" s="2"/>
    </row>
    <row r="372" spans="5:13" ht="12.75" customHeight="1">
      <c r="E372" s="2"/>
      <c r="K372" s="2"/>
      <c r="L372" s="2"/>
      <c r="M372" s="2"/>
    </row>
    <row r="373" spans="5:13" ht="12.75" customHeight="1">
      <c r="E373" s="2"/>
      <c r="K373" s="2"/>
      <c r="L373" s="2"/>
      <c r="M373" s="2"/>
    </row>
    <row r="374" spans="5:13" ht="12.75" customHeight="1">
      <c r="E374" s="2"/>
      <c r="K374" s="2"/>
      <c r="L374" s="2"/>
      <c r="M374" s="2"/>
    </row>
    <row r="375" spans="5:13" ht="12.75" customHeight="1">
      <c r="E375" s="2"/>
      <c r="K375" s="2"/>
      <c r="L375" s="2"/>
      <c r="M375" s="2"/>
    </row>
    <row r="376" spans="5:13" ht="12.75" customHeight="1">
      <c r="E376" s="2"/>
      <c r="K376" s="2"/>
      <c r="L376" s="2"/>
      <c r="M376" s="2"/>
    </row>
    <row r="377" spans="5:13" ht="12.75" customHeight="1">
      <c r="E377" s="2"/>
      <c r="K377" s="2"/>
      <c r="L377" s="2"/>
      <c r="M377" s="2"/>
    </row>
    <row r="378" spans="5:13" ht="12.75" customHeight="1">
      <c r="E378" s="2"/>
      <c r="K378" s="2"/>
      <c r="L378" s="2"/>
      <c r="M378" s="2"/>
    </row>
    <row r="379" spans="5:13" ht="12.75" customHeight="1">
      <c r="E379" s="2"/>
      <c r="K379" s="2"/>
      <c r="L379" s="2"/>
      <c r="M379" s="2"/>
    </row>
    <row r="380" spans="5:13" ht="12.75" customHeight="1">
      <c r="E380" s="2"/>
      <c r="K380" s="2"/>
      <c r="L380" s="2"/>
      <c r="M380" s="2"/>
    </row>
    <row r="381" spans="5:13" ht="12.75" customHeight="1">
      <c r="E381" s="2"/>
      <c r="K381" s="2"/>
      <c r="L381" s="2"/>
      <c r="M381" s="2"/>
    </row>
    <row r="382" spans="5:13" ht="12.75" customHeight="1">
      <c r="E382" s="2"/>
      <c r="K382" s="2"/>
      <c r="L382" s="2"/>
      <c r="M382" s="2"/>
    </row>
    <row r="383" spans="5:13" ht="12.75" customHeight="1">
      <c r="E383" s="2"/>
      <c r="K383" s="2"/>
      <c r="L383" s="2"/>
      <c r="M383" s="2"/>
    </row>
    <row r="384" spans="5:13" ht="12.75" customHeight="1">
      <c r="E384" s="2"/>
      <c r="K384" s="2"/>
      <c r="L384" s="2"/>
      <c r="M384" s="2"/>
    </row>
    <row r="385" spans="5:13" ht="12.75" customHeight="1">
      <c r="E385" s="2"/>
      <c r="K385" s="2"/>
      <c r="L385" s="2"/>
      <c r="M385" s="2"/>
    </row>
    <row r="386" spans="5:13" ht="12.75" customHeight="1">
      <c r="E386" s="2"/>
      <c r="K386" s="2"/>
      <c r="L386" s="2"/>
      <c r="M386" s="2"/>
    </row>
    <row r="387" spans="5:13" ht="12.75" customHeight="1">
      <c r="E387" s="2"/>
      <c r="K387" s="2"/>
      <c r="L387" s="2"/>
      <c r="M387" s="2"/>
    </row>
    <row r="388" spans="5:13" ht="12.75" customHeight="1">
      <c r="E388" s="2"/>
      <c r="K388" s="2"/>
      <c r="L388" s="2"/>
      <c r="M388" s="2"/>
    </row>
    <row r="389" spans="5:13" ht="12.75" customHeight="1">
      <c r="E389" s="2"/>
      <c r="K389" s="2"/>
      <c r="L389" s="2"/>
      <c r="M389" s="2"/>
    </row>
    <row r="390" spans="5:13" ht="12.75" customHeight="1">
      <c r="E390" s="2"/>
      <c r="K390" s="2"/>
      <c r="L390" s="2"/>
      <c r="M390" s="2"/>
    </row>
    <row r="391" spans="5:13" ht="12.75" customHeight="1">
      <c r="E391" s="2"/>
      <c r="K391" s="2"/>
      <c r="L391" s="2"/>
      <c r="M391" s="2"/>
    </row>
    <row r="392" spans="5:13" ht="12.75" customHeight="1">
      <c r="E392" s="2"/>
      <c r="K392" s="2"/>
      <c r="L392" s="2"/>
      <c r="M392" s="2"/>
    </row>
    <row r="393" spans="5:13" ht="12.75" customHeight="1">
      <c r="E393" s="2"/>
      <c r="K393" s="2"/>
      <c r="L393" s="2"/>
      <c r="M393" s="2"/>
    </row>
    <row r="394" spans="5:13" ht="12.75" customHeight="1">
      <c r="E394" s="2"/>
      <c r="K394" s="2"/>
      <c r="L394" s="2"/>
      <c r="M394" s="2"/>
    </row>
    <row r="395" spans="5:13" ht="12.75" customHeight="1">
      <c r="E395" s="2"/>
      <c r="K395" s="2"/>
      <c r="L395" s="2"/>
      <c r="M395" s="2"/>
    </row>
    <row r="396" spans="5:13" ht="12.75" customHeight="1">
      <c r="E396" s="2"/>
      <c r="K396" s="2"/>
      <c r="L396" s="2"/>
      <c r="M396" s="2"/>
    </row>
    <row r="397" spans="5:13" ht="12.75" customHeight="1">
      <c r="E397" s="2"/>
      <c r="K397" s="2"/>
      <c r="L397" s="2"/>
      <c r="M397" s="2"/>
    </row>
    <row r="398" spans="5:13" ht="12.75" customHeight="1">
      <c r="E398" s="2"/>
      <c r="K398" s="2"/>
      <c r="L398" s="2"/>
      <c r="M398" s="2"/>
    </row>
    <row r="399" spans="5:13" ht="12.75" customHeight="1">
      <c r="E399" s="2"/>
      <c r="K399" s="2"/>
      <c r="L399" s="2"/>
      <c r="M399" s="2"/>
    </row>
    <row r="400" spans="5:13" ht="12.75" customHeight="1">
      <c r="E400" s="2"/>
      <c r="K400" s="2"/>
      <c r="L400" s="2"/>
      <c r="M400" s="2"/>
    </row>
    <row r="401" spans="5:13" ht="12.75" customHeight="1">
      <c r="E401" s="2"/>
      <c r="K401" s="2"/>
      <c r="L401" s="2"/>
      <c r="M401" s="2"/>
    </row>
    <row r="402" spans="5:13" ht="12.75" customHeight="1">
      <c r="E402" s="2"/>
      <c r="K402" s="2"/>
      <c r="L402" s="2"/>
      <c r="M402" s="2"/>
    </row>
    <row r="403" spans="5:13" ht="12.75" customHeight="1">
      <c r="E403" s="2"/>
      <c r="K403" s="2"/>
      <c r="L403" s="2"/>
      <c r="M403" s="2"/>
    </row>
    <row r="404" spans="5:13" ht="12.75" customHeight="1">
      <c r="E404" s="2"/>
      <c r="K404" s="2"/>
      <c r="L404" s="2"/>
      <c r="M404" s="2"/>
    </row>
    <row r="405" spans="5:13" ht="12.75" customHeight="1">
      <c r="E405" s="2"/>
      <c r="K405" s="2"/>
      <c r="L405" s="2"/>
      <c r="M405" s="2"/>
    </row>
    <row r="406" spans="5:13" ht="12.75" customHeight="1">
      <c r="E406" s="2"/>
      <c r="K406" s="2"/>
      <c r="L406" s="2"/>
      <c r="M406" s="2"/>
    </row>
    <row r="407" spans="5:13" ht="12.75" customHeight="1">
      <c r="E407" s="2"/>
      <c r="K407" s="2"/>
      <c r="L407" s="2"/>
      <c r="M407" s="2"/>
    </row>
    <row r="408" spans="5:13" ht="12.75" customHeight="1">
      <c r="E408" s="2"/>
      <c r="K408" s="2"/>
      <c r="L408" s="2"/>
      <c r="M408" s="2"/>
    </row>
    <row r="409" spans="5:13" ht="12.75" customHeight="1">
      <c r="E409" s="2"/>
      <c r="K409" s="2"/>
      <c r="L409" s="2"/>
      <c r="M409" s="2"/>
    </row>
    <row r="410" spans="5:13" ht="12.75" customHeight="1">
      <c r="E410" s="2"/>
      <c r="K410" s="2"/>
      <c r="L410" s="2"/>
      <c r="M410" s="2"/>
    </row>
    <row r="411" spans="5:13" ht="12.75" customHeight="1">
      <c r="E411" s="2"/>
      <c r="K411" s="2"/>
      <c r="L411" s="2"/>
      <c r="M411" s="2"/>
    </row>
    <row r="412" spans="5:13" ht="12.75" customHeight="1">
      <c r="E412" s="2"/>
      <c r="K412" s="2"/>
      <c r="L412" s="2"/>
      <c r="M412" s="2"/>
    </row>
    <row r="413" spans="5:13" ht="12.75" customHeight="1">
      <c r="E413" s="2"/>
      <c r="K413" s="2"/>
      <c r="L413" s="2"/>
      <c r="M413" s="2"/>
    </row>
    <row r="414" spans="5:13" ht="12.75" customHeight="1">
      <c r="E414" s="2"/>
      <c r="K414" s="2"/>
      <c r="L414" s="2"/>
      <c r="M414" s="2"/>
    </row>
    <row r="415" spans="5:13" ht="12.75" customHeight="1">
      <c r="E415" s="2"/>
      <c r="K415" s="2"/>
      <c r="L415" s="2"/>
      <c r="M415" s="2"/>
    </row>
    <row r="416" spans="5:13" ht="12.75" customHeight="1">
      <c r="E416" s="2"/>
      <c r="K416" s="2"/>
      <c r="L416" s="2"/>
      <c r="M416" s="2"/>
    </row>
    <row r="417" spans="5:13" ht="12.75" customHeight="1">
      <c r="E417" s="2"/>
      <c r="K417" s="2"/>
      <c r="L417" s="2"/>
      <c r="M417" s="2"/>
    </row>
    <row r="418" spans="5:13" ht="12.75" customHeight="1">
      <c r="E418" s="2"/>
      <c r="K418" s="2"/>
      <c r="L418" s="2"/>
      <c r="M418" s="2"/>
    </row>
    <row r="419" spans="5:13" ht="12.75" customHeight="1">
      <c r="E419" s="2"/>
      <c r="K419" s="2"/>
      <c r="L419" s="2"/>
      <c r="M419" s="2"/>
    </row>
    <row r="420" spans="5:13" ht="12.75" customHeight="1">
      <c r="E420" s="2"/>
      <c r="K420" s="2"/>
      <c r="L420" s="2"/>
      <c r="M420" s="2"/>
    </row>
    <row r="421" spans="5:13" ht="12.75" customHeight="1">
      <c r="E421" s="2"/>
      <c r="K421" s="2"/>
      <c r="L421" s="2"/>
      <c r="M421" s="2"/>
    </row>
    <row r="422" spans="5:13" ht="12.75" customHeight="1">
      <c r="E422" s="2"/>
      <c r="K422" s="2"/>
      <c r="L422" s="2"/>
      <c r="M422" s="2"/>
    </row>
    <row r="423" spans="5:13" ht="12.75" customHeight="1">
      <c r="E423" s="2"/>
      <c r="K423" s="2"/>
      <c r="L423" s="2"/>
      <c r="M423" s="2"/>
    </row>
    <row r="424" spans="5:13" ht="12.75" customHeight="1">
      <c r="E424" s="2"/>
      <c r="K424" s="2"/>
      <c r="L424" s="2"/>
      <c r="M424" s="2"/>
    </row>
    <row r="425" spans="5:13" ht="12.75" customHeight="1">
      <c r="E425" s="2"/>
      <c r="K425" s="2"/>
      <c r="L425" s="2"/>
      <c r="M425" s="2"/>
    </row>
    <row r="426" spans="5:13" ht="12.75" customHeight="1">
      <c r="E426" s="2"/>
      <c r="K426" s="2"/>
      <c r="L426" s="2"/>
      <c r="M426" s="2"/>
    </row>
    <row r="427" spans="5:13" ht="12.75" customHeight="1">
      <c r="E427" s="2"/>
      <c r="K427" s="2"/>
      <c r="L427" s="2"/>
      <c r="M427" s="2"/>
    </row>
    <row r="428" spans="5:13" ht="12.75" customHeight="1">
      <c r="E428" s="2"/>
      <c r="K428" s="2"/>
      <c r="L428" s="2"/>
      <c r="M428" s="2"/>
    </row>
    <row r="429" spans="5:13" ht="12.75" customHeight="1">
      <c r="E429" s="2"/>
      <c r="K429" s="2"/>
      <c r="L429" s="2"/>
      <c r="M429" s="2"/>
    </row>
    <row r="430" spans="5:13" ht="12.75" customHeight="1">
      <c r="E430" s="2"/>
      <c r="K430" s="2"/>
      <c r="L430" s="2"/>
      <c r="M430" s="2"/>
    </row>
    <row r="431" spans="5:13" ht="12.75" customHeight="1">
      <c r="E431" s="2"/>
      <c r="K431" s="2"/>
      <c r="L431" s="2"/>
      <c r="M431" s="2"/>
    </row>
    <row r="432" spans="5:13" ht="12.75" customHeight="1">
      <c r="E432" s="2"/>
      <c r="K432" s="2"/>
      <c r="L432" s="2"/>
      <c r="M432" s="2"/>
    </row>
    <row r="433" spans="5:13" ht="12.75" customHeight="1">
      <c r="E433" s="2"/>
      <c r="K433" s="2"/>
      <c r="L433" s="2"/>
      <c r="M433" s="2"/>
    </row>
    <row r="434" spans="5:13" ht="12.75" customHeight="1">
      <c r="E434" s="2"/>
      <c r="K434" s="2"/>
      <c r="L434" s="2"/>
      <c r="M434" s="2"/>
    </row>
    <row r="435" spans="5:13" ht="12.75" customHeight="1">
      <c r="E435" s="2"/>
      <c r="K435" s="2"/>
      <c r="L435" s="2"/>
      <c r="M435" s="2"/>
    </row>
    <row r="436" spans="5:13" ht="12.75" customHeight="1">
      <c r="E436" s="2"/>
      <c r="K436" s="2"/>
      <c r="L436" s="2"/>
      <c r="M436" s="2"/>
    </row>
    <row r="437" spans="5:13" ht="12.75" customHeight="1">
      <c r="E437" s="2"/>
      <c r="K437" s="2"/>
      <c r="L437" s="2"/>
      <c r="M437" s="2"/>
    </row>
    <row r="438" spans="5:13" ht="12.75" customHeight="1">
      <c r="E438" s="2"/>
      <c r="K438" s="2"/>
      <c r="L438" s="2"/>
      <c r="M438" s="2"/>
    </row>
    <row r="439" spans="5:13" ht="12.75" customHeight="1">
      <c r="E439" s="2"/>
      <c r="K439" s="2"/>
      <c r="L439" s="2"/>
      <c r="M439" s="2"/>
    </row>
    <row r="440" spans="5:13" ht="12.75" customHeight="1">
      <c r="E440" s="2"/>
      <c r="K440" s="2"/>
      <c r="L440" s="2"/>
      <c r="M440" s="2"/>
    </row>
    <row r="441" spans="5:13" ht="12.75" customHeight="1">
      <c r="E441" s="2"/>
      <c r="K441" s="2"/>
      <c r="L441" s="2"/>
      <c r="M441" s="2"/>
    </row>
    <row r="442" spans="5:13" ht="12.75" customHeight="1">
      <c r="E442" s="2"/>
      <c r="K442" s="2"/>
      <c r="L442" s="2"/>
      <c r="M442" s="2"/>
    </row>
    <row r="443" spans="5:13" ht="12.75" customHeight="1">
      <c r="E443" s="2"/>
      <c r="K443" s="2"/>
      <c r="L443" s="2"/>
      <c r="M443" s="2"/>
    </row>
    <row r="444" spans="5:13" ht="12.75" customHeight="1">
      <c r="E444" s="2"/>
      <c r="K444" s="2"/>
      <c r="L444" s="2"/>
      <c r="M444" s="2"/>
    </row>
    <row r="445" spans="5:13" ht="12.75" customHeight="1">
      <c r="E445" s="2"/>
      <c r="K445" s="2"/>
      <c r="L445" s="2"/>
      <c r="M445" s="2"/>
    </row>
    <row r="446" spans="5:13" ht="12.75" customHeight="1">
      <c r="E446" s="2"/>
      <c r="K446" s="2"/>
      <c r="L446" s="2"/>
      <c r="M446" s="2"/>
    </row>
    <row r="447" spans="5:13" ht="12.75" customHeight="1">
      <c r="E447" s="2"/>
      <c r="K447" s="2"/>
      <c r="L447" s="2"/>
      <c r="M447" s="2"/>
    </row>
    <row r="448" spans="5:13" ht="12.75" customHeight="1">
      <c r="E448" s="2"/>
      <c r="K448" s="2"/>
      <c r="L448" s="2"/>
      <c r="M448" s="2"/>
    </row>
    <row r="449" spans="5:13" ht="12.75" customHeight="1">
      <c r="E449" s="2"/>
      <c r="K449" s="2"/>
      <c r="L449" s="2"/>
      <c r="M449" s="2"/>
    </row>
    <row r="450" spans="5:13" ht="12.75" customHeight="1">
      <c r="E450" s="2"/>
      <c r="K450" s="2"/>
      <c r="L450" s="2"/>
      <c r="M450" s="2"/>
    </row>
    <row r="451" spans="5:13" ht="12.75" customHeight="1">
      <c r="E451" s="2"/>
      <c r="K451" s="2"/>
      <c r="L451" s="2"/>
      <c r="M451" s="2"/>
    </row>
    <row r="452" spans="5:13" ht="12.75" customHeight="1">
      <c r="E452" s="2"/>
      <c r="K452" s="2"/>
      <c r="L452" s="2"/>
      <c r="M452" s="2"/>
    </row>
    <row r="453" spans="5:13" ht="12.75" customHeight="1">
      <c r="E453" s="2"/>
      <c r="K453" s="2"/>
      <c r="L453" s="2"/>
      <c r="M453" s="2"/>
    </row>
    <row r="454" spans="5:13" ht="12.75" customHeight="1">
      <c r="E454" s="2"/>
      <c r="K454" s="2"/>
      <c r="L454" s="2"/>
      <c r="M454" s="2"/>
    </row>
    <row r="455" spans="5:13" ht="12.75" customHeight="1">
      <c r="E455" s="2"/>
      <c r="K455" s="2"/>
      <c r="L455" s="2"/>
      <c r="M455" s="2"/>
    </row>
    <row r="456" spans="5:13" ht="12.75" customHeight="1">
      <c r="E456" s="2"/>
      <c r="K456" s="2"/>
      <c r="L456" s="2"/>
      <c r="M456" s="2"/>
    </row>
    <row r="457" spans="5:13" ht="12.75" customHeight="1">
      <c r="E457" s="2"/>
      <c r="K457" s="2"/>
      <c r="L457" s="2"/>
      <c r="M457" s="2"/>
    </row>
    <row r="458" spans="5:13" ht="12.75" customHeight="1">
      <c r="E458" s="2"/>
      <c r="K458" s="2"/>
      <c r="L458" s="2"/>
      <c r="M458" s="2"/>
    </row>
    <row r="459" spans="5:13" ht="12.75" customHeight="1">
      <c r="E459" s="2"/>
      <c r="K459" s="2"/>
      <c r="L459" s="2"/>
      <c r="M459" s="2"/>
    </row>
    <row r="460" spans="5:13" ht="12.75" customHeight="1">
      <c r="E460" s="2"/>
      <c r="K460" s="2"/>
      <c r="L460" s="2"/>
      <c r="M460" s="2"/>
    </row>
    <row r="461" spans="5:13" ht="12.75" customHeight="1">
      <c r="E461" s="2"/>
      <c r="K461" s="2"/>
      <c r="L461" s="2"/>
      <c r="M461" s="2"/>
    </row>
    <row r="462" spans="5:13" ht="12.75" customHeight="1">
      <c r="E462" s="2"/>
      <c r="K462" s="2"/>
      <c r="L462" s="2"/>
      <c r="M462" s="2"/>
    </row>
    <row r="463" spans="5:13" ht="12.75" customHeight="1">
      <c r="E463" s="2"/>
      <c r="K463" s="2"/>
      <c r="L463" s="2"/>
      <c r="M463" s="2"/>
    </row>
    <row r="464" spans="5:13" ht="12.75" customHeight="1">
      <c r="E464" s="2"/>
      <c r="K464" s="2"/>
      <c r="L464" s="2"/>
      <c r="M464" s="2"/>
    </row>
    <row r="465" spans="5:13" ht="12.75" customHeight="1">
      <c r="E465" s="2"/>
      <c r="K465" s="2"/>
      <c r="L465" s="2"/>
      <c r="M465" s="2"/>
    </row>
    <row r="466" spans="5:13" ht="12.75" customHeight="1">
      <c r="E466" s="2"/>
      <c r="K466" s="2"/>
      <c r="L466" s="2"/>
      <c r="M466" s="2"/>
    </row>
    <row r="467" spans="5:13" ht="12.75" customHeight="1">
      <c r="E467" s="2"/>
      <c r="K467" s="2"/>
      <c r="L467" s="2"/>
      <c r="M467" s="2"/>
    </row>
    <row r="468" spans="5:13" ht="12.75" customHeight="1">
      <c r="E468" s="2"/>
      <c r="K468" s="2"/>
      <c r="L468" s="2"/>
      <c r="M468" s="2"/>
    </row>
    <row r="469" spans="5:13" ht="12.75" customHeight="1">
      <c r="E469" s="2"/>
      <c r="K469" s="2"/>
      <c r="L469" s="2"/>
      <c r="M469" s="2"/>
    </row>
    <row r="470" spans="5:13" ht="12.75" customHeight="1">
      <c r="E470" s="2"/>
      <c r="K470" s="2"/>
      <c r="L470" s="2"/>
      <c r="M470" s="2"/>
    </row>
    <row r="471" spans="5:13" ht="12.75" customHeight="1">
      <c r="E471" s="2"/>
      <c r="K471" s="2"/>
      <c r="L471" s="2"/>
      <c r="M471" s="2"/>
    </row>
    <row r="472" spans="5:13" ht="12.75" customHeight="1">
      <c r="E472" s="2"/>
      <c r="K472" s="2"/>
      <c r="L472" s="2"/>
      <c r="M472" s="2"/>
    </row>
    <row r="473" spans="5:13" ht="12.75" customHeight="1">
      <c r="E473" s="2"/>
      <c r="K473" s="2"/>
      <c r="L473" s="2"/>
      <c r="M473" s="2"/>
    </row>
    <row r="474" spans="5:13" ht="12.75" customHeight="1">
      <c r="E474" s="2"/>
      <c r="K474" s="2"/>
      <c r="L474" s="2"/>
      <c r="M474" s="2"/>
    </row>
    <row r="475" spans="5:13" ht="12.75" customHeight="1">
      <c r="E475" s="2"/>
      <c r="K475" s="2"/>
      <c r="L475" s="2"/>
      <c r="M475" s="2"/>
    </row>
    <row r="476" spans="5:13" ht="12.75" customHeight="1">
      <c r="E476" s="2"/>
      <c r="K476" s="2"/>
      <c r="L476" s="2"/>
      <c r="M476" s="2"/>
    </row>
    <row r="477" spans="5:13" ht="12.75" customHeight="1">
      <c r="E477" s="2"/>
      <c r="K477" s="2"/>
      <c r="L477" s="2"/>
      <c r="M477" s="2"/>
    </row>
    <row r="478" spans="5:13" ht="12.75" customHeight="1">
      <c r="E478" s="2"/>
      <c r="K478" s="2"/>
      <c r="L478" s="2"/>
      <c r="M478" s="2"/>
    </row>
    <row r="479" spans="5:13" ht="12.75" customHeight="1">
      <c r="E479" s="2"/>
      <c r="K479" s="2"/>
      <c r="L479" s="2"/>
      <c r="M479" s="2"/>
    </row>
    <row r="480" spans="5:13" ht="12.75" customHeight="1">
      <c r="E480" s="2"/>
      <c r="K480" s="2"/>
      <c r="L480" s="2"/>
      <c r="M480" s="2"/>
    </row>
    <row r="481" spans="5:13" ht="12.75" customHeight="1">
      <c r="E481" s="2"/>
      <c r="K481" s="2"/>
      <c r="L481" s="2"/>
      <c r="M481" s="2"/>
    </row>
    <row r="482" spans="5:13" ht="12.75" customHeight="1">
      <c r="E482" s="2"/>
      <c r="K482" s="2"/>
      <c r="L482" s="2"/>
      <c r="M482" s="2"/>
    </row>
    <row r="483" spans="5:13" ht="12.75" customHeight="1">
      <c r="E483" s="2"/>
      <c r="K483" s="2"/>
      <c r="L483" s="2"/>
      <c r="M483" s="2"/>
    </row>
    <row r="484" spans="5:13" ht="12.75" customHeight="1">
      <c r="E484" s="2"/>
      <c r="K484" s="2"/>
      <c r="L484" s="2"/>
      <c r="M484" s="2"/>
    </row>
    <row r="485" spans="5:13" ht="12.75" customHeight="1">
      <c r="E485" s="2"/>
      <c r="K485" s="2"/>
      <c r="L485" s="2"/>
      <c r="M485" s="2"/>
    </row>
    <row r="486" spans="5:13" ht="12.75" customHeight="1">
      <c r="E486" s="2"/>
      <c r="K486" s="2"/>
      <c r="L486" s="2"/>
      <c r="M486" s="2"/>
    </row>
    <row r="487" spans="5:13" ht="12.75" customHeight="1">
      <c r="E487" s="2"/>
      <c r="K487" s="2"/>
      <c r="L487" s="2"/>
      <c r="M487" s="2"/>
    </row>
    <row r="488" spans="5:13" ht="12.75" customHeight="1">
      <c r="E488" s="2"/>
      <c r="K488" s="2"/>
      <c r="L488" s="2"/>
      <c r="M488" s="2"/>
    </row>
    <row r="489" spans="5:13" ht="12.75" customHeight="1">
      <c r="E489" s="2"/>
      <c r="K489" s="2"/>
      <c r="L489" s="2"/>
      <c r="M489" s="2"/>
    </row>
    <row r="490" spans="5:13" ht="12.75" customHeight="1">
      <c r="E490" s="2"/>
      <c r="K490" s="2"/>
      <c r="L490" s="2"/>
      <c r="M490" s="2"/>
    </row>
    <row r="491" spans="5:13" ht="12.75" customHeight="1">
      <c r="E491" s="2"/>
      <c r="K491" s="2"/>
      <c r="L491" s="2"/>
      <c r="M491" s="2"/>
    </row>
    <row r="492" spans="5:13" ht="12.75" customHeight="1">
      <c r="E492" s="2"/>
      <c r="K492" s="2"/>
      <c r="L492" s="2"/>
      <c r="M492" s="2"/>
    </row>
    <row r="493" spans="5:13" ht="12.75" customHeight="1">
      <c r="E493" s="2"/>
      <c r="K493" s="2"/>
      <c r="L493" s="2"/>
      <c r="M493" s="2"/>
    </row>
    <row r="494" spans="5:13" ht="12.75" customHeight="1">
      <c r="E494" s="2"/>
      <c r="K494" s="2"/>
      <c r="L494" s="2"/>
      <c r="M494" s="2"/>
    </row>
    <row r="495" spans="5:13" ht="12.75" customHeight="1">
      <c r="E495" s="2"/>
      <c r="K495" s="2"/>
      <c r="L495" s="2"/>
      <c r="M495" s="2"/>
    </row>
    <row r="496" spans="5:13" ht="12.75" customHeight="1">
      <c r="E496" s="2"/>
      <c r="K496" s="2"/>
      <c r="L496" s="2"/>
      <c r="M496" s="2"/>
    </row>
    <row r="497" spans="5:13" ht="12.75" customHeight="1">
      <c r="E497" s="2"/>
      <c r="K497" s="2"/>
      <c r="L497" s="2"/>
      <c r="M497" s="2"/>
    </row>
    <row r="498" spans="5:13" ht="12.75" customHeight="1">
      <c r="E498" s="2"/>
      <c r="K498" s="2"/>
      <c r="L498" s="2"/>
      <c r="M498" s="2"/>
    </row>
    <row r="499" spans="5:13" ht="12.75" customHeight="1">
      <c r="E499" s="2"/>
      <c r="K499" s="2"/>
      <c r="L499" s="2"/>
      <c r="M499" s="2"/>
    </row>
    <row r="500" spans="5:13" ht="12.75" customHeight="1">
      <c r="E500" s="2"/>
      <c r="K500" s="2"/>
      <c r="L500" s="2"/>
      <c r="M500" s="2"/>
    </row>
    <row r="501" spans="5:13" ht="12.75" customHeight="1">
      <c r="E501" s="2"/>
      <c r="K501" s="2"/>
      <c r="L501" s="2"/>
      <c r="M501" s="2"/>
    </row>
    <row r="502" spans="5:13" ht="12.75" customHeight="1">
      <c r="E502" s="2"/>
      <c r="K502" s="2"/>
      <c r="L502" s="2"/>
      <c r="M502" s="2"/>
    </row>
    <row r="503" spans="5:13" ht="12.75" customHeight="1">
      <c r="E503" s="2"/>
      <c r="K503" s="2"/>
      <c r="L503" s="2"/>
      <c r="M503" s="2"/>
    </row>
    <row r="504" spans="5:13" ht="12.75" customHeight="1">
      <c r="E504" s="2"/>
      <c r="K504" s="2"/>
      <c r="L504" s="2"/>
      <c r="M504" s="2"/>
    </row>
    <row r="505" spans="5:13" ht="12.75" customHeight="1">
      <c r="E505" s="2"/>
      <c r="K505" s="2"/>
      <c r="L505" s="2"/>
      <c r="M505" s="2"/>
    </row>
    <row r="506" spans="5:13" ht="12.75" customHeight="1">
      <c r="E506" s="2"/>
      <c r="K506" s="2"/>
      <c r="L506" s="2"/>
      <c r="M506" s="2"/>
    </row>
    <row r="507" spans="5:13" ht="12.75" customHeight="1">
      <c r="E507" s="2"/>
      <c r="K507" s="2"/>
      <c r="L507" s="2"/>
      <c r="M507" s="2"/>
    </row>
    <row r="508" spans="5:13" ht="12.75" customHeight="1">
      <c r="E508" s="2"/>
      <c r="K508" s="2"/>
      <c r="L508" s="2"/>
      <c r="M508" s="2"/>
    </row>
    <row r="509" spans="5:13" ht="12.75" customHeight="1">
      <c r="E509" s="2"/>
      <c r="K509" s="2"/>
      <c r="L509" s="2"/>
      <c r="M509" s="2"/>
    </row>
    <row r="510" spans="5:13" ht="12.75" customHeight="1">
      <c r="E510" s="2"/>
      <c r="K510" s="2"/>
      <c r="L510" s="2"/>
      <c r="M510" s="2"/>
    </row>
    <row r="511" spans="5:13" ht="12.75" customHeight="1">
      <c r="E511" s="2"/>
      <c r="K511" s="2"/>
      <c r="L511" s="2"/>
      <c r="M511" s="2"/>
    </row>
    <row r="512" spans="5:13" ht="12.75" customHeight="1">
      <c r="E512" s="2"/>
      <c r="K512" s="2"/>
      <c r="L512" s="2"/>
      <c r="M512" s="2"/>
    </row>
    <row r="513" spans="5:13" ht="12.75" customHeight="1">
      <c r="E513" s="2"/>
      <c r="K513" s="2"/>
      <c r="L513" s="2"/>
      <c r="M513" s="2"/>
    </row>
    <row r="514" spans="5:13" ht="12.75" customHeight="1">
      <c r="E514" s="2"/>
      <c r="K514" s="2"/>
      <c r="L514" s="2"/>
      <c r="M514" s="2"/>
    </row>
    <row r="515" spans="5:13" ht="12.75" customHeight="1">
      <c r="E515" s="2"/>
      <c r="K515" s="2"/>
      <c r="L515" s="2"/>
      <c r="M515" s="2"/>
    </row>
    <row r="516" spans="5:13" ht="12.75" customHeight="1">
      <c r="E516" s="2"/>
      <c r="K516" s="2"/>
      <c r="L516" s="2"/>
      <c r="M516" s="2"/>
    </row>
    <row r="517" spans="5:13" ht="12.75" customHeight="1">
      <c r="E517" s="2"/>
      <c r="K517" s="2"/>
      <c r="L517" s="2"/>
      <c r="M517" s="2"/>
    </row>
    <row r="518" spans="5:13" ht="12.75" customHeight="1">
      <c r="E518" s="2"/>
      <c r="K518" s="2"/>
      <c r="L518" s="2"/>
      <c r="M518" s="2"/>
    </row>
    <row r="519" spans="5:13" ht="12.75" customHeight="1">
      <c r="E519" s="2"/>
      <c r="K519" s="2"/>
      <c r="L519" s="2"/>
      <c r="M519" s="2"/>
    </row>
    <row r="520" spans="5:13" ht="12.75" customHeight="1">
      <c r="E520" s="2"/>
      <c r="K520" s="2"/>
      <c r="L520" s="2"/>
      <c r="M520" s="2"/>
    </row>
    <row r="521" spans="5:13" ht="12.75" customHeight="1">
      <c r="E521" s="2"/>
      <c r="K521" s="2"/>
      <c r="L521" s="2"/>
      <c r="M521" s="2"/>
    </row>
    <row r="522" spans="5:13" ht="12.75" customHeight="1">
      <c r="E522" s="2"/>
      <c r="K522" s="2"/>
      <c r="L522" s="2"/>
      <c r="M522" s="2"/>
    </row>
    <row r="523" spans="5:13" ht="12.75" customHeight="1">
      <c r="E523" s="2"/>
      <c r="K523" s="2"/>
      <c r="L523" s="2"/>
      <c r="M523" s="2"/>
    </row>
    <row r="524" spans="5:13" ht="12.75" customHeight="1">
      <c r="E524" s="2"/>
      <c r="K524" s="2"/>
      <c r="L524" s="2"/>
      <c r="M524" s="2"/>
    </row>
    <row r="525" spans="5:13" ht="12.75" customHeight="1">
      <c r="E525" s="2"/>
      <c r="K525" s="2"/>
      <c r="L525" s="2"/>
      <c r="M525" s="2"/>
    </row>
    <row r="526" spans="5:13" ht="12.75" customHeight="1">
      <c r="E526" s="2"/>
      <c r="K526" s="2"/>
      <c r="L526" s="2"/>
      <c r="M526" s="2"/>
    </row>
    <row r="527" spans="5:13" ht="12.75" customHeight="1">
      <c r="E527" s="2"/>
      <c r="K527" s="2"/>
      <c r="L527" s="2"/>
      <c r="M527" s="2"/>
    </row>
    <row r="528" spans="5:13" ht="12.75" customHeight="1">
      <c r="E528" s="2"/>
      <c r="K528" s="2"/>
      <c r="L528" s="2"/>
      <c r="M528" s="2"/>
    </row>
    <row r="529" spans="5:13" ht="12.75" customHeight="1">
      <c r="E529" s="2"/>
      <c r="K529" s="2"/>
      <c r="L529" s="2"/>
      <c r="M529" s="2"/>
    </row>
    <row r="530" spans="5:13" ht="12.75" customHeight="1">
      <c r="E530" s="2"/>
      <c r="K530" s="2"/>
      <c r="L530" s="2"/>
      <c r="M530" s="2"/>
    </row>
    <row r="531" spans="5:13" ht="12.75" customHeight="1">
      <c r="E531" s="2"/>
      <c r="K531" s="2"/>
      <c r="L531" s="2"/>
      <c r="M531" s="2"/>
    </row>
    <row r="532" spans="5:13" ht="12.75" customHeight="1">
      <c r="E532" s="2"/>
      <c r="K532" s="2"/>
      <c r="L532" s="2"/>
      <c r="M532" s="2"/>
    </row>
    <row r="533" spans="5:13" ht="12.75" customHeight="1">
      <c r="E533" s="2"/>
      <c r="K533" s="2"/>
      <c r="L533" s="2"/>
      <c r="M533" s="2"/>
    </row>
    <row r="534" spans="5:13" ht="12.75" customHeight="1">
      <c r="E534" s="2"/>
      <c r="K534" s="2"/>
      <c r="L534" s="2"/>
      <c r="M534" s="2"/>
    </row>
    <row r="535" spans="5:13" ht="12.75" customHeight="1">
      <c r="E535" s="2"/>
      <c r="K535" s="2"/>
      <c r="L535" s="2"/>
      <c r="M535" s="2"/>
    </row>
    <row r="536" spans="5:13" ht="12.75" customHeight="1">
      <c r="E536" s="2"/>
      <c r="K536" s="2"/>
      <c r="L536" s="2"/>
      <c r="M536" s="2"/>
    </row>
    <row r="537" spans="5:13" ht="12.75" customHeight="1">
      <c r="E537" s="2"/>
      <c r="K537" s="2"/>
      <c r="L537" s="2"/>
      <c r="M537" s="2"/>
    </row>
    <row r="538" spans="5:13" ht="12.75" customHeight="1">
      <c r="E538" s="2"/>
      <c r="K538" s="2"/>
      <c r="L538" s="2"/>
      <c r="M538" s="2"/>
    </row>
    <row r="539" spans="5:13" ht="12.75" customHeight="1">
      <c r="E539" s="2"/>
      <c r="K539" s="2"/>
      <c r="L539" s="2"/>
      <c r="M539" s="2"/>
    </row>
    <row r="540" spans="5:13" ht="12.75" customHeight="1">
      <c r="E540" s="2"/>
      <c r="K540" s="2"/>
      <c r="L540" s="2"/>
      <c r="M540" s="2"/>
    </row>
    <row r="541" spans="5:13" ht="12.75" customHeight="1">
      <c r="E541" s="2"/>
      <c r="K541" s="2"/>
      <c r="L541" s="2"/>
      <c r="M541" s="2"/>
    </row>
    <row r="542" spans="5:13" ht="12.75" customHeight="1">
      <c r="E542" s="2"/>
      <c r="K542" s="2"/>
      <c r="L542" s="2"/>
      <c r="M542" s="2"/>
    </row>
    <row r="543" spans="5:13" ht="12.75" customHeight="1">
      <c r="E543" s="2"/>
      <c r="K543" s="2"/>
      <c r="L543" s="2"/>
      <c r="M543" s="2"/>
    </row>
    <row r="544" spans="5:13" ht="12.75" customHeight="1">
      <c r="E544" s="2"/>
      <c r="K544" s="2"/>
      <c r="L544" s="2"/>
      <c r="M544" s="2"/>
    </row>
    <row r="545" spans="5:13" ht="12.75" customHeight="1">
      <c r="E545" s="2"/>
      <c r="K545" s="2"/>
      <c r="L545" s="2"/>
      <c r="M545" s="2"/>
    </row>
    <row r="546" spans="5:13" ht="12.75" customHeight="1">
      <c r="E546" s="2"/>
      <c r="K546" s="2"/>
      <c r="L546" s="2"/>
      <c r="M546" s="2"/>
    </row>
    <row r="547" spans="5:13" ht="12.75" customHeight="1">
      <c r="E547" s="2"/>
      <c r="K547" s="2"/>
      <c r="L547" s="2"/>
      <c r="M547" s="2"/>
    </row>
    <row r="548" spans="5:13" ht="12.75" customHeight="1">
      <c r="E548" s="2"/>
      <c r="K548" s="2"/>
      <c r="L548" s="2"/>
      <c r="M548" s="2"/>
    </row>
    <row r="549" spans="5:13" ht="12.75" customHeight="1">
      <c r="E549" s="2"/>
      <c r="K549" s="2"/>
      <c r="L549" s="2"/>
      <c r="M549" s="2"/>
    </row>
    <row r="550" spans="5:13" ht="12.75" customHeight="1">
      <c r="E550" s="2"/>
      <c r="K550" s="2"/>
      <c r="L550" s="2"/>
      <c r="M550" s="2"/>
    </row>
    <row r="551" spans="5:13" ht="12.75" customHeight="1">
      <c r="E551" s="2"/>
      <c r="K551" s="2"/>
      <c r="L551" s="2"/>
      <c r="M551" s="2"/>
    </row>
    <row r="552" spans="5:13" ht="12.75" customHeight="1">
      <c r="E552" s="2"/>
      <c r="K552" s="2"/>
      <c r="L552" s="2"/>
      <c r="M552" s="2"/>
    </row>
    <row r="553" spans="5:13" ht="12.75" customHeight="1">
      <c r="E553" s="2"/>
      <c r="K553" s="2"/>
      <c r="L553" s="2"/>
      <c r="M553" s="2"/>
    </row>
    <row r="554" spans="5:13" ht="12.75" customHeight="1">
      <c r="E554" s="2"/>
      <c r="K554" s="2"/>
      <c r="L554" s="2"/>
      <c r="M554" s="2"/>
    </row>
    <row r="555" spans="5:13" ht="12.75" customHeight="1">
      <c r="E555" s="2"/>
      <c r="K555" s="2"/>
      <c r="L555" s="2"/>
      <c r="M555" s="2"/>
    </row>
    <row r="556" spans="5:13" ht="12.75" customHeight="1">
      <c r="E556" s="2"/>
      <c r="K556" s="2"/>
      <c r="L556" s="2"/>
      <c r="M556" s="2"/>
    </row>
    <row r="557" spans="5:13" ht="12.75" customHeight="1">
      <c r="E557" s="2"/>
      <c r="K557" s="2"/>
      <c r="L557" s="2"/>
      <c r="M557" s="2"/>
    </row>
    <row r="558" spans="5:13" ht="12.75" customHeight="1">
      <c r="E558" s="2"/>
      <c r="K558" s="2"/>
      <c r="L558" s="2"/>
      <c r="M558" s="2"/>
    </row>
    <row r="559" spans="5:13" ht="12.75" customHeight="1">
      <c r="E559" s="2"/>
      <c r="K559" s="2"/>
      <c r="L559" s="2"/>
      <c r="M559" s="2"/>
    </row>
    <row r="560" spans="5:13" ht="12.75" customHeight="1">
      <c r="E560" s="2"/>
      <c r="K560" s="2"/>
      <c r="L560" s="2"/>
      <c r="M560" s="2"/>
    </row>
    <row r="561" spans="5:13" ht="12.75" customHeight="1">
      <c r="E561" s="2"/>
      <c r="K561" s="2"/>
      <c r="L561" s="2"/>
      <c r="M561" s="2"/>
    </row>
    <row r="562" spans="5:13" ht="12.75" customHeight="1">
      <c r="E562" s="2"/>
      <c r="K562" s="2"/>
      <c r="L562" s="2"/>
      <c r="M562" s="2"/>
    </row>
    <row r="563" spans="5:13" ht="12.75" customHeight="1">
      <c r="E563" s="2"/>
      <c r="K563" s="2"/>
      <c r="L563" s="2"/>
      <c r="M563" s="2"/>
    </row>
    <row r="564" spans="5:13" ht="12.75" customHeight="1">
      <c r="E564" s="2"/>
      <c r="K564" s="2"/>
      <c r="L564" s="2"/>
      <c r="M564" s="2"/>
    </row>
    <row r="565" spans="5:13" ht="12.75" customHeight="1">
      <c r="E565" s="2"/>
      <c r="K565" s="2"/>
      <c r="L565" s="2"/>
      <c r="M565" s="2"/>
    </row>
    <row r="566" spans="5:13" ht="12.75" customHeight="1">
      <c r="E566" s="2"/>
      <c r="K566" s="2"/>
      <c r="L566" s="2"/>
      <c r="M566" s="2"/>
    </row>
    <row r="567" spans="5:13" ht="12.75" customHeight="1">
      <c r="E567" s="2"/>
      <c r="K567" s="2"/>
      <c r="L567" s="2"/>
      <c r="M567" s="2"/>
    </row>
    <row r="568" spans="5:13" ht="12.75" customHeight="1">
      <c r="E568" s="2"/>
      <c r="K568" s="2"/>
      <c r="L568" s="2"/>
      <c r="M568" s="2"/>
    </row>
    <row r="569" spans="5:13" ht="12.75" customHeight="1">
      <c r="E569" s="2"/>
      <c r="K569" s="2"/>
      <c r="L569" s="2"/>
      <c r="M569" s="2"/>
    </row>
    <row r="570" spans="5:13" ht="12.75" customHeight="1">
      <c r="E570" s="2"/>
      <c r="K570" s="2"/>
      <c r="L570" s="2"/>
      <c r="M570" s="2"/>
    </row>
    <row r="571" spans="5:13" ht="12.75" customHeight="1">
      <c r="E571" s="2"/>
      <c r="K571" s="2"/>
      <c r="L571" s="2"/>
      <c r="M571" s="2"/>
    </row>
    <row r="572" spans="5:13" ht="12.75" customHeight="1">
      <c r="E572" s="2"/>
      <c r="K572" s="2"/>
      <c r="L572" s="2"/>
      <c r="M572" s="2"/>
    </row>
    <row r="573" spans="5:13" ht="12.75" customHeight="1">
      <c r="E573" s="2"/>
      <c r="K573" s="2"/>
      <c r="L573" s="2"/>
      <c r="M573" s="2"/>
    </row>
    <row r="574" spans="5:13" ht="12.75" customHeight="1">
      <c r="E574" s="2"/>
      <c r="K574" s="2"/>
      <c r="L574" s="2"/>
      <c r="M574" s="2"/>
    </row>
    <row r="575" spans="5:13" ht="12.75" customHeight="1">
      <c r="E575" s="2"/>
      <c r="K575" s="2"/>
      <c r="L575" s="2"/>
      <c r="M575" s="2"/>
    </row>
    <row r="576" spans="5:13" ht="12.75" customHeight="1">
      <c r="E576" s="2"/>
      <c r="K576" s="2"/>
      <c r="L576" s="2"/>
      <c r="M576" s="2"/>
    </row>
    <row r="577" spans="5:13" ht="12.75" customHeight="1">
      <c r="E577" s="2"/>
      <c r="K577" s="2"/>
      <c r="L577" s="2"/>
      <c r="M577" s="2"/>
    </row>
    <row r="578" spans="5:13" ht="12.75" customHeight="1">
      <c r="E578" s="2"/>
      <c r="K578" s="2"/>
      <c r="L578" s="2"/>
      <c r="M578" s="2"/>
    </row>
    <row r="579" spans="5:13" ht="12.75" customHeight="1">
      <c r="E579" s="2"/>
      <c r="K579" s="2"/>
      <c r="L579" s="2"/>
      <c r="M579" s="2"/>
    </row>
    <row r="580" spans="5:13" ht="12.75" customHeight="1">
      <c r="E580" s="2"/>
      <c r="K580" s="2"/>
      <c r="L580" s="2"/>
      <c r="M580" s="2"/>
    </row>
    <row r="581" spans="5:13" ht="12.75" customHeight="1">
      <c r="E581" s="2"/>
      <c r="K581" s="2"/>
      <c r="L581" s="2"/>
      <c r="M581" s="2"/>
    </row>
    <row r="582" spans="5:13" ht="12.75" customHeight="1">
      <c r="E582" s="2"/>
      <c r="K582" s="2"/>
      <c r="L582" s="2"/>
      <c r="M582" s="2"/>
    </row>
    <row r="583" spans="5:13" ht="12.75" customHeight="1">
      <c r="E583" s="2"/>
      <c r="K583" s="2"/>
      <c r="L583" s="2"/>
      <c r="M583" s="2"/>
    </row>
    <row r="584" spans="5:13" ht="12.75" customHeight="1">
      <c r="E584" s="2"/>
      <c r="K584" s="2"/>
      <c r="L584" s="2"/>
      <c r="M584" s="2"/>
    </row>
    <row r="585" spans="5:13" ht="12.75" customHeight="1">
      <c r="E585" s="2"/>
      <c r="K585" s="2"/>
      <c r="L585" s="2"/>
      <c r="M585" s="2"/>
    </row>
    <row r="586" spans="5:13" ht="12.75" customHeight="1">
      <c r="E586" s="2"/>
      <c r="K586" s="2"/>
      <c r="L586" s="2"/>
      <c r="M586" s="2"/>
    </row>
    <row r="587" spans="5:13" ht="12.75" customHeight="1">
      <c r="E587" s="2"/>
      <c r="K587" s="2"/>
      <c r="L587" s="2"/>
      <c r="M587" s="2"/>
    </row>
    <row r="588" spans="5:13" ht="12.75" customHeight="1">
      <c r="E588" s="2"/>
      <c r="K588" s="2"/>
      <c r="L588" s="2"/>
      <c r="M588" s="2"/>
    </row>
    <row r="589" spans="5:13" ht="12.75" customHeight="1">
      <c r="E589" s="2"/>
      <c r="K589" s="2"/>
      <c r="L589" s="2"/>
      <c r="M589" s="2"/>
    </row>
    <row r="590" spans="5:13" ht="12.75" customHeight="1">
      <c r="E590" s="2"/>
      <c r="K590" s="2"/>
      <c r="L590" s="2"/>
      <c r="M590" s="2"/>
    </row>
    <row r="591" spans="5:13" ht="12.75" customHeight="1">
      <c r="E591" s="2"/>
      <c r="K591" s="2"/>
      <c r="L591" s="2"/>
      <c r="M591" s="2"/>
    </row>
    <row r="592" spans="5:13" ht="12.75" customHeight="1">
      <c r="E592" s="2"/>
      <c r="K592" s="2"/>
      <c r="L592" s="2"/>
      <c r="M592" s="2"/>
    </row>
    <row r="593" spans="5:13" ht="12.75" customHeight="1">
      <c r="E593" s="2"/>
      <c r="K593" s="2"/>
      <c r="L593" s="2"/>
      <c r="M593" s="2"/>
    </row>
    <row r="594" spans="5:13" ht="12.75" customHeight="1">
      <c r="E594" s="2"/>
      <c r="K594" s="2"/>
      <c r="L594" s="2"/>
      <c r="M594" s="2"/>
    </row>
    <row r="595" spans="5:13" ht="12.75" customHeight="1">
      <c r="E595" s="2"/>
      <c r="K595" s="2"/>
      <c r="L595" s="2"/>
      <c r="M595" s="2"/>
    </row>
    <row r="596" spans="5:13" ht="12.75" customHeight="1">
      <c r="E596" s="2"/>
      <c r="K596" s="2"/>
      <c r="L596" s="2"/>
      <c r="M596" s="2"/>
    </row>
    <row r="597" spans="5:13" ht="12.75" customHeight="1">
      <c r="E597" s="2"/>
      <c r="K597" s="2"/>
      <c r="L597" s="2"/>
      <c r="M597" s="2"/>
    </row>
    <row r="598" spans="5:13" ht="12.75" customHeight="1">
      <c r="E598" s="2"/>
      <c r="K598" s="2"/>
      <c r="L598" s="2"/>
      <c r="M598" s="2"/>
    </row>
    <row r="599" spans="5:13" ht="12.75" customHeight="1">
      <c r="E599" s="2"/>
      <c r="K599" s="2"/>
      <c r="L599" s="2"/>
      <c r="M599" s="2"/>
    </row>
    <row r="600" spans="5:13" ht="12.75" customHeight="1">
      <c r="E600" s="2"/>
      <c r="K600" s="2"/>
      <c r="L600" s="2"/>
      <c r="M600" s="2"/>
    </row>
    <row r="601" spans="5:13" ht="12.75" customHeight="1">
      <c r="E601" s="2"/>
      <c r="K601" s="2"/>
      <c r="L601" s="2"/>
      <c r="M601" s="2"/>
    </row>
    <row r="602" spans="5:13" ht="12.75" customHeight="1">
      <c r="E602" s="2"/>
      <c r="K602" s="2"/>
      <c r="L602" s="2"/>
      <c r="M602" s="2"/>
    </row>
    <row r="603" spans="5:13" ht="12.75" customHeight="1">
      <c r="E603" s="2"/>
      <c r="K603" s="2"/>
      <c r="L603" s="2"/>
      <c r="M603" s="2"/>
    </row>
    <row r="604" spans="5:13" ht="12.75" customHeight="1">
      <c r="E604" s="2"/>
      <c r="K604" s="2"/>
      <c r="L604" s="2"/>
      <c r="M604" s="2"/>
    </row>
    <row r="605" spans="5:13" ht="12.75" customHeight="1">
      <c r="E605" s="2"/>
      <c r="K605" s="2"/>
      <c r="L605" s="2"/>
      <c r="M605" s="2"/>
    </row>
    <row r="606" spans="5:13" ht="12.75" customHeight="1">
      <c r="E606" s="2"/>
      <c r="K606" s="2"/>
      <c r="L606" s="2"/>
      <c r="M606" s="2"/>
    </row>
    <row r="607" spans="5:13" ht="12.75" customHeight="1">
      <c r="E607" s="2"/>
      <c r="K607" s="2"/>
      <c r="L607" s="2"/>
      <c r="M607" s="2"/>
    </row>
    <row r="608" spans="5:13" ht="12.75" customHeight="1">
      <c r="E608" s="2"/>
      <c r="K608" s="2"/>
      <c r="L608" s="2"/>
      <c r="M608" s="2"/>
    </row>
    <row r="609" spans="5:13" ht="12.75" customHeight="1">
      <c r="E609" s="2"/>
      <c r="K609" s="2"/>
      <c r="L609" s="2"/>
      <c r="M609" s="2"/>
    </row>
    <row r="610" spans="5:13" ht="12.75" customHeight="1">
      <c r="E610" s="2"/>
      <c r="K610" s="2"/>
      <c r="L610" s="2"/>
      <c r="M610" s="2"/>
    </row>
    <row r="611" spans="5:13" ht="12.75" customHeight="1">
      <c r="E611" s="2"/>
      <c r="K611" s="2"/>
      <c r="L611" s="2"/>
      <c r="M611" s="2"/>
    </row>
    <row r="612" spans="5:13" ht="12.75" customHeight="1">
      <c r="E612" s="2"/>
      <c r="K612" s="2"/>
      <c r="L612" s="2"/>
      <c r="M612" s="2"/>
    </row>
    <row r="613" spans="5:13" ht="12.75" customHeight="1">
      <c r="E613" s="2"/>
      <c r="K613" s="2"/>
      <c r="L613" s="2"/>
      <c r="M613" s="2"/>
    </row>
    <row r="614" spans="5:13" ht="12.75" customHeight="1">
      <c r="E614" s="2"/>
      <c r="K614" s="2"/>
      <c r="L614" s="2"/>
      <c r="M614" s="2"/>
    </row>
    <row r="615" spans="5:13" ht="12.75" customHeight="1">
      <c r="E615" s="2"/>
      <c r="K615" s="2"/>
      <c r="L615" s="2"/>
      <c r="M615" s="2"/>
    </row>
    <row r="616" spans="5:13" ht="12.75" customHeight="1">
      <c r="E616" s="2"/>
      <c r="K616" s="2"/>
      <c r="L616" s="2"/>
      <c r="M616" s="2"/>
    </row>
    <row r="617" spans="5:13" ht="12.75" customHeight="1">
      <c r="E617" s="2"/>
      <c r="K617" s="2"/>
      <c r="L617" s="2"/>
      <c r="M617" s="2"/>
    </row>
    <row r="618" spans="5:13" ht="12.75" customHeight="1">
      <c r="E618" s="2"/>
      <c r="K618" s="2"/>
      <c r="L618" s="2"/>
      <c r="M618" s="2"/>
    </row>
    <row r="619" spans="5:13" ht="12.75" customHeight="1">
      <c r="E619" s="2"/>
      <c r="K619" s="2"/>
      <c r="L619" s="2"/>
      <c r="M619" s="2"/>
    </row>
    <row r="620" spans="5:13" ht="12.75" customHeight="1">
      <c r="E620" s="2"/>
      <c r="K620" s="2"/>
      <c r="L620" s="2"/>
      <c r="M620" s="2"/>
    </row>
    <row r="621" spans="5:13" ht="12.75" customHeight="1">
      <c r="E621" s="2"/>
      <c r="K621" s="2"/>
      <c r="L621" s="2"/>
      <c r="M621" s="2"/>
    </row>
    <row r="622" spans="5:13" ht="12.75" customHeight="1">
      <c r="E622" s="2"/>
      <c r="K622" s="2"/>
      <c r="L622" s="2"/>
      <c r="M622" s="2"/>
    </row>
    <row r="623" spans="5:13" ht="12.75" customHeight="1">
      <c r="E623" s="2"/>
      <c r="K623" s="2"/>
      <c r="L623" s="2"/>
      <c r="M623" s="2"/>
    </row>
    <row r="624" spans="5:13" ht="12.75" customHeight="1">
      <c r="E624" s="2"/>
      <c r="K624" s="2"/>
      <c r="L624" s="2"/>
      <c r="M624" s="2"/>
    </row>
    <row r="625" spans="5:13" ht="12.75" customHeight="1">
      <c r="E625" s="2"/>
      <c r="K625" s="2"/>
      <c r="L625" s="2"/>
      <c r="M625" s="2"/>
    </row>
    <row r="626" spans="5:13" ht="12.75" customHeight="1">
      <c r="E626" s="2"/>
      <c r="K626" s="2"/>
      <c r="L626" s="2"/>
      <c r="M626" s="2"/>
    </row>
    <row r="627" spans="5:13" ht="12.75" customHeight="1">
      <c r="E627" s="2"/>
      <c r="K627" s="2"/>
      <c r="L627" s="2"/>
      <c r="M627" s="2"/>
    </row>
    <row r="628" spans="5:13" ht="12.75" customHeight="1">
      <c r="E628" s="2"/>
      <c r="K628" s="2"/>
      <c r="L628" s="2"/>
      <c r="M628" s="2"/>
    </row>
    <row r="629" spans="5:13" ht="12.75" customHeight="1">
      <c r="E629" s="2"/>
      <c r="K629" s="2"/>
      <c r="L629" s="2"/>
      <c r="M629" s="2"/>
    </row>
    <row r="630" spans="5:13" ht="12.75" customHeight="1">
      <c r="E630" s="2"/>
      <c r="K630" s="2"/>
      <c r="L630" s="2"/>
      <c r="M630" s="2"/>
    </row>
    <row r="631" spans="5:13" ht="12.75" customHeight="1">
      <c r="E631" s="2"/>
      <c r="K631" s="2"/>
      <c r="L631" s="2"/>
      <c r="M631" s="2"/>
    </row>
    <row r="632" spans="5:13" ht="12.75" customHeight="1">
      <c r="E632" s="2"/>
      <c r="K632" s="2"/>
      <c r="L632" s="2"/>
      <c r="M632" s="2"/>
    </row>
    <row r="633" spans="5:13" ht="12.75" customHeight="1">
      <c r="E633" s="2"/>
      <c r="K633" s="2"/>
      <c r="L633" s="2"/>
      <c r="M633" s="2"/>
    </row>
    <row r="634" spans="5:13" ht="12.75" customHeight="1">
      <c r="E634" s="2"/>
      <c r="K634" s="2"/>
      <c r="L634" s="2"/>
      <c r="M634" s="2"/>
    </row>
    <row r="635" spans="5:13" ht="12.75" customHeight="1">
      <c r="E635" s="2"/>
      <c r="K635" s="2"/>
      <c r="L635" s="2"/>
      <c r="M635" s="2"/>
    </row>
    <row r="636" spans="5:13" ht="12.75" customHeight="1">
      <c r="E636" s="2"/>
      <c r="K636" s="2"/>
      <c r="L636" s="2"/>
      <c r="M636" s="2"/>
    </row>
    <row r="637" spans="5:13" ht="12.75" customHeight="1">
      <c r="E637" s="2"/>
      <c r="K637" s="2"/>
      <c r="L637" s="2"/>
      <c r="M637" s="2"/>
    </row>
    <row r="638" spans="5:13" ht="12.75" customHeight="1">
      <c r="E638" s="2"/>
      <c r="K638" s="2"/>
      <c r="L638" s="2"/>
      <c r="M638" s="2"/>
    </row>
    <row r="639" spans="5:13" ht="12.75" customHeight="1">
      <c r="E639" s="2"/>
      <c r="K639" s="2"/>
      <c r="L639" s="2"/>
      <c r="M639" s="2"/>
    </row>
    <row r="640" spans="5:13" ht="12.75" customHeight="1">
      <c r="E640" s="2"/>
      <c r="K640" s="2"/>
      <c r="L640" s="2"/>
      <c r="M640" s="2"/>
    </row>
    <row r="641" spans="5:13" ht="12.75" customHeight="1">
      <c r="E641" s="2"/>
      <c r="K641" s="2"/>
      <c r="L641" s="2"/>
      <c r="M641" s="2"/>
    </row>
    <row r="642" spans="5:13" ht="12.75" customHeight="1">
      <c r="E642" s="2"/>
      <c r="K642" s="2"/>
      <c r="L642" s="2"/>
      <c r="M642" s="2"/>
    </row>
    <row r="643" spans="5:13" ht="12.75" customHeight="1">
      <c r="E643" s="2"/>
      <c r="K643" s="2"/>
      <c r="L643" s="2"/>
      <c r="M643" s="2"/>
    </row>
    <row r="644" spans="5:13" ht="12.75" customHeight="1">
      <c r="E644" s="2"/>
      <c r="K644" s="2"/>
      <c r="L644" s="2"/>
      <c r="M644" s="2"/>
    </row>
    <row r="645" spans="5:13" ht="12.75" customHeight="1">
      <c r="E645" s="2"/>
      <c r="K645" s="2"/>
      <c r="L645" s="2"/>
      <c r="M645" s="2"/>
    </row>
    <row r="646" spans="5:13" ht="12.75" customHeight="1">
      <c r="E646" s="2"/>
      <c r="K646" s="2"/>
      <c r="L646" s="2"/>
      <c r="M646" s="2"/>
    </row>
    <row r="647" spans="5:13" ht="12.75" customHeight="1">
      <c r="E647" s="2"/>
      <c r="K647" s="2"/>
      <c r="L647" s="2"/>
      <c r="M647" s="2"/>
    </row>
    <row r="648" spans="5:13" ht="12.75" customHeight="1">
      <c r="E648" s="2"/>
      <c r="K648" s="2"/>
      <c r="L648" s="2"/>
      <c r="M648" s="2"/>
    </row>
    <row r="649" spans="5:13" ht="12.75" customHeight="1">
      <c r="E649" s="2"/>
      <c r="K649" s="2"/>
      <c r="L649" s="2"/>
      <c r="M649" s="2"/>
    </row>
    <row r="650" spans="5:13" ht="12.75" customHeight="1">
      <c r="E650" s="2"/>
      <c r="K650" s="2"/>
      <c r="L650" s="2"/>
      <c r="M650" s="2"/>
    </row>
    <row r="651" spans="5:13" ht="12.75" customHeight="1">
      <c r="E651" s="2"/>
      <c r="K651" s="2"/>
      <c r="L651" s="2"/>
      <c r="M651" s="2"/>
    </row>
    <row r="652" spans="5:13" ht="12.75" customHeight="1">
      <c r="E652" s="2"/>
      <c r="K652" s="2"/>
      <c r="L652" s="2"/>
      <c r="M652" s="2"/>
    </row>
    <row r="653" spans="5:13" ht="12.75" customHeight="1">
      <c r="E653" s="2"/>
      <c r="K653" s="2"/>
      <c r="L653" s="2"/>
      <c r="M653" s="2"/>
    </row>
    <row r="654" spans="5:13" ht="12.75" customHeight="1">
      <c r="E654" s="2"/>
      <c r="K654" s="2"/>
      <c r="L654" s="2"/>
      <c r="M654" s="2"/>
    </row>
    <row r="655" spans="5:13" ht="12.75" customHeight="1">
      <c r="E655" s="2"/>
      <c r="K655" s="2"/>
      <c r="L655" s="2"/>
      <c r="M655" s="2"/>
    </row>
    <row r="656" spans="5:13" ht="12.75" customHeight="1">
      <c r="E656" s="2"/>
      <c r="K656" s="2"/>
      <c r="L656" s="2"/>
      <c r="M656" s="2"/>
    </row>
    <row r="657" spans="5:13" ht="12.75" customHeight="1">
      <c r="E657" s="2"/>
      <c r="K657" s="2"/>
      <c r="L657" s="2"/>
      <c r="M657" s="2"/>
    </row>
    <row r="658" spans="5:13" ht="12.75" customHeight="1">
      <c r="E658" s="2"/>
      <c r="K658" s="2"/>
      <c r="L658" s="2"/>
      <c r="M658" s="2"/>
    </row>
    <row r="659" spans="5:13" ht="12.75" customHeight="1">
      <c r="E659" s="2"/>
      <c r="K659" s="2"/>
      <c r="L659" s="2"/>
      <c r="M659" s="2"/>
    </row>
    <row r="660" spans="5:13" ht="12.75" customHeight="1">
      <c r="E660" s="2"/>
      <c r="K660" s="2"/>
      <c r="L660" s="2"/>
      <c r="M660" s="2"/>
    </row>
    <row r="661" spans="5:13" ht="12.75" customHeight="1">
      <c r="E661" s="2"/>
      <c r="K661" s="2"/>
      <c r="L661" s="2"/>
      <c r="M661" s="2"/>
    </row>
    <row r="662" spans="5:13" ht="12.75" customHeight="1">
      <c r="E662" s="2"/>
      <c r="K662" s="2"/>
      <c r="L662" s="2"/>
      <c r="M662" s="2"/>
    </row>
    <row r="663" spans="5:13" ht="12.75" customHeight="1">
      <c r="E663" s="2"/>
      <c r="K663" s="2"/>
      <c r="L663" s="2"/>
      <c r="M663" s="2"/>
    </row>
    <row r="664" spans="5:13" ht="12.75" customHeight="1">
      <c r="E664" s="2"/>
      <c r="K664" s="2"/>
      <c r="L664" s="2"/>
      <c r="M664" s="2"/>
    </row>
    <row r="665" spans="5:13" ht="12.75" customHeight="1">
      <c r="E665" s="2"/>
      <c r="K665" s="2"/>
      <c r="L665" s="2"/>
      <c r="M665" s="2"/>
    </row>
    <row r="666" spans="5:13" ht="12.75" customHeight="1">
      <c r="E666" s="2"/>
      <c r="K666" s="2"/>
      <c r="L666" s="2"/>
      <c r="M666" s="2"/>
    </row>
    <row r="667" spans="5:13" ht="12.75" customHeight="1">
      <c r="E667" s="2"/>
      <c r="K667" s="2"/>
      <c r="L667" s="2"/>
      <c r="M667" s="2"/>
    </row>
    <row r="668" spans="5:13" ht="12.75" customHeight="1">
      <c r="E668" s="2"/>
      <c r="K668" s="2"/>
      <c r="L668" s="2"/>
      <c r="M668" s="2"/>
    </row>
    <row r="669" spans="5:13" ht="12.75" customHeight="1">
      <c r="E669" s="2"/>
      <c r="K669" s="2"/>
      <c r="L669" s="2"/>
      <c r="M669" s="2"/>
    </row>
    <row r="670" spans="5:13" ht="12.75" customHeight="1">
      <c r="E670" s="2"/>
      <c r="K670" s="2"/>
      <c r="L670" s="2"/>
      <c r="M670" s="2"/>
    </row>
    <row r="671" spans="5:13" ht="12.75" customHeight="1">
      <c r="E671" s="2"/>
      <c r="K671" s="2"/>
      <c r="L671" s="2"/>
      <c r="M671" s="2"/>
    </row>
    <row r="672" spans="5:13" ht="12.75" customHeight="1">
      <c r="E672" s="2"/>
      <c r="K672" s="2"/>
      <c r="L672" s="2"/>
      <c r="M672" s="2"/>
    </row>
    <row r="673" spans="5:13" ht="12.75" customHeight="1">
      <c r="E673" s="2"/>
      <c r="K673" s="2"/>
      <c r="L673" s="2"/>
      <c r="M673" s="2"/>
    </row>
    <row r="674" spans="5:13" ht="12.75" customHeight="1">
      <c r="E674" s="2"/>
      <c r="K674" s="2"/>
      <c r="L674" s="2"/>
      <c r="M674" s="2"/>
    </row>
    <row r="675" spans="5:13" ht="12.75" customHeight="1">
      <c r="E675" s="2"/>
      <c r="K675" s="2"/>
      <c r="L675" s="2"/>
      <c r="M675" s="2"/>
    </row>
    <row r="676" spans="5:13" ht="12.75" customHeight="1">
      <c r="E676" s="2"/>
      <c r="K676" s="2"/>
      <c r="L676" s="2"/>
      <c r="M676" s="2"/>
    </row>
    <row r="677" spans="5:13" ht="12.75" customHeight="1">
      <c r="E677" s="2"/>
      <c r="K677" s="2"/>
      <c r="L677" s="2"/>
      <c r="M677" s="2"/>
    </row>
    <row r="678" spans="5:13" ht="12.75" customHeight="1">
      <c r="E678" s="2"/>
      <c r="K678" s="2"/>
      <c r="L678" s="2"/>
      <c r="M678" s="2"/>
    </row>
    <row r="679" spans="5:13" ht="12.75" customHeight="1">
      <c r="E679" s="2"/>
      <c r="K679" s="2"/>
      <c r="L679" s="2"/>
      <c r="M679" s="2"/>
    </row>
    <row r="680" spans="5:13" ht="12.75" customHeight="1">
      <c r="E680" s="2"/>
      <c r="K680" s="2"/>
      <c r="L680" s="2"/>
      <c r="M680" s="2"/>
    </row>
    <row r="681" spans="5:13" ht="12.75" customHeight="1">
      <c r="E681" s="2"/>
      <c r="K681" s="2"/>
      <c r="L681" s="2"/>
      <c r="M681" s="2"/>
    </row>
    <row r="682" spans="5:13" ht="12.75" customHeight="1">
      <c r="E682" s="2"/>
      <c r="K682" s="2"/>
      <c r="L682" s="2"/>
      <c r="M682" s="2"/>
    </row>
    <row r="683" spans="5:13" ht="12.75" customHeight="1">
      <c r="E683" s="2"/>
      <c r="K683" s="2"/>
      <c r="L683" s="2"/>
      <c r="M683" s="2"/>
    </row>
    <row r="684" spans="5:13" ht="12.75" customHeight="1">
      <c r="E684" s="2"/>
      <c r="K684" s="2"/>
      <c r="L684" s="2"/>
      <c r="M684" s="2"/>
    </row>
    <row r="685" spans="5:13" ht="12.75" customHeight="1">
      <c r="E685" s="2"/>
      <c r="K685" s="2"/>
      <c r="L685" s="2"/>
      <c r="M685" s="2"/>
    </row>
    <row r="686" spans="5:13" ht="12.75" customHeight="1">
      <c r="E686" s="2"/>
      <c r="K686" s="2"/>
      <c r="L686" s="2"/>
      <c r="M686" s="2"/>
    </row>
    <row r="687" spans="5:13" ht="12.75" customHeight="1">
      <c r="E687" s="2"/>
      <c r="K687" s="2"/>
      <c r="L687" s="2"/>
      <c r="M687" s="2"/>
    </row>
    <row r="688" spans="5:13" ht="12.75" customHeight="1">
      <c r="E688" s="2"/>
      <c r="K688" s="2"/>
      <c r="L688" s="2"/>
      <c r="M688" s="2"/>
    </row>
    <row r="689" spans="5:13" ht="12.75" customHeight="1">
      <c r="E689" s="2"/>
      <c r="K689" s="2"/>
      <c r="L689" s="2"/>
      <c r="M689" s="2"/>
    </row>
    <row r="690" spans="5:13" ht="12.75" customHeight="1">
      <c r="E690" s="2"/>
      <c r="K690" s="2"/>
      <c r="L690" s="2"/>
      <c r="M690" s="2"/>
    </row>
    <row r="691" spans="5:13" ht="12.75" customHeight="1">
      <c r="E691" s="2"/>
      <c r="K691" s="2"/>
      <c r="L691" s="2"/>
      <c r="M691" s="2"/>
    </row>
    <row r="692" spans="5:13" ht="12.75" customHeight="1">
      <c r="E692" s="2"/>
      <c r="K692" s="2"/>
      <c r="L692" s="2"/>
      <c r="M692" s="2"/>
    </row>
    <row r="693" spans="5:13" ht="12.75" customHeight="1">
      <c r="E693" s="2"/>
      <c r="K693" s="2"/>
      <c r="L693" s="2"/>
      <c r="M693" s="2"/>
    </row>
    <row r="694" spans="5:13" ht="12.75" customHeight="1">
      <c r="E694" s="2"/>
      <c r="K694" s="2"/>
      <c r="L694" s="2"/>
      <c r="M694" s="2"/>
    </row>
    <row r="695" spans="5:13" ht="12.75" customHeight="1">
      <c r="E695" s="2"/>
      <c r="K695" s="2"/>
      <c r="L695" s="2"/>
      <c r="M695" s="2"/>
    </row>
    <row r="696" spans="5:13" ht="12.75" customHeight="1">
      <c r="E696" s="2"/>
      <c r="K696" s="2"/>
      <c r="L696" s="2"/>
      <c r="M696" s="2"/>
    </row>
    <row r="697" spans="5:13" ht="12.75" customHeight="1">
      <c r="E697" s="2"/>
      <c r="K697" s="2"/>
      <c r="L697" s="2"/>
      <c r="M697" s="2"/>
    </row>
    <row r="698" spans="5:13" ht="12.75" customHeight="1">
      <c r="E698" s="2"/>
      <c r="K698" s="2"/>
      <c r="L698" s="2"/>
      <c r="M698" s="2"/>
    </row>
    <row r="699" spans="5:13" ht="12.75" customHeight="1">
      <c r="E699" s="2"/>
      <c r="K699" s="2"/>
      <c r="L699" s="2"/>
      <c r="M699" s="2"/>
    </row>
    <row r="700" spans="5:13" ht="12.75" customHeight="1">
      <c r="E700" s="2"/>
      <c r="K700" s="2"/>
      <c r="L700" s="2"/>
      <c r="M700" s="2"/>
    </row>
    <row r="701" spans="5:13" ht="12.75" customHeight="1">
      <c r="E701" s="2"/>
      <c r="K701" s="2"/>
      <c r="L701" s="2"/>
      <c r="M701" s="2"/>
    </row>
    <row r="702" spans="5:13" ht="12.75" customHeight="1">
      <c r="E702" s="2"/>
      <c r="K702" s="2"/>
      <c r="L702" s="2"/>
      <c r="M702" s="2"/>
    </row>
    <row r="703" spans="5:13" ht="12.75" customHeight="1">
      <c r="E703" s="2"/>
      <c r="K703" s="2"/>
      <c r="L703" s="2"/>
      <c r="M703" s="2"/>
    </row>
    <row r="704" spans="5:13" ht="12.75" customHeight="1">
      <c r="E704" s="2"/>
      <c r="K704" s="2"/>
      <c r="L704" s="2"/>
      <c r="M704" s="2"/>
    </row>
    <row r="705" spans="5:13" ht="12.75" customHeight="1">
      <c r="E705" s="2"/>
      <c r="K705" s="2"/>
      <c r="L705" s="2"/>
      <c r="M705" s="2"/>
    </row>
    <row r="706" spans="5:13" ht="12.75" customHeight="1">
      <c r="E706" s="2"/>
      <c r="K706" s="2"/>
      <c r="L706" s="2"/>
      <c r="M706" s="2"/>
    </row>
    <row r="707" spans="5:13" ht="12.75" customHeight="1">
      <c r="E707" s="2"/>
      <c r="K707" s="2"/>
      <c r="L707" s="2"/>
      <c r="M707" s="2"/>
    </row>
    <row r="708" spans="5:13" ht="12.75" customHeight="1">
      <c r="E708" s="2"/>
      <c r="K708" s="2"/>
      <c r="L708" s="2"/>
      <c r="M708" s="2"/>
    </row>
    <row r="709" spans="5:13" ht="12.75" customHeight="1">
      <c r="E709" s="2"/>
      <c r="K709" s="2"/>
      <c r="L709" s="2"/>
      <c r="M709" s="2"/>
    </row>
    <row r="710" spans="5:13" ht="12.75" customHeight="1">
      <c r="E710" s="2"/>
      <c r="K710" s="2"/>
      <c r="L710" s="2"/>
      <c r="M710" s="2"/>
    </row>
    <row r="711" spans="5:13" ht="12.75" customHeight="1">
      <c r="E711" s="2"/>
      <c r="K711" s="2"/>
      <c r="L711" s="2"/>
      <c r="M711" s="2"/>
    </row>
    <row r="712" spans="5:13" ht="12.75" customHeight="1">
      <c r="E712" s="2"/>
      <c r="K712" s="2"/>
      <c r="L712" s="2"/>
      <c r="M712" s="2"/>
    </row>
    <row r="713" spans="5:13" ht="12.75" customHeight="1">
      <c r="E713" s="2"/>
      <c r="K713" s="2"/>
      <c r="L713" s="2"/>
      <c r="M713" s="2"/>
    </row>
    <row r="714" spans="5:13" ht="12.75" customHeight="1">
      <c r="E714" s="2"/>
      <c r="K714" s="2"/>
      <c r="L714" s="2"/>
      <c r="M714" s="2"/>
    </row>
    <row r="715" spans="5:13" ht="12.75" customHeight="1">
      <c r="E715" s="2"/>
      <c r="K715" s="2"/>
      <c r="L715" s="2"/>
      <c r="M715" s="2"/>
    </row>
    <row r="716" spans="5:13" ht="12.75" customHeight="1">
      <c r="E716" s="2"/>
      <c r="K716" s="2"/>
      <c r="L716" s="2"/>
      <c r="M716" s="2"/>
    </row>
    <row r="717" spans="5:13" ht="12.75" customHeight="1">
      <c r="E717" s="2"/>
      <c r="K717" s="2"/>
      <c r="L717" s="2"/>
      <c r="M717" s="2"/>
    </row>
    <row r="718" spans="5:13" ht="12.75" customHeight="1">
      <c r="E718" s="2"/>
      <c r="K718" s="2"/>
      <c r="L718" s="2"/>
      <c r="M718" s="2"/>
    </row>
    <row r="719" spans="5:13" ht="12.75" customHeight="1">
      <c r="E719" s="2"/>
      <c r="K719" s="2"/>
      <c r="L719" s="2"/>
      <c r="M719" s="2"/>
    </row>
    <row r="720" spans="5:13" ht="12.75" customHeight="1">
      <c r="E720" s="2"/>
      <c r="K720" s="2"/>
      <c r="L720" s="2"/>
      <c r="M720" s="2"/>
    </row>
    <row r="721" spans="5:13" ht="12.75" customHeight="1">
      <c r="E721" s="2"/>
      <c r="K721" s="2"/>
      <c r="L721" s="2"/>
      <c r="M721" s="2"/>
    </row>
    <row r="722" spans="5:13" ht="12.75" customHeight="1">
      <c r="E722" s="2"/>
      <c r="K722" s="2"/>
      <c r="L722" s="2"/>
      <c r="M722" s="2"/>
    </row>
    <row r="723" spans="5:13" ht="12.75" customHeight="1">
      <c r="E723" s="2"/>
      <c r="K723" s="2"/>
      <c r="L723" s="2"/>
      <c r="M723" s="2"/>
    </row>
    <row r="724" spans="5:13" ht="12.75" customHeight="1">
      <c r="E724" s="2"/>
      <c r="K724" s="2"/>
      <c r="L724" s="2"/>
      <c r="M724" s="2"/>
    </row>
    <row r="725" spans="5:13" ht="12.75" customHeight="1">
      <c r="E725" s="2"/>
      <c r="K725" s="2"/>
      <c r="L725" s="2"/>
      <c r="M725" s="2"/>
    </row>
    <row r="726" spans="5:13" ht="12.75" customHeight="1">
      <c r="E726" s="2"/>
      <c r="K726" s="2"/>
      <c r="L726" s="2"/>
      <c r="M726" s="2"/>
    </row>
    <row r="727" spans="5:13" ht="12.75" customHeight="1">
      <c r="E727" s="2"/>
      <c r="K727" s="2"/>
      <c r="L727" s="2"/>
      <c r="M727" s="2"/>
    </row>
    <row r="728" spans="5:13" ht="12.75" customHeight="1">
      <c r="E728" s="2"/>
      <c r="K728" s="2"/>
      <c r="L728" s="2"/>
      <c r="M728" s="2"/>
    </row>
    <row r="729" spans="5:13" ht="12.75" customHeight="1">
      <c r="E729" s="2"/>
      <c r="K729" s="2"/>
      <c r="L729" s="2"/>
      <c r="M729" s="2"/>
    </row>
    <row r="730" spans="5:13" ht="12.75" customHeight="1">
      <c r="E730" s="2"/>
      <c r="K730" s="2"/>
      <c r="L730" s="2"/>
      <c r="M730" s="2"/>
    </row>
    <row r="731" spans="5:13" ht="12.75" customHeight="1">
      <c r="E731" s="2"/>
      <c r="K731" s="2"/>
      <c r="L731" s="2"/>
      <c r="M731" s="2"/>
    </row>
    <row r="732" spans="5:13" ht="12.75" customHeight="1">
      <c r="E732" s="2"/>
      <c r="K732" s="2"/>
      <c r="L732" s="2"/>
      <c r="M732" s="2"/>
    </row>
    <row r="733" spans="5:13" ht="12.75" customHeight="1">
      <c r="E733" s="2"/>
      <c r="K733" s="2"/>
      <c r="L733" s="2"/>
      <c r="M733" s="2"/>
    </row>
    <row r="734" spans="5:13" ht="12.75" customHeight="1">
      <c r="E734" s="2"/>
      <c r="K734" s="2"/>
      <c r="L734" s="2"/>
      <c r="M734" s="2"/>
    </row>
    <row r="735" spans="5:13" ht="12.75" customHeight="1">
      <c r="E735" s="2"/>
      <c r="K735" s="2"/>
      <c r="L735" s="2"/>
      <c r="M735" s="2"/>
    </row>
    <row r="736" spans="5:13" ht="12.75" customHeight="1">
      <c r="E736" s="2"/>
      <c r="K736" s="2"/>
      <c r="L736" s="2"/>
      <c r="M736" s="2"/>
    </row>
    <row r="737" spans="5:13" ht="12.75" customHeight="1">
      <c r="E737" s="2"/>
      <c r="K737" s="2"/>
      <c r="L737" s="2"/>
      <c r="M737" s="2"/>
    </row>
    <row r="738" spans="5:13" ht="12.75" customHeight="1">
      <c r="E738" s="2"/>
      <c r="K738" s="2"/>
      <c r="L738" s="2"/>
      <c r="M738" s="2"/>
    </row>
    <row r="739" spans="5:13" ht="12.75" customHeight="1">
      <c r="E739" s="2"/>
      <c r="K739" s="2"/>
      <c r="L739" s="2"/>
      <c r="M739" s="2"/>
    </row>
    <row r="740" spans="5:13" ht="12.75" customHeight="1">
      <c r="E740" s="2"/>
      <c r="K740" s="2"/>
      <c r="L740" s="2"/>
      <c r="M740" s="2"/>
    </row>
    <row r="741" spans="5:13" ht="12.75" customHeight="1">
      <c r="E741" s="2"/>
      <c r="K741" s="2"/>
      <c r="L741" s="2"/>
      <c r="M741" s="2"/>
    </row>
    <row r="742" spans="5:13" ht="12.75" customHeight="1">
      <c r="E742" s="2"/>
      <c r="K742" s="2"/>
      <c r="L742" s="2"/>
      <c r="M742" s="2"/>
    </row>
    <row r="743" spans="5:13" ht="12.75" customHeight="1">
      <c r="E743" s="2"/>
      <c r="K743" s="2"/>
      <c r="L743" s="2"/>
      <c r="M743" s="2"/>
    </row>
    <row r="744" spans="5:13" ht="12.75" customHeight="1">
      <c r="E744" s="2"/>
      <c r="K744" s="2"/>
      <c r="L744" s="2"/>
      <c r="M744" s="2"/>
    </row>
    <row r="745" spans="5:13" ht="12.75" customHeight="1">
      <c r="E745" s="2"/>
      <c r="K745" s="2"/>
      <c r="L745" s="2"/>
      <c r="M745" s="2"/>
    </row>
    <row r="746" spans="5:13" ht="12.75" customHeight="1">
      <c r="E746" s="2"/>
      <c r="K746" s="2"/>
      <c r="L746" s="2"/>
      <c r="M746" s="2"/>
    </row>
    <row r="747" spans="5:13" ht="12.75" customHeight="1">
      <c r="E747" s="2"/>
      <c r="K747" s="2"/>
      <c r="L747" s="2"/>
      <c r="M747" s="2"/>
    </row>
    <row r="748" spans="5:13" ht="12.75" customHeight="1">
      <c r="E748" s="2"/>
      <c r="K748" s="2"/>
      <c r="L748" s="2"/>
      <c r="M748" s="2"/>
    </row>
    <row r="749" spans="5:13" ht="12.75" customHeight="1">
      <c r="E749" s="2"/>
      <c r="K749" s="2"/>
      <c r="L749" s="2"/>
      <c r="M749" s="2"/>
    </row>
    <row r="750" spans="5:13" ht="12.75" customHeight="1">
      <c r="E750" s="2"/>
      <c r="K750" s="2"/>
      <c r="L750" s="2"/>
      <c r="M750" s="2"/>
    </row>
    <row r="751" spans="5:13" ht="12.75" customHeight="1">
      <c r="E751" s="2"/>
      <c r="K751" s="2"/>
      <c r="L751" s="2"/>
      <c r="M751" s="2"/>
    </row>
    <row r="752" spans="5:13" ht="12.75" customHeight="1">
      <c r="E752" s="2"/>
      <c r="K752" s="2"/>
      <c r="L752" s="2"/>
      <c r="M752" s="2"/>
    </row>
    <row r="753" spans="5:13" ht="12.75" customHeight="1">
      <c r="E753" s="2"/>
      <c r="K753" s="2"/>
      <c r="L753" s="2"/>
      <c r="M753" s="2"/>
    </row>
    <row r="754" spans="5:13" ht="12.75" customHeight="1">
      <c r="E754" s="2"/>
      <c r="K754" s="2"/>
      <c r="L754" s="2"/>
      <c r="M754" s="2"/>
    </row>
    <row r="755" spans="5:13" ht="12.75" customHeight="1">
      <c r="E755" s="2"/>
      <c r="K755" s="2"/>
      <c r="L755" s="2"/>
      <c r="M755" s="2"/>
    </row>
    <row r="756" spans="5:13" ht="12.75" customHeight="1">
      <c r="E756" s="2"/>
      <c r="K756" s="2"/>
      <c r="L756" s="2"/>
      <c r="M756" s="2"/>
    </row>
    <row r="757" spans="5:13" ht="12.75" customHeight="1">
      <c r="E757" s="2"/>
      <c r="K757" s="2"/>
      <c r="L757" s="2"/>
      <c r="M757" s="2"/>
    </row>
    <row r="758" spans="5:13" ht="12.75" customHeight="1">
      <c r="E758" s="2"/>
      <c r="K758" s="2"/>
      <c r="L758" s="2"/>
      <c r="M758" s="2"/>
    </row>
    <row r="759" spans="5:13" ht="12.75" customHeight="1">
      <c r="E759" s="2"/>
      <c r="K759" s="2"/>
      <c r="L759" s="2"/>
      <c r="M759" s="2"/>
    </row>
    <row r="760" spans="5:13" ht="12.75" customHeight="1">
      <c r="E760" s="2"/>
      <c r="K760" s="2"/>
      <c r="L760" s="2"/>
      <c r="M760" s="2"/>
    </row>
    <row r="761" spans="5:13" ht="12.75" customHeight="1">
      <c r="E761" s="2"/>
      <c r="K761" s="2"/>
      <c r="L761" s="2"/>
      <c r="M761" s="2"/>
    </row>
    <row r="762" spans="5:13" ht="12.75" customHeight="1">
      <c r="E762" s="2"/>
      <c r="K762" s="2"/>
      <c r="L762" s="2"/>
      <c r="M762" s="2"/>
    </row>
    <row r="763" spans="5:13" ht="12.75" customHeight="1">
      <c r="E763" s="2"/>
      <c r="K763" s="2"/>
      <c r="L763" s="2"/>
      <c r="M763" s="2"/>
    </row>
    <row r="764" spans="5:13" ht="12.75" customHeight="1">
      <c r="E764" s="2"/>
      <c r="K764" s="2"/>
      <c r="L764" s="2"/>
      <c r="M764" s="2"/>
    </row>
    <row r="765" spans="5:13" ht="12.75" customHeight="1">
      <c r="E765" s="2"/>
      <c r="K765" s="2"/>
      <c r="L765" s="2"/>
      <c r="M765" s="2"/>
    </row>
    <row r="766" spans="5:13" ht="12.75" customHeight="1">
      <c r="E766" s="2"/>
      <c r="K766" s="2"/>
      <c r="L766" s="2"/>
      <c r="M766" s="2"/>
    </row>
    <row r="767" spans="5:13" ht="12.75" customHeight="1">
      <c r="E767" s="2"/>
      <c r="K767" s="2"/>
      <c r="L767" s="2"/>
      <c r="M767" s="2"/>
    </row>
    <row r="768" spans="5:13" ht="12.75" customHeight="1">
      <c r="E768" s="2"/>
      <c r="K768" s="2"/>
      <c r="L768" s="2"/>
      <c r="M768" s="2"/>
    </row>
    <row r="769" spans="5:13" ht="12.75" customHeight="1">
      <c r="E769" s="2"/>
      <c r="K769" s="2"/>
      <c r="L769" s="2"/>
      <c r="M769" s="2"/>
    </row>
    <row r="770" spans="5:13" ht="12.75" customHeight="1">
      <c r="E770" s="2"/>
      <c r="K770" s="2"/>
      <c r="L770" s="2"/>
      <c r="M770" s="2"/>
    </row>
    <row r="771" spans="5:13" ht="12.75" customHeight="1">
      <c r="E771" s="2"/>
      <c r="K771" s="2"/>
      <c r="L771" s="2"/>
      <c r="M771" s="2"/>
    </row>
    <row r="772" spans="5:13" ht="12.75" customHeight="1">
      <c r="E772" s="2"/>
      <c r="K772" s="2"/>
      <c r="L772" s="2"/>
      <c r="M772" s="2"/>
    </row>
    <row r="773" spans="5:13" ht="12.75" customHeight="1">
      <c r="E773" s="2"/>
      <c r="K773" s="2"/>
      <c r="L773" s="2"/>
      <c r="M773" s="2"/>
    </row>
    <row r="774" spans="5:13" ht="12.75" customHeight="1">
      <c r="E774" s="2"/>
      <c r="K774" s="2"/>
      <c r="L774" s="2"/>
      <c r="M774" s="2"/>
    </row>
    <row r="775" spans="5:13" ht="12.75" customHeight="1">
      <c r="E775" s="2"/>
      <c r="K775" s="2"/>
      <c r="L775" s="2"/>
      <c r="M775" s="2"/>
    </row>
    <row r="776" spans="5:13" ht="12.75" customHeight="1">
      <c r="E776" s="2"/>
      <c r="K776" s="2"/>
      <c r="L776" s="2"/>
      <c r="M776" s="2"/>
    </row>
    <row r="777" spans="5:13" ht="12.75" customHeight="1">
      <c r="E777" s="2"/>
      <c r="K777" s="2"/>
      <c r="L777" s="2"/>
      <c r="M777" s="2"/>
    </row>
    <row r="778" spans="5:13" ht="12.75" customHeight="1">
      <c r="E778" s="2"/>
      <c r="K778" s="2"/>
      <c r="L778" s="2"/>
      <c r="M778" s="2"/>
    </row>
    <row r="779" spans="5:13" ht="12.75" customHeight="1">
      <c r="E779" s="2"/>
      <c r="K779" s="2"/>
      <c r="L779" s="2"/>
      <c r="M779" s="2"/>
    </row>
    <row r="780" spans="5:13" ht="12.75" customHeight="1">
      <c r="E780" s="2"/>
      <c r="K780" s="2"/>
      <c r="L780" s="2"/>
      <c r="M780" s="2"/>
    </row>
    <row r="781" spans="5:13" ht="12.75" customHeight="1">
      <c r="E781" s="2"/>
      <c r="K781" s="2"/>
      <c r="L781" s="2"/>
      <c r="M781" s="2"/>
    </row>
    <row r="782" spans="5:13" ht="12.75" customHeight="1">
      <c r="E782" s="2"/>
      <c r="K782" s="2"/>
      <c r="L782" s="2"/>
      <c r="M782" s="2"/>
    </row>
    <row r="783" spans="5:13" ht="12.75" customHeight="1">
      <c r="E783" s="2"/>
      <c r="K783" s="2"/>
      <c r="L783" s="2"/>
      <c r="M783" s="2"/>
    </row>
    <row r="784" spans="5:13" ht="12.75" customHeight="1">
      <c r="E784" s="2"/>
      <c r="K784" s="2"/>
      <c r="L784" s="2"/>
      <c r="M784" s="2"/>
    </row>
    <row r="785" spans="5:13" ht="12.75" customHeight="1">
      <c r="E785" s="2"/>
      <c r="K785" s="2"/>
      <c r="L785" s="2"/>
      <c r="M785" s="2"/>
    </row>
    <row r="786" spans="5:13" ht="12.75" customHeight="1">
      <c r="E786" s="2"/>
      <c r="K786" s="2"/>
      <c r="L786" s="2"/>
      <c r="M786" s="2"/>
    </row>
    <row r="787" spans="5:13" ht="12.75" customHeight="1">
      <c r="E787" s="2"/>
      <c r="K787" s="2"/>
      <c r="L787" s="2"/>
      <c r="M787" s="2"/>
    </row>
    <row r="788" spans="5:13" ht="12.75" customHeight="1">
      <c r="E788" s="2"/>
      <c r="K788" s="2"/>
      <c r="L788" s="2"/>
      <c r="M788" s="2"/>
    </row>
    <row r="789" spans="5:13" ht="12.75" customHeight="1">
      <c r="E789" s="2"/>
      <c r="K789" s="2"/>
      <c r="L789" s="2"/>
      <c r="M789" s="2"/>
    </row>
    <row r="790" spans="5:13" ht="12.75" customHeight="1">
      <c r="E790" s="2"/>
      <c r="K790" s="2"/>
      <c r="L790" s="2"/>
      <c r="M790" s="2"/>
    </row>
    <row r="791" spans="5:13" ht="12.75" customHeight="1">
      <c r="E791" s="2"/>
      <c r="K791" s="2"/>
      <c r="L791" s="2"/>
      <c r="M791" s="2"/>
    </row>
    <row r="792" spans="5:13" ht="12.75" customHeight="1">
      <c r="E792" s="2"/>
      <c r="K792" s="2"/>
      <c r="L792" s="2"/>
      <c r="M792" s="2"/>
    </row>
    <row r="793" spans="5:13" ht="12.75" customHeight="1">
      <c r="E793" s="2"/>
      <c r="K793" s="2"/>
      <c r="L793" s="2"/>
      <c r="M793" s="2"/>
    </row>
    <row r="794" spans="5:13" ht="12.75" customHeight="1">
      <c r="E794" s="2"/>
      <c r="K794" s="2"/>
      <c r="L794" s="2"/>
      <c r="M794" s="2"/>
    </row>
    <row r="795" spans="5:13" ht="12.75" customHeight="1">
      <c r="E795" s="2"/>
      <c r="K795" s="2"/>
      <c r="L795" s="2"/>
      <c r="M795" s="2"/>
    </row>
    <row r="796" spans="5:13" ht="12.75" customHeight="1">
      <c r="E796" s="2"/>
      <c r="K796" s="2"/>
      <c r="L796" s="2"/>
      <c r="M796" s="2"/>
    </row>
    <row r="797" spans="5:13" ht="12.75" customHeight="1">
      <c r="E797" s="2"/>
      <c r="K797" s="2"/>
      <c r="L797" s="2"/>
      <c r="M797" s="2"/>
    </row>
    <row r="798" spans="5:13" ht="12.75" customHeight="1">
      <c r="E798" s="2"/>
      <c r="K798" s="2"/>
      <c r="L798" s="2"/>
      <c r="M798" s="2"/>
    </row>
    <row r="799" spans="5:13" ht="12.75" customHeight="1">
      <c r="E799" s="2"/>
      <c r="K799" s="2"/>
      <c r="L799" s="2"/>
      <c r="M799" s="2"/>
    </row>
    <row r="800" spans="5:13" ht="12.75" customHeight="1">
      <c r="E800" s="2"/>
      <c r="K800" s="2"/>
      <c r="L800" s="2"/>
      <c r="M800" s="2"/>
    </row>
    <row r="801" spans="5:13" ht="12.75" customHeight="1">
      <c r="E801" s="2"/>
      <c r="K801" s="2"/>
      <c r="L801" s="2"/>
      <c r="M801" s="2"/>
    </row>
    <row r="802" spans="5:13" ht="12.75" customHeight="1">
      <c r="E802" s="2"/>
      <c r="K802" s="2"/>
      <c r="L802" s="2"/>
      <c r="M802" s="2"/>
    </row>
    <row r="803" spans="5:13" ht="12.75" customHeight="1">
      <c r="E803" s="2"/>
      <c r="K803" s="2"/>
      <c r="L803" s="2"/>
      <c r="M803" s="2"/>
    </row>
    <row r="804" spans="5:13" ht="12.75" customHeight="1">
      <c r="E804" s="2"/>
      <c r="K804" s="2"/>
      <c r="L804" s="2"/>
      <c r="M804" s="2"/>
    </row>
    <row r="805" spans="5:13" ht="12.75" customHeight="1">
      <c r="E805" s="2"/>
      <c r="K805" s="2"/>
      <c r="L805" s="2"/>
      <c r="M805" s="2"/>
    </row>
    <row r="806" spans="5:13" ht="12.75" customHeight="1">
      <c r="E806" s="2"/>
      <c r="K806" s="2"/>
      <c r="L806" s="2"/>
      <c r="M806" s="2"/>
    </row>
    <row r="807" spans="5:13" ht="12.75" customHeight="1">
      <c r="E807" s="2"/>
      <c r="K807" s="2"/>
      <c r="L807" s="2"/>
      <c r="M807" s="2"/>
    </row>
    <row r="808" spans="5:13" ht="12.75" customHeight="1">
      <c r="E808" s="2"/>
      <c r="K808" s="2"/>
      <c r="L808" s="2"/>
      <c r="M808" s="2"/>
    </row>
    <row r="809" spans="5:13" ht="12.75" customHeight="1">
      <c r="E809" s="2"/>
      <c r="K809" s="2"/>
      <c r="L809" s="2"/>
      <c r="M809" s="2"/>
    </row>
    <row r="810" spans="5:13" ht="12.75" customHeight="1">
      <c r="E810" s="2"/>
      <c r="K810" s="2"/>
      <c r="L810" s="2"/>
      <c r="M810" s="2"/>
    </row>
    <row r="811" spans="5:13" ht="12.75" customHeight="1">
      <c r="E811" s="2"/>
      <c r="K811" s="2"/>
      <c r="L811" s="2"/>
      <c r="M811" s="2"/>
    </row>
    <row r="812" spans="5:13" ht="12.75" customHeight="1">
      <c r="E812" s="2"/>
      <c r="K812" s="2"/>
      <c r="L812" s="2"/>
      <c r="M812" s="2"/>
    </row>
    <row r="813" spans="5:13" ht="12.75" customHeight="1">
      <c r="E813" s="2"/>
      <c r="K813" s="2"/>
      <c r="L813" s="2"/>
      <c r="M813" s="2"/>
    </row>
    <row r="814" spans="5:13" ht="12.75" customHeight="1">
      <c r="E814" s="2"/>
      <c r="K814" s="2"/>
      <c r="L814" s="2"/>
      <c r="M814" s="2"/>
    </row>
    <row r="815" spans="5:13" ht="12.75" customHeight="1">
      <c r="E815" s="2"/>
      <c r="K815" s="2"/>
      <c r="L815" s="2"/>
      <c r="M815" s="2"/>
    </row>
    <row r="816" spans="5:13" ht="12.75" customHeight="1">
      <c r="E816" s="2"/>
      <c r="K816" s="2"/>
      <c r="L816" s="2"/>
      <c r="M816" s="2"/>
    </row>
    <row r="817" spans="5:13" ht="12.75" customHeight="1">
      <c r="E817" s="2"/>
      <c r="K817" s="2"/>
      <c r="L817" s="2"/>
      <c r="M817" s="2"/>
    </row>
    <row r="818" spans="5:13" ht="12.75" customHeight="1">
      <c r="E818" s="2"/>
      <c r="K818" s="2"/>
      <c r="L818" s="2"/>
      <c r="M818" s="2"/>
    </row>
    <row r="819" spans="5:13" ht="12.75" customHeight="1">
      <c r="E819" s="2"/>
      <c r="K819" s="2"/>
      <c r="L819" s="2"/>
      <c r="M819" s="2"/>
    </row>
    <row r="820" spans="5:13" ht="12.75" customHeight="1">
      <c r="E820" s="2"/>
      <c r="K820" s="2"/>
      <c r="L820" s="2"/>
      <c r="M820" s="2"/>
    </row>
    <row r="821" spans="5:13" ht="12.75" customHeight="1">
      <c r="E821" s="2"/>
      <c r="K821" s="2"/>
      <c r="L821" s="2"/>
      <c r="M821" s="2"/>
    </row>
    <row r="822" spans="5:13" ht="12.75" customHeight="1">
      <c r="E822" s="2"/>
      <c r="K822" s="2"/>
      <c r="L822" s="2"/>
      <c r="M822" s="2"/>
    </row>
    <row r="823" spans="5:13" ht="12.75" customHeight="1">
      <c r="E823" s="2"/>
      <c r="K823" s="2"/>
      <c r="L823" s="2"/>
      <c r="M823" s="2"/>
    </row>
    <row r="824" spans="5:13" ht="12.75" customHeight="1">
      <c r="E824" s="2"/>
      <c r="K824" s="2"/>
      <c r="L824" s="2"/>
      <c r="M824" s="2"/>
    </row>
    <row r="825" spans="5:13" ht="12.75" customHeight="1">
      <c r="E825" s="2"/>
      <c r="K825" s="2"/>
      <c r="L825" s="2"/>
      <c r="M825" s="2"/>
    </row>
    <row r="826" spans="5:13" ht="12.75" customHeight="1">
      <c r="E826" s="2"/>
      <c r="K826" s="2"/>
      <c r="L826" s="2"/>
      <c r="M826" s="2"/>
    </row>
    <row r="827" spans="5:13" ht="12.75" customHeight="1">
      <c r="E827" s="2"/>
      <c r="K827" s="2"/>
      <c r="L827" s="2"/>
      <c r="M827" s="2"/>
    </row>
    <row r="828" spans="5:13" ht="12.75" customHeight="1">
      <c r="E828" s="2"/>
      <c r="K828" s="2"/>
      <c r="L828" s="2"/>
      <c r="M828" s="2"/>
    </row>
    <row r="829" spans="5:13" ht="12.75" customHeight="1">
      <c r="E829" s="2"/>
      <c r="K829" s="2"/>
      <c r="L829" s="2"/>
      <c r="M829" s="2"/>
    </row>
    <row r="830" spans="5:13" ht="12.75" customHeight="1">
      <c r="E830" s="2"/>
      <c r="K830" s="2"/>
      <c r="L830" s="2"/>
      <c r="M830" s="2"/>
    </row>
    <row r="831" spans="5:13" ht="12.75" customHeight="1">
      <c r="E831" s="2"/>
      <c r="K831" s="2"/>
      <c r="L831" s="2"/>
      <c r="M831" s="2"/>
    </row>
    <row r="832" spans="5:13" ht="12.75" customHeight="1">
      <c r="E832" s="2"/>
      <c r="K832" s="2"/>
      <c r="L832" s="2"/>
      <c r="M832" s="2"/>
    </row>
    <row r="833" spans="5:13" ht="12.75" customHeight="1">
      <c r="E833" s="2"/>
      <c r="K833" s="2"/>
      <c r="L833" s="2"/>
      <c r="M833" s="2"/>
    </row>
    <row r="834" spans="5:13" ht="12.75" customHeight="1">
      <c r="E834" s="2"/>
      <c r="K834" s="2"/>
      <c r="L834" s="2"/>
      <c r="M834" s="2"/>
    </row>
    <row r="835" spans="5:13" ht="12.75" customHeight="1">
      <c r="E835" s="2"/>
      <c r="K835" s="2"/>
      <c r="L835" s="2"/>
      <c r="M835" s="2"/>
    </row>
    <row r="836" spans="5:13" ht="12.75" customHeight="1">
      <c r="E836" s="2"/>
      <c r="K836" s="2"/>
      <c r="L836" s="2"/>
      <c r="M836" s="2"/>
    </row>
    <row r="837" spans="5:13" ht="12.75" customHeight="1">
      <c r="E837" s="2"/>
      <c r="K837" s="2"/>
      <c r="L837" s="2"/>
      <c r="M837" s="2"/>
    </row>
    <row r="838" spans="5:13" ht="12.75" customHeight="1">
      <c r="E838" s="2"/>
      <c r="K838" s="2"/>
      <c r="L838" s="2"/>
      <c r="M838" s="2"/>
    </row>
    <row r="839" spans="5:13" ht="12.75" customHeight="1">
      <c r="E839" s="2"/>
      <c r="K839" s="2"/>
      <c r="L839" s="2"/>
      <c r="M839" s="2"/>
    </row>
    <row r="840" spans="5:13" ht="12.75" customHeight="1">
      <c r="E840" s="2"/>
      <c r="K840" s="2"/>
      <c r="L840" s="2"/>
      <c r="M840" s="2"/>
    </row>
    <row r="841" spans="5:13" ht="12.75" customHeight="1">
      <c r="E841" s="2"/>
      <c r="K841" s="2"/>
      <c r="L841" s="2"/>
      <c r="M841" s="2"/>
    </row>
    <row r="842" spans="5:13" ht="12.75" customHeight="1">
      <c r="E842" s="2"/>
      <c r="K842" s="2"/>
      <c r="L842" s="2"/>
      <c r="M842" s="2"/>
    </row>
    <row r="843" spans="5:13" ht="12.75" customHeight="1">
      <c r="E843" s="2"/>
      <c r="K843" s="2"/>
      <c r="L843" s="2"/>
      <c r="M843" s="2"/>
    </row>
    <row r="844" spans="5:13" ht="12.75" customHeight="1">
      <c r="E844" s="2"/>
      <c r="K844" s="2"/>
      <c r="L844" s="2"/>
      <c r="M844" s="2"/>
    </row>
    <row r="845" spans="5:13" ht="12.75" customHeight="1">
      <c r="E845" s="2"/>
      <c r="K845" s="2"/>
      <c r="L845" s="2"/>
      <c r="M845" s="2"/>
    </row>
    <row r="846" spans="5:13" ht="12.75" customHeight="1">
      <c r="E846" s="2"/>
      <c r="K846" s="2"/>
      <c r="L846" s="2"/>
      <c r="M846" s="2"/>
    </row>
    <row r="847" spans="5:13" ht="12.75" customHeight="1">
      <c r="E847" s="2"/>
      <c r="K847" s="2"/>
      <c r="L847" s="2"/>
      <c r="M847" s="2"/>
    </row>
    <row r="848" spans="5:13" ht="12.75" customHeight="1">
      <c r="E848" s="2"/>
      <c r="K848" s="2"/>
      <c r="L848" s="2"/>
      <c r="M848" s="2"/>
    </row>
    <row r="849" spans="5:13" ht="12.75" customHeight="1">
      <c r="E849" s="2"/>
      <c r="K849" s="2"/>
      <c r="L849" s="2"/>
      <c r="M849" s="2"/>
    </row>
    <row r="850" spans="5:13" ht="12.75" customHeight="1">
      <c r="E850" s="2"/>
      <c r="K850" s="2"/>
      <c r="L850" s="2"/>
      <c r="M850" s="2"/>
    </row>
    <row r="851" spans="5:13" ht="12.75" customHeight="1">
      <c r="E851" s="2"/>
      <c r="K851" s="2"/>
      <c r="L851" s="2"/>
      <c r="M851" s="2"/>
    </row>
    <row r="852" spans="5:13" ht="12.75" customHeight="1">
      <c r="E852" s="2"/>
      <c r="K852" s="2"/>
      <c r="L852" s="2"/>
      <c r="M852" s="2"/>
    </row>
    <row r="853" spans="5:13" ht="12.75" customHeight="1">
      <c r="E853" s="2"/>
      <c r="K853" s="2"/>
      <c r="L853" s="2"/>
      <c r="M853" s="2"/>
    </row>
    <row r="854" spans="5:13" ht="12.75" customHeight="1">
      <c r="E854" s="2"/>
      <c r="K854" s="2"/>
      <c r="L854" s="2"/>
      <c r="M854" s="2"/>
    </row>
    <row r="855" spans="5:13" ht="12.75" customHeight="1">
      <c r="E855" s="2"/>
      <c r="K855" s="2"/>
      <c r="L855" s="2"/>
      <c r="M855" s="2"/>
    </row>
    <row r="856" spans="5:13" ht="12.75" customHeight="1">
      <c r="E856" s="2"/>
      <c r="K856" s="2"/>
      <c r="L856" s="2"/>
      <c r="M856" s="2"/>
    </row>
    <row r="857" spans="5:13" ht="12.75" customHeight="1">
      <c r="E857" s="2"/>
      <c r="K857" s="2"/>
      <c r="L857" s="2"/>
      <c r="M857" s="2"/>
    </row>
    <row r="858" spans="5:13" ht="12.75" customHeight="1">
      <c r="E858" s="2"/>
      <c r="K858" s="2"/>
      <c r="L858" s="2"/>
      <c r="M858" s="2"/>
    </row>
    <row r="859" spans="5:13" ht="12.75" customHeight="1">
      <c r="E859" s="2"/>
      <c r="K859" s="2"/>
      <c r="L859" s="2"/>
      <c r="M859" s="2"/>
    </row>
    <row r="860" spans="5:13" ht="12.75" customHeight="1">
      <c r="E860" s="2"/>
      <c r="K860" s="2"/>
      <c r="L860" s="2"/>
      <c r="M860" s="2"/>
    </row>
    <row r="861" spans="5:13" ht="12.75" customHeight="1">
      <c r="E861" s="2"/>
      <c r="K861" s="2"/>
      <c r="L861" s="2"/>
      <c r="M861" s="2"/>
    </row>
    <row r="862" spans="5:13" ht="12.75" customHeight="1">
      <c r="E862" s="2"/>
      <c r="K862" s="2"/>
      <c r="L862" s="2"/>
      <c r="M862" s="2"/>
    </row>
    <row r="863" spans="5:13" ht="12.75" customHeight="1">
      <c r="E863" s="2"/>
      <c r="K863" s="2"/>
      <c r="L863" s="2"/>
      <c r="M863" s="2"/>
    </row>
    <row r="864" spans="5:13" ht="12.75" customHeight="1">
      <c r="E864" s="2"/>
      <c r="K864" s="2"/>
      <c r="L864" s="2"/>
      <c r="M864" s="2"/>
    </row>
    <row r="865" spans="5:13" ht="12.75" customHeight="1">
      <c r="E865" s="2"/>
      <c r="K865" s="2"/>
      <c r="L865" s="2"/>
      <c r="M865" s="2"/>
    </row>
    <row r="866" spans="5:13" ht="12.75" customHeight="1">
      <c r="E866" s="2"/>
      <c r="K866" s="2"/>
      <c r="L866" s="2"/>
      <c r="M866" s="2"/>
    </row>
    <row r="867" spans="5:13" ht="12.75" customHeight="1">
      <c r="E867" s="2"/>
      <c r="K867" s="2"/>
      <c r="L867" s="2"/>
      <c r="M867" s="2"/>
    </row>
    <row r="868" spans="5:13" ht="12.75" customHeight="1">
      <c r="E868" s="2"/>
      <c r="K868" s="2"/>
      <c r="L868" s="2"/>
      <c r="M868" s="2"/>
    </row>
    <row r="869" spans="5:13" ht="12.75" customHeight="1">
      <c r="E869" s="2"/>
      <c r="K869" s="2"/>
      <c r="L869" s="2"/>
      <c r="M869" s="2"/>
    </row>
    <row r="870" spans="5:13" ht="12.75" customHeight="1">
      <c r="E870" s="2"/>
      <c r="K870" s="2"/>
      <c r="L870" s="2"/>
      <c r="M870" s="2"/>
    </row>
    <row r="871" spans="5:13" ht="12.75" customHeight="1">
      <c r="E871" s="2"/>
      <c r="K871" s="2"/>
      <c r="L871" s="2"/>
      <c r="M871" s="2"/>
    </row>
    <row r="872" spans="5:13" ht="12.75" customHeight="1">
      <c r="E872" s="2"/>
      <c r="K872" s="2"/>
      <c r="L872" s="2"/>
      <c r="M872" s="2"/>
    </row>
    <row r="873" spans="5:13" ht="12.75" customHeight="1">
      <c r="E873" s="2"/>
      <c r="K873" s="2"/>
      <c r="L873" s="2"/>
      <c r="M873" s="2"/>
    </row>
    <row r="874" spans="5:13" ht="12.75" customHeight="1">
      <c r="E874" s="2"/>
      <c r="K874" s="2"/>
      <c r="L874" s="2"/>
      <c r="M874" s="2"/>
    </row>
    <row r="875" spans="5:13" ht="12.75" customHeight="1">
      <c r="E875" s="2"/>
      <c r="K875" s="2"/>
      <c r="L875" s="2"/>
      <c r="M875" s="2"/>
    </row>
    <row r="876" spans="5:13" ht="12.75" customHeight="1">
      <c r="E876" s="2"/>
      <c r="K876" s="2"/>
      <c r="L876" s="2"/>
      <c r="M876" s="2"/>
    </row>
    <row r="877" spans="5:13" ht="12.75" customHeight="1">
      <c r="E877" s="2"/>
      <c r="K877" s="2"/>
      <c r="L877" s="2"/>
      <c r="M877" s="2"/>
    </row>
    <row r="878" spans="5:13" ht="12.75" customHeight="1">
      <c r="E878" s="2"/>
      <c r="K878" s="2"/>
      <c r="L878" s="2"/>
      <c r="M878" s="2"/>
    </row>
    <row r="879" spans="5:13" ht="12.75" customHeight="1">
      <c r="E879" s="2"/>
      <c r="K879" s="2"/>
      <c r="L879" s="2"/>
      <c r="M879" s="2"/>
    </row>
    <row r="880" spans="5:13" ht="12.75" customHeight="1">
      <c r="E880" s="2"/>
      <c r="K880" s="2"/>
      <c r="L880" s="2"/>
      <c r="M880" s="2"/>
    </row>
    <row r="881" spans="5:13" ht="12.75" customHeight="1">
      <c r="E881" s="2"/>
      <c r="K881" s="2"/>
      <c r="L881" s="2"/>
      <c r="M881" s="2"/>
    </row>
    <row r="882" spans="5:13" ht="12.75" customHeight="1">
      <c r="E882" s="2"/>
      <c r="K882" s="2"/>
      <c r="L882" s="2"/>
      <c r="M882" s="2"/>
    </row>
    <row r="883" spans="5:13" ht="12.75" customHeight="1">
      <c r="E883" s="2"/>
      <c r="K883" s="2"/>
      <c r="L883" s="2"/>
      <c r="M883" s="2"/>
    </row>
    <row r="884" spans="5:13" ht="12.75" customHeight="1">
      <c r="E884" s="2"/>
      <c r="K884" s="2"/>
      <c r="L884" s="2"/>
      <c r="M884" s="2"/>
    </row>
    <row r="885" spans="5:13" ht="12.75" customHeight="1">
      <c r="E885" s="2"/>
      <c r="K885" s="2"/>
      <c r="L885" s="2"/>
      <c r="M885" s="2"/>
    </row>
    <row r="886" spans="5:13" ht="12.75" customHeight="1">
      <c r="E886" s="2"/>
      <c r="K886" s="2"/>
      <c r="L886" s="2"/>
      <c r="M886" s="2"/>
    </row>
    <row r="887" spans="5:13" ht="12.75" customHeight="1">
      <c r="E887" s="2"/>
      <c r="K887" s="2"/>
      <c r="L887" s="2"/>
      <c r="M887" s="2"/>
    </row>
    <row r="888" spans="5:13" ht="12.75" customHeight="1">
      <c r="E888" s="2"/>
      <c r="K888" s="2"/>
      <c r="L888" s="2"/>
      <c r="M888" s="2"/>
    </row>
    <row r="889" spans="5:13" ht="12.75" customHeight="1">
      <c r="E889" s="2"/>
      <c r="K889" s="2"/>
      <c r="L889" s="2"/>
      <c r="M889" s="2"/>
    </row>
    <row r="890" spans="5:13" ht="12.75" customHeight="1">
      <c r="E890" s="2"/>
      <c r="K890" s="2"/>
      <c r="L890" s="2"/>
      <c r="M890" s="2"/>
    </row>
    <row r="891" spans="5:13" ht="12.75" customHeight="1">
      <c r="E891" s="2"/>
      <c r="K891" s="2"/>
      <c r="L891" s="2"/>
      <c r="M891" s="2"/>
    </row>
    <row r="892" spans="5:13" ht="12.75" customHeight="1">
      <c r="E892" s="2"/>
      <c r="K892" s="2"/>
      <c r="L892" s="2"/>
      <c r="M892" s="2"/>
    </row>
    <row r="893" spans="5:13" ht="12.75" customHeight="1">
      <c r="E893" s="2"/>
      <c r="K893" s="2"/>
      <c r="L893" s="2"/>
      <c r="M893" s="2"/>
    </row>
    <row r="894" spans="5:13" ht="12.75" customHeight="1">
      <c r="E894" s="2"/>
      <c r="K894" s="2"/>
      <c r="L894" s="2"/>
      <c r="M894" s="2"/>
    </row>
    <row r="895" spans="5:13" ht="12.75" customHeight="1">
      <c r="E895" s="2"/>
      <c r="K895" s="2"/>
      <c r="L895" s="2"/>
      <c r="M895" s="2"/>
    </row>
    <row r="896" spans="5:13" ht="12.75" customHeight="1">
      <c r="E896" s="2"/>
      <c r="K896" s="2"/>
      <c r="L896" s="2"/>
      <c r="M896" s="2"/>
    </row>
    <row r="897" spans="5:13" ht="12.75" customHeight="1">
      <c r="E897" s="2"/>
      <c r="K897" s="2"/>
      <c r="L897" s="2"/>
      <c r="M897" s="2"/>
    </row>
    <row r="898" spans="5:13" ht="12.75" customHeight="1">
      <c r="E898" s="2"/>
      <c r="K898" s="2"/>
      <c r="L898" s="2"/>
      <c r="M898" s="2"/>
    </row>
    <row r="899" spans="5:13" ht="12.75" customHeight="1">
      <c r="E899" s="2"/>
      <c r="K899" s="2"/>
      <c r="L899" s="2"/>
      <c r="M899" s="2"/>
    </row>
    <row r="900" spans="5:13" ht="12.75" customHeight="1">
      <c r="E900" s="2"/>
      <c r="K900" s="2"/>
      <c r="L900" s="2"/>
      <c r="M900" s="2"/>
    </row>
    <row r="901" spans="5:13" ht="12.75" customHeight="1">
      <c r="E901" s="2"/>
      <c r="K901" s="2"/>
      <c r="L901" s="2"/>
      <c r="M901" s="2"/>
    </row>
    <row r="902" spans="5:13" ht="12.75" customHeight="1">
      <c r="E902" s="2"/>
      <c r="K902" s="2"/>
      <c r="L902" s="2"/>
      <c r="M902" s="2"/>
    </row>
    <row r="903" spans="5:13" ht="12.75" customHeight="1">
      <c r="E903" s="2"/>
      <c r="K903" s="2"/>
      <c r="L903" s="2"/>
      <c r="M903" s="2"/>
    </row>
    <row r="904" spans="5:13" ht="12.75" customHeight="1">
      <c r="E904" s="2"/>
      <c r="K904" s="2"/>
      <c r="L904" s="2"/>
      <c r="M904" s="2"/>
    </row>
    <row r="905" spans="5:13" ht="12.75" customHeight="1">
      <c r="E905" s="2"/>
      <c r="K905" s="2"/>
      <c r="L905" s="2"/>
      <c r="M905" s="2"/>
    </row>
    <row r="906" spans="5:13" ht="12.75" customHeight="1">
      <c r="E906" s="2"/>
      <c r="K906" s="2"/>
      <c r="L906" s="2"/>
      <c r="M906" s="2"/>
    </row>
    <row r="907" spans="5:13" ht="12.75" customHeight="1">
      <c r="E907" s="2"/>
      <c r="K907" s="2"/>
      <c r="L907" s="2"/>
      <c r="M907" s="2"/>
    </row>
    <row r="908" spans="5:13" ht="12.75" customHeight="1">
      <c r="E908" s="2"/>
      <c r="K908" s="2"/>
      <c r="L908" s="2"/>
      <c r="M908" s="2"/>
    </row>
    <row r="909" spans="5:13" ht="12.75" customHeight="1">
      <c r="E909" s="2"/>
      <c r="K909" s="2"/>
      <c r="L909" s="2"/>
      <c r="M909" s="2"/>
    </row>
    <row r="910" spans="5:13" ht="12.75" customHeight="1">
      <c r="E910" s="2"/>
      <c r="K910" s="2"/>
      <c r="L910" s="2"/>
      <c r="M910" s="2"/>
    </row>
    <row r="911" spans="5:13" ht="12.75" customHeight="1">
      <c r="E911" s="2"/>
      <c r="K911" s="2"/>
      <c r="L911" s="2"/>
      <c r="M911" s="2"/>
    </row>
    <row r="912" spans="5:13" ht="12.75" customHeight="1">
      <c r="E912" s="2"/>
      <c r="K912" s="2"/>
      <c r="L912" s="2"/>
      <c r="M912" s="2"/>
    </row>
    <row r="913" spans="5:13" ht="12.75" customHeight="1">
      <c r="E913" s="2"/>
      <c r="K913" s="2"/>
      <c r="L913" s="2"/>
      <c r="M913" s="2"/>
    </row>
    <row r="914" spans="5:13" ht="12.75" customHeight="1">
      <c r="E914" s="2"/>
      <c r="K914" s="2"/>
      <c r="L914" s="2"/>
      <c r="M914" s="2"/>
    </row>
    <row r="915" spans="5:13" ht="12.75" customHeight="1">
      <c r="E915" s="2"/>
      <c r="K915" s="2"/>
      <c r="L915" s="2"/>
      <c r="M915" s="2"/>
    </row>
    <row r="916" spans="5:13" ht="12.75" customHeight="1">
      <c r="E916" s="2"/>
      <c r="K916" s="2"/>
      <c r="L916" s="2"/>
      <c r="M916" s="2"/>
    </row>
    <row r="917" spans="5:13" ht="12.75" customHeight="1">
      <c r="E917" s="2"/>
      <c r="K917" s="2"/>
      <c r="L917" s="2"/>
      <c r="M917" s="2"/>
    </row>
    <row r="918" spans="5:13" ht="12.75" customHeight="1">
      <c r="E918" s="2"/>
      <c r="K918" s="2"/>
      <c r="L918" s="2"/>
      <c r="M918" s="2"/>
    </row>
    <row r="919" spans="5:13" ht="12.75" customHeight="1">
      <c r="E919" s="2"/>
      <c r="K919" s="2"/>
      <c r="L919" s="2"/>
      <c r="M919" s="2"/>
    </row>
    <row r="920" spans="5:13" ht="12.75" customHeight="1">
      <c r="E920" s="2"/>
      <c r="K920" s="2"/>
      <c r="L920" s="2"/>
      <c r="M920" s="2"/>
    </row>
    <row r="921" spans="5:13" ht="12.75" customHeight="1">
      <c r="E921" s="2"/>
      <c r="K921" s="2"/>
      <c r="L921" s="2"/>
      <c r="M921" s="2"/>
    </row>
    <row r="922" spans="5:13" ht="12.75" customHeight="1">
      <c r="E922" s="2"/>
      <c r="K922" s="2"/>
      <c r="L922" s="2"/>
      <c r="M922" s="2"/>
    </row>
    <row r="923" spans="5:13" ht="12.75" customHeight="1">
      <c r="E923" s="2"/>
      <c r="K923" s="2"/>
      <c r="L923" s="2"/>
      <c r="M923" s="2"/>
    </row>
    <row r="924" spans="5:13" ht="12.75" customHeight="1">
      <c r="E924" s="2"/>
      <c r="K924" s="2"/>
      <c r="L924" s="2"/>
      <c r="M924" s="2"/>
    </row>
    <row r="925" spans="5:13" ht="12.75" customHeight="1">
      <c r="E925" s="2"/>
      <c r="K925" s="2"/>
      <c r="L925" s="2"/>
      <c r="M925" s="2"/>
    </row>
    <row r="926" spans="5:13" ht="12.75" customHeight="1">
      <c r="E926" s="2"/>
      <c r="K926" s="2"/>
      <c r="L926" s="2"/>
      <c r="M926" s="2"/>
    </row>
    <row r="927" spans="5:13" ht="12.75" customHeight="1">
      <c r="E927" s="2"/>
      <c r="K927" s="2"/>
      <c r="L927" s="2"/>
      <c r="M927" s="2"/>
    </row>
    <row r="928" spans="5:13" ht="12.75" customHeight="1">
      <c r="E928" s="2"/>
      <c r="K928" s="2"/>
      <c r="L928" s="2"/>
      <c r="M928" s="2"/>
    </row>
    <row r="929" spans="5:13" ht="12.75" customHeight="1">
      <c r="E929" s="2"/>
      <c r="K929" s="2"/>
      <c r="L929" s="2"/>
      <c r="M929" s="2"/>
    </row>
    <row r="930" spans="5:13" ht="12.75" customHeight="1">
      <c r="E930" s="2"/>
      <c r="K930" s="2"/>
      <c r="L930" s="2"/>
      <c r="M930" s="2"/>
    </row>
    <row r="931" spans="5:13" ht="12.75" customHeight="1">
      <c r="E931" s="2"/>
      <c r="K931" s="2"/>
      <c r="L931" s="2"/>
      <c r="M931" s="2"/>
    </row>
    <row r="932" spans="5:13" ht="12.75" customHeight="1">
      <c r="E932" s="2"/>
      <c r="K932" s="2"/>
      <c r="L932" s="2"/>
      <c r="M932" s="2"/>
    </row>
    <row r="933" spans="5:13" ht="12.75" customHeight="1">
      <c r="E933" s="2"/>
      <c r="K933" s="2"/>
      <c r="L933" s="2"/>
      <c r="M933" s="2"/>
    </row>
    <row r="934" spans="5:13" ht="12.75" customHeight="1">
      <c r="E934" s="2"/>
      <c r="K934" s="2"/>
      <c r="L934" s="2"/>
      <c r="M934" s="2"/>
    </row>
    <row r="935" spans="5:13" ht="12.75" customHeight="1">
      <c r="E935" s="2"/>
      <c r="K935" s="2"/>
      <c r="L935" s="2"/>
      <c r="M935" s="2"/>
    </row>
    <row r="936" spans="5:13" ht="12.75" customHeight="1">
      <c r="E936" s="2"/>
      <c r="K936" s="2"/>
      <c r="L936" s="2"/>
      <c r="M936" s="2"/>
    </row>
    <row r="937" spans="5:13" ht="12.75" customHeight="1">
      <c r="E937" s="2"/>
      <c r="K937" s="2"/>
      <c r="L937" s="2"/>
      <c r="M937" s="2"/>
    </row>
    <row r="938" spans="5:13" ht="12.75" customHeight="1">
      <c r="E938" s="2"/>
      <c r="K938" s="2"/>
      <c r="L938" s="2"/>
      <c r="M938" s="2"/>
    </row>
    <row r="939" spans="5:13" ht="12.75" customHeight="1">
      <c r="E939" s="2"/>
      <c r="K939" s="2"/>
      <c r="L939" s="2"/>
      <c r="M939" s="2"/>
    </row>
    <row r="940" spans="5:13" ht="12.75" customHeight="1">
      <c r="E940" s="2"/>
      <c r="K940" s="2"/>
      <c r="L940" s="2"/>
      <c r="M940" s="2"/>
    </row>
    <row r="941" spans="5:13" ht="12.75" customHeight="1">
      <c r="E941" s="2"/>
      <c r="K941" s="2"/>
      <c r="L941" s="2"/>
      <c r="M941" s="2"/>
    </row>
    <row r="942" spans="5:13" ht="12.75" customHeight="1">
      <c r="E942" s="2"/>
      <c r="K942" s="2"/>
      <c r="L942" s="2"/>
      <c r="M942" s="2"/>
    </row>
    <row r="943" spans="5:13" ht="12.75" customHeight="1">
      <c r="E943" s="2"/>
      <c r="K943" s="2"/>
      <c r="L943" s="2"/>
      <c r="M943" s="2"/>
    </row>
    <row r="944" spans="5:13" ht="12.75" customHeight="1">
      <c r="E944" s="2"/>
      <c r="K944" s="2"/>
      <c r="L944" s="2"/>
      <c r="M944" s="2"/>
    </row>
    <row r="945" spans="5:13" ht="12.75" customHeight="1">
      <c r="E945" s="2"/>
      <c r="K945" s="2"/>
      <c r="L945" s="2"/>
      <c r="M945" s="2"/>
    </row>
    <row r="946" spans="5:13" ht="12.75" customHeight="1">
      <c r="E946" s="2"/>
      <c r="K946" s="2"/>
      <c r="L946" s="2"/>
      <c r="M946" s="2"/>
    </row>
    <row r="947" spans="5:13" ht="12.75" customHeight="1">
      <c r="E947" s="2"/>
      <c r="K947" s="2"/>
      <c r="L947" s="2"/>
      <c r="M947" s="2"/>
    </row>
    <row r="948" spans="5:13" ht="12.75" customHeight="1">
      <c r="E948" s="2"/>
      <c r="K948" s="2"/>
      <c r="L948" s="2"/>
      <c r="M948" s="2"/>
    </row>
    <row r="949" spans="5:13" ht="12.75" customHeight="1">
      <c r="E949" s="2"/>
      <c r="K949" s="2"/>
      <c r="L949" s="2"/>
      <c r="M949" s="2"/>
    </row>
    <row r="950" spans="5:13" ht="12.75" customHeight="1">
      <c r="E950" s="2"/>
      <c r="K950" s="2"/>
      <c r="L950" s="2"/>
      <c r="M950" s="2"/>
    </row>
    <row r="951" spans="5:13" ht="12.75" customHeight="1">
      <c r="E951" s="2"/>
      <c r="K951" s="2"/>
      <c r="L951" s="2"/>
      <c r="M951" s="2"/>
    </row>
    <row r="952" spans="5:13" ht="12.75" customHeight="1">
      <c r="E952" s="2"/>
      <c r="K952" s="2"/>
      <c r="L952" s="2"/>
      <c r="M952" s="2"/>
    </row>
    <row r="953" spans="5:13" ht="12.75" customHeight="1">
      <c r="E953" s="2"/>
      <c r="K953" s="2"/>
      <c r="L953" s="2"/>
      <c r="M953" s="2"/>
    </row>
    <row r="954" spans="5:13" ht="12.75" customHeight="1">
      <c r="E954" s="2"/>
      <c r="K954" s="2"/>
      <c r="L954" s="2"/>
      <c r="M954" s="2"/>
    </row>
    <row r="955" spans="5:13" ht="12.75" customHeight="1">
      <c r="E955" s="2"/>
      <c r="K955" s="2"/>
      <c r="L955" s="2"/>
      <c r="M955" s="2"/>
    </row>
    <row r="956" spans="5:13" ht="12.75" customHeight="1">
      <c r="E956" s="2"/>
      <c r="K956" s="2"/>
      <c r="L956" s="2"/>
      <c r="M956" s="2"/>
    </row>
    <row r="957" spans="5:13" ht="12.75" customHeight="1">
      <c r="E957" s="2"/>
      <c r="K957" s="2"/>
      <c r="L957" s="2"/>
      <c r="M957" s="2"/>
    </row>
    <row r="958" spans="5:13" ht="12.75" customHeight="1">
      <c r="E958" s="2"/>
      <c r="K958" s="2"/>
      <c r="L958" s="2"/>
      <c r="M958" s="2"/>
    </row>
    <row r="959" spans="5:13" ht="12.75" customHeight="1">
      <c r="E959" s="2"/>
      <c r="K959" s="2"/>
      <c r="L959" s="2"/>
      <c r="M959" s="2"/>
    </row>
    <row r="960" spans="5:13" ht="12.75" customHeight="1">
      <c r="E960" s="2"/>
      <c r="K960" s="2"/>
      <c r="L960" s="2"/>
      <c r="M960" s="2"/>
    </row>
    <row r="961" spans="5:13" ht="12.75" customHeight="1">
      <c r="E961" s="2"/>
      <c r="K961" s="2"/>
      <c r="L961" s="2"/>
      <c r="M961" s="2"/>
    </row>
    <row r="962" spans="5:13" ht="12.75" customHeight="1">
      <c r="E962" s="2"/>
      <c r="K962" s="2"/>
      <c r="L962" s="2"/>
      <c r="M962" s="2"/>
    </row>
    <row r="963" spans="5:13" ht="12.75" customHeight="1">
      <c r="E963" s="2"/>
      <c r="K963" s="2"/>
      <c r="L963" s="2"/>
      <c r="M963" s="2"/>
    </row>
    <row r="964" spans="5:13" ht="12.75" customHeight="1">
      <c r="E964" s="2"/>
      <c r="K964" s="2"/>
      <c r="L964" s="2"/>
      <c r="M964" s="2"/>
    </row>
    <row r="965" spans="5:13" ht="12.75" customHeight="1">
      <c r="E965" s="2"/>
      <c r="K965" s="2"/>
      <c r="L965" s="2"/>
      <c r="M965" s="2"/>
    </row>
    <row r="966" spans="5:13" ht="12.75" customHeight="1">
      <c r="E966" s="2"/>
      <c r="K966" s="2"/>
      <c r="L966" s="2"/>
      <c r="M966" s="2"/>
    </row>
    <row r="967" spans="5:13" ht="12.75" customHeight="1">
      <c r="E967" s="2"/>
      <c r="K967" s="2"/>
      <c r="L967" s="2"/>
      <c r="M967" s="2"/>
    </row>
    <row r="968" spans="5:13" ht="12.75" customHeight="1">
      <c r="E968" s="2"/>
      <c r="K968" s="2"/>
      <c r="L968" s="2"/>
      <c r="M968" s="2"/>
    </row>
    <row r="969" spans="5:13" ht="12.75" customHeight="1">
      <c r="E969" s="2"/>
      <c r="K969" s="2"/>
      <c r="L969" s="2"/>
      <c r="M969" s="2"/>
    </row>
    <row r="970" spans="5:13" ht="12.75" customHeight="1">
      <c r="E970" s="2"/>
      <c r="K970" s="2"/>
      <c r="L970" s="2"/>
      <c r="M970" s="2"/>
    </row>
    <row r="971" spans="5:13" ht="12.75" customHeight="1">
      <c r="E971" s="2"/>
      <c r="K971" s="2"/>
      <c r="L971" s="2"/>
      <c r="M971" s="2"/>
    </row>
    <row r="972" spans="5:13" ht="12.75" customHeight="1">
      <c r="E972" s="2"/>
      <c r="K972" s="2"/>
      <c r="L972" s="2"/>
      <c r="M972" s="2"/>
    </row>
    <row r="973" spans="5:13" ht="12.75" customHeight="1">
      <c r="E973" s="2"/>
      <c r="K973" s="2"/>
      <c r="L973" s="2"/>
      <c r="M973" s="2"/>
    </row>
    <row r="974" spans="5:13" ht="12.75" customHeight="1">
      <c r="E974" s="2"/>
      <c r="K974" s="2"/>
      <c r="L974" s="2"/>
      <c r="M974" s="2"/>
    </row>
    <row r="975" spans="5:13" ht="12.75" customHeight="1">
      <c r="E975" s="2"/>
      <c r="K975" s="2"/>
      <c r="L975" s="2"/>
      <c r="M975" s="2"/>
    </row>
    <row r="976" spans="5:13" ht="12.75" customHeight="1">
      <c r="E976" s="2"/>
      <c r="K976" s="2"/>
      <c r="L976" s="2"/>
      <c r="M976" s="2"/>
    </row>
    <row r="977" spans="5:13" ht="12.75" customHeight="1">
      <c r="E977" s="2"/>
      <c r="K977" s="2"/>
      <c r="L977" s="2"/>
      <c r="M977" s="2"/>
    </row>
    <row r="978" spans="5:13" ht="12.75" customHeight="1">
      <c r="E978" s="2"/>
      <c r="K978" s="2"/>
      <c r="L978" s="2"/>
      <c r="M978" s="2"/>
    </row>
    <row r="979" spans="5:13" ht="12.75" customHeight="1"/>
    <row r="980" spans="5:13" ht="12.75" customHeight="1"/>
    <row r="981" spans="5:13" ht="12.75" customHeight="1"/>
    <row r="982" spans="5:13" ht="12.75" customHeight="1"/>
    <row r="983" spans="5:13" ht="12.75" customHeight="1"/>
    <row r="984" spans="5:13" ht="12.75" customHeight="1"/>
    <row r="985" spans="5:13" ht="12.75" customHeight="1"/>
    <row r="986" spans="5:13" ht="12.75" customHeight="1"/>
  </sheetData>
  <mergeCells count="2">
    <mergeCell ref="F3:J4"/>
    <mergeCell ref="T3:X4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00B0F0"/>
  </sheetPr>
  <dimension ref="A1:Z1001"/>
  <sheetViews>
    <sheetView topLeftCell="A12" workbookViewId="0">
      <selection activeCell="F19" sqref="F19"/>
    </sheetView>
  </sheetViews>
  <sheetFormatPr defaultColWidth="12.7109375" defaultRowHeight="15" customHeight="1"/>
  <cols>
    <col min="1" max="1" width="10.7109375" customWidth="1"/>
    <col min="2" max="2" width="74.85546875" customWidth="1"/>
    <col min="3" max="3" width="16.85546875" customWidth="1"/>
    <col min="4" max="4" width="16.42578125" customWidth="1"/>
    <col min="5" max="6" width="17.7109375" customWidth="1"/>
    <col min="7" max="7" width="17.42578125" customWidth="1"/>
    <col min="8" max="9" width="33.42578125" customWidth="1"/>
    <col min="10" max="10" width="16.42578125" hidden="1" customWidth="1"/>
    <col min="11" max="11" width="17.42578125" hidden="1" customWidth="1"/>
    <col min="12" max="12" width="49.85546875" hidden="1" customWidth="1"/>
    <col min="13" max="13" width="10.7109375" customWidth="1"/>
    <col min="14" max="14" width="24.28515625" customWidth="1"/>
    <col min="15" max="26" width="10.7109375" customWidth="1"/>
  </cols>
  <sheetData>
    <row r="1" spans="1:26" ht="12.75" hidden="1" customHeight="1">
      <c r="B1" s="197"/>
      <c r="C1" s="198">
        <v>2018</v>
      </c>
      <c r="D1" s="198">
        <v>2019</v>
      </c>
      <c r="E1" s="198">
        <v>2020</v>
      </c>
      <c r="F1" s="198"/>
      <c r="G1" s="198">
        <v>2021</v>
      </c>
      <c r="H1" s="198"/>
      <c r="I1" s="198"/>
      <c r="J1" s="197"/>
      <c r="K1" s="197"/>
      <c r="L1" s="197"/>
    </row>
    <row r="2" spans="1:26" ht="12.75" hidden="1" customHeight="1">
      <c r="B2" s="197" t="s">
        <v>998</v>
      </c>
      <c r="C2" s="197"/>
      <c r="D2" s="199">
        <f t="shared" ref="D2:E2" si="0">+C5</f>
        <v>299492.05819355196</v>
      </c>
      <c r="E2" s="199">
        <f t="shared" si="0"/>
        <v>1188415.0487953194</v>
      </c>
      <c r="F2" s="199"/>
      <c r="G2" s="199">
        <f>+E5</f>
        <v>2792019.9707177794</v>
      </c>
      <c r="H2" s="199"/>
      <c r="I2" s="199"/>
      <c r="J2" s="197"/>
      <c r="K2" s="197"/>
      <c r="L2" s="197"/>
    </row>
    <row r="3" spans="1:26" ht="12.75" hidden="1" customHeight="1">
      <c r="B3" s="197" t="s">
        <v>999</v>
      </c>
      <c r="C3" s="197"/>
      <c r="D3" s="197"/>
      <c r="E3" s="199">
        <f>2173604.92192246-570000</f>
        <v>1603604.9219224602</v>
      </c>
      <c r="F3" s="199"/>
      <c r="G3" s="199">
        <f>-4850953*4</f>
        <v>-19403812</v>
      </c>
      <c r="H3" s="199"/>
      <c r="I3" s="199"/>
      <c r="J3" s="197"/>
      <c r="K3" s="197"/>
      <c r="L3" s="197"/>
    </row>
    <row r="4" spans="1:26" ht="12.75" hidden="1" customHeight="1">
      <c r="B4" s="197" t="s">
        <v>1000</v>
      </c>
      <c r="C4" s="199">
        <f>1076644/3.5949</f>
        <v>299492.05819355196</v>
      </c>
      <c r="D4" s="199">
        <f>3168566/3.5645</f>
        <v>888922.99060176744</v>
      </c>
      <c r="E4" s="197"/>
      <c r="F4" s="197"/>
      <c r="G4" s="197"/>
      <c r="H4" s="197"/>
      <c r="I4" s="197"/>
      <c r="J4" s="197"/>
      <c r="K4" s="197"/>
      <c r="L4" s="197"/>
    </row>
    <row r="5" spans="1:26" ht="12.75" hidden="1" customHeight="1">
      <c r="B5" s="200" t="s">
        <v>1001</v>
      </c>
      <c r="C5" s="201">
        <f t="shared" ref="C5:E5" si="1">+SUM(C2:C4)</f>
        <v>299492.05819355196</v>
      </c>
      <c r="D5" s="201">
        <f t="shared" si="1"/>
        <v>1188415.0487953194</v>
      </c>
      <c r="E5" s="201">
        <f t="shared" si="1"/>
        <v>2792019.9707177794</v>
      </c>
      <c r="F5" s="201"/>
      <c r="G5" s="201">
        <f>+SUM(G2:G4)</f>
        <v>-16611792.02928222</v>
      </c>
      <c r="H5" s="199"/>
      <c r="I5" s="199"/>
      <c r="J5" s="197"/>
      <c r="K5" s="197"/>
      <c r="L5" s="197"/>
    </row>
    <row r="6" spans="1:26" ht="12.75" hidden="1" customHeight="1"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</row>
    <row r="7" spans="1:26" ht="12.75" hidden="1" customHeight="1">
      <c r="B7" s="197"/>
      <c r="C7" s="197"/>
      <c r="D7" s="197"/>
      <c r="E7" s="197" t="s">
        <v>1002</v>
      </c>
      <c r="F7" s="197"/>
      <c r="G7" s="197"/>
      <c r="H7" s="197"/>
      <c r="I7" s="197"/>
      <c r="J7" s="197"/>
      <c r="K7" s="197"/>
      <c r="L7" s="197"/>
    </row>
    <row r="8" spans="1:26" ht="12.75" hidden="1" customHeight="1"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</row>
    <row r="9" spans="1:26" ht="12.75" hidden="1" customHeight="1"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</row>
    <row r="10" spans="1:26" ht="12.75" hidden="1" customHeight="1">
      <c r="B10" s="202" t="s">
        <v>1003</v>
      </c>
      <c r="C10" s="202"/>
      <c r="D10" s="197"/>
      <c r="E10" s="197"/>
      <c r="F10" s="197"/>
      <c r="G10" s="197"/>
      <c r="H10" s="197"/>
      <c r="I10" s="197"/>
      <c r="J10" s="197"/>
      <c r="K10" s="197"/>
      <c r="L10" s="197"/>
    </row>
    <row r="11" spans="1:26" ht="12.75" hidden="1" customHeight="1">
      <c r="B11" s="202"/>
      <c r="C11" s="202"/>
      <c r="D11" s="197"/>
      <c r="E11" s="197"/>
      <c r="F11" s="197"/>
      <c r="G11" s="197"/>
      <c r="H11" s="197"/>
      <c r="I11" s="197"/>
      <c r="J11" s="197"/>
      <c r="K11" s="197"/>
      <c r="L11" s="197"/>
    </row>
    <row r="12" spans="1:26" ht="12.75" customHeight="1">
      <c r="B12" s="202" t="s">
        <v>1004</v>
      </c>
      <c r="C12" s="198">
        <v>2018</v>
      </c>
      <c r="D12" s="198">
        <v>2019</v>
      </c>
      <c r="E12" s="198">
        <v>2020</v>
      </c>
      <c r="F12" s="198">
        <v>2021</v>
      </c>
      <c r="G12" s="203"/>
      <c r="I12" s="204"/>
      <c r="J12" s="197"/>
      <c r="K12" s="197"/>
      <c r="L12" s="197"/>
    </row>
    <row r="13" spans="1:26" ht="12.75" customHeight="1">
      <c r="B13" s="197" t="s">
        <v>348</v>
      </c>
      <c r="C13" s="260">
        <v>0</v>
      </c>
      <c r="D13" s="260">
        <v>3088948</v>
      </c>
      <c r="E13" s="260">
        <v>38427000</v>
      </c>
      <c r="F13" s="260">
        <f>-'P&amp;L LTD  USD'!J9</f>
        <v>536797569.82999998</v>
      </c>
      <c r="G13" s="199"/>
      <c r="H13" s="204"/>
      <c r="I13" s="199"/>
      <c r="J13" s="199"/>
      <c r="K13" s="205" t="s">
        <v>1005</v>
      </c>
      <c r="L13" s="197"/>
    </row>
    <row r="14" spans="1:26" ht="12.75" customHeight="1">
      <c r="A14" s="197"/>
      <c r="B14" s="197" t="s">
        <v>1006</v>
      </c>
      <c r="C14" s="140">
        <v>723182</v>
      </c>
      <c r="D14" s="260">
        <v>2469703</v>
      </c>
      <c r="E14" s="260">
        <v>7715000</v>
      </c>
      <c r="F14" s="260">
        <f>'P&amp;L LTD  USD'!J25</f>
        <v>33751917.849999994</v>
      </c>
      <c r="G14" s="199"/>
      <c r="H14" s="199"/>
      <c r="I14" s="199"/>
      <c r="J14" s="199">
        <f>I13*0.07</f>
        <v>0</v>
      </c>
      <c r="K14" s="206">
        <f>J14-I14</f>
        <v>0</v>
      </c>
      <c r="L14" s="197"/>
      <c r="M14" s="197"/>
      <c r="N14" s="358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 spans="1:26" ht="12.75" customHeight="1">
      <c r="A15" s="197"/>
      <c r="B15" s="197" t="s">
        <v>1007</v>
      </c>
      <c r="C15" s="207"/>
      <c r="D15" s="207">
        <f t="shared" ref="D15:F15" si="2">+D14/D13</f>
        <v>0.79952883635464245</v>
      </c>
      <c r="E15" s="207">
        <f t="shared" si="2"/>
        <v>0.20077029172196634</v>
      </c>
      <c r="F15" s="208">
        <f t="shared" si="2"/>
        <v>6.2876435637905348E-2</v>
      </c>
      <c r="G15" s="209"/>
      <c r="H15" s="209"/>
      <c r="I15" s="209"/>
      <c r="J15" s="210"/>
      <c r="K15" s="206"/>
      <c r="L15" s="197"/>
      <c r="M15" s="197"/>
      <c r="N15" s="359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 spans="1:26" ht="12.75" customHeight="1">
      <c r="A16" s="197"/>
      <c r="B16" s="197" t="s">
        <v>1008</v>
      </c>
      <c r="C16" s="2"/>
      <c r="D16" s="207"/>
      <c r="E16" s="207">
        <f t="shared" ref="E16:F16" si="3">+AVERAGE(C14:E14)/AVERAGE(C13:E13)</f>
        <v>0.26273963441711601</v>
      </c>
      <c r="F16" s="208">
        <f t="shared" si="3"/>
        <v>7.5973705430339822E-2</v>
      </c>
      <c r="G16" s="211"/>
      <c r="H16" s="207"/>
      <c r="I16" s="211"/>
      <c r="J16" s="197"/>
      <c r="K16" s="212" t="e">
        <f>J14/I13</f>
        <v>#DIV/0!</v>
      </c>
      <c r="L16" s="197"/>
      <c r="M16" s="197"/>
      <c r="N16" s="35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 spans="1:26" ht="12.75" customHeight="1">
      <c r="A17" s="197"/>
      <c r="B17" s="197" t="s">
        <v>1106</v>
      </c>
      <c r="C17" s="197"/>
      <c r="D17" s="261"/>
      <c r="E17" s="213"/>
      <c r="F17" s="261">
        <f>AVERAGE(D13:F13)*0.07</f>
        <v>13493982.082700001</v>
      </c>
      <c r="G17" s="197"/>
      <c r="H17" s="211"/>
      <c r="I17" s="211"/>
      <c r="J17" s="197"/>
      <c r="K17" s="199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 spans="1:26" ht="12.75" customHeight="1">
      <c r="A18" s="197"/>
      <c r="B18" s="197" t="s">
        <v>1107</v>
      </c>
      <c r="C18" s="197"/>
      <c r="D18" s="207"/>
      <c r="E18" s="213"/>
      <c r="F18" s="261">
        <f>AVERAGE(D14:F14)</f>
        <v>14645540.283333331</v>
      </c>
      <c r="G18" s="207"/>
      <c r="H18" s="207"/>
      <c r="I18" s="207"/>
      <c r="J18" s="211">
        <f>+G18/0.04</f>
        <v>0</v>
      </c>
      <c r="K18" s="197" t="s">
        <v>1011</v>
      </c>
      <c r="L18" s="197" t="s">
        <v>1012</v>
      </c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 spans="1:26" ht="12.75" customHeight="1" thickBot="1">
      <c r="A19" s="197"/>
      <c r="B19" s="197" t="s">
        <v>1108</v>
      </c>
      <c r="C19" s="197"/>
      <c r="D19" s="197"/>
      <c r="E19" s="197"/>
      <c r="F19" s="261">
        <f>F17-F18</f>
        <v>-1151558.2006333303</v>
      </c>
      <c r="I19" s="197"/>
      <c r="J19" s="197"/>
      <c r="K19" s="197" t="s">
        <v>1014</v>
      </c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 spans="1:26" ht="12.75" customHeight="1" thickBot="1">
      <c r="A20" s="197"/>
      <c r="B20" s="197"/>
      <c r="C20" s="197"/>
      <c r="D20" s="197"/>
      <c r="E20" s="197"/>
      <c r="F20" s="261"/>
      <c r="G20" s="215">
        <f>F19*3</f>
        <v>-3454674.6018999908</v>
      </c>
      <c r="H20" s="216" t="s">
        <v>1013</v>
      </c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spans="1:26" ht="12.75" customHeight="1">
      <c r="A21" s="197"/>
      <c r="B21" s="197"/>
      <c r="C21" s="197"/>
      <c r="D21" s="197"/>
      <c r="E21" s="197"/>
      <c r="F21" s="214"/>
      <c r="G21" s="21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spans="1:26" ht="12.75" customHeight="1">
      <c r="A22" s="197"/>
      <c r="B22" s="197" t="s">
        <v>1015</v>
      </c>
      <c r="C22" s="199">
        <v>500000</v>
      </c>
      <c r="D22" s="197"/>
      <c r="E22" s="199">
        <v>5748600</v>
      </c>
      <c r="F22" s="199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spans="1:26" ht="12.75" customHeight="1">
      <c r="A23" s="197"/>
      <c r="B23" s="197" t="s">
        <v>1016</v>
      </c>
      <c r="C23" s="197">
        <v>3.5949</v>
      </c>
      <c r="D23" s="197">
        <v>3.5644999999999998</v>
      </c>
      <c r="E23" s="197">
        <v>3.4424000000000001</v>
      </c>
      <c r="F23" s="197"/>
      <c r="G23" s="197">
        <v>3.2549000000000001</v>
      </c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spans="1:26" ht="12.75" customHeight="1">
      <c r="A24" s="197"/>
      <c r="B24" s="218" t="s">
        <v>1017</v>
      </c>
      <c r="C24" s="219">
        <f>+C22*C23</f>
        <v>1797450</v>
      </c>
      <c r="D24" s="197"/>
      <c r="E24" s="219">
        <f>+E22*E23</f>
        <v>19788980.640000001</v>
      </c>
      <c r="F24" s="219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spans="1:26" ht="12.75" customHeight="1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220">
        <v>993</v>
      </c>
      <c r="L25" s="221" t="s">
        <v>1018</v>
      </c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spans="1:26" ht="12.75" customHeight="1">
      <c r="A26" s="197"/>
      <c r="B26" s="197" t="s">
        <v>1019</v>
      </c>
      <c r="C26" s="197">
        <v>0</v>
      </c>
      <c r="D26" s="197">
        <v>0</v>
      </c>
      <c r="E26" s="207">
        <f>+E13/D13-1</f>
        <v>11.440157620005257</v>
      </c>
      <c r="F26" s="207"/>
      <c r="G26" s="207"/>
      <c r="H26" s="207"/>
      <c r="I26" s="207"/>
      <c r="J26" s="197"/>
      <c r="K26" s="222">
        <v>-181</v>
      </c>
      <c r="L26" s="223" t="s">
        <v>1020</v>
      </c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spans="1:26" ht="12.75" customHeight="1">
      <c r="A27" s="197"/>
      <c r="B27" s="197"/>
      <c r="C27" s="197"/>
      <c r="D27" s="197"/>
      <c r="E27" s="197"/>
      <c r="F27" s="197"/>
      <c r="G27" s="197"/>
      <c r="H27" s="197"/>
      <c r="I27" s="197"/>
      <c r="J27" s="197"/>
      <c r="K27" s="224">
        <f>-(150+86)/3.25</f>
        <v>-72.615384615384613</v>
      </c>
      <c r="L27" s="223" t="s">
        <v>1021</v>
      </c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spans="1:26" ht="12.75" customHeight="1">
      <c r="A28" s="197"/>
      <c r="B28" s="218" t="s">
        <v>1022</v>
      </c>
      <c r="C28" s="197"/>
      <c r="D28" s="197"/>
      <c r="E28" s="197"/>
      <c r="F28" s="197"/>
      <c r="G28" s="197"/>
      <c r="H28" s="197"/>
      <c r="I28" s="197"/>
      <c r="J28" s="197"/>
      <c r="K28" s="222"/>
      <c r="L28" s="223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spans="1:26" ht="12.75" customHeight="1">
      <c r="A29" s="197"/>
      <c r="B29" s="197" t="s">
        <v>1023</v>
      </c>
      <c r="C29" s="197">
        <v>3</v>
      </c>
      <c r="D29" s="197">
        <v>13</v>
      </c>
      <c r="E29" s="197">
        <v>33</v>
      </c>
      <c r="F29" s="197"/>
      <c r="G29" s="197">
        <v>67</v>
      </c>
      <c r="H29" s="197">
        <v>13</v>
      </c>
      <c r="I29" s="197">
        <f t="shared" ref="I29:I38" si="4">G29+H29</f>
        <v>80</v>
      </c>
      <c r="J29" s="197"/>
      <c r="K29" s="225">
        <f>K25+K26+K27</f>
        <v>739.38461538461536</v>
      </c>
      <c r="L29" s="226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spans="1:26" ht="12.75" customHeight="1">
      <c r="A30" s="197"/>
      <c r="B30" s="197" t="s">
        <v>1024</v>
      </c>
      <c r="C30" s="197">
        <v>0</v>
      </c>
      <c r="D30" s="207">
        <f t="shared" ref="D30:E30" si="5">+D29/C29-1</f>
        <v>3.333333333333333</v>
      </c>
      <c r="E30" s="207">
        <f t="shared" si="5"/>
        <v>1.5384615384615383</v>
      </c>
      <c r="F30" s="207"/>
      <c r="G30" s="207">
        <f>+G29/E29-1</f>
        <v>1.0303030303030303</v>
      </c>
      <c r="H30" s="207"/>
      <c r="I30" s="207">
        <f t="shared" si="4"/>
        <v>1.0303030303030303</v>
      </c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spans="1:26" ht="12.75" customHeight="1">
      <c r="A31" s="197"/>
      <c r="B31" s="197"/>
      <c r="C31" s="197"/>
      <c r="D31" s="197"/>
      <c r="E31" s="197"/>
      <c r="F31" s="197"/>
      <c r="G31" s="197"/>
      <c r="H31" s="197"/>
      <c r="I31" s="197">
        <f t="shared" si="4"/>
        <v>0</v>
      </c>
      <c r="J31" s="197"/>
      <c r="K31" s="220"/>
      <c r="L31" s="221" t="s">
        <v>1025</v>
      </c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spans="1:26" ht="12.75" customHeight="1">
      <c r="A32" s="197"/>
      <c r="B32" s="218" t="s">
        <v>1026</v>
      </c>
      <c r="C32" s="197"/>
      <c r="D32" s="197"/>
      <c r="E32" s="197"/>
      <c r="F32" s="197"/>
      <c r="G32" s="197"/>
      <c r="H32" s="197"/>
      <c r="I32" s="197">
        <f t="shared" si="4"/>
        <v>0</v>
      </c>
      <c r="J32" s="197"/>
      <c r="K32" s="227">
        <v>3461</v>
      </c>
      <c r="L32" s="223" t="s">
        <v>1027</v>
      </c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spans="1:26" ht="12.75" hidden="1" customHeight="1">
      <c r="A33" s="197"/>
      <c r="B33" s="197" t="s">
        <v>1028</v>
      </c>
      <c r="C33" s="199">
        <f>(330825+326191)/C23</f>
        <v>182763.35920331581</v>
      </c>
      <c r="D33" s="199">
        <f>449059+791642/$D$23</f>
        <v>671149.61579464166</v>
      </c>
      <c r="E33" s="199">
        <v>1527152</v>
      </c>
      <c r="F33" s="199"/>
      <c r="G33" s="199">
        <v>5994309</v>
      </c>
      <c r="H33" s="199"/>
      <c r="I33" s="199">
        <f t="shared" si="4"/>
        <v>5994309</v>
      </c>
      <c r="J33" s="197"/>
      <c r="K33" s="222"/>
      <c r="L33" s="223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spans="1:26" ht="12.75" customHeight="1">
      <c r="A34" s="197"/>
      <c r="B34" s="197" t="s">
        <v>1029</v>
      </c>
      <c r="C34" s="228">
        <v>2</v>
      </c>
      <c r="D34" s="228">
        <v>9</v>
      </c>
      <c r="E34" s="228">
        <v>23</v>
      </c>
      <c r="F34" s="228"/>
      <c r="G34" s="228">
        <v>40</v>
      </c>
      <c r="H34" s="228">
        <v>6</v>
      </c>
      <c r="I34" s="228">
        <f t="shared" si="4"/>
        <v>46</v>
      </c>
      <c r="J34" s="228"/>
      <c r="K34" s="227">
        <f>651*5</f>
        <v>3255</v>
      </c>
      <c r="L34" s="223" t="s">
        <v>1030</v>
      </c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spans="1:26" ht="12.75" hidden="1" customHeight="1">
      <c r="A35" s="197"/>
      <c r="B35" s="197" t="s">
        <v>1031</v>
      </c>
      <c r="C35" s="199">
        <f>+(142534+73203)+C33</f>
        <v>398500.35920331581</v>
      </c>
      <c r="D35" s="199">
        <f>958816+791642/$D$23+358000/$D$23</f>
        <v>1281341.4593912191</v>
      </c>
      <c r="E35" s="199">
        <v>2005609</v>
      </c>
      <c r="F35" s="199"/>
      <c r="G35" s="199">
        <v>9020946.9696969725</v>
      </c>
      <c r="H35" s="199"/>
      <c r="I35" s="199">
        <f t="shared" si="4"/>
        <v>9020946.9696969725</v>
      </c>
      <c r="J35" s="197"/>
      <c r="K35" s="222"/>
      <c r="L35" s="223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spans="1:26" ht="12.75" customHeight="1">
      <c r="A36" s="197"/>
      <c r="B36" s="197" t="s">
        <v>1032</v>
      </c>
      <c r="C36" s="228">
        <f t="shared" ref="C36:E36" si="6">+C29</f>
        <v>3</v>
      </c>
      <c r="D36" s="228">
        <f t="shared" si="6"/>
        <v>13</v>
      </c>
      <c r="E36" s="228">
        <f t="shared" si="6"/>
        <v>33</v>
      </c>
      <c r="F36" s="228"/>
      <c r="G36" s="228">
        <f>+G29</f>
        <v>67</v>
      </c>
      <c r="H36" s="228">
        <v>13</v>
      </c>
      <c r="I36" s="228">
        <f t="shared" si="4"/>
        <v>80</v>
      </c>
      <c r="J36" s="197"/>
      <c r="K36" s="222"/>
      <c r="L36" s="223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spans="1:26" ht="12.75" hidden="1" customHeight="1">
      <c r="A37" s="197"/>
      <c r="B37" s="197" t="s">
        <v>1033</v>
      </c>
      <c r="C37" s="207">
        <f t="shared" ref="C37:E37" si="7">+C33/C35</f>
        <v>0.45862784055878231</v>
      </c>
      <c r="D37" s="207">
        <f t="shared" si="7"/>
        <v>0.5237867009419277</v>
      </c>
      <c r="E37" s="207">
        <f t="shared" si="7"/>
        <v>0.76144054000555439</v>
      </c>
      <c r="F37" s="207"/>
      <c r="G37" s="207">
        <f t="shared" ref="G37:G38" si="8">+G33/G35</f>
        <v>0.66448777718525465</v>
      </c>
      <c r="H37" s="207"/>
      <c r="I37" s="207">
        <f t="shared" si="4"/>
        <v>0.66448777718525465</v>
      </c>
      <c r="J37" s="197"/>
      <c r="K37" s="222"/>
      <c r="L37" s="223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spans="1:26" ht="12.75" customHeight="1" thickBot="1">
      <c r="A38" s="197"/>
      <c r="B38" s="197" t="s">
        <v>1034</v>
      </c>
      <c r="C38" s="207">
        <f t="shared" ref="C38:E38" si="9">+C34/C36</f>
        <v>0.66666666666666663</v>
      </c>
      <c r="D38" s="207">
        <f t="shared" si="9"/>
        <v>0.69230769230769229</v>
      </c>
      <c r="E38" s="207">
        <f t="shared" si="9"/>
        <v>0.69696969696969702</v>
      </c>
      <c r="F38" s="207"/>
      <c r="G38" s="207">
        <f t="shared" si="8"/>
        <v>0.59701492537313428</v>
      </c>
      <c r="H38" s="207">
        <f>+H34/H36</f>
        <v>0.46153846153846156</v>
      </c>
      <c r="I38" s="207">
        <f t="shared" si="4"/>
        <v>1.058553386911596</v>
      </c>
      <c r="J38" s="197"/>
      <c r="K38" s="229">
        <f>K32+K34</f>
        <v>6716</v>
      </c>
      <c r="L38" s="226" t="s">
        <v>1035</v>
      </c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spans="1:26" ht="12.75" customHeight="1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 spans="1:26" ht="12.75" customHeight="1">
      <c r="A40" s="197"/>
      <c r="B40" s="197" t="s">
        <v>1036</v>
      </c>
      <c r="C40" s="230">
        <v>0.16</v>
      </c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 spans="1:26" ht="12.75" customHeight="1">
      <c r="A41" s="197"/>
      <c r="B41" s="197" t="s">
        <v>1037</v>
      </c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spans="1:26" ht="12.75" customHeight="1">
      <c r="A42" s="197"/>
      <c r="B42" s="197" t="s">
        <v>1038</v>
      </c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 spans="1:26" ht="12.75" customHeight="1"/>
    <row r="44" spans="1:26" ht="12.75" customHeight="1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</row>
    <row r="45" spans="1:26" ht="12.75" hidden="1" customHeight="1">
      <c r="A45" s="197"/>
      <c r="B45" s="197"/>
      <c r="C45" s="197">
        <v>3.597</v>
      </c>
      <c r="D45" s="197">
        <v>3.5642999999999998</v>
      </c>
      <c r="E45" s="197">
        <v>3.4367000000000001</v>
      </c>
      <c r="F45" s="197"/>
      <c r="G45" s="197">
        <v>3.5882000000000001</v>
      </c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spans="1:26" ht="12.75" hidden="1" customHeight="1">
      <c r="A46" s="197"/>
      <c r="B46" s="202" t="s">
        <v>1004</v>
      </c>
      <c r="C46" s="198">
        <v>2018</v>
      </c>
      <c r="D46" s="198">
        <v>2019</v>
      </c>
      <c r="E46" s="198">
        <v>2020</v>
      </c>
      <c r="F46" s="198"/>
      <c r="G46" s="198" t="s">
        <v>1039</v>
      </c>
      <c r="H46" s="232" t="s">
        <v>1040</v>
      </c>
      <c r="I46" s="232" t="s">
        <v>1041</v>
      </c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spans="1:26" ht="12.75" hidden="1" customHeight="1">
      <c r="A47" s="197"/>
      <c r="B47" s="197" t="s">
        <v>348</v>
      </c>
      <c r="C47" s="199"/>
      <c r="D47" s="140">
        <f>D13*D45</f>
        <v>11009937.3564</v>
      </c>
      <c r="E47" s="140">
        <f>E13*3.4367</f>
        <v>132062070.90000001</v>
      </c>
      <c r="F47" s="140"/>
      <c r="G47" s="140">
        <f>G13*3.4367</f>
        <v>0</v>
      </c>
      <c r="H47" s="233">
        <f>17500000*3*G45</f>
        <v>188380500</v>
      </c>
      <c r="I47" s="234">
        <f t="shared" ref="I47:I48" si="10">G47+H47</f>
        <v>188380500</v>
      </c>
      <c r="J47" s="199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spans="1:26" ht="12.75" hidden="1" customHeight="1">
      <c r="A48" s="197"/>
      <c r="B48" s="197" t="s">
        <v>1006</v>
      </c>
      <c r="C48" s="140">
        <f>C14*C45</f>
        <v>2601285.6540000001</v>
      </c>
      <c r="D48" s="140">
        <f>D14*D45</f>
        <v>8802762.4028999992</v>
      </c>
      <c r="E48" s="140">
        <f>E14*E45</f>
        <v>26514140.5</v>
      </c>
      <c r="F48" s="140"/>
      <c r="G48" s="140">
        <f>G14*G45</f>
        <v>0</v>
      </c>
      <c r="H48" s="233">
        <f>(993000-200000)*3*G45</f>
        <v>8536327.8000000007</v>
      </c>
      <c r="I48" s="234">
        <f t="shared" si="10"/>
        <v>8536327.8000000007</v>
      </c>
      <c r="J48" s="199"/>
      <c r="K48" s="210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 spans="1:26" ht="12.75" hidden="1" customHeight="1">
      <c r="A49" s="197"/>
      <c r="B49" s="197" t="s">
        <v>1007</v>
      </c>
      <c r="C49" s="207"/>
      <c r="D49" s="207">
        <f t="shared" ref="D49:E49" si="11">+D48/D47</f>
        <v>0.79952883635464234</v>
      </c>
      <c r="E49" s="207">
        <f t="shared" si="11"/>
        <v>0.20077029172196631</v>
      </c>
      <c r="F49" s="207"/>
      <c r="G49" s="207" t="e">
        <f t="shared" ref="G49:I49" si="12">+G48/G47</f>
        <v>#DIV/0!</v>
      </c>
      <c r="H49" s="207">
        <f t="shared" si="12"/>
        <v>4.5314285714285717E-2</v>
      </c>
      <c r="I49" s="207">
        <f t="shared" si="12"/>
        <v>4.5314285714285717E-2</v>
      </c>
      <c r="J49" s="210"/>
      <c r="K49" s="210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 spans="1:26" ht="12.75" hidden="1" customHeight="1">
      <c r="A50" s="197"/>
      <c r="B50" s="197" t="s">
        <v>1008</v>
      </c>
      <c r="C50" s="207"/>
      <c r="D50" s="207"/>
      <c r="E50" s="207">
        <f>+AVERAGE(C48:E48)/AVERAGE(C47:E47)</f>
        <v>0.17668580094272823</v>
      </c>
      <c r="F50" s="207"/>
      <c r="G50" s="207">
        <f t="shared" ref="G50:H50" si="13">+AVERAGE(D48:G48)/AVERAGE(D47:G47)</f>
        <v>0.24684704809349156</v>
      </c>
      <c r="H50" s="207">
        <f t="shared" si="13"/>
        <v>0.10938143518683147</v>
      </c>
      <c r="I50" s="207">
        <f>+AVERAGE(G48:I48)/AVERAGE(G47:I47)</f>
        <v>4.5314285714285717E-2</v>
      </c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spans="1:26" ht="12.75" hidden="1" customHeight="1">
      <c r="A51" s="197"/>
      <c r="B51" s="197" t="s">
        <v>1009</v>
      </c>
      <c r="C51" s="197"/>
      <c r="D51" s="207"/>
      <c r="E51" s="213"/>
      <c r="F51" s="213"/>
      <c r="G51" s="211">
        <f t="shared" ref="G51:H51" si="14">0.07*SUM(D47:G47)-SUM(D48:G48)</f>
        <v>-25301862.324951991</v>
      </c>
      <c r="H51" s="211">
        <f t="shared" si="14"/>
        <v>-12619488.336999997</v>
      </c>
      <c r="I51" s="211"/>
      <c r="J51" s="197"/>
      <c r="K51" s="199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spans="1:26" ht="12.75" hidden="1" customHeight="1">
      <c r="A52" s="197"/>
      <c r="B52" s="197"/>
      <c r="C52" s="197"/>
      <c r="D52" s="207"/>
      <c r="E52" s="213"/>
      <c r="F52" s="213"/>
      <c r="G52" s="211"/>
      <c r="H52" s="211"/>
      <c r="I52" s="211"/>
      <c r="J52" s="211">
        <f>+G51/0.04</f>
        <v>-632546558.1237998</v>
      </c>
      <c r="K52" s="197" t="s">
        <v>1011</v>
      </c>
      <c r="L52" s="197" t="s">
        <v>1012</v>
      </c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 spans="1:26" ht="12.75" hidden="1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 t="s">
        <v>1014</v>
      </c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 spans="1:26" ht="12.75" hidden="1" customHeight="1">
      <c r="A54" s="197"/>
      <c r="B54" s="197" t="s">
        <v>1015</v>
      </c>
      <c r="C54" s="199">
        <v>500000</v>
      </c>
      <c r="D54" s="197"/>
      <c r="E54" s="199">
        <v>5748600</v>
      </c>
      <c r="F54" s="199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spans="1:26" ht="12.75" hidden="1" customHeight="1">
      <c r="A55" s="197"/>
      <c r="B55" s="197" t="s">
        <v>1016</v>
      </c>
      <c r="C55" s="197">
        <v>3.5949</v>
      </c>
      <c r="D55" s="197">
        <v>3.5644999999999998</v>
      </c>
      <c r="E55" s="197">
        <v>3.4424000000000001</v>
      </c>
      <c r="F55" s="197"/>
      <c r="G55" s="197">
        <v>3.2549000000000001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spans="1:26" ht="12.75" hidden="1" customHeight="1">
      <c r="A56" s="197"/>
      <c r="B56" s="218" t="s">
        <v>1017</v>
      </c>
      <c r="C56" s="219">
        <f>+C54*C55</f>
        <v>1797450</v>
      </c>
      <c r="D56" s="197"/>
      <c r="E56" s="219">
        <f>+E54*E55</f>
        <v>19788980.640000001</v>
      </c>
      <c r="F56" s="219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spans="1:26" ht="12.75" hidden="1" customHeigh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spans="1:26" ht="12.75" hidden="1" customHeight="1">
      <c r="A58" s="197"/>
      <c r="B58" s="197" t="s">
        <v>1019</v>
      </c>
      <c r="C58" s="197">
        <v>0</v>
      </c>
      <c r="D58" s="197">
        <v>0</v>
      </c>
      <c r="E58" s="207">
        <f>+E47/D47-1</f>
        <v>10.994806748217622</v>
      </c>
      <c r="F58" s="207"/>
      <c r="G58" s="207">
        <f>+G47/E47-1</f>
        <v>-1</v>
      </c>
      <c r="H58" s="207"/>
      <c r="I58" s="20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spans="1:26" ht="12.75" hidden="1" customHeigh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spans="1:26" ht="12.75" hidden="1" customHeight="1">
      <c r="A60" s="197"/>
      <c r="B60" s="218" t="s">
        <v>1022</v>
      </c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 spans="1:26" ht="12.75" hidden="1" customHeight="1">
      <c r="A61" s="197"/>
      <c r="B61" s="197" t="s">
        <v>1023</v>
      </c>
      <c r="C61" s="197">
        <v>3</v>
      </c>
      <c r="D61" s="197">
        <v>13</v>
      </c>
      <c r="E61" s="197">
        <v>33</v>
      </c>
      <c r="F61" s="197"/>
      <c r="G61" s="197">
        <v>67</v>
      </c>
      <c r="H61" s="197">
        <v>13</v>
      </c>
      <c r="I61" s="197">
        <f t="shared" ref="I61:I70" si="15">G61+H61</f>
        <v>80</v>
      </c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 spans="1:26" ht="12.75" hidden="1" customHeight="1">
      <c r="A62" s="197"/>
      <c r="B62" s="197" t="s">
        <v>1024</v>
      </c>
      <c r="C62" s="197">
        <v>0</v>
      </c>
      <c r="D62" s="207">
        <f t="shared" ref="D62:E62" si="16">+D61/C61-1</f>
        <v>3.333333333333333</v>
      </c>
      <c r="E62" s="207">
        <f t="shared" si="16"/>
        <v>1.5384615384615383</v>
      </c>
      <c r="F62" s="207"/>
      <c r="G62" s="207">
        <f>+G61/E61-1</f>
        <v>1.0303030303030303</v>
      </c>
      <c r="H62" s="207"/>
      <c r="I62" s="207">
        <f t="shared" si="15"/>
        <v>1.0303030303030303</v>
      </c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 spans="1:26" ht="12.75" hidden="1" customHeight="1">
      <c r="A63" s="197"/>
      <c r="B63" s="197"/>
      <c r="C63" s="197"/>
      <c r="D63" s="197"/>
      <c r="E63" s="197"/>
      <c r="F63" s="197"/>
      <c r="G63" s="197"/>
      <c r="H63" s="197"/>
      <c r="I63" s="197">
        <f t="shared" si="15"/>
        <v>0</v>
      </c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spans="1:26" ht="12.75" hidden="1" customHeight="1">
      <c r="A64" s="197"/>
      <c r="B64" s="218" t="s">
        <v>1026</v>
      </c>
      <c r="C64" s="197"/>
      <c r="D64" s="197"/>
      <c r="E64" s="197"/>
      <c r="F64" s="197"/>
      <c r="G64" s="197"/>
      <c r="H64" s="197"/>
      <c r="I64" s="197">
        <f t="shared" si="15"/>
        <v>0</v>
      </c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spans="1:26" ht="12.75" hidden="1" customHeight="1">
      <c r="A65" s="197"/>
      <c r="B65" s="197" t="s">
        <v>1028</v>
      </c>
      <c r="C65" s="199">
        <f>(330825+326191)/C55</f>
        <v>182763.35920331581</v>
      </c>
      <c r="D65" s="199">
        <f>449059+791642/$D$23</f>
        <v>671149.61579464166</v>
      </c>
      <c r="E65" s="199">
        <v>1527152</v>
      </c>
      <c r="F65" s="199"/>
      <c r="G65" s="199">
        <v>5994309</v>
      </c>
      <c r="H65" s="199"/>
      <c r="I65" s="199">
        <f t="shared" si="15"/>
        <v>5994309</v>
      </c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spans="1:26" ht="12.75" hidden="1" customHeight="1">
      <c r="A66" s="197"/>
      <c r="B66" s="197" t="s">
        <v>1029</v>
      </c>
      <c r="C66" s="228">
        <v>2</v>
      </c>
      <c r="D66" s="228">
        <v>9</v>
      </c>
      <c r="E66" s="228">
        <v>23</v>
      </c>
      <c r="F66" s="228"/>
      <c r="G66" s="228">
        <v>40</v>
      </c>
      <c r="H66" s="228">
        <v>6</v>
      </c>
      <c r="I66" s="228">
        <f t="shared" si="15"/>
        <v>46</v>
      </c>
      <c r="J66" s="228"/>
      <c r="K66" s="20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spans="1:26" ht="12.75" hidden="1" customHeight="1">
      <c r="A67" s="197"/>
      <c r="B67" s="197" t="s">
        <v>1031</v>
      </c>
      <c r="C67" s="199">
        <f>+(142534+73203)+C65</f>
        <v>398500.35920331581</v>
      </c>
      <c r="D67" s="199">
        <f>958816+791642/$D$23+358000/$D$23</f>
        <v>1281341.4593912191</v>
      </c>
      <c r="E67" s="199">
        <v>2005609</v>
      </c>
      <c r="F67" s="199"/>
      <c r="G67" s="199">
        <v>9020946.9696969725</v>
      </c>
      <c r="H67" s="199"/>
      <c r="I67" s="199">
        <f t="shared" si="15"/>
        <v>9020946.9696969725</v>
      </c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spans="1:26" ht="12.75" hidden="1" customHeight="1">
      <c r="A68" s="197"/>
      <c r="B68" s="197" t="s">
        <v>1032</v>
      </c>
      <c r="C68" s="228">
        <f t="shared" ref="C68:E68" si="17">+C61</f>
        <v>3</v>
      </c>
      <c r="D68" s="228">
        <f t="shared" si="17"/>
        <v>13</v>
      </c>
      <c r="E68" s="228">
        <f t="shared" si="17"/>
        <v>33</v>
      </c>
      <c r="F68" s="228"/>
      <c r="G68" s="228">
        <f>+G61</f>
        <v>67</v>
      </c>
      <c r="H68" s="228">
        <v>13</v>
      </c>
      <c r="I68" s="228">
        <f t="shared" si="15"/>
        <v>80</v>
      </c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spans="1:26" ht="12.75" hidden="1" customHeight="1">
      <c r="A69" s="197"/>
      <c r="B69" s="197" t="s">
        <v>1033</v>
      </c>
      <c r="C69" s="207">
        <f t="shared" ref="C69:E69" si="18">+C65/C67</f>
        <v>0.45862784055878231</v>
      </c>
      <c r="D69" s="207">
        <f t="shared" si="18"/>
        <v>0.5237867009419277</v>
      </c>
      <c r="E69" s="207">
        <f t="shared" si="18"/>
        <v>0.76144054000555439</v>
      </c>
      <c r="F69" s="207"/>
      <c r="G69" s="207">
        <f t="shared" ref="G69:G70" si="19">+G65/G67</f>
        <v>0.66448777718525465</v>
      </c>
      <c r="H69" s="207"/>
      <c r="I69" s="207">
        <f t="shared" si="15"/>
        <v>0.66448777718525465</v>
      </c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spans="1:26" ht="12.75" hidden="1" customHeight="1">
      <c r="A70" s="197"/>
      <c r="B70" s="197" t="s">
        <v>1034</v>
      </c>
      <c r="C70" s="207">
        <f t="shared" ref="C70:E70" si="20">+C66/C68</f>
        <v>0.66666666666666663</v>
      </c>
      <c r="D70" s="207">
        <f t="shared" si="20"/>
        <v>0.69230769230769229</v>
      </c>
      <c r="E70" s="207">
        <f t="shared" si="20"/>
        <v>0.69696969696969702</v>
      </c>
      <c r="F70" s="207"/>
      <c r="G70" s="207">
        <f t="shared" si="19"/>
        <v>0.59701492537313428</v>
      </c>
      <c r="H70" s="207">
        <f>+H66/H68</f>
        <v>0.46153846153846156</v>
      </c>
      <c r="I70" s="207">
        <f t="shared" si="15"/>
        <v>1.058553386911596</v>
      </c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spans="1:26" ht="12.75" hidden="1" customHeigh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spans="1:26" ht="12.75" hidden="1" customHeight="1">
      <c r="A72" s="197"/>
      <c r="B72" s="197" t="s">
        <v>1036</v>
      </c>
      <c r="C72" s="230">
        <v>0.16</v>
      </c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 spans="1:26" ht="12.75" hidden="1" customHeight="1">
      <c r="A73" s="197"/>
      <c r="B73" s="197" t="s">
        <v>1037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 spans="1:26" ht="12.75" hidden="1" customHeight="1">
      <c r="A74" s="197"/>
      <c r="B74" s="197" t="s">
        <v>1038</v>
      </c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 spans="1:26" ht="12.75" hidden="1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 spans="1:26" ht="12.75" hidden="1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 spans="1:26" ht="12.7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 spans="1:26" ht="12.75" customHeight="1"/>
    <row r="79" spans="1:26" ht="12.75" customHeight="1">
      <c r="I79" s="2"/>
      <c r="J79" s="2"/>
      <c r="K79" s="2"/>
      <c r="L79" s="2"/>
    </row>
    <row r="80" spans="1:26" ht="12.75" customHeight="1">
      <c r="I80" s="2"/>
      <c r="J80" s="2"/>
      <c r="K80" s="2"/>
      <c r="L80" s="2"/>
    </row>
    <row r="81" spans="9:12" ht="12.75" customHeight="1">
      <c r="I81" s="2"/>
      <c r="J81" s="87"/>
      <c r="K81" s="2"/>
      <c r="L81" s="2"/>
    </row>
    <row r="82" spans="9:12" ht="12.75" customHeight="1">
      <c r="I82" s="2"/>
      <c r="J82" s="87"/>
      <c r="K82" s="2"/>
      <c r="L82" s="2"/>
    </row>
    <row r="83" spans="9:12" ht="12.75" customHeight="1">
      <c r="I83" s="2"/>
      <c r="J83" s="87"/>
      <c r="K83" s="2"/>
      <c r="L83" s="2"/>
    </row>
    <row r="84" spans="9:12" ht="12.75" customHeight="1">
      <c r="I84" s="2"/>
      <c r="J84" s="87"/>
      <c r="K84" s="2"/>
      <c r="L84" s="2"/>
    </row>
    <row r="85" spans="9:12" ht="12.75" customHeight="1">
      <c r="I85" s="2"/>
      <c r="J85" s="87"/>
      <c r="K85" s="2"/>
      <c r="L85" s="2"/>
    </row>
    <row r="86" spans="9:12" ht="12.75" customHeight="1">
      <c r="I86" s="2"/>
      <c r="J86" s="87"/>
      <c r="K86" s="2"/>
      <c r="L86" s="2"/>
    </row>
    <row r="87" spans="9:12" ht="12.75" customHeight="1">
      <c r="I87" s="2"/>
      <c r="J87" s="87"/>
      <c r="K87" s="2"/>
      <c r="L87" s="2"/>
    </row>
    <row r="88" spans="9:12" ht="12.75" customHeight="1">
      <c r="I88" s="2"/>
      <c r="J88" s="87"/>
      <c r="K88" s="2"/>
      <c r="L88" s="2"/>
    </row>
    <row r="89" spans="9:12" ht="12.75" customHeight="1">
      <c r="I89" s="2"/>
      <c r="J89" s="2"/>
      <c r="K89" s="2"/>
      <c r="L89" s="2"/>
    </row>
    <row r="90" spans="9:12" ht="12.75" customHeight="1">
      <c r="I90" s="2"/>
      <c r="J90" s="87"/>
      <c r="K90" s="2"/>
      <c r="L90" s="2"/>
    </row>
    <row r="91" spans="9:12" ht="12.75" customHeight="1">
      <c r="I91" s="2"/>
      <c r="J91" s="2"/>
      <c r="K91" s="2"/>
      <c r="L91" s="2"/>
    </row>
    <row r="92" spans="9:12" ht="12.75" customHeight="1">
      <c r="I92" s="2"/>
      <c r="J92" s="2"/>
      <c r="K92" s="2"/>
      <c r="L92" s="2"/>
    </row>
    <row r="93" spans="9:12" ht="12.75" customHeight="1">
      <c r="I93" s="2"/>
      <c r="J93" s="2"/>
      <c r="K93" s="2"/>
      <c r="L93" s="2"/>
    </row>
    <row r="94" spans="9:12" ht="12.75" customHeight="1">
      <c r="I94" s="2"/>
      <c r="J94" s="2"/>
      <c r="K94" s="2"/>
      <c r="L94" s="2"/>
    </row>
    <row r="95" spans="9:12" ht="12.75" customHeight="1"/>
    <row r="96" spans="9:1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C15:E15 E16:F16">
    <cfRule type="cellIs" dxfId="29" priority="1" operator="lessThan">
      <formula>0.07</formula>
    </cfRule>
  </conditionalFormatting>
  <conditionalFormatting sqref="C15:E15 E16:F16">
    <cfRule type="cellIs" dxfId="28" priority="2" operator="lessThan">
      <formula>0.0001</formula>
    </cfRule>
  </conditionalFormatting>
  <conditionalFormatting sqref="C26:I26">
    <cfRule type="cellIs" dxfId="27" priority="3" operator="greaterThan">
      <formula>0.25</formula>
    </cfRule>
  </conditionalFormatting>
  <conditionalFormatting sqref="C26:I26">
    <cfRule type="cellIs" dxfId="26" priority="4" operator="greaterThan">
      <formula>0.25</formula>
    </cfRule>
  </conditionalFormatting>
  <conditionalFormatting sqref="C24 E24:F24">
    <cfRule type="cellIs" dxfId="25" priority="5" operator="lessThan">
      <formula>8000000</formula>
    </cfRule>
  </conditionalFormatting>
  <conditionalFormatting sqref="C24 E24:F24">
    <cfRule type="cellIs" dxfId="24" priority="6" operator="greaterThan">
      <formula>8000000</formula>
    </cfRule>
  </conditionalFormatting>
  <conditionalFormatting sqref="G29:H29 J29">
    <cfRule type="cellIs" dxfId="23" priority="7" operator="greaterThan">
      <formula>49</formula>
    </cfRule>
  </conditionalFormatting>
  <conditionalFormatting sqref="C30:H30">
    <cfRule type="cellIs" dxfId="22" priority="8" operator="greaterThan">
      <formula>0.25</formula>
    </cfRule>
  </conditionalFormatting>
  <conditionalFormatting sqref="C37:H38">
    <cfRule type="cellIs" dxfId="21" priority="9" operator="greaterThan">
      <formula>0.2</formula>
    </cfRule>
  </conditionalFormatting>
  <conditionalFormatting sqref="K16">
    <cfRule type="cellIs" dxfId="20" priority="10" operator="lessThan">
      <formula>0.07</formula>
    </cfRule>
  </conditionalFormatting>
  <conditionalFormatting sqref="K16">
    <cfRule type="cellIs" dxfId="19" priority="11" operator="lessThan">
      <formula>0.0001</formula>
    </cfRule>
  </conditionalFormatting>
  <conditionalFormatting sqref="I29">
    <cfRule type="cellIs" dxfId="18" priority="12" operator="greaterThan">
      <formula>49</formula>
    </cfRule>
  </conditionalFormatting>
  <conditionalFormatting sqref="I30">
    <cfRule type="cellIs" dxfId="17" priority="13" operator="greaterThan">
      <formula>0.25</formula>
    </cfRule>
  </conditionalFormatting>
  <conditionalFormatting sqref="I37:I38">
    <cfRule type="cellIs" dxfId="16" priority="14" operator="greaterThan">
      <formula>0.2</formula>
    </cfRule>
  </conditionalFormatting>
  <conditionalFormatting sqref="D49:G49 E50:G50">
    <cfRule type="cellIs" dxfId="15" priority="15" operator="lessThan">
      <formula>0.07</formula>
    </cfRule>
  </conditionalFormatting>
  <conditionalFormatting sqref="D49:G49 E50:G50">
    <cfRule type="cellIs" dxfId="14" priority="16" operator="lessThan">
      <formula>0.0001</formula>
    </cfRule>
  </conditionalFormatting>
  <conditionalFormatting sqref="C58:I58">
    <cfRule type="cellIs" dxfId="13" priority="17" operator="greaterThan">
      <formula>0.25</formula>
    </cfRule>
  </conditionalFormatting>
  <conditionalFormatting sqref="C58:I58">
    <cfRule type="cellIs" dxfId="12" priority="18" operator="greaterThan">
      <formula>0.25</formula>
    </cfRule>
  </conditionalFormatting>
  <conditionalFormatting sqref="C56 E56:F56">
    <cfRule type="cellIs" dxfId="11" priority="19" operator="lessThan">
      <formula>8000000</formula>
    </cfRule>
  </conditionalFormatting>
  <conditionalFormatting sqref="C56 E56:F56">
    <cfRule type="cellIs" dxfId="10" priority="20" operator="greaterThan">
      <formula>8000000</formula>
    </cfRule>
  </conditionalFormatting>
  <conditionalFormatting sqref="G61:H61 J61">
    <cfRule type="cellIs" dxfId="9" priority="21" operator="greaterThan">
      <formula>49</formula>
    </cfRule>
  </conditionalFormatting>
  <conditionalFormatting sqref="C62:H62">
    <cfRule type="cellIs" dxfId="8" priority="22" operator="greaterThan">
      <formula>0.25</formula>
    </cfRule>
  </conditionalFormatting>
  <conditionalFormatting sqref="C69:H70">
    <cfRule type="cellIs" dxfId="7" priority="23" operator="greaterThan">
      <formula>0.2</formula>
    </cfRule>
  </conditionalFormatting>
  <conditionalFormatting sqref="H49:I50">
    <cfRule type="cellIs" dxfId="6" priority="24" operator="lessThan">
      <formula>0.07</formula>
    </cfRule>
  </conditionalFormatting>
  <conditionalFormatting sqref="H49:I50">
    <cfRule type="cellIs" dxfId="5" priority="25" operator="lessThan">
      <formula>0.0001</formula>
    </cfRule>
  </conditionalFormatting>
  <conditionalFormatting sqref="I61">
    <cfRule type="cellIs" dxfId="4" priority="26" operator="greaterThan">
      <formula>49</formula>
    </cfRule>
  </conditionalFormatting>
  <conditionalFormatting sqref="I62">
    <cfRule type="cellIs" dxfId="3" priority="27" operator="greaterThan">
      <formula>0.25</formula>
    </cfRule>
  </conditionalFormatting>
  <conditionalFormatting sqref="I69:I70">
    <cfRule type="cellIs" dxfId="2" priority="28" operator="greaterThan">
      <formula>0.2</formula>
    </cfRule>
  </conditionalFormatting>
  <conditionalFormatting sqref="F15">
    <cfRule type="cellIs" dxfId="1" priority="29" operator="lessThan">
      <formula>0.07</formula>
    </cfRule>
  </conditionalFormatting>
  <conditionalFormatting sqref="F15">
    <cfRule type="cellIs" dxfId="0" priority="30" operator="lessThan">
      <formula>0.0001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 filterMode="1">
    <tabColor rgb="FFF2F2F2"/>
    <pageSetUpPr fitToPage="1"/>
  </sheetPr>
  <dimension ref="A1:Z1000"/>
  <sheetViews>
    <sheetView topLeftCell="D1" zoomScale="110" zoomScaleNormal="110" workbookViewId="0">
      <pane ySplit="1" topLeftCell="A31" activePane="bottomLeft" state="frozen"/>
      <selection pane="bottomLeft" activeCell="G39" activeCellId="4" sqref="G32 G34 G37 G38 G39"/>
    </sheetView>
  </sheetViews>
  <sheetFormatPr defaultColWidth="12.7109375" defaultRowHeight="15" customHeight="1"/>
  <cols>
    <col min="1" max="1" width="14.85546875" customWidth="1"/>
    <col min="2" max="2" width="18.42578125" customWidth="1"/>
    <col min="3" max="3" width="23.42578125" customWidth="1"/>
    <col min="4" max="4" width="25.7109375" customWidth="1"/>
    <col min="5" max="5" width="43" customWidth="1"/>
    <col min="6" max="7" width="28.28515625" customWidth="1"/>
    <col min="8" max="8" width="8.140625" customWidth="1"/>
    <col min="9" max="9" width="33" customWidth="1"/>
    <col min="10" max="10" width="29.28515625" customWidth="1"/>
    <col min="11" max="11" width="23.85546875" customWidth="1"/>
    <col min="12" max="26" width="28.28515625" customWidth="1"/>
  </cols>
  <sheetData>
    <row r="1" spans="1:26" ht="16.5">
      <c r="A1" s="65" t="s">
        <v>44</v>
      </c>
      <c r="B1" s="65" t="s">
        <v>45</v>
      </c>
      <c r="C1" s="65" t="s">
        <v>46</v>
      </c>
      <c r="D1" s="65" t="s">
        <v>47</v>
      </c>
      <c r="E1" s="65" t="s">
        <v>817</v>
      </c>
      <c r="F1" s="66" t="s">
        <v>818</v>
      </c>
      <c r="G1" s="66" t="s">
        <v>819</v>
      </c>
      <c r="H1" s="65" t="s">
        <v>820</v>
      </c>
      <c r="I1" s="65" t="s">
        <v>821</v>
      </c>
      <c r="J1" s="65" t="s">
        <v>822</v>
      </c>
      <c r="K1" s="65"/>
      <c r="L1" s="65"/>
      <c r="M1" s="65"/>
      <c r="N1" s="65"/>
      <c r="O1" s="65"/>
      <c r="P1" s="263"/>
      <c r="Q1" s="263"/>
      <c r="R1" s="263"/>
      <c r="S1" s="263"/>
      <c r="T1" s="65"/>
      <c r="U1" s="65"/>
      <c r="V1" s="65"/>
      <c r="W1" s="65"/>
      <c r="X1" s="65"/>
      <c r="Y1" s="65"/>
      <c r="Z1" s="65"/>
    </row>
    <row r="2" spans="1:26" ht="16.5" hidden="1">
      <c r="A2" s="65" t="s">
        <v>49</v>
      </c>
      <c r="B2" s="65" t="s">
        <v>50</v>
      </c>
      <c r="C2" s="65" t="s">
        <v>51</v>
      </c>
      <c r="D2" s="65">
        <v>80020</v>
      </c>
      <c r="E2" s="65" t="s">
        <v>52</v>
      </c>
      <c r="F2" s="66">
        <v>9872366.1799999997</v>
      </c>
      <c r="G2" s="66">
        <v>3174394.27</v>
      </c>
      <c r="H2" s="65" t="str">
        <f>VLOOKUP(D2,'COA1'!D:I,3,0)</f>
        <v>BS</v>
      </c>
      <c r="I2" s="65" t="str">
        <f>VLOOKUP(D2,'COA1'!D:I,4,0)</f>
        <v xml:space="preserve">Cash </v>
      </c>
      <c r="J2" s="65">
        <f>VLOOKUP(D2,'COA1'!D:I,5,0)</f>
        <v>0</v>
      </c>
      <c r="K2" s="264">
        <f t="shared" ref="K2:K256" si="0">F2/G2</f>
        <v>3.1100000000945061</v>
      </c>
      <c r="L2" s="65"/>
      <c r="M2" s="65">
        <v>1</v>
      </c>
      <c r="N2" s="65"/>
      <c r="O2" s="65"/>
      <c r="P2" s="263"/>
      <c r="Q2" s="263"/>
      <c r="R2" s="263"/>
      <c r="S2" s="263"/>
      <c r="T2" s="65"/>
      <c r="U2" s="65"/>
      <c r="V2" s="65"/>
      <c r="W2" s="65"/>
      <c r="X2" s="65"/>
      <c r="Y2" s="65"/>
      <c r="Z2" s="65"/>
    </row>
    <row r="3" spans="1:26" ht="16.5" hidden="1">
      <c r="A3" s="65" t="s">
        <v>49</v>
      </c>
      <c r="B3" s="65" t="s">
        <v>50</v>
      </c>
      <c r="C3" s="65" t="s">
        <v>51</v>
      </c>
      <c r="D3" s="65">
        <v>80021</v>
      </c>
      <c r="E3" s="65" t="s">
        <v>55</v>
      </c>
      <c r="F3" s="66">
        <v>10164954.890000001</v>
      </c>
      <c r="G3" s="66">
        <v>3268474.24</v>
      </c>
      <c r="H3" s="65" t="str">
        <f>VLOOKUP(D3,'COA1'!D:I,3,0)</f>
        <v>BS</v>
      </c>
      <c r="I3" s="65" t="str">
        <f>VLOOKUP(D3,'COA1'!D:I,4,0)</f>
        <v xml:space="preserve">Cash </v>
      </c>
      <c r="J3" s="65">
        <f>VLOOKUP(D3,'COA1'!D:I,5,0)</f>
        <v>0</v>
      </c>
      <c r="K3" s="264">
        <f t="shared" si="0"/>
        <v>3.1100000011014313</v>
      </c>
      <c r="L3" s="65"/>
      <c r="M3" s="65"/>
      <c r="N3" s="65"/>
      <c r="O3" s="65"/>
      <c r="P3" s="263"/>
      <c r="Q3" s="263"/>
      <c r="R3" s="263"/>
      <c r="S3" s="263"/>
      <c r="T3" s="65"/>
      <c r="U3" s="65"/>
      <c r="V3" s="65"/>
      <c r="W3" s="65"/>
      <c r="X3" s="65"/>
      <c r="Y3" s="65"/>
      <c r="Z3" s="65"/>
    </row>
    <row r="4" spans="1:26" ht="16.5" hidden="1">
      <c r="A4" s="65" t="s">
        <v>49</v>
      </c>
      <c r="B4" s="65" t="s">
        <v>50</v>
      </c>
      <c r="C4" s="65" t="s">
        <v>51</v>
      </c>
      <c r="D4" s="65">
        <v>80022</v>
      </c>
      <c r="E4" s="65" t="s">
        <v>56</v>
      </c>
      <c r="F4" s="66">
        <v>5101150.0999999996</v>
      </c>
      <c r="G4" s="66">
        <v>1640241.19</v>
      </c>
      <c r="H4" s="65" t="str">
        <f>VLOOKUP(D4,'COA1'!D:I,3,0)</f>
        <v>BS</v>
      </c>
      <c r="I4" s="65" t="str">
        <f>VLOOKUP(D4,'COA1'!D:I,4,0)</f>
        <v xml:space="preserve">Cash </v>
      </c>
      <c r="J4" s="65">
        <f>VLOOKUP(D4,'COA1'!D:I,5,0)</f>
        <v>0</v>
      </c>
      <c r="K4" s="264">
        <f t="shared" si="0"/>
        <v>3.1099999994513001</v>
      </c>
      <c r="L4" s="65"/>
      <c r="M4" s="65"/>
      <c r="N4" s="65"/>
      <c r="O4" s="65"/>
      <c r="P4" s="263"/>
      <c r="Q4" s="263"/>
      <c r="R4" s="263"/>
      <c r="S4" s="263"/>
      <c r="T4" s="65"/>
      <c r="U4" s="65"/>
      <c r="V4" s="65"/>
      <c r="W4" s="65"/>
      <c r="X4" s="65"/>
      <c r="Y4" s="65"/>
      <c r="Z4" s="65"/>
    </row>
    <row r="5" spans="1:26" ht="16.5" hidden="1">
      <c r="A5" s="65" t="s">
        <v>49</v>
      </c>
      <c r="B5" s="65" t="s">
        <v>50</v>
      </c>
      <c r="C5" s="65" t="s">
        <v>51</v>
      </c>
      <c r="D5" s="65">
        <v>80026</v>
      </c>
      <c r="E5" s="65" t="s">
        <v>58</v>
      </c>
      <c r="F5" s="66">
        <v>12634137.119999999</v>
      </c>
      <c r="G5" s="66">
        <v>4062423.51</v>
      </c>
      <c r="H5" s="65" t="str">
        <f>VLOOKUP(D5,'COA1'!D:I,3,0)</f>
        <v>BS</v>
      </c>
      <c r="I5" s="65" t="str">
        <f>VLOOKUP(D5,'COA1'!D:I,4,0)</f>
        <v xml:space="preserve">Cash </v>
      </c>
      <c r="J5" s="65">
        <f>VLOOKUP(D5,'COA1'!D:I,5,0)</f>
        <v>0</v>
      </c>
      <c r="K5" s="264">
        <f t="shared" si="0"/>
        <v>3.1100000009600182</v>
      </c>
      <c r="L5" s="65"/>
      <c r="M5" s="65"/>
      <c r="N5" s="65"/>
      <c r="O5" s="65"/>
      <c r="P5" s="263"/>
      <c r="Q5" s="263"/>
      <c r="R5" s="263"/>
      <c r="S5" s="263"/>
      <c r="T5" s="65"/>
      <c r="U5" s="65"/>
      <c r="V5" s="65"/>
      <c r="W5" s="65"/>
      <c r="X5" s="65"/>
      <c r="Y5" s="65"/>
      <c r="Z5" s="65"/>
    </row>
    <row r="6" spans="1:26" ht="16.5" hidden="1">
      <c r="A6" s="65" t="s">
        <v>49</v>
      </c>
      <c r="B6" s="65" t="s">
        <v>50</v>
      </c>
      <c r="C6" s="65" t="s">
        <v>51</v>
      </c>
      <c r="D6" s="65">
        <v>80027</v>
      </c>
      <c r="E6" s="65" t="s">
        <v>59</v>
      </c>
      <c r="F6" s="66">
        <v>3917.37</v>
      </c>
      <c r="G6" s="66">
        <v>1259.6099999999999</v>
      </c>
      <c r="H6" s="65" t="str">
        <f>VLOOKUP(D6,'COA1'!D:I,3,0)</f>
        <v>BS</v>
      </c>
      <c r="I6" s="65" t="str">
        <f>VLOOKUP(D6,'COA1'!D:I,4,0)</f>
        <v xml:space="preserve">Cash </v>
      </c>
      <c r="J6" s="65">
        <f>VLOOKUP(D6,'COA1'!D:I,5,0)</f>
        <v>0</v>
      </c>
      <c r="K6" s="264">
        <f t="shared" si="0"/>
        <v>3.1099864243694477</v>
      </c>
      <c r="L6" s="65"/>
      <c r="M6" s="65"/>
      <c r="N6" s="65"/>
      <c r="O6" s="65"/>
      <c r="P6" s="263"/>
      <c r="Q6" s="263"/>
      <c r="R6" s="263"/>
      <c r="S6" s="263"/>
      <c r="T6" s="65"/>
      <c r="U6" s="65"/>
      <c r="V6" s="65"/>
      <c r="W6" s="65"/>
      <c r="X6" s="65"/>
      <c r="Y6" s="65"/>
      <c r="Z6" s="65"/>
    </row>
    <row r="7" spans="1:26" ht="16.5" hidden="1">
      <c r="A7" s="65" t="s">
        <v>49</v>
      </c>
      <c r="B7" s="65" t="s">
        <v>50</v>
      </c>
      <c r="C7" s="65" t="s">
        <v>823</v>
      </c>
      <c r="D7" s="65" t="s">
        <v>529</v>
      </c>
      <c r="E7" s="65" t="s">
        <v>824</v>
      </c>
      <c r="F7" s="66">
        <v>50000</v>
      </c>
      <c r="G7" s="66">
        <v>16077.17</v>
      </c>
      <c r="H7" s="65" t="str">
        <f>VLOOKUP(D7,'COA1'!D:I,3,0)</f>
        <v>BS</v>
      </c>
      <c r="I7" s="65" t="str">
        <f>VLOOKUP(D7,'COA1'!D:I,4,0)</f>
        <v>deposit</v>
      </c>
      <c r="J7" s="65">
        <f>VLOOKUP(D7,'COA1'!D:I,5,0)</f>
        <v>0</v>
      </c>
      <c r="K7" s="264">
        <f t="shared" si="0"/>
        <v>3.1100000808600021</v>
      </c>
      <c r="L7" s="65"/>
      <c r="M7" s="65"/>
      <c r="N7" s="65"/>
      <c r="O7" s="65"/>
      <c r="P7" s="263"/>
      <c r="Q7" s="263"/>
      <c r="R7" s="263"/>
      <c r="S7" s="263"/>
      <c r="T7" s="65"/>
      <c r="U7" s="65"/>
      <c r="V7" s="65"/>
      <c r="W7" s="65"/>
      <c r="X7" s="65"/>
      <c r="Y7" s="65"/>
      <c r="Z7" s="65"/>
    </row>
    <row r="8" spans="1:26" ht="16.5" hidden="1">
      <c r="A8" s="65" t="s">
        <v>49</v>
      </c>
      <c r="B8" s="65" t="s">
        <v>50</v>
      </c>
      <c r="C8" s="65" t="s">
        <v>60</v>
      </c>
      <c r="D8" s="65">
        <v>100006</v>
      </c>
      <c r="E8" s="65" t="s">
        <v>566</v>
      </c>
      <c r="F8" s="66">
        <v>578037389.88</v>
      </c>
      <c r="G8" s="66">
        <v>185864112.5</v>
      </c>
      <c r="H8" s="65" t="str">
        <f>VLOOKUP(D8,'COA1'!D:I,3,0)</f>
        <v>BS</v>
      </c>
      <c r="I8" s="65" t="str">
        <f>VLOOKUP(D8,'COA1'!D:I,4,0)</f>
        <v>Related Party</v>
      </c>
      <c r="J8" s="65">
        <f>VLOOKUP(D8,'COA1'!D:I,5,0)</f>
        <v>0</v>
      </c>
      <c r="K8" s="264">
        <f t="shared" si="0"/>
        <v>3.1100000000269015</v>
      </c>
      <c r="L8" s="65"/>
      <c r="M8" s="65"/>
      <c r="N8" s="65"/>
      <c r="O8" s="65"/>
      <c r="P8" s="263"/>
      <c r="Q8" s="263"/>
      <c r="R8" s="263"/>
      <c r="S8" s="263"/>
      <c r="T8" s="65"/>
      <c r="U8" s="65"/>
      <c r="V8" s="65"/>
      <c r="W8" s="65"/>
      <c r="X8" s="65"/>
      <c r="Y8" s="65"/>
      <c r="Z8" s="65"/>
    </row>
    <row r="9" spans="1:26" ht="16.5" hidden="1">
      <c r="A9" s="65" t="s">
        <v>49</v>
      </c>
      <c r="B9" s="65" t="s">
        <v>68</v>
      </c>
      <c r="C9" s="65" t="s">
        <v>69</v>
      </c>
      <c r="D9" s="65">
        <v>20078</v>
      </c>
      <c r="E9" s="65" t="s">
        <v>808</v>
      </c>
      <c r="F9" s="66">
        <v>-385275.92</v>
      </c>
      <c r="G9" s="637">
        <v>-123882.93</v>
      </c>
      <c r="H9" s="65" t="str">
        <f>VLOOKUP(D9,'COA1'!D:I,3,0)</f>
        <v>bs</v>
      </c>
      <c r="I9" s="65" t="str">
        <f>VLOOKUP(D9,'COA1'!D:I,4,0)</f>
        <v>Other accounts payable</v>
      </c>
      <c r="J9" s="65">
        <f>VLOOKUP(D9,'COA1'!D:I,5,0)</f>
        <v>0</v>
      </c>
      <c r="K9" s="264">
        <f t="shared" si="0"/>
        <v>3.1100000621554562</v>
      </c>
      <c r="L9" s="65"/>
      <c r="M9" s="65"/>
      <c r="N9" s="65"/>
      <c r="O9" s="65"/>
      <c r="P9" s="263"/>
      <c r="Q9" s="263"/>
      <c r="R9" s="263"/>
      <c r="S9" s="263"/>
      <c r="T9" s="65"/>
      <c r="U9" s="65"/>
      <c r="V9" s="65"/>
      <c r="W9" s="65"/>
      <c r="X9" s="65"/>
      <c r="Y9" s="65"/>
      <c r="Z9" s="65"/>
    </row>
    <row r="10" spans="1:26" ht="16.5" hidden="1">
      <c r="A10" s="65" t="s">
        <v>49</v>
      </c>
      <c r="B10" s="65" t="s">
        <v>68</v>
      </c>
      <c r="C10" s="65" t="s">
        <v>69</v>
      </c>
      <c r="D10" s="65">
        <v>90031</v>
      </c>
      <c r="E10" s="65" t="s">
        <v>70</v>
      </c>
      <c r="F10" s="66">
        <v>3348309.12</v>
      </c>
      <c r="G10" s="66">
        <v>1076626.73</v>
      </c>
      <c r="H10" s="65" t="str">
        <f>VLOOKUP(D10,'COA1'!D:I,3,0)</f>
        <v>BS</v>
      </c>
      <c r="I10" s="65" t="s">
        <v>1235</v>
      </c>
      <c r="J10" s="65">
        <f>VLOOKUP(D10,'COA1'!D:I,5,0)</f>
        <v>0</v>
      </c>
      <c r="K10" s="264">
        <f t="shared" si="0"/>
        <v>3.109999990433082</v>
      </c>
      <c r="L10" s="65"/>
      <c r="M10" s="65"/>
      <c r="N10" s="65"/>
      <c r="O10" s="65"/>
      <c r="P10" s="263"/>
      <c r="Q10" s="263"/>
      <c r="R10" s="263"/>
      <c r="S10" s="263"/>
      <c r="T10" s="65"/>
      <c r="U10" s="65"/>
      <c r="V10" s="65"/>
      <c r="W10" s="65"/>
      <c r="X10" s="65"/>
      <c r="Y10" s="65"/>
      <c r="Z10" s="65"/>
    </row>
    <row r="11" spans="1:26" ht="16.5" hidden="1">
      <c r="A11" s="65" t="s">
        <v>49</v>
      </c>
      <c r="B11" s="65" t="s">
        <v>68</v>
      </c>
      <c r="C11" s="65" t="s">
        <v>69</v>
      </c>
      <c r="D11" s="65">
        <v>90032</v>
      </c>
      <c r="E11" s="65" t="s">
        <v>72</v>
      </c>
      <c r="F11" s="66">
        <v>-5494592.7599999998</v>
      </c>
      <c r="G11" s="66">
        <v>-1766750.08</v>
      </c>
      <c r="H11" s="65" t="str">
        <f>VLOOKUP(D11,'COA1'!D:I,3,0)</f>
        <v>BS</v>
      </c>
      <c r="I11" s="65" t="str">
        <f>VLOOKUP(D11,'COA1'!D:I,4,0)</f>
        <v>Deferred tax assets</v>
      </c>
      <c r="J11" s="65">
        <f>VLOOKUP(D11,'COA1'!D:I,5,0)</f>
        <v>0</v>
      </c>
      <c r="K11" s="264">
        <f t="shared" si="0"/>
        <v>3.1100000063393232</v>
      </c>
      <c r="L11" s="65"/>
      <c r="M11" s="65"/>
      <c r="N11" s="65"/>
      <c r="O11" s="65"/>
      <c r="P11" s="263"/>
      <c r="Q11" s="263"/>
      <c r="R11" s="263"/>
      <c r="S11" s="263"/>
      <c r="T11" s="65"/>
      <c r="U11" s="65"/>
      <c r="V11" s="65"/>
      <c r="W11" s="65"/>
      <c r="X11" s="65"/>
      <c r="Y11" s="65"/>
      <c r="Z11" s="65"/>
    </row>
    <row r="12" spans="1:26" ht="16.5" hidden="1">
      <c r="A12" s="65" t="s">
        <v>49</v>
      </c>
      <c r="B12" s="65" t="s">
        <v>68</v>
      </c>
      <c r="C12" s="65" t="s">
        <v>74</v>
      </c>
      <c r="D12" s="65">
        <v>2050</v>
      </c>
      <c r="E12" s="65" t="s">
        <v>75</v>
      </c>
      <c r="F12" s="66">
        <v>4193207.92</v>
      </c>
      <c r="G12" s="66">
        <v>1348298.37</v>
      </c>
      <c r="H12" s="65" t="str">
        <f>VLOOKUP(D12,'COA1'!D:I,3,0)</f>
        <v>BS</v>
      </c>
      <c r="I12" s="65" t="str">
        <f>VLOOKUP(D12,'COA1'!D:I,4,0)</f>
        <v>Other accounts receivable</v>
      </c>
      <c r="J12" s="65">
        <f>VLOOKUP(D12,'COA1'!D:I,5,0)</f>
        <v>0</v>
      </c>
      <c r="K12" s="264">
        <f t="shared" si="0"/>
        <v>3.1099999920640706</v>
      </c>
      <c r="L12" s="65"/>
      <c r="M12" s="65"/>
      <c r="N12" s="65"/>
      <c r="O12" s="65"/>
      <c r="P12" s="263"/>
      <c r="Q12" s="263"/>
      <c r="R12" s="263"/>
      <c r="S12" s="263"/>
      <c r="T12" s="65"/>
      <c r="U12" s="65"/>
      <c r="V12" s="65"/>
      <c r="W12" s="65"/>
      <c r="X12" s="65"/>
      <c r="Y12" s="65"/>
      <c r="Z12" s="65"/>
    </row>
    <row r="13" spans="1:26" ht="16.5" hidden="1">
      <c r="A13" s="65" t="s">
        <v>49</v>
      </c>
      <c r="B13" s="65" t="s">
        <v>68</v>
      </c>
      <c r="C13" s="65" t="s">
        <v>74</v>
      </c>
      <c r="D13" s="492">
        <v>2052</v>
      </c>
      <c r="E13" s="492" t="s">
        <v>77</v>
      </c>
      <c r="F13" s="493">
        <v>-143961.09</v>
      </c>
      <c r="G13" s="66">
        <v>-46289.74</v>
      </c>
      <c r="H13" s="65" t="str">
        <f>VLOOKUP(D13,'COA1'!D:I,3,0)</f>
        <v>BS</v>
      </c>
      <c r="I13" s="65" t="str">
        <f>VLOOKUP(D13,'COA1'!D:I,4,0)</f>
        <v>Other accounts receivable</v>
      </c>
      <c r="J13" s="65">
        <f>VLOOKUP(D13,'COA1'!D:I,5,0)</f>
        <v>0</v>
      </c>
      <c r="K13" s="264">
        <f t="shared" si="0"/>
        <v>3.1099999697557168</v>
      </c>
      <c r="L13" s="65"/>
      <c r="M13" s="65"/>
      <c r="N13" s="65"/>
      <c r="O13" s="65"/>
      <c r="P13" s="263"/>
      <c r="Q13" s="263"/>
      <c r="R13" s="263"/>
      <c r="S13" s="263"/>
      <c r="T13" s="65"/>
      <c r="U13" s="65"/>
      <c r="V13" s="65"/>
      <c r="W13" s="65"/>
      <c r="X13" s="65"/>
      <c r="Y13" s="65"/>
      <c r="Z13" s="65"/>
    </row>
    <row r="14" spans="1:26" ht="16.5" hidden="1" customHeight="1">
      <c r="A14" s="65" t="s">
        <v>49</v>
      </c>
      <c r="B14" s="65" t="s">
        <v>68</v>
      </c>
      <c r="C14" s="65" t="s">
        <v>74</v>
      </c>
      <c r="D14" s="65">
        <v>50003</v>
      </c>
      <c r="E14" s="65" t="s">
        <v>79</v>
      </c>
      <c r="F14" s="66">
        <v>8467</v>
      </c>
      <c r="G14" s="66">
        <v>2722.51</v>
      </c>
      <c r="H14" s="65" t="str">
        <f>VLOOKUP(D14,'COA1'!D:I,3,0)</f>
        <v>BS</v>
      </c>
      <c r="I14" s="65" t="str">
        <f>VLOOKUP(D14,'COA1'!D:I,4,0)</f>
        <v>Other accounts receivable</v>
      </c>
      <c r="J14" s="65">
        <f>VLOOKUP(D14,'COA1'!D:I,5,0)</f>
        <v>0</v>
      </c>
      <c r="K14" s="264">
        <f t="shared" si="0"/>
        <v>3.1099977594205344</v>
      </c>
      <c r="L14" s="65"/>
      <c r="M14" s="65"/>
      <c r="N14" s="65"/>
      <c r="O14" s="65"/>
      <c r="P14" s="263"/>
      <c r="Q14" s="263"/>
      <c r="R14" s="263"/>
      <c r="S14" s="263"/>
      <c r="T14" s="65"/>
      <c r="U14" s="65"/>
      <c r="V14" s="65"/>
      <c r="W14" s="65"/>
      <c r="X14" s="65"/>
      <c r="Y14" s="65"/>
      <c r="Z14" s="65"/>
    </row>
    <row r="15" spans="1:26" ht="16.5" hidden="1">
      <c r="A15" s="65" t="s">
        <v>49</v>
      </c>
      <c r="B15" s="65" t="s">
        <v>68</v>
      </c>
      <c r="C15" s="65" t="s">
        <v>74</v>
      </c>
      <c r="D15" s="65">
        <v>50004</v>
      </c>
      <c r="E15" s="65" t="s">
        <v>80</v>
      </c>
      <c r="F15" s="66">
        <v>33750</v>
      </c>
      <c r="G15" s="66">
        <v>10852.09</v>
      </c>
      <c r="H15" s="65" t="str">
        <f>VLOOKUP(D15,'COA1'!D:I,3,0)</f>
        <v>BS</v>
      </c>
      <c r="I15" s="65" t="str">
        <f>VLOOKUP(D15,'COA1'!D:I,4,0)</f>
        <v>Other accounts receivable</v>
      </c>
      <c r="J15" s="65">
        <f>VLOOKUP(D15,'COA1'!D:I,5,0)</f>
        <v>0</v>
      </c>
      <c r="K15" s="264">
        <f t="shared" si="0"/>
        <v>3.110000009214815</v>
      </c>
      <c r="L15" s="65"/>
      <c r="M15" s="65"/>
      <c r="N15" s="65"/>
      <c r="O15" s="65"/>
      <c r="P15" s="263"/>
      <c r="Q15" s="263"/>
      <c r="R15" s="263"/>
      <c r="S15" s="263"/>
      <c r="T15" s="65"/>
      <c r="U15" s="65"/>
      <c r="V15" s="65"/>
      <c r="W15" s="65"/>
      <c r="X15" s="65"/>
      <c r="Y15" s="65"/>
      <c r="Z15" s="65"/>
    </row>
    <row r="16" spans="1:26" ht="16.5" hidden="1">
      <c r="A16" s="65" t="s">
        <v>49</v>
      </c>
      <c r="B16" s="65" t="s">
        <v>68</v>
      </c>
      <c r="C16" s="65" t="s">
        <v>74</v>
      </c>
      <c r="D16" s="65">
        <v>50005</v>
      </c>
      <c r="E16" s="65" t="s">
        <v>81</v>
      </c>
      <c r="F16" s="66">
        <v>38723</v>
      </c>
      <c r="G16" s="66">
        <v>12451.13</v>
      </c>
      <c r="H16" s="65" t="str">
        <f>VLOOKUP(D16,'COA1'!D:I,3,0)</f>
        <v>BS</v>
      </c>
      <c r="I16" s="65" t="str">
        <f>VLOOKUP(D16,'COA1'!D:I,4,0)</f>
        <v>Other accounts receivable</v>
      </c>
      <c r="J16" s="65">
        <f>VLOOKUP(D16,'COA1'!D:I,5,0)</f>
        <v>0</v>
      </c>
      <c r="K16" s="264">
        <f t="shared" si="0"/>
        <v>3.1099988515098631</v>
      </c>
      <c r="L16" s="65"/>
      <c r="M16" s="65"/>
      <c r="N16" s="65"/>
      <c r="O16" s="65"/>
      <c r="P16" s="263"/>
      <c r="Q16" s="263"/>
      <c r="R16" s="263"/>
      <c r="S16" s="263"/>
      <c r="T16" s="65"/>
      <c r="U16" s="65"/>
      <c r="V16" s="65"/>
      <c r="W16" s="65"/>
      <c r="X16" s="65"/>
      <c r="Y16" s="65"/>
      <c r="Z16" s="65"/>
    </row>
    <row r="17" spans="1:26" ht="16.5" hidden="1">
      <c r="A17" s="65" t="s">
        <v>49</v>
      </c>
      <c r="B17" s="65" t="s">
        <v>68</v>
      </c>
      <c r="C17" s="65" t="s">
        <v>74</v>
      </c>
      <c r="D17" s="65">
        <v>50006</v>
      </c>
      <c r="E17" s="65" t="s">
        <v>82</v>
      </c>
      <c r="F17" s="66">
        <v>3232</v>
      </c>
      <c r="G17" s="66">
        <v>1039.23</v>
      </c>
      <c r="H17" s="65" t="str">
        <f>VLOOKUP(D17,'COA1'!D:I,3,0)</f>
        <v>BS</v>
      </c>
      <c r="I17" s="65" t="str">
        <f>VLOOKUP(D17,'COA1'!D:I,4,0)</f>
        <v>Other accounts receivable</v>
      </c>
      <c r="J17" s="65">
        <f>VLOOKUP(D17,'COA1'!D:I,5,0)</f>
        <v>0</v>
      </c>
      <c r="K17" s="264">
        <f t="shared" si="0"/>
        <v>3.109994900070244</v>
      </c>
      <c r="L17" s="65"/>
      <c r="M17" s="65"/>
      <c r="N17" s="65"/>
      <c r="O17" s="65"/>
      <c r="P17" s="263"/>
      <c r="Q17" s="263"/>
      <c r="R17" s="263"/>
      <c r="S17" s="263"/>
      <c r="T17" s="65"/>
      <c r="U17" s="65"/>
      <c r="V17" s="65"/>
      <c r="W17" s="65"/>
      <c r="X17" s="65"/>
      <c r="Y17" s="65"/>
      <c r="Z17" s="65"/>
    </row>
    <row r="18" spans="1:26" ht="16.5" hidden="1">
      <c r="A18" s="65" t="s">
        <v>49</v>
      </c>
      <c r="B18" s="65" t="s">
        <v>68</v>
      </c>
      <c r="C18" s="65" t="s">
        <v>74</v>
      </c>
      <c r="D18" s="65">
        <v>50007</v>
      </c>
      <c r="E18" s="65" t="s">
        <v>731</v>
      </c>
      <c r="F18" s="66">
        <v>95303</v>
      </c>
      <c r="G18" s="66">
        <v>30644.05</v>
      </c>
      <c r="H18" s="65" t="str">
        <f>VLOOKUP(D18,'COA1'!D:I,3,0)</f>
        <v>BS</v>
      </c>
      <c r="I18" s="65" t="str">
        <f>VLOOKUP(D18,'COA1'!D:I,4,0)</f>
        <v>Other accounts receivable</v>
      </c>
      <c r="J18" s="65">
        <f>VLOOKUP(D18,'COA1'!D:I,5,0)</f>
        <v>0</v>
      </c>
      <c r="K18" s="264">
        <f t="shared" si="0"/>
        <v>3.1100001468474305</v>
      </c>
      <c r="L18" s="65"/>
      <c r="M18" s="65"/>
      <c r="N18" s="65"/>
      <c r="O18" s="65"/>
      <c r="P18" s="263"/>
      <c r="Q18" s="263"/>
      <c r="R18" s="263"/>
      <c r="S18" s="263"/>
      <c r="T18" s="65"/>
      <c r="U18" s="65"/>
      <c r="V18" s="65"/>
      <c r="W18" s="65"/>
      <c r="X18" s="65"/>
      <c r="Y18" s="65"/>
      <c r="Z18" s="65"/>
    </row>
    <row r="19" spans="1:26" ht="16.5" hidden="1">
      <c r="A19" s="65" t="s">
        <v>49</v>
      </c>
      <c r="B19" s="65" t="s">
        <v>68</v>
      </c>
      <c r="C19" s="65" t="s">
        <v>74</v>
      </c>
      <c r="D19" s="65">
        <v>50015</v>
      </c>
      <c r="E19" s="65" t="s">
        <v>83</v>
      </c>
      <c r="F19" s="66">
        <v>-91277.36</v>
      </c>
      <c r="G19" s="66">
        <v>-29349.63</v>
      </c>
      <c r="H19" s="65" t="str">
        <f>VLOOKUP(D19,'COA1'!D:I,3,0)</f>
        <v>BS</v>
      </c>
      <c r="I19" s="65" t="str">
        <f>VLOOKUP(D19,'COA1'!D:I,4,0)</f>
        <v>Other accounts payable</v>
      </c>
      <c r="J19" s="65">
        <f>VLOOKUP(D19,'COA1'!D:I,5,0)</f>
        <v>0</v>
      </c>
      <c r="K19" s="264">
        <f t="shared" si="0"/>
        <v>3.1100003645701837</v>
      </c>
      <c r="L19" s="65"/>
      <c r="M19" s="65"/>
      <c r="N19" s="65"/>
      <c r="O19" s="65"/>
      <c r="P19" s="263"/>
      <c r="Q19" s="263"/>
      <c r="R19" s="263"/>
      <c r="S19" s="263"/>
      <c r="T19" s="65"/>
      <c r="U19" s="65"/>
      <c r="V19" s="65"/>
      <c r="W19" s="65"/>
      <c r="X19" s="65"/>
      <c r="Y19" s="65"/>
      <c r="Z19" s="65"/>
    </row>
    <row r="20" spans="1:26" ht="16.5" hidden="1">
      <c r="A20" s="65" t="s">
        <v>49</v>
      </c>
      <c r="B20" s="65" t="s">
        <v>68</v>
      </c>
      <c r="C20" s="65" t="s">
        <v>74</v>
      </c>
      <c r="D20" s="65">
        <v>90006</v>
      </c>
      <c r="E20" s="65" t="s">
        <v>86</v>
      </c>
      <c r="F20" s="66">
        <v>-72240</v>
      </c>
      <c r="G20" s="66">
        <v>-23228.3</v>
      </c>
      <c r="H20" s="65" t="str">
        <f>VLOOKUP(D20,'COA1'!D:I,3,0)</f>
        <v>BS</v>
      </c>
      <c r="I20" s="65" t="str">
        <f>VLOOKUP(D20,'COA1'!D:I,4,0)</f>
        <v>Other accounts payable</v>
      </c>
      <c r="J20" s="65">
        <f>VLOOKUP(D20,'COA1'!D:I,5,0)</f>
        <v>0</v>
      </c>
      <c r="K20" s="264">
        <f t="shared" si="0"/>
        <v>3.1099994403378637</v>
      </c>
      <c r="L20" s="65"/>
      <c r="M20" s="65"/>
      <c r="N20" s="65"/>
      <c r="O20" s="65"/>
      <c r="P20" s="263"/>
      <c r="Q20" s="263"/>
      <c r="R20" s="263"/>
      <c r="S20" s="263"/>
      <c r="T20" s="65"/>
      <c r="U20" s="65"/>
      <c r="V20" s="65"/>
      <c r="W20" s="65"/>
      <c r="X20" s="65"/>
      <c r="Y20" s="65"/>
      <c r="Z20" s="65"/>
    </row>
    <row r="21" spans="1:26" ht="15.75" hidden="1" customHeight="1">
      <c r="A21" s="65" t="s">
        <v>49</v>
      </c>
      <c r="B21" s="65" t="s">
        <v>68</v>
      </c>
      <c r="C21" s="65" t="s">
        <v>74</v>
      </c>
      <c r="D21" s="65">
        <v>90007</v>
      </c>
      <c r="E21" s="65" t="s">
        <v>87</v>
      </c>
      <c r="F21" s="66">
        <v>-522786</v>
      </c>
      <c r="G21" s="66">
        <v>-168098.39</v>
      </c>
      <c r="H21" s="65" t="str">
        <f>VLOOKUP(D21,'COA1'!D:I,3,0)</f>
        <v>BS</v>
      </c>
      <c r="I21" s="65" t="str">
        <f>VLOOKUP(D21,'COA1'!D:I,4,0)</f>
        <v>Other accounts payable</v>
      </c>
      <c r="J21" s="65">
        <f>VLOOKUP(D21,'COA1'!D:I,5,0)</f>
        <v>0</v>
      </c>
      <c r="K21" s="264">
        <f t="shared" si="0"/>
        <v>3.1100000422371683</v>
      </c>
      <c r="L21" s="65"/>
      <c r="M21" s="65"/>
      <c r="N21" s="65"/>
      <c r="O21" s="65"/>
      <c r="P21" s="263"/>
      <c r="Q21" s="263"/>
      <c r="R21" s="263"/>
      <c r="S21" s="263"/>
      <c r="T21" s="65"/>
      <c r="U21" s="65"/>
      <c r="V21" s="65"/>
      <c r="W21" s="65"/>
      <c r="X21" s="65"/>
      <c r="Y21" s="65"/>
      <c r="Z21" s="65"/>
    </row>
    <row r="22" spans="1:26" ht="15.75" hidden="1" customHeight="1">
      <c r="A22" s="65" t="s">
        <v>49</v>
      </c>
      <c r="B22" s="65" t="s">
        <v>68</v>
      </c>
      <c r="C22" s="65" t="s">
        <v>74</v>
      </c>
      <c r="D22" s="65">
        <v>90008</v>
      </c>
      <c r="E22" s="65" t="s">
        <v>88</v>
      </c>
      <c r="F22" s="66">
        <v>-311925</v>
      </c>
      <c r="G22" s="66">
        <v>-100297.43</v>
      </c>
      <c r="H22" s="65" t="str">
        <f>VLOOKUP(D22,'COA1'!D:I,3,0)</f>
        <v>BS</v>
      </c>
      <c r="I22" s="65" t="str">
        <f>VLOOKUP(D22,'COA1'!D:I,4,0)</f>
        <v>Other accounts payable</v>
      </c>
      <c r="J22" s="65">
        <f>VLOOKUP(D22,'COA1'!D:I,5,0)</f>
        <v>0</v>
      </c>
      <c r="K22" s="264">
        <f t="shared" si="0"/>
        <v>3.1099999272164802</v>
      </c>
      <c r="L22" s="65"/>
      <c r="M22" s="65"/>
      <c r="N22" s="65"/>
      <c r="O22" s="65"/>
      <c r="P22" s="263"/>
      <c r="Q22" s="263"/>
      <c r="R22" s="263"/>
      <c r="S22" s="263"/>
      <c r="T22" s="65"/>
      <c r="U22" s="65"/>
      <c r="V22" s="65"/>
      <c r="W22" s="65"/>
      <c r="X22" s="65"/>
      <c r="Y22" s="65"/>
      <c r="Z22" s="65"/>
    </row>
    <row r="23" spans="1:26" ht="15.75" hidden="1" customHeight="1">
      <c r="A23" s="65" t="s">
        <v>49</v>
      </c>
      <c r="B23" s="65" t="s">
        <v>68</v>
      </c>
      <c r="C23" s="65" t="s">
        <v>74</v>
      </c>
      <c r="D23" s="65">
        <v>90009</v>
      </c>
      <c r="E23" s="65" t="s">
        <v>89</v>
      </c>
      <c r="F23" s="66">
        <v>-427505</v>
      </c>
      <c r="G23" s="66">
        <v>-137461.41</v>
      </c>
      <c r="H23" s="65" t="str">
        <f>VLOOKUP(D23,'COA1'!D:I,3,0)</f>
        <v>BS</v>
      </c>
      <c r="I23" s="65" t="str">
        <f>VLOOKUP(D23,'COA1'!D:I,4,0)</f>
        <v>Other accounts payable</v>
      </c>
      <c r="J23" s="65">
        <f>VLOOKUP(D23,'COA1'!D:I,5,0)</f>
        <v>0</v>
      </c>
      <c r="K23" s="264">
        <f t="shared" si="0"/>
        <v>3.1100001083940576</v>
      </c>
      <c r="L23" s="65"/>
      <c r="M23" s="65"/>
      <c r="N23" s="65"/>
      <c r="O23" s="65"/>
      <c r="P23" s="263"/>
      <c r="Q23" s="263"/>
      <c r="R23" s="263"/>
      <c r="S23" s="263"/>
      <c r="T23" s="65"/>
      <c r="U23" s="65"/>
      <c r="V23" s="65"/>
      <c r="W23" s="65"/>
      <c r="X23" s="65"/>
      <c r="Y23" s="65"/>
      <c r="Z23" s="65"/>
    </row>
    <row r="24" spans="1:26" ht="15.75" hidden="1" customHeight="1">
      <c r="A24" s="65" t="s">
        <v>49</v>
      </c>
      <c r="B24" s="65" t="s">
        <v>68</v>
      </c>
      <c r="C24" s="65" t="s">
        <v>74</v>
      </c>
      <c r="D24" s="65">
        <v>90014</v>
      </c>
      <c r="E24" s="65" t="s">
        <v>90</v>
      </c>
      <c r="F24" s="66">
        <v>-734.2</v>
      </c>
      <c r="G24" s="66">
        <v>-236.08</v>
      </c>
      <c r="H24" s="65" t="str">
        <f>VLOOKUP(D24,'COA1'!D:I,3,0)</f>
        <v>BS</v>
      </c>
      <c r="I24" s="65" t="str">
        <f>VLOOKUP(D24,'COA1'!D:I,4,0)</f>
        <v>Other accounts payable</v>
      </c>
      <c r="J24" s="65">
        <f>VLOOKUP(D24,'COA1'!D:I,5,0)</f>
        <v>0</v>
      </c>
      <c r="K24" s="264">
        <f t="shared" si="0"/>
        <v>3.1099627245001695</v>
      </c>
      <c r="L24" s="65"/>
      <c r="M24" s="65"/>
      <c r="N24" s="65"/>
      <c r="O24" s="65"/>
      <c r="P24" s="263"/>
      <c r="Q24" s="263"/>
      <c r="R24" s="263"/>
      <c r="S24" s="263"/>
      <c r="T24" s="65"/>
      <c r="U24" s="65"/>
      <c r="V24" s="65"/>
      <c r="W24" s="65"/>
      <c r="X24" s="65"/>
      <c r="Y24" s="65"/>
      <c r="Z24" s="65"/>
    </row>
    <row r="25" spans="1:26" ht="15.75" hidden="1" customHeight="1">
      <c r="A25" s="65" t="s">
        <v>49</v>
      </c>
      <c r="B25" s="65" t="s">
        <v>68</v>
      </c>
      <c r="C25" s="65" t="s">
        <v>74</v>
      </c>
      <c r="D25" s="65">
        <v>90017</v>
      </c>
      <c r="E25" s="65" t="s">
        <v>91</v>
      </c>
      <c r="F25" s="66">
        <v>-939915.53</v>
      </c>
      <c r="G25" s="66">
        <v>-302223.64</v>
      </c>
      <c r="H25" s="65" t="str">
        <f>VLOOKUP(D25,'COA1'!D:I,3,0)</f>
        <v>BS</v>
      </c>
      <c r="I25" s="65" t="str">
        <f>VLOOKUP(D25,'COA1'!D:I,4,0)</f>
        <v>Other accounts payable</v>
      </c>
      <c r="J25" s="65">
        <f>VLOOKUP(D25,'COA1'!D:I,5,0)</f>
        <v>0</v>
      </c>
      <c r="K25" s="264">
        <f t="shared" si="0"/>
        <v>3.1100000317645566</v>
      </c>
      <c r="L25" s="65"/>
      <c r="M25" s="65"/>
      <c r="N25" s="65"/>
      <c r="O25" s="65"/>
      <c r="P25" s="263"/>
      <c r="Q25" s="263"/>
      <c r="R25" s="263"/>
      <c r="S25" s="263"/>
      <c r="T25" s="65"/>
      <c r="U25" s="65"/>
      <c r="V25" s="65"/>
      <c r="W25" s="65"/>
      <c r="X25" s="65"/>
      <c r="Y25" s="65"/>
      <c r="Z25" s="65"/>
    </row>
    <row r="26" spans="1:26" ht="15.75" hidden="1" customHeight="1">
      <c r="A26" s="65" t="s">
        <v>49</v>
      </c>
      <c r="B26" s="65" t="s">
        <v>68</v>
      </c>
      <c r="C26" s="65" t="s">
        <v>74</v>
      </c>
      <c r="D26" s="65">
        <v>90018</v>
      </c>
      <c r="E26" s="65" t="s">
        <v>92</v>
      </c>
      <c r="F26" s="66">
        <v>-87155.72</v>
      </c>
      <c r="G26" s="66">
        <v>-28024.35</v>
      </c>
      <c r="H26" s="65" t="str">
        <f>VLOOKUP(D26,'COA1'!D:I,3,0)</f>
        <v>BS</v>
      </c>
      <c r="I26" s="65" t="str">
        <f>VLOOKUP(D26,'COA1'!D:I,4,0)</f>
        <v>Other accounts payable</v>
      </c>
      <c r="J26" s="65">
        <f>VLOOKUP(D26,'COA1'!D:I,5,0)</f>
        <v>0</v>
      </c>
      <c r="K26" s="264">
        <f t="shared" si="0"/>
        <v>3.1099996966923409</v>
      </c>
      <c r="L26" s="65"/>
      <c r="M26" s="65"/>
      <c r="N26" s="65"/>
      <c r="O26" s="65"/>
      <c r="P26" s="263"/>
      <c r="Q26" s="263"/>
      <c r="R26" s="263"/>
      <c r="S26" s="263"/>
      <c r="T26" s="65"/>
      <c r="U26" s="65"/>
      <c r="V26" s="65"/>
      <c r="W26" s="65"/>
      <c r="X26" s="65"/>
      <c r="Y26" s="65"/>
      <c r="Z26" s="65"/>
    </row>
    <row r="27" spans="1:26" ht="15.75" hidden="1" customHeight="1">
      <c r="A27" s="65" t="s">
        <v>49</v>
      </c>
      <c r="B27" s="65" t="s">
        <v>68</v>
      </c>
      <c r="C27" s="65" t="s">
        <v>74</v>
      </c>
      <c r="D27" s="65">
        <v>90019</v>
      </c>
      <c r="E27" s="65" t="s">
        <v>93</v>
      </c>
      <c r="F27" s="66">
        <v>0.1</v>
      </c>
      <c r="G27" s="66">
        <v>0.03</v>
      </c>
      <c r="H27" s="65" t="str">
        <f>VLOOKUP(D27,'COA1'!D:I,3,0)</f>
        <v>BS</v>
      </c>
      <c r="I27" s="65" t="str">
        <f>VLOOKUP(D27,'COA1'!D:I,4,0)</f>
        <v>Other accounts payable</v>
      </c>
      <c r="J27" s="65">
        <f>VLOOKUP(D27,'COA1'!D:I,5,0)</f>
        <v>0</v>
      </c>
      <c r="K27" s="264">
        <f t="shared" si="0"/>
        <v>3.3333333333333335</v>
      </c>
      <c r="L27" s="65"/>
      <c r="M27" s="65"/>
      <c r="N27" s="65"/>
      <c r="O27" s="65"/>
      <c r="P27" s="263"/>
      <c r="Q27" s="263"/>
      <c r="R27" s="263"/>
      <c r="S27" s="263"/>
      <c r="T27" s="65"/>
      <c r="U27" s="65"/>
      <c r="V27" s="65"/>
      <c r="W27" s="65"/>
      <c r="X27" s="65"/>
      <c r="Y27" s="65"/>
      <c r="Z27" s="65"/>
    </row>
    <row r="28" spans="1:26" ht="15.75" hidden="1" customHeight="1">
      <c r="A28" s="65" t="s">
        <v>49</v>
      </c>
      <c r="B28" s="65" t="s">
        <v>68</v>
      </c>
      <c r="C28" s="65" t="s">
        <v>74</v>
      </c>
      <c r="D28" s="65">
        <v>90022</v>
      </c>
      <c r="E28" s="65" t="s">
        <v>732</v>
      </c>
      <c r="F28" s="66">
        <v>3012</v>
      </c>
      <c r="G28" s="66">
        <v>968.49</v>
      </c>
      <c r="H28" s="65" t="str">
        <f>VLOOKUP(D28,'COA1'!D:I,3,0)</f>
        <v>BS</v>
      </c>
      <c r="I28" s="65" t="str">
        <f>VLOOKUP(D28,'COA1'!D:I,4,0)</f>
        <v>Other accounts payable</v>
      </c>
      <c r="J28" s="65">
        <f>VLOOKUP(D28,'COA1'!D:I,5,0)</f>
        <v>0</v>
      </c>
      <c r="K28" s="264">
        <f t="shared" si="0"/>
        <v>3.1099959731127838</v>
      </c>
      <c r="L28" s="65"/>
      <c r="M28" s="65"/>
      <c r="N28" s="65"/>
      <c r="O28" s="65"/>
      <c r="P28" s="263"/>
      <c r="Q28" s="263"/>
      <c r="R28" s="263"/>
      <c r="S28" s="263"/>
      <c r="T28" s="65"/>
      <c r="U28" s="65"/>
      <c r="V28" s="65"/>
      <c r="W28" s="65"/>
      <c r="X28" s="65"/>
      <c r="Y28" s="65"/>
      <c r="Z28" s="65"/>
    </row>
    <row r="29" spans="1:26" ht="15.75" hidden="1" customHeight="1">
      <c r="A29" s="65" t="s">
        <v>49</v>
      </c>
      <c r="B29" s="65" t="s">
        <v>68</v>
      </c>
      <c r="C29" s="65" t="s">
        <v>74</v>
      </c>
      <c r="D29" s="65">
        <v>90030</v>
      </c>
      <c r="E29" s="65" t="s">
        <v>94</v>
      </c>
      <c r="F29" s="66">
        <v>486696.34</v>
      </c>
      <c r="G29" s="66">
        <v>156494</v>
      </c>
      <c r="H29" s="65" t="str">
        <f>VLOOKUP(D29,'COA1'!D:I,3,0)</f>
        <v>BS</v>
      </c>
      <c r="I29" s="65" t="str">
        <f>VLOOKUP(D29,'COA1'!D:I,4,0)</f>
        <v>Account receivable</v>
      </c>
      <c r="J29" s="65">
        <f>VLOOKUP(D29,'COA1'!D:I,5,0)</f>
        <v>0</v>
      </c>
      <c r="K29" s="264">
        <f t="shared" si="0"/>
        <v>3.1100000000000003</v>
      </c>
      <c r="L29" s="65"/>
      <c r="M29" s="65"/>
      <c r="N29" s="65"/>
      <c r="O29" s="65"/>
      <c r="P29" s="263"/>
      <c r="Q29" s="263"/>
      <c r="R29" s="263"/>
      <c r="S29" s="263"/>
      <c r="T29" s="65"/>
      <c r="U29" s="65"/>
      <c r="V29" s="65"/>
      <c r="W29" s="65"/>
      <c r="X29" s="65"/>
      <c r="Y29" s="65"/>
      <c r="Z29" s="65"/>
    </row>
    <row r="30" spans="1:26" ht="15.75" hidden="1" customHeight="1">
      <c r="A30" s="65" t="s">
        <v>49</v>
      </c>
      <c r="B30" s="65" t="s">
        <v>68</v>
      </c>
      <c r="C30" s="65" t="s">
        <v>74</v>
      </c>
      <c r="D30" s="65">
        <v>90033</v>
      </c>
      <c r="E30" s="65" t="s">
        <v>786</v>
      </c>
      <c r="F30" s="66">
        <v>14326.53</v>
      </c>
      <c r="G30" s="66">
        <v>4606.6000000000004</v>
      </c>
      <c r="H30" s="65" t="str">
        <f>VLOOKUP(D30,'COA1'!D:I,3,0)</f>
        <v>BS</v>
      </c>
      <c r="I30" s="65" t="str">
        <f>VLOOKUP(D30,'COA1'!D:I,4,0)</f>
        <v>Trade payables</v>
      </c>
      <c r="J30" s="65">
        <f>VLOOKUP(D30,'COA1'!D:I,5,0)</f>
        <v>0</v>
      </c>
      <c r="K30" s="264">
        <f t="shared" si="0"/>
        <v>3.1100008683193678</v>
      </c>
      <c r="L30" s="65"/>
      <c r="M30" s="65"/>
      <c r="N30" s="65"/>
      <c r="O30" s="65"/>
      <c r="P30" s="263"/>
      <c r="Q30" s="263"/>
      <c r="R30" s="263"/>
      <c r="S30" s="263"/>
      <c r="T30" s="65"/>
      <c r="U30" s="65"/>
      <c r="V30" s="65"/>
      <c r="W30" s="65"/>
      <c r="X30" s="65"/>
      <c r="Y30" s="65"/>
      <c r="Z30" s="65"/>
    </row>
    <row r="31" spans="1:26" ht="15.75" customHeight="1">
      <c r="A31" s="65" t="s">
        <v>49</v>
      </c>
      <c r="B31" s="65" t="s">
        <v>96</v>
      </c>
      <c r="C31" s="65" t="s">
        <v>97</v>
      </c>
      <c r="D31" s="65">
        <v>30002</v>
      </c>
      <c r="E31" s="65" t="s">
        <v>98</v>
      </c>
      <c r="F31" s="66">
        <v>10085.459999999999</v>
      </c>
      <c r="G31" s="66">
        <v>2809.32</v>
      </c>
      <c r="H31" s="65" t="str">
        <f>VLOOKUP(D31,'COA1'!D:I,3,0)</f>
        <v>BS</v>
      </c>
      <c r="I31" s="65" t="str">
        <f>VLOOKUP(D31,'COA1'!D:I,4,0)</f>
        <v>Fixed assets, net</v>
      </c>
      <c r="J31" s="65">
        <f>VLOOKUP(D31,'COA1'!D:I,5,0)</f>
        <v>0</v>
      </c>
      <c r="K31" s="264">
        <f t="shared" si="0"/>
        <v>3.5900004271496302</v>
      </c>
      <c r="L31" s="65"/>
      <c r="M31" s="65"/>
      <c r="N31" s="65"/>
      <c r="O31" s="65"/>
      <c r="P31" s="263"/>
      <c r="Q31" s="263"/>
      <c r="R31" s="263"/>
      <c r="S31" s="263"/>
      <c r="T31" s="65"/>
      <c r="U31" s="65"/>
      <c r="V31" s="65"/>
      <c r="W31" s="65"/>
      <c r="X31" s="65"/>
      <c r="Y31" s="65"/>
      <c r="Z31" s="65"/>
    </row>
    <row r="32" spans="1:26" ht="15.75" customHeight="1">
      <c r="A32" s="65" t="s">
        <v>49</v>
      </c>
      <c r="B32" s="65" t="s">
        <v>96</v>
      </c>
      <c r="C32" s="65" t="s">
        <v>100</v>
      </c>
      <c r="D32" s="65">
        <v>30003</v>
      </c>
      <c r="E32" s="65" t="s">
        <v>101</v>
      </c>
      <c r="F32" s="66">
        <v>-4330</v>
      </c>
      <c r="G32" s="66">
        <v>-1202.02</v>
      </c>
      <c r="H32" s="65" t="str">
        <f>VLOOKUP(D32,'COA1'!D:I,3,0)</f>
        <v>BS</v>
      </c>
      <c r="I32" s="65" t="str">
        <f>VLOOKUP(D32,'COA1'!D:I,4,0)</f>
        <v>Fixed assets, net</v>
      </c>
      <c r="J32" s="65">
        <f>VLOOKUP(D32,'COA1'!D:I,5,0)</f>
        <v>0</v>
      </c>
      <c r="K32" s="264">
        <f t="shared" si="0"/>
        <v>3.602269512986473</v>
      </c>
      <c r="L32" s="65"/>
      <c r="M32" s="65"/>
      <c r="N32" s="65"/>
      <c r="O32" s="65"/>
      <c r="P32" s="263"/>
      <c r="Q32" s="263"/>
      <c r="R32" s="263"/>
      <c r="S32" s="263"/>
      <c r="T32" s="65"/>
      <c r="U32" s="65"/>
      <c r="V32" s="65"/>
      <c r="W32" s="65"/>
      <c r="X32" s="65"/>
      <c r="Y32" s="65"/>
      <c r="Z32" s="65"/>
    </row>
    <row r="33" spans="1:26" ht="15.75" customHeight="1">
      <c r="A33" s="65" t="s">
        <v>49</v>
      </c>
      <c r="B33" s="65" t="s">
        <v>96</v>
      </c>
      <c r="C33" s="65" t="s">
        <v>102</v>
      </c>
      <c r="D33" s="65">
        <v>30004</v>
      </c>
      <c r="E33" s="65" t="s">
        <v>103</v>
      </c>
      <c r="F33" s="66">
        <v>1203282.93</v>
      </c>
      <c r="G33" s="66">
        <v>367919</v>
      </c>
      <c r="H33" s="65" t="str">
        <f>VLOOKUP(D33,'COA1'!D:I,3,0)</f>
        <v>BS</v>
      </c>
      <c r="I33" s="65" t="str">
        <f>VLOOKUP(D33,'COA1'!D:I,4,0)</f>
        <v>Fixed assets, net</v>
      </c>
      <c r="J33" s="65">
        <f>VLOOKUP(D33,'COA1'!D:I,5,0)</f>
        <v>0</v>
      </c>
      <c r="K33" s="264">
        <f t="shared" si="0"/>
        <v>3.2705104384388952</v>
      </c>
      <c r="L33" s="65"/>
      <c r="M33" s="65"/>
      <c r="N33" s="65"/>
      <c r="O33" s="65"/>
      <c r="P33" s="263"/>
      <c r="Q33" s="263"/>
      <c r="R33" s="263"/>
      <c r="S33" s="263"/>
      <c r="T33" s="65"/>
      <c r="U33" s="65"/>
      <c r="V33" s="65"/>
      <c r="W33" s="65"/>
      <c r="X33" s="65"/>
      <c r="Y33" s="65"/>
      <c r="Z33" s="65"/>
    </row>
    <row r="34" spans="1:26" ht="15.75" customHeight="1">
      <c r="A34" s="65" t="s">
        <v>49</v>
      </c>
      <c r="B34" s="65" t="s">
        <v>96</v>
      </c>
      <c r="C34" s="65" t="s">
        <v>104</v>
      </c>
      <c r="D34" s="65">
        <v>30005</v>
      </c>
      <c r="E34" s="65" t="s">
        <v>105</v>
      </c>
      <c r="F34" s="66">
        <v>-322764</v>
      </c>
      <c r="G34" s="66">
        <v>-95364</v>
      </c>
      <c r="H34" s="65" t="str">
        <f>VLOOKUP(D34,'COA1'!D:I,3,0)</f>
        <v>BS</v>
      </c>
      <c r="I34" s="65" t="str">
        <f>VLOOKUP(D34,'COA1'!D:I,4,0)</f>
        <v>Fixed assets, net</v>
      </c>
      <c r="J34" s="65">
        <f>VLOOKUP(D34,'COA1'!D:I,5,0)</f>
        <v>0</v>
      </c>
      <c r="K34" s="264">
        <f t="shared" si="0"/>
        <v>3.3845476280357367</v>
      </c>
      <c r="L34" s="65"/>
      <c r="M34" s="65"/>
      <c r="N34" s="65"/>
      <c r="O34" s="65"/>
      <c r="P34" s="263"/>
      <c r="Q34" s="263"/>
      <c r="R34" s="263"/>
      <c r="S34" s="263"/>
      <c r="T34" s="65"/>
      <c r="U34" s="65"/>
      <c r="V34" s="65"/>
      <c r="W34" s="65"/>
      <c r="X34" s="65"/>
      <c r="Y34" s="65"/>
      <c r="Z34" s="65"/>
    </row>
    <row r="35" spans="1:26" ht="15.75" customHeight="1">
      <c r="A35" s="65" t="s">
        <v>49</v>
      </c>
      <c r="B35" s="65" t="s">
        <v>96</v>
      </c>
      <c r="C35" s="65" t="s">
        <v>106</v>
      </c>
      <c r="D35" s="65">
        <v>30006</v>
      </c>
      <c r="E35" s="65" t="s">
        <v>107</v>
      </c>
      <c r="F35" s="66">
        <v>564214.05000000005</v>
      </c>
      <c r="G35" s="66">
        <v>172002</v>
      </c>
      <c r="H35" s="65" t="str">
        <f>VLOOKUP(D35,'COA1'!D:I,3,0)</f>
        <v>BS</v>
      </c>
      <c r="I35" s="65" t="str">
        <f>VLOOKUP(D35,'COA1'!D:I,4,0)</f>
        <v>Fixed assets, net</v>
      </c>
      <c r="J35" s="65">
        <f>VLOOKUP(D35,'COA1'!D:I,5,0)</f>
        <v>0</v>
      </c>
      <c r="K35" s="264">
        <f t="shared" si="0"/>
        <v>3.2802761014406814</v>
      </c>
      <c r="L35" s="65"/>
      <c r="M35" s="65"/>
      <c r="N35" s="65"/>
      <c r="O35" s="65"/>
      <c r="P35" s="263"/>
      <c r="Q35" s="263"/>
      <c r="R35" s="263"/>
      <c r="S35" s="263"/>
      <c r="T35" s="65"/>
      <c r="U35" s="65"/>
      <c r="V35" s="65"/>
      <c r="W35" s="65"/>
      <c r="X35" s="65"/>
      <c r="Y35" s="65"/>
      <c r="Z35" s="65"/>
    </row>
    <row r="36" spans="1:26" ht="15.75" customHeight="1">
      <c r="A36" s="65" t="s">
        <v>49</v>
      </c>
      <c r="B36" s="65" t="s">
        <v>96</v>
      </c>
      <c r="C36" s="65" t="s">
        <v>106</v>
      </c>
      <c r="D36" s="65">
        <v>30008</v>
      </c>
      <c r="E36" s="65" t="s">
        <v>108</v>
      </c>
      <c r="F36" s="66">
        <v>118183.12</v>
      </c>
      <c r="G36" s="66">
        <v>36289</v>
      </c>
      <c r="H36" s="65" t="str">
        <f>VLOOKUP(D36,'COA1'!D:I,3,0)</f>
        <v>BS</v>
      </c>
      <c r="I36" s="65" t="str">
        <f>VLOOKUP(D36,'COA1'!D:I,4,0)</f>
        <v>Fixed assets, net</v>
      </c>
      <c r="J36" s="65">
        <f>VLOOKUP(D36,'COA1'!D:I,5,0)</f>
        <v>0</v>
      </c>
      <c r="K36" s="264">
        <f t="shared" si="0"/>
        <v>3.256720218247954</v>
      </c>
      <c r="L36" s="65"/>
      <c r="M36" s="65"/>
      <c r="N36" s="65"/>
      <c r="O36" s="65"/>
      <c r="P36" s="263"/>
      <c r="Q36" s="263"/>
      <c r="R36" s="263"/>
      <c r="S36" s="263"/>
      <c r="T36" s="65"/>
      <c r="U36" s="65"/>
      <c r="V36" s="65"/>
      <c r="W36" s="65"/>
      <c r="X36" s="65"/>
      <c r="Y36" s="65"/>
      <c r="Z36" s="65"/>
    </row>
    <row r="37" spans="1:26" ht="15.75" customHeight="1">
      <c r="A37" s="65" t="s">
        <v>49</v>
      </c>
      <c r="B37" s="65" t="s">
        <v>96</v>
      </c>
      <c r="C37" s="65" t="s">
        <v>109</v>
      </c>
      <c r="D37" s="65">
        <v>30007</v>
      </c>
      <c r="E37" s="65" t="s">
        <v>110</v>
      </c>
      <c r="F37" s="66">
        <v>-27642</v>
      </c>
      <c r="G37" s="66">
        <v>-8335</v>
      </c>
      <c r="H37" s="65" t="str">
        <f>VLOOKUP(D37,'COA1'!D:I,3,0)</f>
        <v>BS</v>
      </c>
      <c r="I37" s="65" t="str">
        <f>VLOOKUP(D37,'COA1'!D:I,4,0)</f>
        <v>Fixed assets, net</v>
      </c>
      <c r="J37" s="65">
        <f>VLOOKUP(D37,'COA1'!D:I,5,0)</f>
        <v>0</v>
      </c>
      <c r="K37" s="264">
        <f t="shared" si="0"/>
        <v>3.3163767246550688</v>
      </c>
      <c r="L37" s="65"/>
      <c r="M37" s="65"/>
      <c r="N37" s="65"/>
      <c r="O37" s="65"/>
      <c r="P37" s="263"/>
      <c r="Q37" s="263"/>
      <c r="R37" s="263"/>
      <c r="S37" s="263"/>
      <c r="T37" s="65"/>
      <c r="U37" s="65"/>
      <c r="V37" s="65"/>
      <c r="W37" s="65"/>
      <c r="X37" s="65"/>
      <c r="Y37" s="65"/>
      <c r="Z37" s="65"/>
    </row>
    <row r="38" spans="1:26" ht="15.75" customHeight="1">
      <c r="A38" s="65" t="s">
        <v>49</v>
      </c>
      <c r="B38" s="65" t="s">
        <v>96</v>
      </c>
      <c r="C38" s="65" t="s">
        <v>109</v>
      </c>
      <c r="D38" s="65">
        <v>30009</v>
      </c>
      <c r="E38" s="65" t="s">
        <v>111</v>
      </c>
      <c r="F38" s="66">
        <v>-7041.76</v>
      </c>
      <c r="G38" s="66">
        <v>-2118</v>
      </c>
      <c r="H38" s="65" t="str">
        <f>VLOOKUP(D38,'COA1'!D:I,3,0)</f>
        <v>BS</v>
      </c>
      <c r="I38" s="65" t="str">
        <f>VLOOKUP(D38,'COA1'!D:I,4,0)</f>
        <v>Fixed assets, net</v>
      </c>
      <c r="J38" s="65">
        <f>VLOOKUP(D38,'COA1'!D:I,5,0)</f>
        <v>0</v>
      </c>
      <c r="K38" s="264">
        <f t="shared" si="0"/>
        <v>3.3247214353163361</v>
      </c>
      <c r="L38" s="65"/>
      <c r="M38" s="65"/>
      <c r="N38" s="65"/>
      <c r="O38" s="65"/>
      <c r="P38" s="263"/>
      <c r="Q38" s="263"/>
      <c r="R38" s="263"/>
      <c r="S38" s="263"/>
      <c r="T38" s="65"/>
      <c r="U38" s="65"/>
      <c r="V38" s="65"/>
      <c r="W38" s="65"/>
      <c r="X38" s="65"/>
      <c r="Y38" s="65"/>
      <c r="Z38" s="65"/>
    </row>
    <row r="39" spans="1:26" ht="15.75" customHeight="1">
      <c r="A39" s="65" t="s">
        <v>49</v>
      </c>
      <c r="B39" s="65" t="s">
        <v>96</v>
      </c>
      <c r="C39" s="65" t="s">
        <v>109</v>
      </c>
      <c r="D39" s="65">
        <v>30011</v>
      </c>
      <c r="E39" s="65" t="s">
        <v>112</v>
      </c>
      <c r="F39" s="66">
        <v>-7418</v>
      </c>
      <c r="G39" s="66">
        <v>-2283</v>
      </c>
      <c r="H39" s="65" t="str">
        <f>VLOOKUP(D39,'COA1'!D:I,3,0)</f>
        <v>BS</v>
      </c>
      <c r="I39" s="65" t="str">
        <f>VLOOKUP(D39,'COA1'!D:I,4,0)</f>
        <v>Fixed assets, net</v>
      </c>
      <c r="J39" s="65">
        <f>VLOOKUP(D39,'COA1'!D:I,5,0)</f>
        <v>0</v>
      </c>
      <c r="K39" s="264">
        <f t="shared" si="0"/>
        <v>3.2492334647393779</v>
      </c>
      <c r="L39" s="65"/>
      <c r="M39" s="65"/>
      <c r="N39" s="65"/>
      <c r="O39" s="65"/>
      <c r="P39" s="263"/>
      <c r="Q39" s="263"/>
      <c r="R39" s="263"/>
      <c r="S39" s="263"/>
      <c r="T39" s="65"/>
      <c r="U39" s="65"/>
      <c r="V39" s="65"/>
      <c r="W39" s="65"/>
      <c r="X39" s="65"/>
      <c r="Y39" s="65"/>
      <c r="Z39" s="65"/>
    </row>
    <row r="40" spans="1:26" ht="15.75" customHeight="1">
      <c r="A40" s="65" t="s">
        <v>49</v>
      </c>
      <c r="B40" s="65" t="s">
        <v>96</v>
      </c>
      <c r="C40" s="65" t="s">
        <v>113</v>
      </c>
      <c r="D40" s="65">
        <v>30010</v>
      </c>
      <c r="E40" s="65" t="s">
        <v>115</v>
      </c>
      <c r="F40" s="66">
        <v>104373.06</v>
      </c>
      <c r="G40" s="66">
        <v>32178</v>
      </c>
      <c r="H40" s="65" t="str">
        <f>VLOOKUP(D40,'COA1'!D:I,3,0)</f>
        <v>BS</v>
      </c>
      <c r="I40" s="65" t="str">
        <f>VLOOKUP(D40,'COA1'!D:I,4,0)</f>
        <v>Fixed assets, net</v>
      </c>
      <c r="J40" s="65">
        <f>VLOOKUP(D40,'COA1'!D:I,5,0)</f>
        <v>0</v>
      </c>
      <c r="K40" s="264">
        <f t="shared" si="0"/>
        <v>3.243615513705016</v>
      </c>
      <c r="L40" s="65"/>
      <c r="M40" s="65"/>
      <c r="N40" s="65"/>
      <c r="O40" s="65"/>
      <c r="P40" s="263"/>
      <c r="Q40" s="263"/>
      <c r="R40" s="263"/>
      <c r="S40" s="263"/>
      <c r="T40" s="65"/>
      <c r="U40" s="65"/>
      <c r="V40" s="65"/>
      <c r="W40" s="65"/>
      <c r="X40" s="65"/>
      <c r="Y40" s="65"/>
      <c r="Z40" s="65"/>
    </row>
    <row r="41" spans="1:26" ht="15.75" hidden="1" customHeight="1">
      <c r="A41" s="65" t="s">
        <v>116</v>
      </c>
      <c r="B41" s="65" t="s">
        <v>117</v>
      </c>
      <c r="C41" s="65" t="s">
        <v>118</v>
      </c>
      <c r="D41" s="65">
        <v>300006</v>
      </c>
      <c r="E41" s="65" t="s">
        <v>121</v>
      </c>
      <c r="F41" s="66">
        <v>111900</v>
      </c>
      <c r="G41" s="66">
        <v>35980.71</v>
      </c>
      <c r="H41" s="65" t="str">
        <f>VLOOKUP(D41,'COA1'!D:I,3,0)</f>
        <v>BS</v>
      </c>
      <c r="I41" s="65" t="str">
        <f>VLOOKUP(D41,'COA1'!D:I,4,0)</f>
        <v>Trade payables</v>
      </c>
      <c r="J41" s="65">
        <f>VLOOKUP(D41,'COA1'!D:I,5,0)</f>
        <v>0</v>
      </c>
      <c r="K41" s="264">
        <f t="shared" si="0"/>
        <v>3.1099997748793728</v>
      </c>
      <c r="L41" s="65"/>
      <c r="M41" s="65"/>
      <c r="N41" s="65"/>
      <c r="O41" s="65"/>
      <c r="P41" s="263"/>
      <c r="Q41" s="263"/>
      <c r="R41" s="263"/>
      <c r="S41" s="263"/>
      <c r="T41" s="65"/>
      <c r="U41" s="65"/>
      <c r="V41" s="65"/>
      <c r="W41" s="65"/>
      <c r="X41" s="65"/>
      <c r="Y41" s="65"/>
      <c r="Z41" s="65"/>
    </row>
    <row r="42" spans="1:26" ht="15.75" hidden="1" customHeight="1">
      <c r="A42" s="65" t="s">
        <v>116</v>
      </c>
      <c r="B42" s="65" t="s">
        <v>117</v>
      </c>
      <c r="C42" s="65" t="s">
        <v>118</v>
      </c>
      <c r="D42" s="65">
        <v>300009</v>
      </c>
      <c r="E42" s="65" t="s">
        <v>123</v>
      </c>
      <c r="F42" s="66">
        <v>-77060</v>
      </c>
      <c r="G42" s="66">
        <v>-24778.14</v>
      </c>
      <c r="H42" s="65" t="str">
        <f>VLOOKUP(D42,'COA1'!D:I,3,0)</f>
        <v>BS</v>
      </c>
      <c r="I42" s="65" t="str">
        <f>VLOOKUP(D42,'COA1'!D:I,4,0)</f>
        <v>Trade payables</v>
      </c>
      <c r="J42" s="65">
        <f>VLOOKUP(D42,'COA1'!D:I,5,0)</f>
        <v>0</v>
      </c>
      <c r="K42" s="264">
        <f t="shared" si="0"/>
        <v>3.1099993784844222</v>
      </c>
      <c r="L42" s="65"/>
      <c r="M42" s="65"/>
      <c r="N42" s="65"/>
      <c r="O42" s="65"/>
      <c r="P42" s="263"/>
      <c r="Q42" s="263"/>
      <c r="R42" s="263"/>
      <c r="S42" s="263"/>
      <c r="T42" s="65"/>
      <c r="U42" s="65"/>
      <c r="V42" s="65"/>
      <c r="W42" s="65"/>
      <c r="X42" s="65"/>
      <c r="Y42" s="65"/>
      <c r="Z42" s="65"/>
    </row>
    <row r="43" spans="1:26" ht="15.75" hidden="1" customHeight="1">
      <c r="A43" s="65" t="s">
        <v>116</v>
      </c>
      <c r="B43" s="65" t="s">
        <v>117</v>
      </c>
      <c r="C43" s="65" t="s">
        <v>118</v>
      </c>
      <c r="D43" s="65">
        <v>300018</v>
      </c>
      <c r="E43" s="65" t="s">
        <v>774</v>
      </c>
      <c r="F43" s="66">
        <v>-50523.41</v>
      </c>
      <c r="G43" s="66">
        <v>-16245.47</v>
      </c>
      <c r="H43" s="65" t="str">
        <f>VLOOKUP(D43,'COA1'!D:I,3,0)</f>
        <v>BS</v>
      </c>
      <c r="I43" s="65" t="str">
        <f>VLOOKUP(D43,'COA1'!D:I,4,0)</f>
        <v>Trade payables</v>
      </c>
      <c r="J43" s="65">
        <f>VLOOKUP(D43,'COA1'!D:I,5,0)</f>
        <v>0</v>
      </c>
      <c r="K43" s="264">
        <f t="shared" si="0"/>
        <v>3.1099998953554442</v>
      </c>
      <c r="L43" s="65"/>
      <c r="M43" s="65"/>
      <c r="N43" s="65"/>
      <c r="O43" s="65"/>
      <c r="P43" s="263"/>
      <c r="Q43" s="263"/>
      <c r="R43" s="263"/>
      <c r="S43" s="263"/>
      <c r="T43" s="65"/>
      <c r="U43" s="65"/>
      <c r="V43" s="65"/>
      <c r="W43" s="65"/>
      <c r="X43" s="65"/>
      <c r="Y43" s="65"/>
      <c r="Z43" s="65"/>
    </row>
    <row r="44" spans="1:26" ht="15.75" hidden="1" customHeight="1">
      <c r="A44" s="65" t="s">
        <v>116</v>
      </c>
      <c r="B44" s="65" t="s">
        <v>117</v>
      </c>
      <c r="C44" s="65" t="s">
        <v>118</v>
      </c>
      <c r="D44" s="65">
        <v>300020</v>
      </c>
      <c r="E44" s="65" t="s">
        <v>775</v>
      </c>
      <c r="F44" s="66">
        <v>-400</v>
      </c>
      <c r="G44" s="66">
        <v>-128.62</v>
      </c>
      <c r="H44" s="65" t="str">
        <f>VLOOKUP(D44,'COA1'!D:I,3,0)</f>
        <v>BS</v>
      </c>
      <c r="I44" s="65" t="str">
        <f>VLOOKUP(D44,'COA1'!D:I,4,0)</f>
        <v>Trade payables</v>
      </c>
      <c r="J44" s="65">
        <f>VLOOKUP(D44,'COA1'!D:I,5,0)</f>
        <v>0</v>
      </c>
      <c r="K44" s="264">
        <f t="shared" si="0"/>
        <v>3.1099362463069506</v>
      </c>
      <c r="L44" s="65"/>
      <c r="M44" s="65"/>
      <c r="N44" s="65"/>
      <c r="O44" s="65"/>
      <c r="P44" s="263"/>
      <c r="Q44" s="263"/>
      <c r="R44" s="263"/>
      <c r="S44" s="263"/>
      <c r="T44" s="65"/>
      <c r="U44" s="65"/>
      <c r="V44" s="65"/>
      <c r="W44" s="65"/>
      <c r="X44" s="65"/>
      <c r="Y44" s="65"/>
      <c r="Z44" s="65"/>
    </row>
    <row r="45" spans="1:26" ht="15.75" hidden="1" customHeight="1">
      <c r="A45" s="65" t="s">
        <v>116</v>
      </c>
      <c r="B45" s="65" t="s">
        <v>117</v>
      </c>
      <c r="C45" s="65" t="s">
        <v>118</v>
      </c>
      <c r="D45" s="65">
        <v>300021</v>
      </c>
      <c r="E45" s="65" t="s">
        <v>127</v>
      </c>
      <c r="F45" s="66">
        <v>27401.919999999998</v>
      </c>
      <c r="G45" s="66">
        <v>8810.91</v>
      </c>
      <c r="H45" s="65" t="str">
        <f>VLOOKUP(D45,'COA1'!D:I,3,0)</f>
        <v>BS</v>
      </c>
      <c r="I45" s="65" t="str">
        <f>VLOOKUP(D45,'COA1'!D:I,4,0)</f>
        <v>Other accounts receivable</v>
      </c>
      <c r="J45" s="65">
        <f>VLOOKUP(D45,'COA1'!D:I,5,0)</f>
        <v>0</v>
      </c>
      <c r="K45" s="264">
        <f t="shared" si="0"/>
        <v>3.1099988536938863</v>
      </c>
      <c r="L45" s="65"/>
      <c r="M45" s="65"/>
      <c r="N45" s="65"/>
      <c r="O45" s="65"/>
      <c r="P45" s="263"/>
      <c r="Q45" s="263"/>
      <c r="R45" s="263"/>
      <c r="S45" s="263"/>
      <c r="T45" s="65"/>
      <c r="U45" s="65"/>
      <c r="V45" s="65"/>
      <c r="W45" s="65"/>
      <c r="X45" s="65"/>
      <c r="Y45" s="65"/>
      <c r="Z45" s="65"/>
    </row>
    <row r="46" spans="1:26" ht="15.75" hidden="1" customHeight="1">
      <c r="A46" s="65" t="s">
        <v>116</v>
      </c>
      <c r="B46" s="65" t="s">
        <v>117</v>
      </c>
      <c r="C46" s="65" t="s">
        <v>118</v>
      </c>
      <c r="D46" s="65">
        <v>300026</v>
      </c>
      <c r="E46" s="65" t="s">
        <v>776</v>
      </c>
      <c r="F46" s="66">
        <v>-573</v>
      </c>
      <c r="G46" s="66">
        <v>-184.24</v>
      </c>
      <c r="H46" s="65" t="str">
        <f>VLOOKUP(D46,'COA1'!D:I,3,0)</f>
        <v>BS</v>
      </c>
      <c r="I46" s="65" t="str">
        <f>VLOOKUP(D46,'COA1'!D:I,4,0)</f>
        <v>Trade payables</v>
      </c>
      <c r="J46" s="65">
        <f>VLOOKUP(D46,'COA1'!D:I,5,0)</f>
        <v>0</v>
      </c>
      <c r="K46" s="264">
        <f t="shared" si="0"/>
        <v>3.1100738167607469</v>
      </c>
      <c r="L46" s="65"/>
      <c r="M46" s="65"/>
      <c r="N46" s="65"/>
      <c r="O46" s="65"/>
      <c r="P46" s="263"/>
      <c r="Q46" s="263"/>
      <c r="R46" s="263"/>
      <c r="S46" s="263"/>
      <c r="T46" s="65"/>
      <c r="U46" s="65"/>
      <c r="V46" s="65"/>
      <c r="W46" s="65"/>
      <c r="X46" s="65"/>
      <c r="Y46" s="65"/>
      <c r="Z46" s="65"/>
    </row>
    <row r="47" spans="1:26" ht="15.75" hidden="1" customHeight="1">
      <c r="A47" s="65" t="s">
        <v>116</v>
      </c>
      <c r="B47" s="65" t="s">
        <v>117</v>
      </c>
      <c r="C47" s="65" t="s">
        <v>118</v>
      </c>
      <c r="D47" s="65">
        <v>300027</v>
      </c>
      <c r="E47" s="65" t="s">
        <v>777</v>
      </c>
      <c r="F47" s="66">
        <v>-936</v>
      </c>
      <c r="G47" s="66">
        <v>-300.95999999999998</v>
      </c>
      <c r="H47" s="65" t="str">
        <f>VLOOKUP(D47,'COA1'!D:I,3,0)</f>
        <v>BS</v>
      </c>
      <c r="I47" s="65" t="str">
        <f>VLOOKUP(D47,'COA1'!D:I,4,0)</f>
        <v>Trade payables</v>
      </c>
      <c r="J47" s="65">
        <f>VLOOKUP(D47,'COA1'!D:I,5,0)</f>
        <v>0</v>
      </c>
      <c r="K47" s="264">
        <f t="shared" si="0"/>
        <v>3.1100478468899522</v>
      </c>
      <c r="L47" s="65"/>
      <c r="M47" s="65"/>
      <c r="N47" s="65"/>
      <c r="O47" s="65"/>
      <c r="P47" s="263"/>
      <c r="Q47" s="263"/>
      <c r="R47" s="263"/>
      <c r="S47" s="263"/>
      <c r="T47" s="65"/>
      <c r="U47" s="65"/>
      <c r="V47" s="65"/>
      <c r="W47" s="65"/>
      <c r="X47" s="65"/>
      <c r="Y47" s="65"/>
      <c r="Z47" s="65"/>
    </row>
    <row r="48" spans="1:26" ht="15.75" hidden="1" customHeight="1">
      <c r="A48" s="65" t="s">
        <v>116</v>
      </c>
      <c r="B48" s="65" t="s">
        <v>117</v>
      </c>
      <c r="C48" s="65" t="s">
        <v>118</v>
      </c>
      <c r="D48" s="65">
        <v>300036</v>
      </c>
      <c r="E48" s="65" t="s">
        <v>574</v>
      </c>
      <c r="F48" s="66">
        <v>-70</v>
      </c>
      <c r="G48" s="66">
        <v>-22.51</v>
      </c>
      <c r="H48" s="65" t="str">
        <f>VLOOKUP(D48,'COA1'!D:I,3,0)</f>
        <v>BS</v>
      </c>
      <c r="I48" s="65" t="str">
        <f>VLOOKUP(D48,'COA1'!D:I,4,0)</f>
        <v>Trade payables</v>
      </c>
      <c r="J48" s="65">
        <f>VLOOKUP(D48,'COA1'!D:I,5,0)</f>
        <v>0</v>
      </c>
      <c r="K48" s="264">
        <f t="shared" si="0"/>
        <v>3.1097290093291869</v>
      </c>
      <c r="L48" s="65"/>
      <c r="M48" s="65"/>
      <c r="N48" s="65"/>
      <c r="O48" s="65"/>
      <c r="P48" s="263"/>
      <c r="Q48" s="263"/>
      <c r="R48" s="263"/>
      <c r="S48" s="263"/>
      <c r="T48" s="65"/>
      <c r="U48" s="65"/>
      <c r="V48" s="65"/>
      <c r="W48" s="65"/>
      <c r="X48" s="65"/>
      <c r="Y48" s="65"/>
      <c r="Z48" s="65"/>
    </row>
    <row r="49" spans="1:26" ht="15.75" hidden="1" customHeight="1">
      <c r="A49" s="65" t="s">
        <v>116</v>
      </c>
      <c r="B49" s="65" t="s">
        <v>117</v>
      </c>
      <c r="C49" s="65" t="s">
        <v>118</v>
      </c>
      <c r="D49" s="65">
        <v>300043</v>
      </c>
      <c r="E49" s="65" t="s">
        <v>778</v>
      </c>
      <c r="F49" s="66">
        <v>-1833.9</v>
      </c>
      <c r="G49" s="66">
        <v>-589.67999999999995</v>
      </c>
      <c r="H49" s="65" t="str">
        <f>VLOOKUP(D49,'COA1'!D:I,3,0)</f>
        <v>BS</v>
      </c>
      <c r="I49" s="65" t="str">
        <f>VLOOKUP(D49,'COA1'!D:I,4,0)</f>
        <v>Trade payables</v>
      </c>
      <c r="J49" s="65">
        <f>VLOOKUP(D49,'COA1'!D:I,5,0)</f>
        <v>0</v>
      </c>
      <c r="K49" s="264">
        <f t="shared" si="0"/>
        <v>3.1099918599918603</v>
      </c>
      <c r="L49" s="65"/>
      <c r="M49" s="65"/>
      <c r="N49" s="65"/>
      <c r="O49" s="65"/>
      <c r="P49" s="263"/>
      <c r="Q49" s="263"/>
      <c r="R49" s="263"/>
      <c r="S49" s="263"/>
      <c r="T49" s="65"/>
      <c r="U49" s="65"/>
      <c r="V49" s="65"/>
      <c r="W49" s="65"/>
      <c r="X49" s="65"/>
      <c r="Y49" s="65"/>
      <c r="Z49" s="65"/>
    </row>
    <row r="50" spans="1:26" ht="15.75" hidden="1" customHeight="1">
      <c r="A50" s="65" t="s">
        <v>116</v>
      </c>
      <c r="B50" s="65" t="s">
        <v>117</v>
      </c>
      <c r="C50" s="65" t="s">
        <v>118</v>
      </c>
      <c r="D50" s="65">
        <v>300048</v>
      </c>
      <c r="E50" s="65" t="s">
        <v>599</v>
      </c>
      <c r="F50" s="66">
        <v>-123037.3</v>
      </c>
      <c r="G50" s="66">
        <v>-39561.83</v>
      </c>
      <c r="H50" s="65" t="str">
        <f>VLOOKUP(D50,'COA1'!D:I,3,0)</f>
        <v>BS</v>
      </c>
      <c r="I50" s="65" t="str">
        <f>VLOOKUP(D50,'COA1'!D:I,4,0)</f>
        <v>Trade payables</v>
      </c>
      <c r="J50" s="65">
        <f>VLOOKUP(D50,'COA1'!D:I,5,0)</f>
        <v>0</v>
      </c>
      <c r="K50" s="264">
        <f t="shared" si="0"/>
        <v>3.1100002199089376</v>
      </c>
      <c r="L50" s="65"/>
      <c r="M50" s="65"/>
      <c r="N50" s="65"/>
      <c r="O50" s="65"/>
      <c r="P50" s="263"/>
      <c r="Q50" s="263"/>
      <c r="R50" s="263"/>
      <c r="S50" s="263"/>
      <c r="T50" s="65"/>
      <c r="U50" s="65"/>
      <c r="V50" s="65"/>
      <c r="W50" s="65"/>
      <c r="X50" s="65"/>
      <c r="Y50" s="65"/>
      <c r="Z50" s="65"/>
    </row>
    <row r="51" spans="1:26" ht="15.75" hidden="1" customHeight="1">
      <c r="A51" s="65" t="s">
        <v>116</v>
      </c>
      <c r="B51" s="65" t="s">
        <v>117</v>
      </c>
      <c r="C51" s="65" t="s">
        <v>118</v>
      </c>
      <c r="D51" s="65">
        <v>300056</v>
      </c>
      <c r="E51" s="65" t="s">
        <v>139</v>
      </c>
      <c r="F51" s="66">
        <v>-2943</v>
      </c>
      <c r="G51" s="66">
        <v>-946.3</v>
      </c>
      <c r="H51" s="65" t="str">
        <f>VLOOKUP(D51,'COA1'!D:I,3,0)</f>
        <v>BS</v>
      </c>
      <c r="I51" s="65" t="str">
        <f>VLOOKUP(D51,'COA1'!D:I,4,0)</f>
        <v>Trade payables</v>
      </c>
      <c r="J51" s="65">
        <f>VLOOKUP(D51,'COA1'!D:I,5,0)</f>
        <v>0</v>
      </c>
      <c r="K51" s="264">
        <f t="shared" si="0"/>
        <v>3.110007397231322</v>
      </c>
      <c r="L51" s="65"/>
      <c r="M51" s="65"/>
      <c r="N51" s="65"/>
      <c r="O51" s="65"/>
      <c r="P51" s="263"/>
      <c r="Q51" s="263"/>
      <c r="R51" s="263"/>
      <c r="S51" s="263"/>
      <c r="T51" s="65"/>
      <c r="U51" s="65"/>
      <c r="V51" s="65"/>
      <c r="W51" s="65"/>
      <c r="X51" s="65"/>
      <c r="Y51" s="65"/>
      <c r="Z51" s="65"/>
    </row>
    <row r="52" spans="1:26" ht="15.75" hidden="1" customHeight="1">
      <c r="A52" s="65" t="s">
        <v>116</v>
      </c>
      <c r="B52" s="65" t="s">
        <v>117</v>
      </c>
      <c r="C52" s="65" t="s">
        <v>118</v>
      </c>
      <c r="D52" s="65">
        <v>300058</v>
      </c>
      <c r="E52" s="65" t="s">
        <v>600</v>
      </c>
      <c r="F52" s="66">
        <v>-11325.4</v>
      </c>
      <c r="G52" s="66">
        <v>-3641.61</v>
      </c>
      <c r="H52" s="65" t="str">
        <f>VLOOKUP(D52,'COA1'!D:I,3,0)</f>
        <v>BS</v>
      </c>
      <c r="I52" s="65" t="str">
        <f>VLOOKUP(D52,'COA1'!D:I,4,0)</f>
        <v>Trade payables</v>
      </c>
      <c r="J52" s="65">
        <f>VLOOKUP(D52,'COA1'!D:I,5,0)</f>
        <v>0</v>
      </c>
      <c r="K52" s="264">
        <f t="shared" si="0"/>
        <v>3.1099980503129108</v>
      </c>
      <c r="L52" s="65"/>
      <c r="M52" s="65"/>
      <c r="N52" s="65"/>
      <c r="O52" s="65"/>
      <c r="P52" s="263"/>
      <c r="Q52" s="263"/>
      <c r="R52" s="263"/>
      <c r="S52" s="263"/>
      <c r="T52" s="65"/>
      <c r="U52" s="65"/>
      <c r="V52" s="65"/>
      <c r="W52" s="65"/>
      <c r="X52" s="65"/>
      <c r="Y52" s="65"/>
      <c r="Z52" s="65"/>
    </row>
    <row r="53" spans="1:26" ht="15.75" hidden="1" customHeight="1">
      <c r="A53" s="65" t="s">
        <v>116</v>
      </c>
      <c r="B53" s="65" t="s">
        <v>117</v>
      </c>
      <c r="C53" s="65" t="s">
        <v>118</v>
      </c>
      <c r="D53" s="65">
        <v>300070</v>
      </c>
      <c r="E53" s="65" t="s">
        <v>145</v>
      </c>
      <c r="F53" s="66">
        <v>-1520</v>
      </c>
      <c r="G53" s="66">
        <v>-488.75</v>
      </c>
      <c r="H53" s="65" t="str">
        <f>VLOOKUP(D53,'COA1'!D:I,3,0)</f>
        <v>BS</v>
      </c>
      <c r="I53" s="65" t="str">
        <f>VLOOKUP(D53,'COA1'!D:I,4,0)</f>
        <v>Trade payables</v>
      </c>
      <c r="J53" s="65">
        <f>VLOOKUP(D53,'COA1'!D:I,5,0)</f>
        <v>0</v>
      </c>
      <c r="K53" s="264">
        <f t="shared" si="0"/>
        <v>3.1099744245524295</v>
      </c>
      <c r="L53" s="65"/>
      <c r="M53" s="65"/>
      <c r="N53" s="65"/>
      <c r="O53" s="65"/>
      <c r="P53" s="263"/>
      <c r="Q53" s="263"/>
      <c r="R53" s="263"/>
      <c r="S53" s="263"/>
      <c r="T53" s="65"/>
      <c r="U53" s="65"/>
      <c r="V53" s="65"/>
      <c r="W53" s="65"/>
      <c r="X53" s="65"/>
      <c r="Y53" s="65"/>
      <c r="Z53" s="65"/>
    </row>
    <row r="54" spans="1:26" ht="15.75" hidden="1" customHeight="1">
      <c r="A54" s="65" t="s">
        <v>116</v>
      </c>
      <c r="B54" s="65" t="s">
        <v>117</v>
      </c>
      <c r="C54" s="65" t="s">
        <v>118</v>
      </c>
      <c r="D54" s="65">
        <v>300073</v>
      </c>
      <c r="E54" s="65" t="s">
        <v>146</v>
      </c>
      <c r="F54" s="66">
        <v>-200</v>
      </c>
      <c r="G54" s="66">
        <v>-64.31</v>
      </c>
      <c r="H54" s="65" t="str">
        <f>VLOOKUP(D54,'COA1'!D:I,3,0)</f>
        <v>BS</v>
      </c>
      <c r="I54" s="65" t="str">
        <f>VLOOKUP(D54,'COA1'!D:I,4,0)</f>
        <v>Trade payables</v>
      </c>
      <c r="J54" s="65">
        <f>VLOOKUP(D54,'COA1'!D:I,5,0)</f>
        <v>0</v>
      </c>
      <c r="K54" s="264">
        <f t="shared" si="0"/>
        <v>3.1099362463069506</v>
      </c>
      <c r="L54" s="65"/>
      <c r="M54" s="65"/>
      <c r="N54" s="65"/>
      <c r="O54" s="65"/>
      <c r="P54" s="263"/>
      <c r="Q54" s="263"/>
      <c r="R54" s="263"/>
      <c r="S54" s="263"/>
      <c r="T54" s="65"/>
      <c r="U54" s="65"/>
      <c r="V54" s="65"/>
      <c r="W54" s="65"/>
      <c r="X54" s="65"/>
      <c r="Y54" s="65"/>
      <c r="Z54" s="65"/>
    </row>
    <row r="55" spans="1:26" ht="15.75" hidden="1" customHeight="1">
      <c r="A55" s="65" t="s">
        <v>116</v>
      </c>
      <c r="B55" s="65" t="s">
        <v>117</v>
      </c>
      <c r="C55" s="65" t="s">
        <v>118</v>
      </c>
      <c r="D55" s="65">
        <v>300084</v>
      </c>
      <c r="E55" s="65" t="s">
        <v>149</v>
      </c>
      <c r="F55" s="66">
        <v>-297747.5</v>
      </c>
      <c r="G55" s="66">
        <v>-95738.75</v>
      </c>
      <c r="H55" s="65" t="str">
        <f>VLOOKUP(D55,'COA1'!D:I,3,0)</f>
        <v>BS</v>
      </c>
      <c r="I55" s="65" t="str">
        <f>VLOOKUP(D55,'COA1'!D:I,4,0)</f>
        <v>Trade payables</v>
      </c>
      <c r="J55" s="65">
        <f>VLOOKUP(D55,'COA1'!D:I,5,0)</f>
        <v>0</v>
      </c>
      <c r="K55" s="264">
        <f t="shared" si="0"/>
        <v>3.1099998694363569</v>
      </c>
      <c r="L55" s="65"/>
      <c r="M55" s="65"/>
      <c r="N55" s="65"/>
      <c r="O55" s="65"/>
      <c r="P55" s="263"/>
      <c r="Q55" s="263"/>
      <c r="R55" s="263"/>
      <c r="S55" s="263"/>
      <c r="T55" s="65"/>
      <c r="U55" s="65"/>
      <c r="V55" s="65"/>
      <c r="W55" s="65"/>
      <c r="X55" s="65"/>
      <c r="Y55" s="65"/>
      <c r="Z55" s="65"/>
    </row>
    <row r="56" spans="1:26" ht="15.75" hidden="1" customHeight="1">
      <c r="A56" s="65" t="s">
        <v>116</v>
      </c>
      <c r="B56" s="65" t="s">
        <v>117</v>
      </c>
      <c r="C56" s="65" t="s">
        <v>118</v>
      </c>
      <c r="D56" s="65">
        <v>300093</v>
      </c>
      <c r="E56" s="65" t="s">
        <v>668</v>
      </c>
      <c r="F56" s="66">
        <v>-24570</v>
      </c>
      <c r="G56" s="66">
        <v>-7900.32</v>
      </c>
      <c r="H56" s="65" t="str">
        <f>VLOOKUP(D56,'COA1'!D:I,3,0)</f>
        <v>BS</v>
      </c>
      <c r="I56" s="65" t="str">
        <f>VLOOKUP(D56,'COA1'!D:I,4,0)</f>
        <v>Trade payables</v>
      </c>
      <c r="J56" s="65">
        <f>VLOOKUP(D56,'COA1'!D:I,5,0)</f>
        <v>0</v>
      </c>
      <c r="K56" s="264">
        <f t="shared" si="0"/>
        <v>3.1100006075703264</v>
      </c>
      <c r="L56" s="65"/>
      <c r="M56" s="65"/>
      <c r="N56" s="65"/>
      <c r="O56" s="65"/>
      <c r="P56" s="263"/>
      <c r="Q56" s="263"/>
      <c r="R56" s="263"/>
      <c r="S56" s="263"/>
      <c r="T56" s="65"/>
      <c r="U56" s="65"/>
      <c r="V56" s="65"/>
      <c r="W56" s="65"/>
      <c r="X56" s="65"/>
      <c r="Y56" s="65"/>
      <c r="Z56" s="65"/>
    </row>
    <row r="57" spans="1:26" ht="15.75" hidden="1" customHeight="1">
      <c r="A57" s="65" t="s">
        <v>116</v>
      </c>
      <c r="B57" s="65" t="s">
        <v>117</v>
      </c>
      <c r="C57" s="65" t="s">
        <v>118</v>
      </c>
      <c r="D57" s="65">
        <v>300097</v>
      </c>
      <c r="E57" s="65" t="s">
        <v>154</v>
      </c>
      <c r="F57" s="66">
        <v>-2853.09</v>
      </c>
      <c r="G57" s="66">
        <v>-917.39</v>
      </c>
      <c r="H57" s="65" t="str">
        <f>VLOOKUP(D57,'COA1'!D:I,3,0)</f>
        <v>BS</v>
      </c>
      <c r="I57" s="65" t="str">
        <f>VLOOKUP(D57,'COA1'!D:I,4,0)</f>
        <v>Trade payables</v>
      </c>
      <c r="J57" s="65">
        <f>VLOOKUP(D57,'COA1'!D:I,5,0)</f>
        <v>0</v>
      </c>
      <c r="K57" s="264">
        <f t="shared" si="0"/>
        <v>3.110007739347497</v>
      </c>
      <c r="L57" s="65"/>
      <c r="M57" s="65"/>
      <c r="N57" s="65"/>
      <c r="O57" s="65"/>
      <c r="P57" s="263"/>
      <c r="Q57" s="263"/>
      <c r="R57" s="263"/>
      <c r="S57" s="263"/>
      <c r="T57" s="65"/>
      <c r="U57" s="65"/>
      <c r="V57" s="65"/>
      <c r="W57" s="65"/>
      <c r="X57" s="65"/>
      <c r="Y57" s="65"/>
      <c r="Z57" s="65"/>
    </row>
    <row r="58" spans="1:26" ht="15.75" hidden="1" customHeight="1">
      <c r="A58" s="65" t="s">
        <v>116</v>
      </c>
      <c r="B58" s="65" t="s">
        <v>117</v>
      </c>
      <c r="C58" s="65" t="s">
        <v>118</v>
      </c>
      <c r="D58" s="65">
        <v>300105</v>
      </c>
      <c r="E58" s="65" t="s">
        <v>601</v>
      </c>
      <c r="F58" s="66">
        <v>-26494.21</v>
      </c>
      <c r="G58" s="66">
        <v>-8519.0400000000009</v>
      </c>
      <c r="H58" s="65" t="str">
        <f>VLOOKUP(D58,'COA1'!D:I,3,0)</f>
        <v>BS</v>
      </c>
      <c r="I58" s="65" t="str">
        <f>VLOOKUP(D58,'COA1'!D:I,4,0)</f>
        <v>Trade payables</v>
      </c>
      <c r="J58" s="65">
        <f>VLOOKUP(D58,'COA1'!D:I,5,0)</f>
        <v>0</v>
      </c>
      <c r="K58" s="264">
        <f t="shared" si="0"/>
        <v>3.1099994835098785</v>
      </c>
      <c r="L58" s="65"/>
      <c r="M58" s="65"/>
      <c r="N58" s="65"/>
      <c r="O58" s="65"/>
      <c r="P58" s="263"/>
      <c r="Q58" s="263"/>
      <c r="R58" s="263"/>
      <c r="S58" s="263"/>
      <c r="T58" s="65"/>
      <c r="U58" s="65"/>
      <c r="V58" s="65"/>
      <c r="W58" s="65"/>
      <c r="X58" s="65"/>
      <c r="Y58" s="65"/>
      <c r="Z58" s="65"/>
    </row>
    <row r="59" spans="1:26" ht="15.75" hidden="1" customHeight="1">
      <c r="A59" s="65" t="s">
        <v>116</v>
      </c>
      <c r="B59" s="65" t="s">
        <v>117</v>
      </c>
      <c r="C59" s="65" t="s">
        <v>118</v>
      </c>
      <c r="D59" s="65">
        <v>300147</v>
      </c>
      <c r="E59" s="65" t="s">
        <v>176</v>
      </c>
      <c r="F59" s="66">
        <v>-283819.14</v>
      </c>
      <c r="G59" s="66">
        <v>-91260.3</v>
      </c>
      <c r="H59" s="65" t="str">
        <f>VLOOKUP(D59,'COA1'!D:I,3,0)</f>
        <v>BS</v>
      </c>
      <c r="I59" s="65" t="str">
        <f>VLOOKUP(D59,'COA1'!D:I,4,0)</f>
        <v>Trade payables</v>
      </c>
      <c r="J59" s="65">
        <f>VLOOKUP(D59,'COA1'!D:I,5,0)</f>
        <v>0</v>
      </c>
      <c r="K59" s="264">
        <f t="shared" si="0"/>
        <v>3.109995693636773</v>
      </c>
      <c r="L59" s="65"/>
      <c r="M59" s="65"/>
      <c r="N59" s="65"/>
      <c r="O59" s="65"/>
      <c r="P59" s="263"/>
      <c r="Q59" s="263"/>
      <c r="R59" s="263"/>
      <c r="S59" s="263"/>
      <c r="T59" s="65"/>
      <c r="U59" s="65"/>
      <c r="V59" s="65"/>
      <c r="W59" s="65"/>
      <c r="X59" s="65"/>
      <c r="Y59" s="65"/>
      <c r="Z59" s="65"/>
    </row>
    <row r="60" spans="1:26" ht="15.75" hidden="1" customHeight="1">
      <c r="A60" s="65" t="s">
        <v>116</v>
      </c>
      <c r="B60" s="65" t="s">
        <v>117</v>
      </c>
      <c r="C60" s="65" t="s">
        <v>118</v>
      </c>
      <c r="D60" s="65">
        <v>300149</v>
      </c>
      <c r="E60" s="65" t="s">
        <v>178</v>
      </c>
      <c r="F60" s="66">
        <v>-73219.14</v>
      </c>
      <c r="G60" s="66">
        <v>-23543.26</v>
      </c>
      <c r="H60" s="65" t="str">
        <f>VLOOKUP(D60,'COA1'!D:I,3,0)</f>
        <v>BS</v>
      </c>
      <c r="I60" s="65" t="str">
        <f>VLOOKUP(D60,'COA1'!D:I,4,0)</f>
        <v>Trade payables</v>
      </c>
      <c r="J60" s="65">
        <f>VLOOKUP(D60,'COA1'!D:I,5,0)</f>
        <v>0</v>
      </c>
      <c r="K60" s="264">
        <f t="shared" si="0"/>
        <v>3.1099830694644668</v>
      </c>
      <c r="L60" s="65"/>
      <c r="M60" s="65"/>
      <c r="N60" s="65"/>
      <c r="O60" s="65"/>
      <c r="P60" s="263"/>
      <c r="Q60" s="263"/>
      <c r="R60" s="263"/>
      <c r="S60" s="263"/>
      <c r="T60" s="65"/>
      <c r="U60" s="65"/>
      <c r="V60" s="65"/>
      <c r="W60" s="65"/>
      <c r="X60" s="65"/>
      <c r="Y60" s="65"/>
      <c r="Z60" s="65"/>
    </row>
    <row r="61" spans="1:26" ht="15.75" hidden="1" customHeight="1">
      <c r="A61" s="65" t="s">
        <v>116</v>
      </c>
      <c r="B61" s="65" t="s">
        <v>117</v>
      </c>
      <c r="C61" s="65" t="s">
        <v>118</v>
      </c>
      <c r="D61" s="65">
        <v>300151</v>
      </c>
      <c r="E61" s="65" t="s">
        <v>180</v>
      </c>
      <c r="F61" s="66">
        <v>-283819.14</v>
      </c>
      <c r="G61" s="66">
        <v>-91260.3</v>
      </c>
      <c r="H61" s="65" t="str">
        <f>VLOOKUP(D61,'COA1'!D:I,3,0)</f>
        <v>BS</v>
      </c>
      <c r="I61" s="65" t="str">
        <f>VLOOKUP(D61,'COA1'!D:I,4,0)</f>
        <v>Trade payables</v>
      </c>
      <c r="J61" s="65">
        <f>VLOOKUP(D61,'COA1'!D:I,5,0)</f>
        <v>0</v>
      </c>
      <c r="K61" s="264">
        <f t="shared" si="0"/>
        <v>3.109995693636773</v>
      </c>
      <c r="L61" s="65"/>
      <c r="M61" s="65"/>
      <c r="N61" s="65"/>
      <c r="O61" s="65"/>
      <c r="P61" s="263"/>
      <c r="Q61" s="263"/>
      <c r="R61" s="263"/>
      <c r="S61" s="263"/>
      <c r="T61" s="65"/>
      <c r="U61" s="65"/>
      <c r="V61" s="65"/>
      <c r="W61" s="65"/>
      <c r="X61" s="65"/>
      <c r="Y61" s="65"/>
      <c r="Z61" s="65"/>
    </row>
    <row r="62" spans="1:26" ht="15.75" hidden="1" customHeight="1">
      <c r="A62" s="65" t="s">
        <v>116</v>
      </c>
      <c r="B62" s="65" t="s">
        <v>117</v>
      </c>
      <c r="C62" s="65" t="s">
        <v>118</v>
      </c>
      <c r="D62" s="65">
        <v>300155</v>
      </c>
      <c r="E62" s="65" t="s">
        <v>183</v>
      </c>
      <c r="F62" s="66">
        <v>-97.54</v>
      </c>
      <c r="G62" s="66">
        <v>-31.36</v>
      </c>
      <c r="H62" s="65" t="str">
        <f>VLOOKUP(D62,'COA1'!D:I,3,0)</f>
        <v>BS</v>
      </c>
      <c r="I62" s="65" t="str">
        <f>VLOOKUP(D62,'COA1'!D:I,4,0)</f>
        <v>Trade payables</v>
      </c>
      <c r="J62" s="65">
        <f>VLOOKUP(D62,'COA1'!D:I,5,0)</f>
        <v>0</v>
      </c>
      <c r="K62" s="264">
        <f t="shared" si="0"/>
        <v>3.1103316326530615</v>
      </c>
      <c r="L62" s="65"/>
      <c r="M62" s="65"/>
      <c r="N62" s="65"/>
      <c r="O62" s="65"/>
      <c r="P62" s="263"/>
      <c r="Q62" s="263"/>
      <c r="R62" s="263"/>
      <c r="S62" s="263"/>
      <c r="T62" s="65"/>
      <c r="U62" s="65"/>
      <c r="V62" s="65"/>
      <c r="W62" s="65"/>
      <c r="X62" s="65"/>
      <c r="Y62" s="65"/>
      <c r="Z62" s="65"/>
    </row>
    <row r="63" spans="1:26" ht="15.75" hidden="1" customHeight="1">
      <c r="A63" s="65" t="s">
        <v>116</v>
      </c>
      <c r="B63" s="65" t="s">
        <v>117</v>
      </c>
      <c r="C63" s="65" t="s">
        <v>118</v>
      </c>
      <c r="D63" s="65">
        <v>300174</v>
      </c>
      <c r="E63" s="65" t="s">
        <v>202</v>
      </c>
      <c r="F63" s="66">
        <v>-46800</v>
      </c>
      <c r="G63" s="66">
        <v>-15048.23</v>
      </c>
      <c r="H63" s="65" t="str">
        <f>VLOOKUP(D63,'COA1'!D:I,3,0)</f>
        <v>BS</v>
      </c>
      <c r="I63" s="65" t="str">
        <f>VLOOKUP(D63,'COA1'!D:I,4,0)</f>
        <v>Trade payables</v>
      </c>
      <c r="J63" s="65">
        <f>VLOOKUP(D63,'COA1'!D:I,5,0)</f>
        <v>0</v>
      </c>
      <c r="K63" s="264">
        <f t="shared" si="0"/>
        <v>3.1100003123290914</v>
      </c>
      <c r="L63" s="65"/>
      <c r="M63" s="65"/>
      <c r="N63" s="65"/>
      <c r="O63" s="65"/>
      <c r="P63" s="263"/>
      <c r="Q63" s="263"/>
      <c r="R63" s="263"/>
      <c r="S63" s="263"/>
      <c r="T63" s="65"/>
      <c r="U63" s="65"/>
      <c r="V63" s="65"/>
      <c r="W63" s="65"/>
      <c r="X63" s="65"/>
      <c r="Y63" s="65"/>
      <c r="Z63" s="65"/>
    </row>
    <row r="64" spans="1:26" ht="15.75" hidden="1" customHeight="1">
      <c r="A64" s="65" t="s">
        <v>116</v>
      </c>
      <c r="B64" s="65" t="s">
        <v>117</v>
      </c>
      <c r="C64" s="65" t="s">
        <v>118</v>
      </c>
      <c r="D64" s="65">
        <v>300185</v>
      </c>
      <c r="E64" s="65" t="s">
        <v>602</v>
      </c>
      <c r="F64" s="66">
        <v>23196.71</v>
      </c>
      <c r="G64" s="66">
        <v>7458.75</v>
      </c>
      <c r="H64" s="65" t="str">
        <f>VLOOKUP(D64,'COA1'!D:I,3,0)</f>
        <v>BS</v>
      </c>
      <c r="I64" s="65" t="str">
        <f>VLOOKUP(D64,'COA1'!D:I,4,0)</f>
        <v>Trade payables</v>
      </c>
      <c r="J64" s="65">
        <f>VLOOKUP(D64,'COA1'!D:I,5,0)</f>
        <v>0</v>
      </c>
      <c r="K64" s="264">
        <f t="shared" si="0"/>
        <v>3.109999664823194</v>
      </c>
      <c r="L64" s="65"/>
      <c r="M64" s="65"/>
      <c r="N64" s="65"/>
      <c r="O64" s="65"/>
      <c r="P64" s="263"/>
      <c r="Q64" s="263"/>
      <c r="R64" s="263"/>
      <c r="S64" s="263"/>
      <c r="T64" s="65"/>
      <c r="U64" s="65"/>
      <c r="V64" s="65"/>
      <c r="W64" s="65"/>
      <c r="X64" s="65"/>
      <c r="Y64" s="65"/>
      <c r="Z64" s="65"/>
    </row>
    <row r="65" spans="1:26" ht="15.75" hidden="1" customHeight="1">
      <c r="A65" s="65" t="s">
        <v>116</v>
      </c>
      <c r="B65" s="65" t="s">
        <v>117</v>
      </c>
      <c r="C65" s="65" t="s">
        <v>118</v>
      </c>
      <c r="D65" s="65">
        <v>300192</v>
      </c>
      <c r="E65" s="65" t="s">
        <v>603</v>
      </c>
      <c r="F65" s="66">
        <v>312</v>
      </c>
      <c r="G65" s="66">
        <v>100.32</v>
      </c>
      <c r="H65" s="65" t="str">
        <f>VLOOKUP(D65,'COA1'!D:I,3,0)</f>
        <v>BS</v>
      </c>
      <c r="I65" s="65" t="str">
        <f>VLOOKUP(D65,'COA1'!D:I,4,0)</f>
        <v>Trade payables</v>
      </c>
      <c r="J65" s="65">
        <f>VLOOKUP(D65,'COA1'!D:I,5,0)</f>
        <v>0</v>
      </c>
      <c r="K65" s="264">
        <f t="shared" si="0"/>
        <v>3.1100478468899522</v>
      </c>
      <c r="L65" s="65"/>
      <c r="M65" s="65"/>
      <c r="N65" s="65"/>
      <c r="O65" s="65"/>
      <c r="P65" s="263"/>
      <c r="Q65" s="263"/>
      <c r="R65" s="263"/>
      <c r="S65" s="263"/>
      <c r="T65" s="65"/>
      <c r="U65" s="65"/>
      <c r="V65" s="65"/>
      <c r="W65" s="65"/>
      <c r="X65" s="65"/>
      <c r="Y65" s="65"/>
      <c r="Z65" s="65"/>
    </row>
    <row r="66" spans="1:26" ht="15.75" hidden="1" customHeight="1">
      <c r="A66" s="65" t="s">
        <v>116</v>
      </c>
      <c r="B66" s="65" t="s">
        <v>117</v>
      </c>
      <c r="C66" s="65" t="s">
        <v>118</v>
      </c>
      <c r="D66" s="65">
        <v>300198</v>
      </c>
      <c r="E66" s="65" t="s">
        <v>227</v>
      </c>
      <c r="F66" s="66">
        <v>-16380</v>
      </c>
      <c r="G66" s="66">
        <v>-5266.88</v>
      </c>
      <c r="H66" s="65" t="str">
        <f>VLOOKUP(D66,'COA1'!D:I,3,0)</f>
        <v>BS</v>
      </c>
      <c r="I66" s="65" t="str">
        <f>VLOOKUP(D66,'COA1'!D:I,4,0)</f>
        <v>Trade payables</v>
      </c>
      <c r="J66" s="65">
        <f>VLOOKUP(D66,'COA1'!D:I,5,0)</f>
        <v>0</v>
      </c>
      <c r="K66" s="264">
        <f t="shared" si="0"/>
        <v>3.1100006075703264</v>
      </c>
      <c r="L66" s="65"/>
      <c r="M66" s="65"/>
      <c r="N66" s="65"/>
      <c r="O66" s="65"/>
      <c r="P66" s="263"/>
      <c r="Q66" s="263"/>
      <c r="R66" s="263"/>
      <c r="S66" s="263"/>
      <c r="T66" s="65"/>
      <c r="U66" s="65"/>
      <c r="V66" s="65"/>
      <c r="W66" s="65"/>
      <c r="X66" s="65"/>
      <c r="Y66" s="65"/>
      <c r="Z66" s="65"/>
    </row>
    <row r="67" spans="1:26" ht="15.75" hidden="1" customHeight="1">
      <c r="A67" s="65" t="s">
        <v>116</v>
      </c>
      <c r="B67" s="65" t="s">
        <v>117</v>
      </c>
      <c r="C67" s="65" t="s">
        <v>118</v>
      </c>
      <c r="D67" s="65">
        <v>300208</v>
      </c>
      <c r="E67" s="65" t="s">
        <v>534</v>
      </c>
      <c r="F67" s="66">
        <v>-20826</v>
      </c>
      <c r="G67" s="66">
        <v>-6696.46</v>
      </c>
      <c r="H67" s="65" t="str">
        <f>VLOOKUP(D67,'COA1'!D:I,3,0)</f>
        <v>BS</v>
      </c>
      <c r="I67" s="65" t="str">
        <f>VLOOKUP(D67,'COA1'!D:I,4,0)</f>
        <v>Trade payables</v>
      </c>
      <c r="J67" s="65">
        <f>VLOOKUP(D67,'COA1'!D:I,5,0)</f>
        <v>0</v>
      </c>
      <c r="K67" s="264">
        <f t="shared" si="0"/>
        <v>3.1100014037267449</v>
      </c>
      <c r="L67" s="65"/>
      <c r="M67" s="65"/>
      <c r="N67" s="65"/>
      <c r="O67" s="65"/>
      <c r="P67" s="263"/>
      <c r="Q67" s="263"/>
      <c r="R67" s="263"/>
      <c r="S67" s="263"/>
      <c r="T67" s="65"/>
      <c r="U67" s="65"/>
      <c r="V67" s="65"/>
      <c r="W67" s="65"/>
      <c r="X67" s="65"/>
      <c r="Y67" s="65"/>
      <c r="Z67" s="65"/>
    </row>
    <row r="68" spans="1:26" ht="15.75" hidden="1" customHeight="1">
      <c r="A68" s="65" t="s">
        <v>116</v>
      </c>
      <c r="B68" s="65" t="s">
        <v>117</v>
      </c>
      <c r="C68" s="65" t="s">
        <v>118</v>
      </c>
      <c r="D68" s="65">
        <v>300220</v>
      </c>
      <c r="E68" s="65" t="s">
        <v>539</v>
      </c>
      <c r="F68" s="66">
        <v>-247.47</v>
      </c>
      <c r="G68" s="66">
        <v>-79.569999999999993</v>
      </c>
      <c r="H68" s="65" t="str">
        <f>VLOOKUP(D68,'COA1'!D:I,3,0)</f>
        <v>BS</v>
      </c>
      <c r="I68" s="65" t="str">
        <f>VLOOKUP(D68,'COA1'!D:I,4,0)</f>
        <v>Trade payables</v>
      </c>
      <c r="J68" s="65">
        <f>VLOOKUP(D68,'COA1'!D:I,5,0)</f>
        <v>0</v>
      </c>
      <c r="K68" s="264">
        <f t="shared" si="0"/>
        <v>3.1100917431192663</v>
      </c>
      <c r="L68" s="65"/>
      <c r="M68" s="65"/>
      <c r="N68" s="65"/>
      <c r="O68" s="65"/>
      <c r="P68" s="263"/>
      <c r="Q68" s="263"/>
      <c r="R68" s="263"/>
      <c r="S68" s="263"/>
      <c r="T68" s="65"/>
      <c r="U68" s="65"/>
      <c r="V68" s="65"/>
      <c r="W68" s="65"/>
      <c r="X68" s="65"/>
      <c r="Y68" s="65"/>
      <c r="Z68" s="65"/>
    </row>
    <row r="69" spans="1:26" ht="15.75" hidden="1" customHeight="1">
      <c r="A69" s="65" t="s">
        <v>116</v>
      </c>
      <c r="B69" s="65" t="s">
        <v>117</v>
      </c>
      <c r="C69" s="65" t="s">
        <v>118</v>
      </c>
      <c r="D69" s="65">
        <v>300232</v>
      </c>
      <c r="E69" s="65" t="s">
        <v>782</v>
      </c>
      <c r="F69" s="66">
        <v>-12658</v>
      </c>
      <c r="G69" s="66">
        <v>-4070.1</v>
      </c>
      <c r="H69" s="65" t="str">
        <f>VLOOKUP(D69,'COA1'!D:I,3,0)</f>
        <v>BS</v>
      </c>
      <c r="I69" s="65" t="str">
        <f>VLOOKUP(D69,'COA1'!D:I,4,0)</f>
        <v>Trade payables</v>
      </c>
      <c r="J69" s="65">
        <f>VLOOKUP(D69,'COA1'!D:I,5,0)</f>
        <v>0</v>
      </c>
      <c r="K69" s="264">
        <f t="shared" si="0"/>
        <v>3.1099972973637011</v>
      </c>
      <c r="L69" s="65"/>
      <c r="M69" s="65"/>
      <c r="N69" s="65"/>
      <c r="O69" s="65"/>
      <c r="P69" s="263"/>
      <c r="Q69" s="263"/>
      <c r="R69" s="263"/>
      <c r="S69" s="263"/>
      <c r="T69" s="65"/>
      <c r="U69" s="65"/>
      <c r="V69" s="65"/>
      <c r="W69" s="65"/>
      <c r="X69" s="65"/>
      <c r="Y69" s="65"/>
      <c r="Z69" s="65"/>
    </row>
    <row r="70" spans="1:26" ht="15.75" hidden="1" customHeight="1">
      <c r="A70" s="65" t="s">
        <v>116</v>
      </c>
      <c r="B70" s="65" t="s">
        <v>117</v>
      </c>
      <c r="C70" s="65" t="s">
        <v>118</v>
      </c>
      <c r="D70" s="65">
        <v>300239</v>
      </c>
      <c r="E70" s="65" t="s">
        <v>604</v>
      </c>
      <c r="F70" s="66">
        <v>-14170.5</v>
      </c>
      <c r="G70" s="66">
        <v>-4556.43</v>
      </c>
      <c r="H70" s="65" t="str">
        <f>VLOOKUP(D70,'COA1'!D:I,3,0)</f>
        <v>BS</v>
      </c>
      <c r="I70" s="65" t="str">
        <f>VLOOKUP(D70,'COA1'!D:I,4,0)</f>
        <v>Trade payables</v>
      </c>
      <c r="J70" s="65">
        <f>VLOOKUP(D70,'COA1'!D:I,5,0)</f>
        <v>0</v>
      </c>
      <c r="K70" s="264">
        <f t="shared" si="0"/>
        <v>3.110000592569182</v>
      </c>
      <c r="L70" s="65"/>
      <c r="M70" s="65"/>
      <c r="N70" s="65"/>
      <c r="O70" s="65"/>
      <c r="P70" s="263"/>
      <c r="Q70" s="263"/>
      <c r="R70" s="263"/>
      <c r="S70" s="263"/>
      <c r="T70" s="65"/>
      <c r="U70" s="65"/>
      <c r="V70" s="65"/>
      <c r="W70" s="65"/>
      <c r="X70" s="65"/>
      <c r="Y70" s="65"/>
      <c r="Z70" s="65"/>
    </row>
    <row r="71" spans="1:26" ht="15.75" hidden="1" customHeight="1">
      <c r="A71" s="65" t="s">
        <v>116</v>
      </c>
      <c r="B71" s="65" t="s">
        <v>117</v>
      </c>
      <c r="C71" s="65" t="s">
        <v>118</v>
      </c>
      <c r="D71" s="65">
        <v>300250</v>
      </c>
      <c r="E71" s="65" t="s">
        <v>607</v>
      </c>
      <c r="F71" s="66">
        <v>-2723.64</v>
      </c>
      <c r="G71" s="66">
        <v>-875.77</v>
      </c>
      <c r="H71" s="65" t="str">
        <f>VLOOKUP(D71,'COA1'!D:I,3,0)</f>
        <v>BS</v>
      </c>
      <c r="I71" s="65" t="str">
        <f>VLOOKUP(D71,'COA1'!D:I,4,0)</f>
        <v>Trade payables</v>
      </c>
      <c r="J71" s="65">
        <f>VLOOKUP(D71,'COA1'!D:I,5,0)</f>
        <v>0</v>
      </c>
      <c r="K71" s="264">
        <f t="shared" si="0"/>
        <v>3.1099946332941295</v>
      </c>
      <c r="L71" s="65"/>
      <c r="M71" s="65"/>
      <c r="N71" s="65"/>
      <c r="O71" s="65"/>
      <c r="P71" s="263"/>
      <c r="Q71" s="263"/>
      <c r="R71" s="263"/>
      <c r="S71" s="263"/>
      <c r="T71" s="65"/>
      <c r="U71" s="65"/>
      <c r="V71" s="65"/>
      <c r="W71" s="65"/>
      <c r="X71" s="65"/>
      <c r="Y71" s="65"/>
      <c r="Z71" s="65"/>
    </row>
    <row r="72" spans="1:26" ht="15.75" hidden="1" customHeight="1">
      <c r="A72" s="65" t="s">
        <v>116</v>
      </c>
      <c r="B72" s="65" t="s">
        <v>117</v>
      </c>
      <c r="C72" s="65" t="s">
        <v>118</v>
      </c>
      <c r="D72" s="65">
        <v>300259</v>
      </c>
      <c r="E72" s="65" t="s">
        <v>616</v>
      </c>
      <c r="F72" s="66">
        <v>-6712.1</v>
      </c>
      <c r="G72" s="66">
        <v>-2158.23</v>
      </c>
      <c r="H72" s="65" t="str">
        <f>VLOOKUP(D72,'COA1'!D:I,3,0)</f>
        <v>BS</v>
      </c>
      <c r="I72" s="65" t="str">
        <f>VLOOKUP(D72,'COA1'!D:I,4,0)</f>
        <v>Trade payables</v>
      </c>
      <c r="J72" s="65">
        <f>VLOOKUP(D72,'COA1'!D:I,5,0)</f>
        <v>0</v>
      </c>
      <c r="K72" s="264">
        <f t="shared" si="0"/>
        <v>3.110002177710439</v>
      </c>
      <c r="L72" s="65"/>
      <c r="M72" s="65"/>
      <c r="N72" s="65"/>
      <c r="O72" s="65"/>
      <c r="P72" s="263"/>
      <c r="Q72" s="263"/>
      <c r="R72" s="263"/>
      <c r="S72" s="263"/>
      <c r="T72" s="65"/>
      <c r="U72" s="65"/>
      <c r="V72" s="65"/>
      <c r="W72" s="65"/>
      <c r="X72" s="65"/>
      <c r="Y72" s="65"/>
      <c r="Z72" s="65"/>
    </row>
    <row r="73" spans="1:26" ht="15.75" hidden="1" customHeight="1">
      <c r="A73" s="65" t="s">
        <v>116</v>
      </c>
      <c r="B73" s="65" t="s">
        <v>117</v>
      </c>
      <c r="C73" s="65" t="s">
        <v>118</v>
      </c>
      <c r="D73" s="65">
        <v>300263</v>
      </c>
      <c r="E73" s="65" t="s">
        <v>737</v>
      </c>
      <c r="F73" s="66">
        <v>777.5</v>
      </c>
      <c r="G73" s="66">
        <v>250</v>
      </c>
      <c r="H73" s="65" t="str">
        <f>VLOOKUP(D73,'COA1'!D:I,3,0)</f>
        <v>BS</v>
      </c>
      <c r="I73" s="65" t="str">
        <f>VLOOKUP(D73,'COA1'!D:I,4,0)</f>
        <v>Trade payables</v>
      </c>
      <c r="J73" s="65">
        <f>VLOOKUP(D73,'COA1'!D:I,5,0)</f>
        <v>0</v>
      </c>
      <c r="K73" s="264">
        <f t="shared" si="0"/>
        <v>3.11</v>
      </c>
      <c r="L73" s="65"/>
      <c r="M73" s="65"/>
      <c r="N73" s="65"/>
      <c r="O73" s="65"/>
      <c r="P73" s="263"/>
      <c r="Q73" s="263"/>
      <c r="R73" s="263"/>
      <c r="S73" s="263"/>
      <c r="T73" s="65"/>
      <c r="U73" s="65"/>
      <c r="V73" s="65"/>
      <c r="W73" s="65"/>
      <c r="X73" s="65"/>
      <c r="Y73" s="65"/>
      <c r="Z73" s="65"/>
    </row>
    <row r="74" spans="1:26" ht="15.75" hidden="1" customHeight="1">
      <c r="A74" s="65" t="s">
        <v>116</v>
      </c>
      <c r="B74" s="65" t="s">
        <v>117</v>
      </c>
      <c r="C74" s="65" t="s">
        <v>118</v>
      </c>
      <c r="D74" s="65">
        <v>300268</v>
      </c>
      <c r="E74" s="65" t="s">
        <v>742</v>
      </c>
      <c r="F74" s="66">
        <v>-7023</v>
      </c>
      <c r="G74" s="66">
        <v>-2258.1999999999998</v>
      </c>
      <c r="H74" s="65" t="str">
        <f>VLOOKUP(D74,'COA1'!D:I,3,0)</f>
        <v>BS</v>
      </c>
      <c r="I74" s="65" t="str">
        <f>VLOOKUP(D74,'COA1'!D:I,4,0)</f>
        <v>Trade payables</v>
      </c>
      <c r="J74" s="65">
        <f>VLOOKUP(D74,'COA1'!D:I,5,0)</f>
        <v>0</v>
      </c>
      <c r="K74" s="264">
        <f t="shared" si="0"/>
        <v>3.1099991143388541</v>
      </c>
      <c r="L74" s="65"/>
      <c r="M74" s="65"/>
      <c r="N74" s="65"/>
      <c r="O74" s="65"/>
      <c r="P74" s="263"/>
      <c r="Q74" s="263"/>
      <c r="R74" s="263"/>
      <c r="S74" s="263"/>
      <c r="T74" s="65"/>
      <c r="U74" s="65"/>
      <c r="V74" s="65"/>
      <c r="W74" s="65"/>
      <c r="X74" s="65"/>
      <c r="Y74" s="65"/>
      <c r="Z74" s="65"/>
    </row>
    <row r="75" spans="1:26" ht="15.75" hidden="1" customHeight="1">
      <c r="A75" s="65" t="s">
        <v>116</v>
      </c>
      <c r="B75" s="65" t="s">
        <v>117</v>
      </c>
      <c r="C75" s="65" t="s">
        <v>118</v>
      </c>
      <c r="D75" s="65">
        <v>300275</v>
      </c>
      <c r="E75" s="65" t="s">
        <v>783</v>
      </c>
      <c r="F75" s="66">
        <v>-11261</v>
      </c>
      <c r="G75" s="66">
        <v>-3620.9</v>
      </c>
      <c r="H75" s="65" t="str">
        <f>VLOOKUP(D75,'COA1'!D:I,3,0)</f>
        <v>BS</v>
      </c>
      <c r="I75" s="65" t="str">
        <f>VLOOKUP(D75,'COA1'!D:I,4,0)</f>
        <v>Trade payables</v>
      </c>
      <c r="J75" s="65">
        <f>VLOOKUP(D75,'COA1'!D:I,5,0)</f>
        <v>0</v>
      </c>
      <c r="K75" s="264">
        <f t="shared" si="0"/>
        <v>3.1100002761744316</v>
      </c>
      <c r="L75" s="65"/>
      <c r="M75" s="65"/>
      <c r="N75" s="65"/>
      <c r="O75" s="65"/>
      <c r="P75" s="263"/>
      <c r="Q75" s="263"/>
      <c r="R75" s="263"/>
      <c r="S75" s="263"/>
      <c r="T75" s="65"/>
      <c r="U75" s="65"/>
      <c r="V75" s="65"/>
      <c r="W75" s="65"/>
      <c r="X75" s="65"/>
      <c r="Y75" s="65"/>
      <c r="Z75" s="65"/>
    </row>
    <row r="76" spans="1:26" ht="15.75" hidden="1" customHeight="1">
      <c r="A76" s="65" t="s">
        <v>116</v>
      </c>
      <c r="B76" s="65" t="s">
        <v>117</v>
      </c>
      <c r="C76" s="65" t="s">
        <v>118</v>
      </c>
      <c r="D76" s="65">
        <v>300282</v>
      </c>
      <c r="E76" s="65" t="s">
        <v>787</v>
      </c>
      <c r="F76" s="66">
        <v>-64178.89</v>
      </c>
      <c r="G76" s="66">
        <v>-20636.3</v>
      </c>
      <c r="H76" s="65" t="str">
        <f>VLOOKUP(D76,'COA1'!D:I,3,0)</f>
        <v>BS</v>
      </c>
      <c r="I76" s="65" t="str">
        <f>VLOOKUP(D76,'COA1'!D:I,4,0)</f>
        <v>Trade payables</v>
      </c>
      <c r="J76" s="65">
        <f>VLOOKUP(D76,'COA1'!D:I,5,0)</f>
        <v>0</v>
      </c>
      <c r="K76" s="264">
        <f t="shared" si="0"/>
        <v>3.1099998546251024</v>
      </c>
      <c r="L76" s="65"/>
      <c r="M76" s="65"/>
      <c r="N76" s="65"/>
      <c r="O76" s="65"/>
      <c r="P76" s="263"/>
      <c r="Q76" s="263"/>
      <c r="R76" s="263"/>
      <c r="S76" s="263"/>
      <c r="T76" s="65"/>
      <c r="U76" s="65"/>
      <c r="V76" s="65"/>
      <c r="W76" s="65"/>
      <c r="X76" s="65"/>
      <c r="Y76" s="65"/>
      <c r="Z76" s="65"/>
    </row>
    <row r="77" spans="1:26" ht="15.75" hidden="1" customHeight="1">
      <c r="A77" s="65" t="s">
        <v>116</v>
      </c>
      <c r="B77" s="65" t="s">
        <v>117</v>
      </c>
      <c r="C77" s="65" t="s">
        <v>234</v>
      </c>
      <c r="D77" s="65">
        <v>310001</v>
      </c>
      <c r="E77" s="65" t="s">
        <v>580</v>
      </c>
      <c r="F77" s="66">
        <v>-48621.74</v>
      </c>
      <c r="G77" s="66">
        <v>-15634</v>
      </c>
      <c r="H77" s="65" t="str">
        <f>VLOOKUP(D77,'COA1'!D:I,3,0)</f>
        <v>BS</v>
      </c>
      <c r="I77" s="65" t="str">
        <f>VLOOKUP(D77,'COA1'!D:I,4,0)</f>
        <v>Trade payables</v>
      </c>
      <c r="J77" s="65">
        <f>VLOOKUP(D77,'COA1'!D:I,5,0)</f>
        <v>0</v>
      </c>
      <c r="K77" s="264">
        <f t="shared" si="0"/>
        <v>3.11</v>
      </c>
      <c r="L77" s="65"/>
      <c r="M77" s="65"/>
      <c r="N77" s="65"/>
      <c r="O77" s="65"/>
      <c r="P77" s="263"/>
      <c r="Q77" s="263"/>
      <c r="R77" s="263"/>
      <c r="S77" s="263"/>
      <c r="T77" s="65"/>
      <c r="U77" s="65"/>
      <c r="V77" s="65"/>
      <c r="W77" s="65"/>
      <c r="X77" s="65"/>
      <c r="Y77" s="65"/>
      <c r="Z77" s="65"/>
    </row>
    <row r="78" spans="1:26" ht="15.75" hidden="1" customHeight="1">
      <c r="A78" s="65" t="s">
        <v>116</v>
      </c>
      <c r="B78" s="65" t="s">
        <v>117</v>
      </c>
      <c r="C78" s="65" t="s">
        <v>234</v>
      </c>
      <c r="D78" s="65">
        <v>310003</v>
      </c>
      <c r="E78" s="65" t="s">
        <v>619</v>
      </c>
      <c r="F78" s="66">
        <v>-1344.83</v>
      </c>
      <c r="G78" s="66">
        <v>-432.42</v>
      </c>
      <c r="H78" s="65" t="str">
        <f>VLOOKUP(D78,'COA1'!D:I,3,0)</f>
        <v>BS</v>
      </c>
      <c r="I78" s="65" t="str">
        <f>VLOOKUP(D78,'COA1'!D:I,4,0)</f>
        <v>Trade payables</v>
      </c>
      <c r="J78" s="65">
        <f>VLOOKUP(D78,'COA1'!D:I,5,0)</f>
        <v>0</v>
      </c>
      <c r="K78" s="264">
        <f t="shared" si="0"/>
        <v>3.1100087877526477</v>
      </c>
      <c r="L78" s="65"/>
      <c r="M78" s="65"/>
      <c r="N78" s="65"/>
      <c r="O78" s="65"/>
      <c r="P78" s="263"/>
      <c r="Q78" s="263"/>
      <c r="R78" s="263"/>
      <c r="S78" s="263"/>
      <c r="T78" s="65"/>
      <c r="U78" s="65"/>
      <c r="V78" s="65"/>
      <c r="W78" s="65"/>
      <c r="X78" s="65"/>
      <c r="Y78" s="65"/>
      <c r="Z78" s="65"/>
    </row>
    <row r="79" spans="1:26" ht="15.75" hidden="1" customHeight="1">
      <c r="A79" s="65" t="s">
        <v>116</v>
      </c>
      <c r="B79" s="65" t="s">
        <v>117</v>
      </c>
      <c r="C79" s="65" t="s">
        <v>234</v>
      </c>
      <c r="D79" s="65">
        <v>310006</v>
      </c>
      <c r="E79" s="65" t="s">
        <v>779</v>
      </c>
      <c r="F79" s="66">
        <v>-125470.94</v>
      </c>
      <c r="G79" s="66">
        <v>-40344.35</v>
      </c>
      <c r="H79" s="65" t="str">
        <f>VLOOKUP(D79,'COA1'!D:I,3,0)</f>
        <v>BS</v>
      </c>
      <c r="I79" s="65" t="str">
        <f>VLOOKUP(D79,'COA1'!D:I,4,0)</f>
        <v>Trade payables</v>
      </c>
      <c r="J79" s="65">
        <f>VLOOKUP(D79,'COA1'!D:I,5,0)</f>
        <v>0</v>
      </c>
      <c r="K79" s="264">
        <f t="shared" si="0"/>
        <v>3.1100002850461093</v>
      </c>
      <c r="L79" s="65"/>
      <c r="M79" s="65"/>
      <c r="N79" s="65"/>
      <c r="O79" s="65"/>
      <c r="P79" s="263"/>
      <c r="Q79" s="263"/>
      <c r="R79" s="263"/>
      <c r="S79" s="263"/>
      <c r="T79" s="65"/>
      <c r="U79" s="65"/>
      <c r="V79" s="65"/>
      <c r="W79" s="65"/>
      <c r="X79" s="65"/>
      <c r="Y79" s="65"/>
      <c r="Z79" s="65"/>
    </row>
    <row r="80" spans="1:26" ht="15.75" hidden="1" customHeight="1">
      <c r="A80" s="65" t="s">
        <v>116</v>
      </c>
      <c r="B80" s="65" t="s">
        <v>117</v>
      </c>
      <c r="C80" s="65" t="s">
        <v>234</v>
      </c>
      <c r="D80" s="65">
        <v>310010</v>
      </c>
      <c r="E80" s="65" t="s">
        <v>780</v>
      </c>
      <c r="F80" s="66">
        <v>61598.25</v>
      </c>
      <c r="G80" s="66">
        <v>19806.509999999998</v>
      </c>
      <c r="H80" s="65" t="str">
        <f>VLOOKUP(D80,'COA1'!D:I,3,0)</f>
        <v>BS</v>
      </c>
      <c r="I80" s="65" t="str">
        <f>VLOOKUP(D80,'COA1'!D:I,4,0)</f>
        <v>Other accounts receivable</v>
      </c>
      <c r="J80" s="65">
        <f>VLOOKUP(D80,'COA1'!D:I,5,0)</f>
        <v>0</v>
      </c>
      <c r="K80" s="264">
        <f t="shared" si="0"/>
        <v>3.1100001969049571</v>
      </c>
      <c r="L80" s="65"/>
      <c r="M80" s="65"/>
      <c r="N80" s="65"/>
      <c r="O80" s="65"/>
      <c r="P80" s="263"/>
      <c r="Q80" s="263"/>
      <c r="R80" s="263"/>
      <c r="S80" s="263"/>
      <c r="T80" s="65"/>
      <c r="U80" s="65"/>
      <c r="V80" s="65"/>
      <c r="W80" s="65"/>
      <c r="X80" s="65"/>
      <c r="Y80" s="65"/>
      <c r="Z80" s="65"/>
    </row>
    <row r="81" spans="1:26" ht="15.75" hidden="1" customHeight="1">
      <c r="A81" s="65" t="s">
        <v>116</v>
      </c>
      <c r="B81" s="65" t="s">
        <v>117</v>
      </c>
      <c r="C81" s="65" t="s">
        <v>234</v>
      </c>
      <c r="D81" s="65">
        <v>310018</v>
      </c>
      <c r="E81" s="65" t="s">
        <v>825</v>
      </c>
      <c r="F81" s="66">
        <v>-5604353.79</v>
      </c>
      <c r="G81" s="66">
        <v>-1802043.02</v>
      </c>
      <c r="H81" s="65" t="str">
        <f>VLOOKUP(D81,'COA1'!D:I,3,0)</f>
        <v>BS</v>
      </c>
      <c r="I81" s="65" t="str">
        <f>VLOOKUP(D81,'COA1'!D:I,4,0)</f>
        <v>Trade payables</v>
      </c>
      <c r="J81" s="65">
        <f>VLOOKUP(D81,'COA1'!D:I,5,0)</f>
        <v>0</v>
      </c>
      <c r="K81" s="264">
        <f t="shared" si="0"/>
        <v>3.1099999987791636</v>
      </c>
      <c r="L81" s="65"/>
      <c r="M81" s="65"/>
      <c r="N81" s="65"/>
      <c r="O81" s="65"/>
      <c r="P81" s="263"/>
      <c r="Q81" s="263"/>
      <c r="R81" s="263"/>
      <c r="S81" s="263"/>
      <c r="T81" s="65"/>
      <c r="U81" s="65"/>
      <c r="V81" s="65"/>
      <c r="W81" s="65"/>
      <c r="X81" s="65"/>
      <c r="Y81" s="65"/>
      <c r="Z81" s="65"/>
    </row>
    <row r="82" spans="1:26" ht="15.75" hidden="1" customHeight="1">
      <c r="A82" s="65" t="s">
        <v>116</v>
      </c>
      <c r="B82" s="65" t="s">
        <v>117</v>
      </c>
      <c r="C82" s="65" t="s">
        <v>234</v>
      </c>
      <c r="D82" s="65">
        <v>310024</v>
      </c>
      <c r="E82" s="65" t="s">
        <v>624</v>
      </c>
      <c r="F82" s="66">
        <v>-11615222.060000001</v>
      </c>
      <c r="G82" s="66">
        <v>-3734798.09</v>
      </c>
      <c r="H82" s="65" t="str">
        <f>VLOOKUP(D82,'COA1'!D:I,3,0)</f>
        <v>BS</v>
      </c>
      <c r="I82" s="65" t="str">
        <f>VLOOKUP(D82,'COA1'!D:I,4,0)</f>
        <v>Trade payables</v>
      </c>
      <c r="J82" s="65">
        <f>VLOOKUP(D82,'COA1'!D:I,5,0)</f>
        <v>0</v>
      </c>
      <c r="K82" s="264">
        <f t="shared" si="0"/>
        <v>3.1100000000267753</v>
      </c>
      <c r="L82" s="65"/>
      <c r="M82" s="65"/>
      <c r="N82" s="65"/>
      <c r="O82" s="65"/>
      <c r="P82" s="263"/>
      <c r="Q82" s="263"/>
      <c r="R82" s="263"/>
      <c r="S82" s="263"/>
      <c r="T82" s="65"/>
      <c r="U82" s="65"/>
      <c r="V82" s="65"/>
      <c r="W82" s="65"/>
      <c r="X82" s="65"/>
      <c r="Y82" s="65"/>
      <c r="Z82" s="65"/>
    </row>
    <row r="83" spans="1:26" ht="15.75" hidden="1" customHeight="1">
      <c r="A83" s="65" t="s">
        <v>116</v>
      </c>
      <c r="B83" s="65" t="s">
        <v>117</v>
      </c>
      <c r="C83" s="65" t="s">
        <v>234</v>
      </c>
      <c r="D83" s="65">
        <v>310025</v>
      </c>
      <c r="E83" s="65" t="s">
        <v>242</v>
      </c>
      <c r="F83" s="66">
        <v>-27851.95</v>
      </c>
      <c r="G83" s="66">
        <v>-8955.61</v>
      </c>
      <c r="H83" s="65" t="str">
        <f>VLOOKUP(D83,'COA1'!D:I,3,0)</f>
        <v>BS</v>
      </c>
      <c r="I83" s="65" t="str">
        <f>VLOOKUP(D83,'COA1'!D:I,4,0)</f>
        <v>Trade payables</v>
      </c>
      <c r="J83" s="65">
        <f>VLOOKUP(D83,'COA1'!D:I,5,0)</f>
        <v>0</v>
      </c>
      <c r="K83" s="264">
        <f t="shared" si="0"/>
        <v>3.1100003238193712</v>
      </c>
      <c r="L83" s="65"/>
      <c r="M83" s="65"/>
      <c r="N83" s="65"/>
      <c r="O83" s="65"/>
      <c r="P83" s="263"/>
      <c r="Q83" s="263"/>
      <c r="R83" s="263"/>
      <c r="S83" s="263"/>
      <c r="T83" s="65"/>
      <c r="U83" s="65"/>
      <c r="V83" s="65"/>
      <c r="W83" s="65"/>
      <c r="X83" s="65"/>
      <c r="Y83" s="65"/>
      <c r="Z83" s="65"/>
    </row>
    <row r="84" spans="1:26" ht="15.75" hidden="1" customHeight="1">
      <c r="A84" s="65" t="s">
        <v>116</v>
      </c>
      <c r="B84" s="65" t="s">
        <v>117</v>
      </c>
      <c r="C84" s="65" t="s">
        <v>234</v>
      </c>
      <c r="D84" s="65">
        <v>310030</v>
      </c>
      <c r="E84" s="65" t="s">
        <v>243</v>
      </c>
      <c r="F84" s="66">
        <v>1369.65</v>
      </c>
      <c r="G84" s="66">
        <v>440.4</v>
      </c>
      <c r="H84" s="65" t="str">
        <f>VLOOKUP(D84,'COA1'!D:I,3,0)</f>
        <v>BS</v>
      </c>
      <c r="I84" s="65" t="str">
        <f>VLOOKUP(D84,'COA1'!D:I,4,0)</f>
        <v>Trade payables</v>
      </c>
      <c r="J84" s="65">
        <f>VLOOKUP(D84,'COA1'!D:I,5,0)</f>
        <v>0</v>
      </c>
      <c r="K84" s="264">
        <f t="shared" si="0"/>
        <v>3.1100136239782019</v>
      </c>
      <c r="L84" s="65"/>
      <c r="M84" s="65"/>
      <c r="N84" s="65"/>
      <c r="O84" s="65"/>
      <c r="P84" s="263"/>
      <c r="Q84" s="263"/>
      <c r="R84" s="263"/>
      <c r="S84" s="263"/>
      <c r="T84" s="65"/>
      <c r="U84" s="65"/>
      <c r="V84" s="65"/>
      <c r="W84" s="65"/>
      <c r="X84" s="65"/>
      <c r="Y84" s="65"/>
      <c r="Z84" s="65"/>
    </row>
    <row r="85" spans="1:26" ht="15.75" hidden="1" customHeight="1">
      <c r="A85" s="65" t="s">
        <v>116</v>
      </c>
      <c r="B85" s="65" t="s">
        <v>117</v>
      </c>
      <c r="C85" s="65" t="s">
        <v>234</v>
      </c>
      <c r="D85" s="65">
        <v>310033</v>
      </c>
      <c r="E85" s="65" t="s">
        <v>626</v>
      </c>
      <c r="F85" s="66">
        <v>-2275125.48</v>
      </c>
      <c r="G85" s="66">
        <v>-731551.6</v>
      </c>
      <c r="H85" s="65" t="str">
        <f>VLOOKUP(D85,'COA1'!D:I,3,0)</f>
        <v>BS</v>
      </c>
      <c r="I85" s="65" t="str">
        <f>VLOOKUP(D85,'COA1'!D:I,4,0)</f>
        <v>Trade payables</v>
      </c>
      <c r="J85" s="65">
        <f>VLOOKUP(D85,'COA1'!D:I,5,0)</f>
        <v>0</v>
      </c>
      <c r="K85" s="264">
        <f t="shared" si="0"/>
        <v>3.1100000054678305</v>
      </c>
      <c r="L85" s="65"/>
      <c r="M85" s="65"/>
      <c r="N85" s="65"/>
      <c r="O85" s="65"/>
      <c r="P85" s="263"/>
      <c r="Q85" s="263"/>
      <c r="R85" s="263"/>
      <c r="S85" s="263"/>
      <c r="T85" s="65"/>
      <c r="U85" s="65"/>
      <c r="V85" s="65"/>
      <c r="W85" s="65"/>
      <c r="X85" s="65"/>
      <c r="Y85" s="65"/>
      <c r="Z85" s="65"/>
    </row>
    <row r="86" spans="1:26" ht="15.75" hidden="1" customHeight="1">
      <c r="A86" s="65" t="s">
        <v>116</v>
      </c>
      <c r="B86" s="65" t="s">
        <v>117</v>
      </c>
      <c r="C86" s="65" t="s">
        <v>234</v>
      </c>
      <c r="D86" s="65">
        <v>310052</v>
      </c>
      <c r="E86" s="65" t="s">
        <v>558</v>
      </c>
      <c r="F86" s="66">
        <v>-93224841.689999998</v>
      </c>
      <c r="G86" s="66">
        <v>-29975833.34</v>
      </c>
      <c r="H86" s="65" t="str">
        <f>VLOOKUP(D86,'COA1'!D:I,3,0)</f>
        <v>BS</v>
      </c>
      <c r="I86" s="65" t="str">
        <f>VLOOKUP(D86,'COA1'!D:I,4,0)</f>
        <v>Related Party</v>
      </c>
      <c r="J86" s="65">
        <f>VLOOKUP(D86,'COA1'!D:I,5,0)</f>
        <v>0</v>
      </c>
      <c r="K86" s="264">
        <f t="shared" si="0"/>
        <v>3.1100000000867363</v>
      </c>
      <c r="L86" s="65"/>
      <c r="M86" s="65"/>
      <c r="N86" s="65"/>
      <c r="O86" s="65"/>
      <c r="P86" s="263"/>
      <c r="Q86" s="263"/>
      <c r="R86" s="263"/>
      <c r="S86" s="263"/>
      <c r="T86" s="65"/>
      <c r="U86" s="65"/>
      <c r="V86" s="65"/>
      <c r="W86" s="65"/>
      <c r="X86" s="65"/>
      <c r="Y86" s="65"/>
      <c r="Z86" s="65"/>
    </row>
    <row r="87" spans="1:26" ht="15.75" hidden="1" customHeight="1">
      <c r="A87" s="65" t="s">
        <v>116</v>
      </c>
      <c r="B87" s="65" t="s">
        <v>117</v>
      </c>
      <c r="C87" s="65" t="s">
        <v>234</v>
      </c>
      <c r="D87" s="65">
        <v>310054</v>
      </c>
      <c r="E87" s="65" t="s">
        <v>727</v>
      </c>
      <c r="F87" s="66">
        <v>-48.89</v>
      </c>
      <c r="G87" s="66">
        <v>-15.72</v>
      </c>
      <c r="H87" s="65" t="str">
        <f>VLOOKUP(D87,'COA1'!D:I,3,0)</f>
        <v>BS</v>
      </c>
      <c r="I87" s="65" t="str">
        <f>VLOOKUP(D87,'COA1'!D:I,4,0)</f>
        <v>Trade payables</v>
      </c>
      <c r="J87" s="65">
        <f>VLOOKUP(D87,'COA1'!D:I,5,0)</f>
        <v>0</v>
      </c>
      <c r="K87" s="264">
        <f t="shared" si="0"/>
        <v>3.1100508905852418</v>
      </c>
      <c r="L87" s="65"/>
      <c r="M87" s="65"/>
      <c r="N87" s="65"/>
      <c r="O87" s="65"/>
      <c r="P87" s="263"/>
      <c r="Q87" s="263"/>
      <c r="R87" s="263"/>
      <c r="S87" s="263"/>
      <c r="T87" s="65"/>
      <c r="U87" s="65"/>
      <c r="V87" s="65"/>
      <c r="W87" s="65"/>
      <c r="X87" s="65"/>
      <c r="Y87" s="65"/>
      <c r="Z87" s="65"/>
    </row>
    <row r="88" spans="1:26" ht="15.75" hidden="1" customHeight="1">
      <c r="A88" s="65" t="s">
        <v>116</v>
      </c>
      <c r="B88" s="65" t="s">
        <v>117</v>
      </c>
      <c r="C88" s="65" t="s">
        <v>234</v>
      </c>
      <c r="D88" s="65">
        <v>310058</v>
      </c>
      <c r="E88" s="65" t="s">
        <v>784</v>
      </c>
      <c r="F88" s="66">
        <v>-31100</v>
      </c>
      <c r="G88" s="66">
        <v>-10000</v>
      </c>
      <c r="H88" s="65" t="str">
        <f>VLOOKUP(D88,'COA1'!D:I,3,0)</f>
        <v>BS</v>
      </c>
      <c r="I88" s="65" t="str">
        <f>VLOOKUP(D88,'COA1'!D:I,4,0)</f>
        <v>Trade payables</v>
      </c>
      <c r="J88" s="65">
        <f>VLOOKUP(D88,'COA1'!D:I,5,0)</f>
        <v>0</v>
      </c>
      <c r="K88" s="264">
        <f t="shared" si="0"/>
        <v>3.11</v>
      </c>
      <c r="L88" s="65"/>
      <c r="M88" s="65"/>
      <c r="N88" s="65"/>
      <c r="O88" s="65"/>
      <c r="P88" s="263"/>
      <c r="Q88" s="263"/>
      <c r="R88" s="263"/>
      <c r="S88" s="263"/>
      <c r="T88" s="65"/>
      <c r="U88" s="65"/>
      <c r="V88" s="65"/>
      <c r="W88" s="65"/>
      <c r="X88" s="65"/>
      <c r="Y88" s="65"/>
      <c r="Z88" s="65"/>
    </row>
    <row r="89" spans="1:26" ht="15.75" hidden="1" customHeight="1">
      <c r="A89" s="65" t="s">
        <v>116</v>
      </c>
      <c r="B89" s="65" t="s">
        <v>117</v>
      </c>
      <c r="C89" s="65" t="s">
        <v>234</v>
      </c>
      <c r="D89" s="65">
        <v>310077</v>
      </c>
      <c r="E89" s="65" t="s">
        <v>680</v>
      </c>
      <c r="F89" s="66">
        <v>-113631.63</v>
      </c>
      <c r="G89" s="66">
        <v>-36537.5</v>
      </c>
      <c r="H89" s="65" t="str">
        <f>VLOOKUP(D89,'COA1'!D:I,3,0)</f>
        <v>BS</v>
      </c>
      <c r="I89" s="65" t="str">
        <f>VLOOKUP(D89,'COA1'!D:I,4,0)</f>
        <v>Trade payables</v>
      </c>
      <c r="J89" s="65">
        <f>VLOOKUP(D89,'COA1'!D:I,5,0)</f>
        <v>0</v>
      </c>
      <c r="K89" s="264">
        <f t="shared" si="0"/>
        <v>3.1100001368457066</v>
      </c>
      <c r="L89" s="65"/>
      <c r="M89" s="65"/>
      <c r="N89" s="65"/>
      <c r="O89" s="65"/>
      <c r="P89" s="263"/>
      <c r="Q89" s="263"/>
      <c r="R89" s="263"/>
      <c r="S89" s="263"/>
      <c r="T89" s="65"/>
      <c r="U89" s="65"/>
      <c r="V89" s="65"/>
      <c r="W89" s="65"/>
      <c r="X89" s="65"/>
      <c r="Y89" s="65"/>
      <c r="Z89" s="65"/>
    </row>
    <row r="90" spans="1:26" ht="15.75" hidden="1" customHeight="1">
      <c r="A90" s="65" t="s">
        <v>116</v>
      </c>
      <c r="B90" s="65" t="s">
        <v>117</v>
      </c>
      <c r="C90" s="65" t="s">
        <v>234</v>
      </c>
      <c r="D90" s="65">
        <v>310086</v>
      </c>
      <c r="E90" s="65" t="s">
        <v>681</v>
      </c>
      <c r="F90" s="66">
        <v>-671.76</v>
      </c>
      <c r="G90" s="66">
        <v>-216</v>
      </c>
      <c r="H90" s="65" t="str">
        <f>VLOOKUP(D90,'COA1'!D:I,3,0)</f>
        <v>BS</v>
      </c>
      <c r="I90" s="65" t="str">
        <f>VLOOKUP(D90,'COA1'!D:I,4,0)</f>
        <v>Trade payables</v>
      </c>
      <c r="J90" s="65">
        <f>VLOOKUP(D90,'COA1'!D:I,5,0)</f>
        <v>0</v>
      </c>
      <c r="K90" s="264">
        <f t="shared" si="0"/>
        <v>3.11</v>
      </c>
      <c r="L90" s="65"/>
      <c r="M90" s="65"/>
      <c r="N90" s="65"/>
      <c r="O90" s="65"/>
      <c r="P90" s="263"/>
      <c r="Q90" s="263"/>
      <c r="R90" s="263"/>
      <c r="S90" s="263"/>
      <c r="T90" s="65"/>
      <c r="U90" s="65"/>
      <c r="V90" s="65"/>
      <c r="W90" s="65"/>
      <c r="X90" s="65"/>
      <c r="Y90" s="65"/>
      <c r="Z90" s="65"/>
    </row>
    <row r="91" spans="1:26" ht="15.75" hidden="1" customHeight="1">
      <c r="A91" s="65" t="s">
        <v>116</v>
      </c>
      <c r="B91" s="65" t="s">
        <v>117</v>
      </c>
      <c r="C91" s="65" t="s">
        <v>234</v>
      </c>
      <c r="D91" s="65">
        <v>310088</v>
      </c>
      <c r="E91" s="65" t="s">
        <v>633</v>
      </c>
      <c r="F91" s="66">
        <v>-3407281.79</v>
      </c>
      <c r="G91" s="66">
        <v>-1095589</v>
      </c>
      <c r="H91" s="65" t="str">
        <f>VLOOKUP(D91,'COA1'!D:I,3,0)</f>
        <v>BS</v>
      </c>
      <c r="I91" s="65" t="str">
        <f>VLOOKUP(D91,'COA1'!D:I,4,0)</f>
        <v>Trade payables</v>
      </c>
      <c r="J91" s="65">
        <f>VLOOKUP(D91,'COA1'!D:I,5,0)</f>
        <v>0</v>
      </c>
      <c r="K91" s="264">
        <f t="shared" si="0"/>
        <v>3.11</v>
      </c>
      <c r="L91" s="65"/>
      <c r="M91" s="65"/>
      <c r="N91" s="65"/>
      <c r="O91" s="65"/>
      <c r="P91" s="263"/>
      <c r="Q91" s="263"/>
      <c r="R91" s="263"/>
      <c r="S91" s="263"/>
      <c r="T91" s="65"/>
      <c r="U91" s="65"/>
      <c r="V91" s="65"/>
      <c r="W91" s="65"/>
      <c r="X91" s="65"/>
      <c r="Y91" s="65"/>
      <c r="Z91" s="65"/>
    </row>
    <row r="92" spans="1:26" ht="15.75" hidden="1" customHeight="1">
      <c r="A92" s="65" t="s">
        <v>116</v>
      </c>
      <c r="B92" s="65" t="s">
        <v>117</v>
      </c>
      <c r="C92" s="65" t="s">
        <v>234</v>
      </c>
      <c r="D92" s="65">
        <v>310093</v>
      </c>
      <c r="E92" s="65" t="s">
        <v>684</v>
      </c>
      <c r="F92" s="66">
        <v>-638.16999999999996</v>
      </c>
      <c r="G92" s="66">
        <v>-205.2</v>
      </c>
      <c r="H92" s="65" t="str">
        <f>VLOOKUP(D92,'COA1'!D:I,3,0)</f>
        <v>BS</v>
      </c>
      <c r="I92" s="65" t="str">
        <f>VLOOKUP(D92,'COA1'!D:I,4,0)</f>
        <v>Trade payables</v>
      </c>
      <c r="J92" s="65">
        <f>VLOOKUP(D92,'COA1'!D:I,5,0)</f>
        <v>0</v>
      </c>
      <c r="K92" s="264">
        <f t="shared" si="0"/>
        <v>3.109990253411306</v>
      </c>
      <c r="L92" s="65"/>
      <c r="M92" s="65"/>
      <c r="N92" s="65"/>
      <c r="O92" s="65"/>
      <c r="P92" s="265"/>
      <c r="Q92" s="265"/>
      <c r="R92" s="265"/>
      <c r="S92" s="265"/>
      <c r="T92" s="65"/>
      <c r="U92" s="65"/>
      <c r="V92" s="65"/>
      <c r="W92" s="65"/>
      <c r="X92" s="65"/>
      <c r="Y92" s="65"/>
      <c r="Z92" s="65"/>
    </row>
    <row r="93" spans="1:26" ht="15.75" hidden="1" customHeight="1">
      <c r="A93" s="65" t="s">
        <v>116</v>
      </c>
      <c r="B93" s="65" t="s">
        <v>117</v>
      </c>
      <c r="C93" s="65" t="s">
        <v>234</v>
      </c>
      <c r="D93" s="65">
        <v>310115</v>
      </c>
      <c r="E93" s="65" t="s">
        <v>635</v>
      </c>
      <c r="F93" s="66">
        <v>-208791.72</v>
      </c>
      <c r="G93" s="66">
        <v>-67135.600000000006</v>
      </c>
      <c r="H93" s="65" t="str">
        <f>VLOOKUP(D93,'COA1'!D:I,3,0)</f>
        <v>BS</v>
      </c>
      <c r="I93" s="65" t="str">
        <f>VLOOKUP(D93,'COA1'!D:I,4,0)</f>
        <v>Trade payables</v>
      </c>
      <c r="J93" s="65">
        <f>VLOOKUP(D93,'COA1'!D:I,5,0)</f>
        <v>0</v>
      </c>
      <c r="K93" s="264">
        <f t="shared" si="0"/>
        <v>3.1100000595809076</v>
      </c>
      <c r="L93" s="65"/>
      <c r="M93" s="65"/>
      <c r="N93" s="65"/>
      <c r="O93" s="65"/>
      <c r="P93" s="263"/>
      <c r="Q93" s="263"/>
      <c r="R93" s="263"/>
      <c r="S93" s="263"/>
      <c r="T93" s="65"/>
      <c r="U93" s="65"/>
      <c r="V93" s="65"/>
      <c r="W93" s="65"/>
      <c r="X93" s="65"/>
      <c r="Y93" s="65"/>
      <c r="Z93" s="65"/>
    </row>
    <row r="94" spans="1:26" ht="15.75" hidden="1" customHeight="1">
      <c r="A94" s="65" t="s">
        <v>116</v>
      </c>
      <c r="B94" s="65" t="s">
        <v>117</v>
      </c>
      <c r="C94" s="65" t="s">
        <v>234</v>
      </c>
      <c r="D94" s="65">
        <v>310116</v>
      </c>
      <c r="E94" s="65" t="s">
        <v>636</v>
      </c>
      <c r="F94" s="66">
        <v>-22549.119999999999</v>
      </c>
      <c r="G94" s="66">
        <v>-7250.52</v>
      </c>
      <c r="H94" s="65" t="str">
        <f>VLOOKUP(D94,'COA1'!D:I,3,0)</f>
        <v>BS</v>
      </c>
      <c r="I94" s="65" t="str">
        <f>VLOOKUP(D94,'COA1'!D:I,4,0)</f>
        <v>Trade payables</v>
      </c>
      <c r="J94" s="65">
        <f>VLOOKUP(D94,'COA1'!D:I,5,0)</f>
        <v>0</v>
      </c>
      <c r="K94" s="264">
        <f t="shared" si="0"/>
        <v>3.1100003861791978</v>
      </c>
      <c r="L94" s="65"/>
      <c r="M94" s="65"/>
      <c r="N94" s="65"/>
      <c r="O94" s="65"/>
      <c r="P94" s="263"/>
      <c r="Q94" s="263"/>
      <c r="R94" s="263"/>
      <c r="S94" s="263"/>
      <c r="T94" s="65"/>
      <c r="U94" s="65"/>
      <c r="V94" s="65"/>
      <c r="W94" s="65"/>
      <c r="X94" s="65"/>
      <c r="Y94" s="65"/>
      <c r="Z94" s="65"/>
    </row>
    <row r="95" spans="1:26" ht="15.75" hidden="1" customHeight="1">
      <c r="A95" s="65" t="s">
        <v>116</v>
      </c>
      <c r="B95" s="65" t="s">
        <v>117</v>
      </c>
      <c r="C95" s="65" t="s">
        <v>234</v>
      </c>
      <c r="D95" s="65">
        <v>310119</v>
      </c>
      <c r="E95" s="65" t="s">
        <v>637</v>
      </c>
      <c r="F95" s="66">
        <v>-859867.29</v>
      </c>
      <c r="G95" s="66">
        <v>-276484.65999999997</v>
      </c>
      <c r="H95" s="65" t="str">
        <f>VLOOKUP(D95,'COA1'!D:I,3,0)</f>
        <v>BS</v>
      </c>
      <c r="I95" s="65" t="str">
        <f>VLOOKUP(D95,'COA1'!D:I,4,0)</f>
        <v>Trade payables</v>
      </c>
      <c r="J95" s="65">
        <f>VLOOKUP(D95,'COA1'!D:I,5,0)</f>
        <v>0</v>
      </c>
      <c r="K95" s="264">
        <f t="shared" si="0"/>
        <v>3.1099999905962239</v>
      </c>
      <c r="L95" s="65"/>
      <c r="M95" s="65"/>
      <c r="N95" s="65"/>
      <c r="O95" s="65"/>
      <c r="P95" s="263"/>
      <c r="Q95" s="263"/>
      <c r="R95" s="263"/>
      <c r="S95" s="263"/>
      <c r="T95" s="65"/>
      <c r="U95" s="65"/>
      <c r="V95" s="65"/>
      <c r="W95" s="65"/>
      <c r="X95" s="65"/>
      <c r="Y95" s="65"/>
      <c r="Z95" s="65"/>
    </row>
    <row r="96" spans="1:26" ht="15.75" hidden="1" customHeight="1">
      <c r="A96" s="65" t="s">
        <v>116</v>
      </c>
      <c r="B96" s="65" t="s">
        <v>117</v>
      </c>
      <c r="C96" s="65" t="s">
        <v>234</v>
      </c>
      <c r="D96" s="65">
        <v>310121</v>
      </c>
      <c r="E96" s="65" t="s">
        <v>232</v>
      </c>
      <c r="F96" s="66">
        <v>-101497.96</v>
      </c>
      <c r="G96" s="66">
        <v>-32636</v>
      </c>
      <c r="H96" s="65" t="str">
        <f>VLOOKUP(D96,'COA1'!D:I,3,0)</f>
        <v>BS</v>
      </c>
      <c r="I96" s="65" t="str">
        <f>VLOOKUP(D96,'COA1'!D:I,4,0)</f>
        <v>Trade payables</v>
      </c>
      <c r="J96" s="65">
        <f>VLOOKUP(D96,'COA1'!D:I,5,0)</f>
        <v>0</v>
      </c>
      <c r="K96" s="264">
        <f t="shared" si="0"/>
        <v>3.1100000000000003</v>
      </c>
      <c r="L96" s="65"/>
      <c r="M96" s="65"/>
      <c r="N96" s="65"/>
      <c r="O96" s="65"/>
      <c r="P96" s="263"/>
      <c r="Q96" s="263"/>
      <c r="R96" s="263"/>
      <c r="S96" s="263"/>
      <c r="T96" s="65"/>
      <c r="U96" s="65"/>
      <c r="V96" s="65"/>
      <c r="W96" s="65"/>
      <c r="X96" s="65"/>
      <c r="Y96" s="65"/>
      <c r="Z96" s="65"/>
    </row>
    <row r="97" spans="1:26" ht="15.75" hidden="1" customHeight="1">
      <c r="A97" s="65" t="s">
        <v>116</v>
      </c>
      <c r="B97" s="65" t="s">
        <v>117</v>
      </c>
      <c r="C97" s="65" t="s">
        <v>234</v>
      </c>
      <c r="D97" s="65">
        <v>310130</v>
      </c>
      <c r="E97" s="65" t="s">
        <v>542</v>
      </c>
      <c r="F97" s="66">
        <v>-966.25</v>
      </c>
      <c r="G97" s="66">
        <v>-310.69</v>
      </c>
      <c r="H97" s="65" t="str">
        <f>VLOOKUP(D97,'COA1'!D:I,3,0)</f>
        <v>BS</v>
      </c>
      <c r="I97" s="65" t="str">
        <f>VLOOKUP(D97,'COA1'!D:I,4,0)</f>
        <v>Trade payables</v>
      </c>
      <c r="J97" s="65">
        <f>VLOOKUP(D97,'COA1'!D:I,5,0)</f>
        <v>0</v>
      </c>
      <c r="K97" s="264">
        <f t="shared" si="0"/>
        <v>3.1100131964337443</v>
      </c>
      <c r="L97" s="65"/>
      <c r="M97" s="65"/>
      <c r="N97" s="65"/>
      <c r="O97" s="65"/>
      <c r="P97" s="263"/>
      <c r="Q97" s="263"/>
      <c r="R97" s="263"/>
      <c r="S97" s="263"/>
      <c r="T97" s="65"/>
      <c r="U97" s="65"/>
      <c r="V97" s="65"/>
      <c r="W97" s="65"/>
      <c r="X97" s="65"/>
      <c r="Y97" s="65"/>
      <c r="Z97" s="65"/>
    </row>
    <row r="98" spans="1:26" ht="15.75" hidden="1" customHeight="1">
      <c r="A98" s="65" t="s">
        <v>116</v>
      </c>
      <c r="B98" s="65" t="s">
        <v>117</v>
      </c>
      <c r="C98" s="65" t="s">
        <v>234</v>
      </c>
      <c r="D98" s="65">
        <v>310132</v>
      </c>
      <c r="E98" s="65" t="s">
        <v>640</v>
      </c>
      <c r="F98" s="66">
        <v>-141878.20000000001</v>
      </c>
      <c r="G98" s="66">
        <v>-45620</v>
      </c>
      <c r="H98" s="65" t="str">
        <f>VLOOKUP(D98,'COA1'!D:I,3,0)</f>
        <v>BS</v>
      </c>
      <c r="I98" s="65" t="str">
        <f>VLOOKUP(D98,'COA1'!D:I,4,0)</f>
        <v>Trade payables</v>
      </c>
      <c r="J98" s="65">
        <f>VLOOKUP(D98,'COA1'!D:I,5,0)</f>
        <v>0</v>
      </c>
      <c r="K98" s="264">
        <f t="shared" si="0"/>
        <v>3.1100000000000003</v>
      </c>
      <c r="L98" s="65"/>
      <c r="M98" s="65"/>
      <c r="N98" s="65"/>
      <c r="O98" s="65"/>
      <c r="P98" s="263"/>
      <c r="Q98" s="263"/>
      <c r="R98" s="263"/>
      <c r="S98" s="263"/>
      <c r="T98" s="65"/>
      <c r="U98" s="65"/>
      <c r="V98" s="65"/>
      <c r="W98" s="65"/>
      <c r="X98" s="65"/>
      <c r="Y98" s="65"/>
      <c r="Z98" s="65"/>
    </row>
    <row r="99" spans="1:26" ht="15.75" hidden="1" customHeight="1">
      <c r="A99" s="65" t="s">
        <v>116</v>
      </c>
      <c r="B99" s="65" t="s">
        <v>117</v>
      </c>
      <c r="C99" s="65" t="s">
        <v>234</v>
      </c>
      <c r="D99" s="65">
        <v>310133</v>
      </c>
      <c r="E99" s="65" t="s">
        <v>728</v>
      </c>
      <c r="F99" s="66">
        <v>-2678656.9300000002</v>
      </c>
      <c r="G99" s="66">
        <v>-861304.48</v>
      </c>
      <c r="H99" s="65" t="str">
        <f>VLOOKUP(D99,'COA1'!D:I,3,0)</f>
        <v>BS</v>
      </c>
      <c r="I99" s="65" t="str">
        <f>VLOOKUP(D99,'COA1'!D:I,4,0)</f>
        <v>Trade payables</v>
      </c>
      <c r="J99" s="65">
        <f>VLOOKUP(D99,'COA1'!D:I,5,0)</f>
        <v>0</v>
      </c>
      <c r="K99" s="264">
        <f t="shared" si="0"/>
        <v>3.1099999967491172</v>
      </c>
      <c r="L99" s="65"/>
      <c r="M99" s="65"/>
      <c r="N99" s="65"/>
      <c r="O99" s="65"/>
      <c r="P99" s="263"/>
      <c r="Q99" s="263"/>
      <c r="R99" s="263"/>
      <c r="S99" s="263"/>
      <c r="T99" s="65"/>
      <c r="U99" s="65"/>
      <c r="V99" s="65"/>
      <c r="W99" s="65"/>
      <c r="X99" s="65"/>
      <c r="Y99" s="65"/>
      <c r="Z99" s="65"/>
    </row>
    <row r="100" spans="1:26" ht="15.75" hidden="1" customHeight="1">
      <c r="A100" s="65" t="s">
        <v>116</v>
      </c>
      <c r="B100" s="65" t="s">
        <v>117</v>
      </c>
      <c r="C100" s="65" t="s">
        <v>234</v>
      </c>
      <c r="D100" s="65">
        <v>310138</v>
      </c>
      <c r="E100" s="65" t="s">
        <v>642</v>
      </c>
      <c r="F100" s="66">
        <v>-548957.39</v>
      </c>
      <c r="G100" s="66">
        <v>-176513.63</v>
      </c>
      <c r="H100" s="65" t="str">
        <f>VLOOKUP(D100,'COA1'!D:I,3,0)</f>
        <v>BS</v>
      </c>
      <c r="I100" s="65" t="str">
        <f>VLOOKUP(D100,'COA1'!D:I,4,0)</f>
        <v>Trade payables</v>
      </c>
      <c r="J100" s="65">
        <f>VLOOKUP(D100,'COA1'!D:I,5,0)</f>
        <v>0</v>
      </c>
      <c r="K100" s="264">
        <f t="shared" si="0"/>
        <v>3.1100000039656992</v>
      </c>
      <c r="L100" s="65"/>
      <c r="M100" s="65"/>
      <c r="N100" s="65"/>
      <c r="O100" s="65"/>
      <c r="P100" s="263"/>
      <c r="Q100" s="263"/>
      <c r="R100" s="263"/>
      <c r="S100" s="263"/>
      <c r="T100" s="65"/>
      <c r="U100" s="65"/>
      <c r="V100" s="65"/>
      <c r="W100" s="65"/>
      <c r="X100" s="65"/>
      <c r="Y100" s="65"/>
      <c r="Z100" s="65"/>
    </row>
    <row r="101" spans="1:26" ht="15.75" hidden="1" customHeight="1">
      <c r="A101" s="65" t="s">
        <v>116</v>
      </c>
      <c r="B101" s="65" t="s">
        <v>117</v>
      </c>
      <c r="C101" s="65" t="s">
        <v>234</v>
      </c>
      <c r="D101" s="65">
        <v>310143</v>
      </c>
      <c r="E101" s="65" t="s">
        <v>595</v>
      </c>
      <c r="F101" s="66">
        <v>-1682123.89</v>
      </c>
      <c r="G101" s="66">
        <v>-540875.85</v>
      </c>
      <c r="H101" s="65" t="str">
        <f>VLOOKUP(D101,'COA1'!D:I,3,0)</f>
        <v>BS</v>
      </c>
      <c r="I101" s="65" t="str">
        <f>VLOOKUP(D101,'COA1'!D:I,4,0)</f>
        <v>Trade payables</v>
      </c>
      <c r="J101" s="65">
        <f>VLOOKUP(D101,'COA1'!D:I,5,0)</f>
        <v>0</v>
      </c>
      <c r="K101" s="264">
        <f t="shared" si="0"/>
        <v>3.1099999935290139</v>
      </c>
      <c r="L101" s="65"/>
      <c r="M101" s="65"/>
      <c r="N101" s="65"/>
      <c r="O101" s="65"/>
      <c r="P101" s="263"/>
      <c r="Q101" s="263"/>
      <c r="R101" s="263"/>
      <c r="S101" s="263"/>
      <c r="T101" s="65"/>
      <c r="U101" s="65"/>
      <c r="V101" s="65"/>
      <c r="W101" s="65"/>
      <c r="X101" s="65"/>
      <c r="Y101" s="65"/>
      <c r="Z101" s="65"/>
    </row>
    <row r="102" spans="1:26" ht="15.75" hidden="1" customHeight="1">
      <c r="A102" s="65" t="s">
        <v>116</v>
      </c>
      <c r="B102" s="65" t="s">
        <v>117</v>
      </c>
      <c r="C102" s="65" t="s">
        <v>234</v>
      </c>
      <c r="D102" s="65">
        <v>310146</v>
      </c>
      <c r="E102" s="65" t="s">
        <v>643</v>
      </c>
      <c r="F102" s="66">
        <v>-1023868.57</v>
      </c>
      <c r="G102" s="66">
        <v>-329218.19</v>
      </c>
      <c r="H102" s="65" t="str">
        <f>VLOOKUP(D102,'COA1'!D:I,3,0)</f>
        <v>BS</v>
      </c>
      <c r="I102" s="65" t="str">
        <f>VLOOKUP(D102,'COA1'!D:I,4,0)</f>
        <v>Trade payables</v>
      </c>
      <c r="J102" s="65">
        <f>VLOOKUP(D102,'COA1'!D:I,5,0)</f>
        <v>0</v>
      </c>
      <c r="K102" s="264">
        <f t="shared" si="0"/>
        <v>3.1099999972662506</v>
      </c>
      <c r="L102" s="65"/>
      <c r="M102" s="65"/>
      <c r="N102" s="65"/>
      <c r="O102" s="65"/>
      <c r="P102" s="263"/>
      <c r="Q102" s="263"/>
      <c r="R102" s="263"/>
      <c r="S102" s="263"/>
      <c r="T102" s="65"/>
      <c r="U102" s="65"/>
      <c r="V102" s="65"/>
      <c r="W102" s="65"/>
      <c r="X102" s="65"/>
      <c r="Y102" s="65"/>
      <c r="Z102" s="65"/>
    </row>
    <row r="103" spans="1:26" ht="15.75" hidden="1" customHeight="1">
      <c r="A103" s="65" t="s">
        <v>116</v>
      </c>
      <c r="B103" s="65" t="s">
        <v>117</v>
      </c>
      <c r="C103" s="65" t="s">
        <v>234</v>
      </c>
      <c r="D103" s="65">
        <v>310161</v>
      </c>
      <c r="E103" s="65" t="s">
        <v>652</v>
      </c>
      <c r="F103" s="66">
        <v>-23325</v>
      </c>
      <c r="G103" s="66">
        <v>-7500</v>
      </c>
      <c r="H103" s="65" t="str">
        <f>VLOOKUP(D103,'COA1'!D:I,3,0)</f>
        <v>BS</v>
      </c>
      <c r="I103" s="65" t="str">
        <f>VLOOKUP(D103,'COA1'!D:I,4,0)</f>
        <v>Trade payables</v>
      </c>
      <c r="J103" s="65">
        <f>VLOOKUP(D103,'COA1'!D:I,5,0)</f>
        <v>0</v>
      </c>
      <c r="K103" s="264">
        <f t="shared" si="0"/>
        <v>3.11</v>
      </c>
      <c r="L103" s="65"/>
      <c r="M103" s="65"/>
      <c r="N103" s="65"/>
      <c r="O103" s="65"/>
      <c r="P103" s="263"/>
      <c r="Q103" s="263"/>
      <c r="R103" s="263"/>
      <c r="S103" s="263"/>
      <c r="T103" s="65"/>
      <c r="U103" s="65"/>
      <c r="V103" s="65"/>
      <c r="W103" s="65"/>
      <c r="X103" s="65"/>
      <c r="Y103" s="65"/>
      <c r="Z103" s="65"/>
    </row>
    <row r="104" spans="1:26" ht="15.75" hidden="1" customHeight="1">
      <c r="A104" s="65" t="s">
        <v>116</v>
      </c>
      <c r="B104" s="65" t="s">
        <v>117</v>
      </c>
      <c r="C104" s="65" t="s">
        <v>268</v>
      </c>
      <c r="D104" s="65">
        <v>79998</v>
      </c>
      <c r="E104" s="65" t="s">
        <v>826</v>
      </c>
      <c r="F104" s="66">
        <v>-12011827.640000001</v>
      </c>
      <c r="G104" s="66">
        <v>-3862324</v>
      </c>
      <c r="H104" s="65" t="str">
        <f>VLOOKUP(D104,'COA1'!D:I,3,0)</f>
        <v>BS</v>
      </c>
      <c r="I104" s="65" t="str">
        <f>VLOOKUP(D104,'COA1'!D:I,4,0)</f>
        <v>Contract liability</v>
      </c>
      <c r="J104" s="65">
        <f>VLOOKUP(D104,'COA1'!D:I,5,0)</f>
        <v>0</v>
      </c>
      <c r="K104" s="264">
        <f t="shared" si="0"/>
        <v>3.1100000000000003</v>
      </c>
      <c r="L104" s="65"/>
      <c r="M104" s="65"/>
      <c r="N104" s="65"/>
      <c r="O104" s="65"/>
      <c r="P104" s="263"/>
      <c r="Q104" s="263"/>
      <c r="R104" s="263"/>
      <c r="S104" s="263"/>
      <c r="T104" s="65"/>
      <c r="U104" s="65"/>
      <c r="V104" s="65"/>
      <c r="W104" s="65"/>
      <c r="X104" s="65"/>
      <c r="Y104" s="65"/>
      <c r="Z104" s="65"/>
    </row>
    <row r="105" spans="1:26" ht="15.75" hidden="1" customHeight="1">
      <c r="A105" s="65" t="s">
        <v>116</v>
      </c>
      <c r="B105" s="65" t="s">
        <v>117</v>
      </c>
      <c r="C105" s="65" t="s">
        <v>268</v>
      </c>
      <c r="D105" s="65">
        <v>79999</v>
      </c>
      <c r="E105" s="65" t="s">
        <v>271</v>
      </c>
      <c r="F105" s="66">
        <v>-33014028.079999998</v>
      </c>
      <c r="G105" s="66">
        <v>-10615443.119999999</v>
      </c>
      <c r="H105" s="65" t="str">
        <f>VLOOKUP(D105,'COA1'!D:I,3,0)</f>
        <v>BS</v>
      </c>
      <c r="I105" s="65" t="str">
        <f>VLOOKUP(D105,'COA1'!D:I,4,0)</f>
        <v>Accrued Expenses</v>
      </c>
      <c r="J105" s="65">
        <f>VLOOKUP(D105,'COA1'!D:I,5,0)</f>
        <v>0</v>
      </c>
      <c r="K105" s="264">
        <f t="shared" si="0"/>
        <v>3.109999997814505</v>
      </c>
      <c r="L105" s="65"/>
      <c r="M105" s="65"/>
      <c r="N105" s="65"/>
      <c r="O105" s="65"/>
      <c r="P105" s="263"/>
      <c r="Q105" s="263"/>
      <c r="R105" s="263"/>
      <c r="S105" s="263"/>
      <c r="T105" s="65"/>
      <c r="U105" s="65"/>
      <c r="V105" s="65"/>
      <c r="W105" s="65"/>
      <c r="X105" s="65"/>
      <c r="Y105" s="65"/>
      <c r="Z105" s="65"/>
    </row>
    <row r="106" spans="1:26" ht="15.75" hidden="1" customHeight="1">
      <c r="A106" s="65" t="s">
        <v>116</v>
      </c>
      <c r="B106" s="65" t="s">
        <v>117</v>
      </c>
      <c r="C106" s="65" t="s">
        <v>272</v>
      </c>
      <c r="D106" s="65">
        <v>80005</v>
      </c>
      <c r="E106" s="65" t="s">
        <v>273</v>
      </c>
      <c r="F106" s="66">
        <v>-5050.87</v>
      </c>
      <c r="G106" s="66">
        <v>-1624.07</v>
      </c>
      <c r="H106" s="65" t="str">
        <f>VLOOKUP(D106,'COA1'!D:I,3,0)</f>
        <v>BS</v>
      </c>
      <c r="I106" s="65" t="str">
        <f>VLOOKUP(D106,'COA1'!D:I,4,0)</f>
        <v>Trade payables</v>
      </c>
      <c r="J106" s="65">
        <f>VLOOKUP(D106,'COA1'!D:I,5,0)</f>
        <v>0</v>
      </c>
      <c r="K106" s="264">
        <f t="shared" si="0"/>
        <v>3.1100075735651789</v>
      </c>
      <c r="L106" s="65"/>
      <c r="M106" s="65"/>
      <c r="N106" s="65"/>
      <c r="O106" s="65"/>
      <c r="P106" s="263"/>
      <c r="Q106" s="263"/>
      <c r="R106" s="263"/>
      <c r="S106" s="263"/>
      <c r="T106" s="65"/>
      <c r="U106" s="65"/>
      <c r="V106" s="65"/>
      <c r="W106" s="65"/>
      <c r="X106" s="65"/>
      <c r="Y106" s="65"/>
      <c r="Z106" s="65"/>
    </row>
    <row r="107" spans="1:26" ht="15.75" hidden="1" customHeight="1">
      <c r="A107" s="65" t="s">
        <v>116</v>
      </c>
      <c r="B107" s="65" t="s">
        <v>117</v>
      </c>
      <c r="C107" s="65" t="s">
        <v>272</v>
      </c>
      <c r="D107" s="65">
        <v>80006</v>
      </c>
      <c r="E107" s="65" t="s">
        <v>274</v>
      </c>
      <c r="F107" s="66">
        <v>-9984.65</v>
      </c>
      <c r="G107" s="66">
        <v>-3210.5</v>
      </c>
      <c r="H107" s="65" t="str">
        <f>VLOOKUP(D107,'COA1'!D:I,3,0)</f>
        <v>BS</v>
      </c>
      <c r="I107" s="65" t="str">
        <f>VLOOKUP(D107,'COA1'!D:I,4,0)</f>
        <v>Trade payables</v>
      </c>
      <c r="J107" s="65">
        <f>VLOOKUP(D107,'COA1'!D:I,5,0)</f>
        <v>0</v>
      </c>
      <c r="K107" s="264">
        <f t="shared" si="0"/>
        <v>3.1099984426101854</v>
      </c>
      <c r="L107" s="65"/>
      <c r="M107" s="65"/>
      <c r="N107" s="65"/>
      <c r="O107" s="65"/>
      <c r="P107" s="263"/>
      <c r="Q107" s="263"/>
      <c r="R107" s="263"/>
      <c r="S107" s="263"/>
      <c r="T107" s="65"/>
      <c r="U107" s="65"/>
      <c r="V107" s="65"/>
      <c r="W107" s="65"/>
      <c r="X107" s="65"/>
      <c r="Y107" s="65"/>
      <c r="Z107" s="65"/>
    </row>
    <row r="108" spans="1:26" ht="15.75" hidden="1" customHeight="1">
      <c r="A108" s="65" t="s">
        <v>116</v>
      </c>
      <c r="B108" s="65" t="s">
        <v>117</v>
      </c>
      <c r="C108" s="65" t="s">
        <v>272</v>
      </c>
      <c r="D108" s="65">
        <v>80007</v>
      </c>
      <c r="E108" s="65" t="s">
        <v>275</v>
      </c>
      <c r="F108" s="66">
        <v>-64014.49</v>
      </c>
      <c r="G108" s="66">
        <v>-20583.439999999999</v>
      </c>
      <c r="H108" s="65" t="str">
        <f>VLOOKUP(D108,'COA1'!D:I,3,0)</f>
        <v>BS</v>
      </c>
      <c r="I108" s="65" t="str">
        <f>VLOOKUP(D108,'COA1'!D:I,4,0)</f>
        <v>Trade payables</v>
      </c>
      <c r="J108" s="65">
        <f>VLOOKUP(D108,'COA1'!D:I,5,0)</f>
        <v>0</v>
      </c>
      <c r="K108" s="264">
        <f t="shared" si="0"/>
        <v>3.1099995919049488</v>
      </c>
      <c r="L108" s="65"/>
      <c r="M108" s="65"/>
      <c r="N108" s="65"/>
      <c r="O108" s="65"/>
      <c r="P108" s="263"/>
      <c r="Q108" s="263"/>
      <c r="R108" s="263"/>
      <c r="S108" s="263"/>
      <c r="T108" s="65"/>
      <c r="U108" s="65"/>
      <c r="V108" s="65"/>
      <c r="W108" s="65"/>
      <c r="X108" s="65"/>
      <c r="Y108" s="65"/>
      <c r="Z108" s="65"/>
    </row>
    <row r="109" spans="1:26" ht="15.75" hidden="1" customHeight="1">
      <c r="A109" s="65" t="s">
        <v>116</v>
      </c>
      <c r="B109" s="65" t="s">
        <v>117</v>
      </c>
      <c r="C109" s="65" t="s">
        <v>272</v>
      </c>
      <c r="D109" s="65">
        <v>80008</v>
      </c>
      <c r="E109" s="65" t="s">
        <v>276</v>
      </c>
      <c r="F109" s="66">
        <v>-911.26</v>
      </c>
      <c r="G109" s="66">
        <v>-293.01</v>
      </c>
      <c r="H109" s="65" t="str">
        <f>VLOOKUP(D109,'COA1'!D:I,3,0)</f>
        <v>BS</v>
      </c>
      <c r="I109" s="65" t="str">
        <f>VLOOKUP(D109,'COA1'!D:I,4,0)</f>
        <v>Trade payables</v>
      </c>
      <c r="J109" s="65">
        <f>VLOOKUP(D109,'COA1'!D:I,5,0)</f>
        <v>0</v>
      </c>
      <c r="K109" s="264">
        <f t="shared" si="0"/>
        <v>3.1099962458619159</v>
      </c>
      <c r="L109" s="65"/>
      <c r="M109" s="65"/>
      <c r="N109" s="65"/>
      <c r="O109" s="65"/>
      <c r="P109" s="263"/>
      <c r="Q109" s="263"/>
      <c r="R109" s="263"/>
      <c r="S109" s="263"/>
      <c r="T109" s="65"/>
      <c r="U109" s="65"/>
      <c r="V109" s="65"/>
      <c r="W109" s="65"/>
      <c r="X109" s="65"/>
      <c r="Y109" s="65"/>
      <c r="Z109" s="65"/>
    </row>
    <row r="110" spans="1:26" ht="15.75" hidden="1" customHeight="1">
      <c r="A110" s="65" t="s">
        <v>116</v>
      </c>
      <c r="B110" s="65" t="s">
        <v>117</v>
      </c>
      <c r="C110" s="65" t="s">
        <v>272</v>
      </c>
      <c r="D110" s="65">
        <v>80009</v>
      </c>
      <c r="E110" s="65" t="s">
        <v>519</v>
      </c>
      <c r="F110" s="66">
        <v>-7025.05</v>
      </c>
      <c r="G110" s="66">
        <v>-2258.86</v>
      </c>
      <c r="H110" s="65" t="str">
        <f>VLOOKUP(D110,'COA1'!D:I,3,0)</f>
        <v>BS</v>
      </c>
      <c r="I110" s="65" t="str">
        <f>VLOOKUP(D110,'COA1'!D:I,4,0)</f>
        <v>Trade payables</v>
      </c>
      <c r="J110" s="65">
        <f>VLOOKUP(D110,'COA1'!D:I,5,0)</f>
        <v>0</v>
      </c>
      <c r="K110" s="264">
        <f t="shared" si="0"/>
        <v>3.1099979635745463</v>
      </c>
      <c r="L110" s="65"/>
      <c r="M110" s="65"/>
      <c r="N110" s="65"/>
      <c r="O110" s="65"/>
      <c r="P110" s="263"/>
      <c r="Q110" s="263"/>
      <c r="R110" s="263"/>
      <c r="S110" s="263"/>
      <c r="T110" s="65"/>
      <c r="U110" s="65"/>
      <c r="V110" s="65"/>
      <c r="W110" s="65"/>
      <c r="X110" s="65"/>
      <c r="Y110" s="65"/>
      <c r="Z110" s="65"/>
    </row>
    <row r="111" spans="1:26" ht="15.75" hidden="1" customHeight="1">
      <c r="A111" s="65" t="s">
        <v>116</v>
      </c>
      <c r="B111" s="65" t="s">
        <v>117</v>
      </c>
      <c r="C111" s="65" t="s">
        <v>272</v>
      </c>
      <c r="D111" s="65">
        <v>80011</v>
      </c>
      <c r="E111" s="65" t="s">
        <v>827</v>
      </c>
      <c r="F111" s="66">
        <v>8553.25</v>
      </c>
      <c r="G111" s="66">
        <v>2750.24</v>
      </c>
      <c r="H111" s="65" t="str">
        <f>VLOOKUP(D111,'COA1'!D:I,3,0)</f>
        <v>BS</v>
      </c>
      <c r="I111" s="65" t="str">
        <f>VLOOKUP(D111,'COA1'!D:I,4,0)</f>
        <v xml:space="preserve">Cash </v>
      </c>
      <c r="J111" s="65">
        <f>VLOOKUP(D111,'COA1'!D:I,5,0)</f>
        <v>0</v>
      </c>
      <c r="K111" s="264">
        <f t="shared" si="0"/>
        <v>3.1100013089766714</v>
      </c>
      <c r="L111" s="65"/>
      <c r="M111" s="65"/>
      <c r="N111" s="65"/>
      <c r="O111" s="65"/>
      <c r="P111" s="263"/>
      <c r="Q111" s="263"/>
      <c r="R111" s="263"/>
      <c r="S111" s="263"/>
      <c r="T111" s="65"/>
      <c r="U111" s="65"/>
      <c r="V111" s="65"/>
      <c r="W111" s="65"/>
      <c r="X111" s="65"/>
      <c r="Y111" s="65"/>
      <c r="Z111" s="65"/>
    </row>
    <row r="112" spans="1:26" ht="15.75" hidden="1" customHeight="1">
      <c r="A112" s="65" t="s">
        <v>116</v>
      </c>
      <c r="B112" s="65" t="s">
        <v>117</v>
      </c>
      <c r="C112" s="65" t="s">
        <v>272</v>
      </c>
      <c r="D112" s="65">
        <v>80012</v>
      </c>
      <c r="E112" s="65" t="s">
        <v>755</v>
      </c>
      <c r="F112" s="66">
        <v>19524.2</v>
      </c>
      <c r="G112" s="66">
        <v>6277.88</v>
      </c>
      <c r="H112" s="65" t="str">
        <f>VLOOKUP(D112,'COA1'!D:I,3,0)</f>
        <v>BS</v>
      </c>
      <c r="I112" s="65" t="str">
        <f>VLOOKUP(D112,'COA1'!D:I,4,0)</f>
        <v xml:space="preserve">Cash </v>
      </c>
      <c r="J112" s="65">
        <f>VLOOKUP(D112,'COA1'!D:I,5,0)</f>
        <v>0</v>
      </c>
      <c r="K112" s="264">
        <f t="shared" si="0"/>
        <v>3.1099989168317967</v>
      </c>
      <c r="L112" s="65"/>
      <c r="M112" s="65"/>
      <c r="N112" s="65"/>
      <c r="O112" s="65"/>
      <c r="P112" s="263"/>
      <c r="Q112" s="263"/>
      <c r="R112" s="263"/>
      <c r="S112" s="263"/>
      <c r="T112" s="65"/>
      <c r="U112" s="65"/>
      <c r="V112" s="65"/>
      <c r="W112" s="65"/>
      <c r="X112" s="65"/>
      <c r="Y112" s="65"/>
      <c r="Z112" s="65"/>
    </row>
    <row r="113" spans="1:26" ht="15.75" hidden="1" customHeight="1">
      <c r="A113" s="65" t="s">
        <v>116</v>
      </c>
      <c r="B113" s="65" t="s">
        <v>117</v>
      </c>
      <c r="C113" s="65" t="s">
        <v>278</v>
      </c>
      <c r="D113" s="65">
        <v>51018</v>
      </c>
      <c r="E113" s="65" t="s">
        <v>828</v>
      </c>
      <c r="F113" s="66">
        <v>-1036668.71</v>
      </c>
      <c r="G113" s="66">
        <v>-333333.02</v>
      </c>
      <c r="H113" s="65" t="str">
        <f>VLOOKUP(D113,'COA1'!D:I,3,0)</f>
        <v>BS</v>
      </c>
      <c r="I113" s="65" t="str">
        <f>VLOOKUP(D113,'COA1'!D:I,4,0)</f>
        <v>Loan-Long term</v>
      </c>
      <c r="J113" s="65">
        <f>VLOOKUP(D113,'COA1'!D:I,5,0)</f>
        <v>0</v>
      </c>
      <c r="K113" s="264">
        <f t="shared" si="0"/>
        <v>3.1100090534085099</v>
      </c>
      <c r="L113" s="65"/>
      <c r="M113" s="65"/>
      <c r="N113" s="65"/>
      <c r="O113" s="65"/>
      <c r="P113" s="263"/>
      <c r="Q113" s="263"/>
      <c r="R113" s="263"/>
      <c r="S113" s="263"/>
      <c r="T113" s="65"/>
      <c r="U113" s="65"/>
      <c r="V113" s="65"/>
      <c r="W113" s="65"/>
      <c r="X113" s="65"/>
      <c r="Y113" s="65"/>
      <c r="Z113" s="65"/>
    </row>
    <row r="114" spans="1:26" ht="15.75" hidden="1" customHeight="1">
      <c r="A114" s="65" t="s">
        <v>116</v>
      </c>
      <c r="B114" s="65" t="s">
        <v>117</v>
      </c>
      <c r="C114" s="65" t="s">
        <v>278</v>
      </c>
      <c r="D114" s="65">
        <v>51019</v>
      </c>
      <c r="E114" s="65" t="s">
        <v>829</v>
      </c>
      <c r="F114" s="66">
        <v>-4664999.91</v>
      </c>
      <c r="G114" s="66">
        <v>-1500000</v>
      </c>
      <c r="H114" s="65" t="str">
        <f>VLOOKUP(D114,'COA1'!D:I,3,0)</f>
        <v>BS</v>
      </c>
      <c r="I114" s="65" t="str">
        <f>VLOOKUP(D114,'COA1'!D:I,4,0)</f>
        <v>Loan-Short term</v>
      </c>
      <c r="J114" s="65">
        <f>VLOOKUP(D114,'COA1'!D:I,5,0)</f>
        <v>0</v>
      </c>
      <c r="K114" s="264">
        <f t="shared" si="0"/>
        <v>3.1099999400000002</v>
      </c>
      <c r="L114" s="65"/>
      <c r="M114" s="65"/>
      <c r="N114" s="65"/>
      <c r="O114" s="65"/>
      <c r="P114" s="263"/>
      <c r="Q114" s="263"/>
      <c r="R114" s="263"/>
      <c r="S114" s="263"/>
      <c r="T114" s="65"/>
      <c r="U114" s="65"/>
      <c r="V114" s="65"/>
      <c r="W114" s="65"/>
      <c r="X114" s="65"/>
      <c r="Y114" s="65"/>
      <c r="Z114" s="65"/>
    </row>
    <row r="115" spans="1:26" ht="15.75" hidden="1" customHeight="1">
      <c r="A115" s="65" t="s">
        <v>116</v>
      </c>
      <c r="B115" s="65" t="s">
        <v>117</v>
      </c>
      <c r="C115" s="65" t="s">
        <v>278</v>
      </c>
      <c r="D115" s="65">
        <v>51020</v>
      </c>
      <c r="E115" s="65" t="s">
        <v>830</v>
      </c>
      <c r="F115" s="66">
        <v>-622003.27</v>
      </c>
      <c r="G115" s="66">
        <v>-199999.7</v>
      </c>
      <c r="H115" s="65" t="str">
        <f>VLOOKUP(D115,'COA1'!D:I,3,0)</f>
        <v>BS</v>
      </c>
      <c r="I115" s="65" t="str">
        <f>VLOOKUP(D115,'COA1'!D:I,4,0)</f>
        <v>Loan-Long term</v>
      </c>
      <c r="J115" s="65">
        <f>VLOOKUP(D115,'COA1'!D:I,5,0)</f>
        <v>0</v>
      </c>
      <c r="K115" s="264">
        <f t="shared" si="0"/>
        <v>3.1100210150315224</v>
      </c>
      <c r="L115" s="65"/>
      <c r="M115" s="65"/>
      <c r="N115" s="65"/>
      <c r="O115" s="65"/>
      <c r="P115" s="263"/>
      <c r="Q115" s="263"/>
      <c r="R115" s="263"/>
      <c r="S115" s="263"/>
      <c r="T115" s="65"/>
      <c r="U115" s="65"/>
      <c r="V115" s="65"/>
      <c r="W115" s="65"/>
      <c r="X115" s="65"/>
      <c r="Y115" s="65"/>
      <c r="Z115" s="65"/>
    </row>
    <row r="116" spans="1:26" ht="15.75" hidden="1" customHeight="1">
      <c r="A116" s="65" t="s">
        <v>116</v>
      </c>
      <c r="B116" s="65" t="s">
        <v>283</v>
      </c>
      <c r="C116" s="65" t="s">
        <v>284</v>
      </c>
      <c r="D116" s="65">
        <v>25002</v>
      </c>
      <c r="E116" s="65" t="s">
        <v>543</v>
      </c>
      <c r="F116" s="66">
        <v>-829334.37</v>
      </c>
      <c r="G116" s="66">
        <v>-266667</v>
      </c>
      <c r="H116" s="65" t="str">
        <f>VLOOKUP(D116,'COA1'!D:I,3,0)</f>
        <v>BS</v>
      </c>
      <c r="I116" s="65" t="str">
        <f>VLOOKUP(D116,'COA1'!D:I,4,0)</f>
        <v>Loan-Short Term</v>
      </c>
      <c r="J116" s="65">
        <f>VLOOKUP(D116,'COA1'!D:I,5,0)</f>
        <v>0</v>
      </c>
      <c r="K116" s="264">
        <f t="shared" si="0"/>
        <v>3.11</v>
      </c>
      <c r="L116" s="65"/>
      <c r="M116" s="65"/>
      <c r="N116" s="65"/>
      <c r="O116" s="65"/>
      <c r="P116" s="263"/>
      <c r="Q116" s="263"/>
      <c r="R116" s="263"/>
      <c r="S116" s="263"/>
      <c r="T116" s="65"/>
      <c r="U116" s="65"/>
      <c r="V116" s="65"/>
      <c r="W116" s="65"/>
      <c r="X116" s="65"/>
      <c r="Y116" s="65"/>
      <c r="Z116" s="65"/>
    </row>
    <row r="117" spans="1:26" ht="15.75" hidden="1" customHeight="1">
      <c r="A117" s="65" t="s">
        <v>116</v>
      </c>
      <c r="B117" s="65" t="s">
        <v>283</v>
      </c>
      <c r="C117" s="65" t="s">
        <v>284</v>
      </c>
      <c r="D117" s="65">
        <v>25003</v>
      </c>
      <c r="E117" s="65" t="s">
        <v>592</v>
      </c>
      <c r="F117" s="66">
        <v>-829334.37</v>
      </c>
      <c r="G117" s="66">
        <v>-266667</v>
      </c>
      <c r="H117" s="65" t="str">
        <f>VLOOKUP(D117,'COA1'!D:I,3,0)</f>
        <v>BS</v>
      </c>
      <c r="I117" s="65" t="str">
        <f>VLOOKUP(D117,'COA1'!D:I,4,0)</f>
        <v>Loan-Short term</v>
      </c>
      <c r="J117" s="65">
        <f>VLOOKUP(D117,'COA1'!D:I,5,0)</f>
        <v>0</v>
      </c>
      <c r="K117" s="264">
        <f t="shared" si="0"/>
        <v>3.11</v>
      </c>
      <c r="L117" s="65"/>
      <c r="M117" s="65"/>
      <c r="N117" s="65"/>
      <c r="O117" s="65"/>
      <c r="P117" s="263"/>
      <c r="Q117" s="263"/>
      <c r="R117" s="263"/>
      <c r="S117" s="263"/>
      <c r="T117" s="65"/>
      <c r="U117" s="65"/>
      <c r="V117" s="65"/>
      <c r="W117" s="65"/>
      <c r="X117" s="65"/>
      <c r="Y117" s="65"/>
      <c r="Z117" s="65"/>
    </row>
    <row r="118" spans="1:26" ht="15.75" hidden="1" customHeight="1">
      <c r="A118" s="65" t="s">
        <v>116</v>
      </c>
      <c r="B118" s="65" t="s">
        <v>283</v>
      </c>
      <c r="C118" s="65" t="s">
        <v>287</v>
      </c>
      <c r="D118" s="65">
        <v>45000</v>
      </c>
      <c r="E118" s="65" t="s">
        <v>288</v>
      </c>
      <c r="F118" s="66">
        <v>2000.01</v>
      </c>
      <c r="G118" s="66">
        <v>622.08000000000004</v>
      </c>
      <c r="H118" s="65" t="str">
        <f>VLOOKUP(D118,'COA1'!D:I,3,0)</f>
        <v>BS</v>
      </c>
      <c r="I118" s="65" t="str">
        <f>VLOOKUP(D118,'COA1'!D:I,4,0)</f>
        <v>Other accounts payable</v>
      </c>
      <c r="J118" s="65">
        <f>VLOOKUP(D118,'COA1'!D:I,5,0)</f>
        <v>0</v>
      </c>
      <c r="K118" s="264">
        <f t="shared" si="0"/>
        <v>3.2150366512345676</v>
      </c>
      <c r="L118" s="65"/>
      <c r="M118" s="65"/>
      <c r="N118" s="65"/>
      <c r="O118" s="65"/>
      <c r="P118" s="263"/>
      <c r="Q118" s="263"/>
      <c r="R118" s="263"/>
      <c r="S118" s="263"/>
      <c r="T118" s="65"/>
      <c r="U118" s="65"/>
      <c r="V118" s="65"/>
      <c r="W118" s="65"/>
      <c r="X118" s="65"/>
      <c r="Y118" s="65"/>
      <c r="Z118" s="65"/>
    </row>
    <row r="119" spans="1:26" ht="15.75" hidden="1" customHeight="1">
      <c r="A119" s="65" t="s">
        <v>116</v>
      </c>
      <c r="B119" s="65" t="s">
        <v>283</v>
      </c>
      <c r="C119" s="65" t="s">
        <v>287</v>
      </c>
      <c r="D119" s="65">
        <v>51006</v>
      </c>
      <c r="E119" s="65" t="s">
        <v>293</v>
      </c>
      <c r="F119" s="66">
        <v>-1722778.57</v>
      </c>
      <c r="G119" s="66">
        <v>-500000</v>
      </c>
      <c r="H119" s="65" t="str">
        <f>VLOOKUP(D119,'COA1'!D:I,3,0)</f>
        <v>BS</v>
      </c>
      <c r="I119" s="65" t="str">
        <f>VLOOKUP(D119,'COA1'!D:I,4,0)</f>
        <v>Shareholders</v>
      </c>
      <c r="J119" s="65">
        <f>VLOOKUP(D119,'COA1'!D:I,5,0)</f>
        <v>0</v>
      </c>
      <c r="K119" s="264">
        <f t="shared" si="0"/>
        <v>3.44555714</v>
      </c>
      <c r="L119" s="65"/>
      <c r="M119" s="65"/>
      <c r="N119" s="65"/>
      <c r="O119" s="65"/>
      <c r="P119" s="263"/>
      <c r="Q119" s="263"/>
      <c r="R119" s="263"/>
      <c r="S119" s="263"/>
      <c r="T119" s="65"/>
      <c r="U119" s="65"/>
      <c r="V119" s="65"/>
      <c r="W119" s="65"/>
      <c r="X119" s="65"/>
      <c r="Y119" s="65"/>
      <c r="Z119" s="65"/>
    </row>
    <row r="120" spans="1:26" ht="15.75" hidden="1" customHeight="1">
      <c r="A120" s="65" t="s">
        <v>116</v>
      </c>
      <c r="B120" s="65" t="s">
        <v>283</v>
      </c>
      <c r="C120" s="65" t="s">
        <v>287</v>
      </c>
      <c r="D120" s="65">
        <v>51009</v>
      </c>
      <c r="E120" s="65" t="s">
        <v>298</v>
      </c>
      <c r="F120" s="66">
        <v>-380884199.66000003</v>
      </c>
      <c r="G120" s="66">
        <v>-122470803.75</v>
      </c>
      <c r="H120" s="65" t="str">
        <f>VLOOKUP(D120,'COA1'!D:I,3,0)</f>
        <v>BS</v>
      </c>
      <c r="I120" s="65" t="str">
        <f>VLOOKUP(D120,'COA1'!D:I,4,0)</f>
        <v>Related Party</v>
      </c>
      <c r="J120" s="65">
        <f>VLOOKUP(D120,'COA1'!D:I,5,0)</f>
        <v>0</v>
      </c>
      <c r="K120" s="264">
        <f t="shared" si="0"/>
        <v>3.1099999999795873</v>
      </c>
      <c r="L120" s="65"/>
      <c r="M120" s="65"/>
      <c r="N120" s="65"/>
      <c r="O120" s="65"/>
      <c r="P120" s="263"/>
      <c r="Q120" s="263"/>
      <c r="R120" s="263"/>
      <c r="S120" s="263"/>
      <c r="T120" s="65"/>
      <c r="U120" s="65"/>
      <c r="V120" s="65"/>
      <c r="W120" s="65"/>
      <c r="X120" s="65"/>
      <c r="Y120" s="65"/>
      <c r="Z120" s="65"/>
    </row>
    <row r="121" spans="1:26" ht="15.75" hidden="1" customHeight="1">
      <c r="A121" s="65" t="s">
        <v>299</v>
      </c>
      <c r="B121" s="65" t="s">
        <v>300</v>
      </c>
      <c r="C121" s="65" t="s">
        <v>301</v>
      </c>
      <c r="D121" s="65">
        <v>3000</v>
      </c>
      <c r="E121" s="65" t="s">
        <v>302</v>
      </c>
      <c r="F121" s="66">
        <v>-1453.66</v>
      </c>
      <c r="G121" s="66">
        <v>-391.64</v>
      </c>
      <c r="H121" s="65" t="str">
        <f>VLOOKUP(D121,'COA1'!D:I,3,0)</f>
        <v>BS</v>
      </c>
      <c r="I121" s="65" t="str">
        <f>VLOOKUP(D121,'COA1'!D:I,4,0)</f>
        <v>Share capital - Ordinary Shares</v>
      </c>
      <c r="J121" s="65">
        <f>VLOOKUP(D121,'COA1'!D:I,5,0)</f>
        <v>0</v>
      </c>
      <c r="K121" s="264">
        <f t="shared" si="0"/>
        <v>3.7117250536206723</v>
      </c>
      <c r="L121" s="65"/>
      <c r="M121" s="65"/>
      <c r="N121" s="65"/>
      <c r="O121" s="65"/>
      <c r="P121" s="263"/>
      <c r="Q121" s="263"/>
      <c r="R121" s="263"/>
      <c r="S121" s="263"/>
      <c r="T121" s="65"/>
      <c r="U121" s="65"/>
      <c r="V121" s="65"/>
      <c r="W121" s="65"/>
      <c r="X121" s="65"/>
      <c r="Y121" s="65"/>
      <c r="Z121" s="65"/>
    </row>
    <row r="122" spans="1:26" ht="15.75" hidden="1" customHeight="1">
      <c r="A122" s="65" t="s">
        <v>299</v>
      </c>
      <c r="B122" s="65" t="s">
        <v>300</v>
      </c>
      <c r="C122" s="65" t="s">
        <v>301</v>
      </c>
      <c r="D122" s="65">
        <v>3001</v>
      </c>
      <c r="E122" s="65" t="s">
        <v>304</v>
      </c>
      <c r="F122" s="66">
        <v>-2017140.3</v>
      </c>
      <c r="G122" s="66">
        <v>-599982.25</v>
      </c>
      <c r="H122" s="65" t="str">
        <f>VLOOKUP(D122,'COA1'!D:I,3,0)</f>
        <v>BS</v>
      </c>
      <c r="I122" s="65" t="str">
        <f>VLOOKUP(D122,'COA1'!D:I,4,0)</f>
        <v>Share premium</v>
      </c>
      <c r="J122" s="65">
        <f>VLOOKUP(D122,'COA1'!D:I,5,0)</f>
        <v>0</v>
      </c>
      <c r="K122" s="264">
        <f t="shared" si="0"/>
        <v>3.3619999591654586</v>
      </c>
      <c r="L122" s="65"/>
      <c r="M122" s="65"/>
      <c r="N122" s="65"/>
      <c r="O122" s="65"/>
      <c r="P122" s="263"/>
      <c r="Q122" s="263"/>
      <c r="R122" s="263"/>
      <c r="S122" s="263"/>
      <c r="T122" s="65"/>
      <c r="U122" s="65"/>
      <c r="V122" s="65"/>
      <c r="W122" s="65"/>
      <c r="X122" s="65"/>
      <c r="Y122" s="65"/>
      <c r="Z122" s="65"/>
    </row>
    <row r="123" spans="1:26" ht="15.75" hidden="1" customHeight="1">
      <c r="A123" s="65" t="s">
        <v>299</v>
      </c>
      <c r="B123" s="65" t="s">
        <v>300</v>
      </c>
      <c r="C123" s="65" t="s">
        <v>301</v>
      </c>
      <c r="D123" s="65">
        <v>3002</v>
      </c>
      <c r="E123" s="65" t="s">
        <v>306</v>
      </c>
      <c r="F123" s="66">
        <v>-9520690.6400000006</v>
      </c>
      <c r="G123" s="66">
        <v>-2799732.89</v>
      </c>
      <c r="H123" s="65" t="str">
        <f>VLOOKUP(D123,'COA1'!D:I,3,0)</f>
        <v>BS</v>
      </c>
      <c r="I123" s="65" t="str">
        <f>VLOOKUP(D123,'COA1'!D:I,4,0)</f>
        <v>Share premium</v>
      </c>
      <c r="J123" s="65">
        <f>VLOOKUP(D123,'COA1'!D:I,5,0)</f>
        <v>0</v>
      </c>
      <c r="K123" s="264">
        <f t="shared" si="0"/>
        <v>3.4005710594770346</v>
      </c>
      <c r="L123" s="65"/>
      <c r="M123" s="65"/>
      <c r="N123" s="65"/>
      <c r="O123" s="65"/>
      <c r="P123" s="263"/>
      <c r="Q123" s="263"/>
      <c r="R123" s="263"/>
      <c r="S123" s="263"/>
      <c r="T123" s="65"/>
      <c r="U123" s="65"/>
      <c r="V123" s="65"/>
      <c r="W123" s="65"/>
      <c r="X123" s="65"/>
      <c r="Y123" s="65"/>
      <c r="Z123" s="65"/>
    </row>
    <row r="124" spans="1:26" ht="15.75" hidden="1" customHeight="1">
      <c r="A124" s="65" t="s">
        <v>299</v>
      </c>
      <c r="B124" s="65" t="s">
        <v>300</v>
      </c>
      <c r="C124" s="65" t="s">
        <v>301</v>
      </c>
      <c r="D124" s="65">
        <v>3003</v>
      </c>
      <c r="E124" s="65" t="s">
        <v>307</v>
      </c>
      <c r="F124" s="66">
        <v>-305068.14</v>
      </c>
      <c r="G124" s="66">
        <v>-89582.01</v>
      </c>
      <c r="H124" s="65" t="str">
        <f>VLOOKUP(D124,'COA1'!D:I,3,0)</f>
        <v>BS</v>
      </c>
      <c r="I124" s="65" t="str">
        <f>VLOOKUP(D124,'COA1'!D:I,4,0)</f>
        <v>Share premium</v>
      </c>
      <c r="J124" s="65">
        <f>VLOOKUP(D124,'COA1'!D:I,5,0)</f>
        <v>0</v>
      </c>
      <c r="K124" s="264">
        <f t="shared" si="0"/>
        <v>3.4054621011517829</v>
      </c>
      <c r="L124" s="65"/>
      <c r="M124" s="65"/>
      <c r="N124" s="65"/>
      <c r="O124" s="65"/>
      <c r="P124" s="263"/>
      <c r="Q124" s="263"/>
      <c r="R124" s="263"/>
      <c r="S124" s="263"/>
      <c r="T124" s="65"/>
      <c r="U124" s="65"/>
      <c r="V124" s="65"/>
      <c r="W124" s="65"/>
      <c r="X124" s="65"/>
      <c r="Y124" s="65"/>
      <c r="Z124" s="65"/>
    </row>
    <row r="125" spans="1:26" ht="15.75" hidden="1" customHeight="1">
      <c r="A125" s="65" t="s">
        <v>299</v>
      </c>
      <c r="B125" s="65" t="s">
        <v>300</v>
      </c>
      <c r="C125" s="65" t="s">
        <v>301</v>
      </c>
      <c r="D125" s="65">
        <v>3004</v>
      </c>
      <c r="E125" s="65" t="s">
        <v>308</v>
      </c>
      <c r="F125" s="66">
        <v>-152555.51</v>
      </c>
      <c r="G125" s="66">
        <v>-44796.29</v>
      </c>
      <c r="H125" s="65" t="str">
        <f>VLOOKUP(D125,'COA1'!D:I,3,0)</f>
        <v>BS</v>
      </c>
      <c r="I125" s="65" t="str">
        <f>VLOOKUP(D125,'COA1'!D:I,4,0)</f>
        <v>Share premium</v>
      </c>
      <c r="J125" s="65">
        <f>VLOOKUP(D125,'COA1'!D:I,5,0)</f>
        <v>0</v>
      </c>
      <c r="K125" s="264">
        <f t="shared" si="0"/>
        <v>3.4055389408363954</v>
      </c>
      <c r="L125" s="65"/>
      <c r="M125" s="65"/>
      <c r="N125" s="65"/>
      <c r="O125" s="65"/>
      <c r="P125" s="263"/>
      <c r="Q125" s="263"/>
      <c r="R125" s="263"/>
      <c r="S125" s="263"/>
      <c r="T125" s="65"/>
      <c r="U125" s="65"/>
      <c r="V125" s="65"/>
      <c r="W125" s="65"/>
      <c r="X125" s="65"/>
      <c r="Y125" s="65"/>
      <c r="Z125" s="65"/>
    </row>
    <row r="126" spans="1:26" ht="15.75" hidden="1" customHeight="1">
      <c r="A126" s="65" t="s">
        <v>299</v>
      </c>
      <c r="B126" s="65" t="s">
        <v>300</v>
      </c>
      <c r="C126" s="65" t="s">
        <v>301</v>
      </c>
      <c r="D126" s="65">
        <v>3005</v>
      </c>
      <c r="E126" s="65" t="s">
        <v>309</v>
      </c>
      <c r="F126" s="66">
        <v>-52931.57</v>
      </c>
      <c r="G126" s="66">
        <v>-15552.02</v>
      </c>
      <c r="H126" s="65" t="str">
        <f>VLOOKUP(D126,'COA1'!D:I,3,0)</f>
        <v>BS</v>
      </c>
      <c r="I126" s="65" t="str">
        <f>VLOOKUP(D126,'COA1'!D:I,4,0)</f>
        <v>Share premium</v>
      </c>
      <c r="J126" s="65">
        <f>VLOOKUP(D126,'COA1'!D:I,5,0)</f>
        <v>0</v>
      </c>
      <c r="K126" s="264">
        <f t="shared" si="0"/>
        <v>3.4035173565877614</v>
      </c>
      <c r="L126" s="65"/>
      <c r="M126" s="65"/>
      <c r="N126" s="65"/>
      <c r="O126" s="65"/>
      <c r="P126" s="263"/>
      <c r="Q126" s="263"/>
      <c r="R126" s="263"/>
      <c r="S126" s="263"/>
      <c r="T126" s="65"/>
      <c r="U126" s="65"/>
      <c r="V126" s="65"/>
      <c r="W126" s="65"/>
      <c r="X126" s="65"/>
      <c r="Y126" s="65"/>
      <c r="Z126" s="65"/>
    </row>
    <row r="127" spans="1:26" ht="15.75" hidden="1" customHeight="1">
      <c r="A127" s="65" t="s">
        <v>299</v>
      </c>
      <c r="B127" s="65" t="s">
        <v>300</v>
      </c>
      <c r="C127" s="65" t="s">
        <v>301</v>
      </c>
      <c r="D127" s="65">
        <v>3006</v>
      </c>
      <c r="E127" s="65" t="s">
        <v>310</v>
      </c>
      <c r="F127" s="66">
        <v>-48278.01</v>
      </c>
      <c r="G127" s="66">
        <v>-14167.44</v>
      </c>
      <c r="H127" s="65" t="str">
        <f>VLOOKUP(D127,'COA1'!D:I,3,0)</f>
        <v>BS</v>
      </c>
      <c r="I127" s="65" t="str">
        <f>VLOOKUP(D127,'COA1'!D:I,4,0)</f>
        <v>Share premium</v>
      </c>
      <c r="J127" s="65">
        <f>VLOOKUP(D127,'COA1'!D:I,5,0)</f>
        <v>0</v>
      </c>
      <c r="K127" s="264">
        <f t="shared" si="0"/>
        <v>3.4076735105283666</v>
      </c>
      <c r="L127" s="65"/>
      <c r="M127" s="65"/>
      <c r="N127" s="65"/>
      <c r="O127" s="65"/>
      <c r="P127" s="263"/>
      <c r="Q127" s="263"/>
      <c r="R127" s="263"/>
      <c r="S127" s="263"/>
      <c r="T127" s="65"/>
      <c r="U127" s="65"/>
      <c r="V127" s="65"/>
      <c r="W127" s="65"/>
      <c r="X127" s="65"/>
      <c r="Y127" s="65"/>
      <c r="Z127" s="65"/>
    </row>
    <row r="128" spans="1:26" ht="15.75" hidden="1" customHeight="1">
      <c r="A128" s="65" t="s">
        <v>299</v>
      </c>
      <c r="B128" s="65" t="s">
        <v>300</v>
      </c>
      <c r="C128" s="65" t="s">
        <v>301</v>
      </c>
      <c r="D128" s="65">
        <v>3007</v>
      </c>
      <c r="E128" s="65" t="s">
        <v>311</v>
      </c>
      <c r="F128" s="66">
        <v>-152555.51</v>
      </c>
      <c r="G128" s="66">
        <v>-44796.29</v>
      </c>
      <c r="H128" s="65" t="str">
        <f>VLOOKUP(D128,'COA1'!D:I,3,0)</f>
        <v>BS</v>
      </c>
      <c r="I128" s="65" t="str">
        <f>VLOOKUP(D128,'COA1'!D:I,4,0)</f>
        <v>Share premium</v>
      </c>
      <c r="J128" s="65">
        <f>VLOOKUP(D128,'COA1'!D:I,5,0)</f>
        <v>0</v>
      </c>
      <c r="K128" s="264">
        <f t="shared" si="0"/>
        <v>3.4055389408363954</v>
      </c>
      <c r="L128" s="65"/>
      <c r="M128" s="65"/>
      <c r="N128" s="65"/>
      <c r="O128" s="65"/>
      <c r="P128" s="263"/>
      <c r="Q128" s="263"/>
      <c r="R128" s="263"/>
      <c r="S128" s="263"/>
      <c r="T128" s="65"/>
      <c r="U128" s="65"/>
      <c r="V128" s="65"/>
      <c r="W128" s="65"/>
      <c r="X128" s="65"/>
      <c r="Y128" s="65"/>
      <c r="Z128" s="65"/>
    </row>
    <row r="129" spans="1:26" ht="15.75" hidden="1" customHeight="1">
      <c r="A129" s="65" t="s">
        <v>299</v>
      </c>
      <c r="B129" s="65" t="s">
        <v>300</v>
      </c>
      <c r="C129" s="65" t="s">
        <v>301</v>
      </c>
      <c r="D129" s="65">
        <v>3008</v>
      </c>
      <c r="E129" s="65" t="s">
        <v>312</v>
      </c>
      <c r="F129" s="66">
        <v>-152533.71</v>
      </c>
      <c r="G129" s="66">
        <v>-44790.51</v>
      </c>
      <c r="H129" s="65" t="str">
        <f>VLOOKUP(D129,'COA1'!D:I,3,0)</f>
        <v>BS</v>
      </c>
      <c r="I129" s="65" t="str">
        <f>VLOOKUP(D129,'COA1'!D:I,4,0)</f>
        <v>Share premium</v>
      </c>
      <c r="J129" s="65">
        <f>VLOOKUP(D129,'COA1'!D:I,5,0)</f>
        <v>0</v>
      </c>
      <c r="K129" s="264">
        <f t="shared" si="0"/>
        <v>3.4054916990228508</v>
      </c>
      <c r="L129" s="65"/>
      <c r="M129" s="65"/>
      <c r="N129" s="65"/>
      <c r="O129" s="65"/>
      <c r="P129" s="263"/>
      <c r="Q129" s="263"/>
      <c r="R129" s="263"/>
      <c r="S129" s="263"/>
      <c r="T129" s="65"/>
      <c r="U129" s="65"/>
      <c r="V129" s="65"/>
      <c r="W129" s="65"/>
      <c r="X129" s="65"/>
      <c r="Y129" s="65"/>
      <c r="Z129" s="65"/>
    </row>
    <row r="130" spans="1:26" ht="15.75" hidden="1" customHeight="1">
      <c r="A130" s="65" t="s">
        <v>299</v>
      </c>
      <c r="B130" s="65" t="s">
        <v>300</v>
      </c>
      <c r="C130" s="65" t="s">
        <v>301</v>
      </c>
      <c r="D130" s="65">
        <v>3009</v>
      </c>
      <c r="E130" s="65" t="s">
        <v>313</v>
      </c>
      <c r="F130" s="66">
        <v>-152524.14000000001</v>
      </c>
      <c r="G130" s="66">
        <v>-44790.51</v>
      </c>
      <c r="H130" s="65" t="str">
        <f>VLOOKUP(D130,'COA1'!D:I,3,0)</f>
        <v>BS</v>
      </c>
      <c r="I130" s="65" t="str">
        <f>VLOOKUP(D130,'COA1'!D:I,4,0)</f>
        <v>Share premium</v>
      </c>
      <c r="J130" s="65">
        <f>VLOOKUP(D130,'COA1'!D:I,5,0)</f>
        <v>0</v>
      </c>
      <c r="K130" s="264">
        <f t="shared" si="0"/>
        <v>3.4052780376914664</v>
      </c>
      <c r="L130" s="65"/>
      <c r="M130" s="65"/>
      <c r="N130" s="65"/>
      <c r="O130" s="65"/>
      <c r="P130" s="263"/>
      <c r="Q130" s="263"/>
      <c r="R130" s="263"/>
      <c r="S130" s="263"/>
      <c r="T130" s="65"/>
      <c r="U130" s="65"/>
      <c r="V130" s="65"/>
      <c r="W130" s="65"/>
      <c r="X130" s="65"/>
      <c r="Y130" s="65"/>
      <c r="Z130" s="65"/>
    </row>
    <row r="131" spans="1:26" ht="15.75" hidden="1" customHeight="1">
      <c r="A131" s="65" t="s">
        <v>299</v>
      </c>
      <c r="B131" s="65" t="s">
        <v>300</v>
      </c>
      <c r="C131" s="65" t="s">
        <v>301</v>
      </c>
      <c r="D131" s="65">
        <v>3011</v>
      </c>
      <c r="E131" s="65" t="s">
        <v>314</v>
      </c>
      <c r="F131" s="66">
        <v>-2011925.42</v>
      </c>
      <c r="G131" s="66">
        <v>-599982.25</v>
      </c>
      <c r="H131" s="65" t="str">
        <f>VLOOKUP(D131,'COA1'!D:I,3,0)</f>
        <v>BS</v>
      </c>
      <c r="I131" s="65" t="str">
        <f>VLOOKUP(D131,'COA1'!D:I,4,0)</f>
        <v>Share premium</v>
      </c>
      <c r="J131" s="65">
        <f>VLOOKUP(D131,'COA1'!D:I,5,0)</f>
        <v>0</v>
      </c>
      <c r="K131" s="264">
        <f t="shared" si="0"/>
        <v>3.3533082353686297</v>
      </c>
      <c r="L131" s="65"/>
      <c r="M131" s="65"/>
      <c r="N131" s="65"/>
      <c r="O131" s="65"/>
      <c r="P131" s="263"/>
      <c r="Q131" s="263"/>
      <c r="R131" s="263"/>
      <c r="S131" s="263"/>
      <c r="T131" s="65"/>
      <c r="U131" s="65"/>
      <c r="V131" s="65"/>
      <c r="W131" s="65"/>
      <c r="X131" s="65"/>
      <c r="Y131" s="65"/>
      <c r="Z131" s="65"/>
    </row>
    <row r="132" spans="1:26" ht="15.75" hidden="1" customHeight="1">
      <c r="A132" s="65" t="s">
        <v>299</v>
      </c>
      <c r="B132" s="65" t="s">
        <v>300</v>
      </c>
      <c r="C132" s="65" t="s">
        <v>301</v>
      </c>
      <c r="D132" s="65">
        <v>3012</v>
      </c>
      <c r="E132" s="65" t="s">
        <v>315</v>
      </c>
      <c r="F132" s="66">
        <v>-168391.4</v>
      </c>
      <c r="G132" s="66">
        <v>-50086.58</v>
      </c>
      <c r="H132" s="65" t="str">
        <f>VLOOKUP(D132,'COA1'!D:I,3,0)</f>
        <v>BS</v>
      </c>
      <c r="I132" s="65" t="str">
        <f>VLOOKUP(D132,'COA1'!D:I,4,0)</f>
        <v>Share premium</v>
      </c>
      <c r="J132" s="65">
        <f>VLOOKUP(D132,'COA1'!D:I,5,0)</f>
        <v>0</v>
      </c>
      <c r="K132" s="264">
        <f t="shared" si="0"/>
        <v>3.3620063498046782</v>
      </c>
      <c r="L132" s="65"/>
      <c r="M132" s="65"/>
      <c r="N132" s="65"/>
      <c r="O132" s="65"/>
      <c r="P132" s="263"/>
      <c r="Q132" s="263"/>
      <c r="R132" s="263"/>
      <c r="S132" s="263"/>
      <c r="T132" s="65"/>
      <c r="U132" s="65"/>
      <c r="V132" s="65"/>
      <c r="W132" s="65"/>
      <c r="X132" s="65"/>
      <c r="Y132" s="65"/>
      <c r="Z132" s="65"/>
    </row>
    <row r="133" spans="1:26" ht="15.75" hidden="1" customHeight="1">
      <c r="A133" s="65" t="s">
        <v>299</v>
      </c>
      <c r="B133" s="65" t="s">
        <v>300</v>
      </c>
      <c r="C133" s="65" t="s">
        <v>301</v>
      </c>
      <c r="D133" s="65">
        <v>3013</v>
      </c>
      <c r="E133" s="65" t="s">
        <v>316</v>
      </c>
      <c r="F133" s="66">
        <v>-2178379.84</v>
      </c>
      <c r="G133" s="66">
        <v>-650068.81999999995</v>
      </c>
      <c r="H133" s="65" t="str">
        <f>VLOOKUP(D133,'COA1'!D:I,3,0)</f>
        <v>BS</v>
      </c>
      <c r="I133" s="65" t="str">
        <f>VLOOKUP(D133,'COA1'!D:I,4,0)</f>
        <v>Share premium</v>
      </c>
      <c r="J133" s="65">
        <f>VLOOKUP(D133,'COA1'!D:I,5,0)</f>
        <v>0</v>
      </c>
      <c r="K133" s="264">
        <f t="shared" si="0"/>
        <v>3.3509988065571275</v>
      </c>
      <c r="L133" s="65"/>
      <c r="M133" s="65"/>
      <c r="N133" s="65"/>
      <c r="O133" s="65"/>
      <c r="P133" s="263"/>
      <c r="Q133" s="263"/>
      <c r="R133" s="263"/>
      <c r="S133" s="263"/>
      <c r="T133" s="65"/>
      <c r="U133" s="65"/>
      <c r="V133" s="65"/>
      <c r="W133" s="65"/>
      <c r="X133" s="65"/>
      <c r="Y133" s="65"/>
      <c r="Z133" s="65"/>
    </row>
    <row r="134" spans="1:26" ht="15.75" hidden="1" customHeight="1">
      <c r="A134" s="65" t="s">
        <v>299</v>
      </c>
      <c r="B134" s="65" t="s">
        <v>300</v>
      </c>
      <c r="C134" s="65" t="s">
        <v>301</v>
      </c>
      <c r="D134" s="65">
        <v>3014</v>
      </c>
      <c r="E134" s="65" t="s">
        <v>317</v>
      </c>
      <c r="F134" s="66">
        <v>-335971.35</v>
      </c>
      <c r="G134" s="66">
        <v>-99961.83</v>
      </c>
      <c r="H134" s="65" t="str">
        <f>VLOOKUP(D134,'COA1'!D:I,3,0)</f>
        <v>BS</v>
      </c>
      <c r="I134" s="65" t="str">
        <f>VLOOKUP(D134,'COA1'!D:I,4,0)</f>
        <v>Share premium</v>
      </c>
      <c r="J134" s="65">
        <f>VLOOKUP(D134,'COA1'!D:I,5,0)</f>
        <v>0</v>
      </c>
      <c r="K134" s="264">
        <f t="shared" si="0"/>
        <v>3.3609963923229493</v>
      </c>
      <c r="L134" s="65"/>
      <c r="M134" s="65"/>
      <c r="N134" s="65"/>
      <c r="O134" s="65"/>
      <c r="P134" s="263"/>
      <c r="Q134" s="263"/>
      <c r="R134" s="263"/>
      <c r="S134" s="263"/>
      <c r="T134" s="65"/>
      <c r="U134" s="65"/>
      <c r="V134" s="65"/>
      <c r="W134" s="65"/>
      <c r="X134" s="65"/>
      <c r="Y134" s="65"/>
      <c r="Z134" s="65"/>
    </row>
    <row r="135" spans="1:26" ht="15.75" hidden="1" customHeight="1">
      <c r="A135" s="65" t="s">
        <v>299</v>
      </c>
      <c r="B135" s="65" t="s">
        <v>300</v>
      </c>
      <c r="C135" s="65" t="s">
        <v>301</v>
      </c>
      <c r="D135" s="65">
        <v>3015</v>
      </c>
      <c r="E135" s="65" t="s">
        <v>318</v>
      </c>
      <c r="F135" s="66">
        <v>-1519426.68</v>
      </c>
      <c r="G135" s="66">
        <v>-449933.85</v>
      </c>
      <c r="H135" s="65" t="str">
        <f>VLOOKUP(D135,'COA1'!D:I,3,0)</f>
        <v>BS</v>
      </c>
      <c r="I135" s="65" t="str">
        <f>VLOOKUP(D135,'COA1'!D:I,4,0)</f>
        <v>Share premium</v>
      </c>
      <c r="J135" s="65">
        <f>VLOOKUP(D135,'COA1'!D:I,5,0)</f>
        <v>0</v>
      </c>
      <c r="K135" s="264">
        <f t="shared" si="0"/>
        <v>3.3770001523557296</v>
      </c>
      <c r="L135" s="65"/>
      <c r="M135" s="65"/>
      <c r="N135" s="65"/>
      <c r="O135" s="65"/>
      <c r="P135" s="263"/>
      <c r="Q135" s="263"/>
      <c r="R135" s="263"/>
      <c r="S135" s="263"/>
      <c r="T135" s="65"/>
      <c r="U135" s="65"/>
      <c r="V135" s="65"/>
      <c r="W135" s="65"/>
      <c r="X135" s="65"/>
      <c r="Y135" s="65"/>
      <c r="Z135" s="65"/>
    </row>
    <row r="136" spans="1:26" ht="15.75" hidden="1" customHeight="1">
      <c r="A136" s="65" t="s">
        <v>299</v>
      </c>
      <c r="B136" s="65" t="s">
        <v>300</v>
      </c>
      <c r="C136" s="65" t="s">
        <v>301</v>
      </c>
      <c r="D136" s="65">
        <v>3016</v>
      </c>
      <c r="E136" s="65" t="s">
        <v>319</v>
      </c>
      <c r="F136" s="66">
        <v>-335971.35</v>
      </c>
      <c r="G136" s="66">
        <v>-99961.65</v>
      </c>
      <c r="H136" s="65" t="str">
        <f>VLOOKUP(D136,'COA1'!D:I,3,0)</f>
        <v>BS</v>
      </c>
      <c r="I136" s="65" t="str">
        <f>VLOOKUP(D136,'COA1'!D:I,4,0)</f>
        <v>Share premium</v>
      </c>
      <c r="J136" s="65">
        <f>VLOOKUP(D136,'COA1'!D:I,5,0)</f>
        <v>0</v>
      </c>
      <c r="K136" s="264">
        <f t="shared" si="0"/>
        <v>3.3610024444374416</v>
      </c>
      <c r="L136" s="65"/>
      <c r="M136" s="65"/>
      <c r="N136" s="65"/>
      <c r="O136" s="65"/>
      <c r="P136" s="263"/>
      <c r="Q136" s="263"/>
      <c r="R136" s="263"/>
      <c r="S136" s="263"/>
      <c r="T136" s="65"/>
      <c r="U136" s="65"/>
      <c r="V136" s="65"/>
      <c r="W136" s="65"/>
      <c r="X136" s="65"/>
      <c r="Y136" s="65"/>
      <c r="Z136" s="65"/>
    </row>
    <row r="137" spans="1:26" ht="15.75" hidden="1" customHeight="1">
      <c r="A137" s="65" t="s">
        <v>299</v>
      </c>
      <c r="B137" s="65" t="s">
        <v>300</v>
      </c>
      <c r="C137" s="65" t="s">
        <v>301</v>
      </c>
      <c r="D137" s="65">
        <v>3017</v>
      </c>
      <c r="E137" s="65" t="s">
        <v>320</v>
      </c>
      <c r="F137" s="66">
        <v>-112059.91</v>
      </c>
      <c r="G137" s="66">
        <v>-33391.050000000003</v>
      </c>
      <c r="H137" s="65" t="str">
        <f>VLOOKUP(D137,'COA1'!D:I,3,0)</f>
        <v>BS</v>
      </c>
      <c r="I137" s="65" t="str">
        <f>VLOOKUP(D137,'COA1'!D:I,4,0)</f>
        <v>Share premium</v>
      </c>
      <c r="J137" s="65">
        <f>VLOOKUP(D137,'COA1'!D:I,5,0)</f>
        <v>0</v>
      </c>
      <c r="K137" s="264">
        <f t="shared" si="0"/>
        <v>3.3559864095318952</v>
      </c>
      <c r="L137" s="65"/>
      <c r="M137" s="65"/>
      <c r="N137" s="65"/>
      <c r="O137" s="65"/>
      <c r="P137" s="263"/>
      <c r="Q137" s="263"/>
      <c r="R137" s="263"/>
      <c r="S137" s="263"/>
      <c r="T137" s="65"/>
      <c r="U137" s="65"/>
      <c r="V137" s="65"/>
      <c r="W137" s="65"/>
      <c r="X137" s="65"/>
      <c r="Y137" s="65"/>
      <c r="Z137" s="65"/>
    </row>
    <row r="138" spans="1:26" ht="15.75" hidden="1" customHeight="1">
      <c r="A138" s="65" t="s">
        <v>299</v>
      </c>
      <c r="B138" s="65" t="s">
        <v>300</v>
      </c>
      <c r="C138" s="65" t="s">
        <v>301</v>
      </c>
      <c r="D138" s="65">
        <v>3018</v>
      </c>
      <c r="E138" s="65" t="s">
        <v>321</v>
      </c>
      <c r="F138" s="66">
        <v>-112260.26</v>
      </c>
      <c r="G138" s="66">
        <v>-33391.050000000003</v>
      </c>
      <c r="H138" s="65" t="str">
        <f>VLOOKUP(D138,'COA1'!D:I,3,0)</f>
        <v>BS</v>
      </c>
      <c r="I138" s="65" t="str">
        <f>VLOOKUP(D138,'COA1'!D:I,4,0)</f>
        <v>Share premium</v>
      </c>
      <c r="J138" s="65">
        <f>VLOOKUP(D138,'COA1'!D:I,5,0)</f>
        <v>0</v>
      </c>
      <c r="K138" s="264">
        <f t="shared" si="0"/>
        <v>3.361986520340031</v>
      </c>
      <c r="L138" s="65"/>
      <c r="M138" s="65"/>
      <c r="N138" s="65"/>
      <c r="O138" s="65"/>
      <c r="P138" s="263"/>
      <c r="Q138" s="263"/>
      <c r="R138" s="263"/>
      <c r="S138" s="263"/>
      <c r="T138" s="65"/>
      <c r="U138" s="65"/>
      <c r="V138" s="65"/>
      <c r="W138" s="65"/>
      <c r="X138" s="65"/>
      <c r="Y138" s="65"/>
      <c r="Z138" s="65"/>
    </row>
    <row r="139" spans="1:26" ht="15.75" hidden="1" customHeight="1">
      <c r="A139" s="65" t="s">
        <v>299</v>
      </c>
      <c r="B139" s="65" t="s">
        <v>300</v>
      </c>
      <c r="C139" s="65" t="s">
        <v>301</v>
      </c>
      <c r="D139" s="65">
        <v>3019</v>
      </c>
      <c r="E139" s="65" t="s">
        <v>322</v>
      </c>
      <c r="F139" s="66">
        <v>-112226.87</v>
      </c>
      <c r="G139" s="66">
        <v>-33391.14</v>
      </c>
      <c r="H139" s="65" t="str">
        <f>VLOOKUP(D139,'COA1'!D:I,3,0)</f>
        <v>BS</v>
      </c>
      <c r="I139" s="65" t="str">
        <f>VLOOKUP(D139,'COA1'!D:I,4,0)</f>
        <v>Share premium</v>
      </c>
      <c r="J139" s="65">
        <f>VLOOKUP(D139,'COA1'!D:I,5,0)</f>
        <v>0</v>
      </c>
      <c r="K139" s="264">
        <f t="shared" si="0"/>
        <v>3.3609774928319309</v>
      </c>
      <c r="L139" s="65"/>
      <c r="M139" s="65"/>
      <c r="N139" s="65"/>
      <c r="O139" s="65"/>
      <c r="P139" s="263"/>
      <c r="Q139" s="263"/>
      <c r="R139" s="263"/>
      <c r="S139" s="263"/>
      <c r="T139" s="65"/>
      <c r="U139" s="65"/>
      <c r="V139" s="65"/>
      <c r="W139" s="65"/>
      <c r="X139" s="65"/>
      <c r="Y139" s="65"/>
      <c r="Z139" s="65"/>
    </row>
    <row r="140" spans="1:26" ht="15.75" hidden="1" customHeight="1">
      <c r="A140" s="65" t="s">
        <v>299</v>
      </c>
      <c r="B140" s="65" t="s">
        <v>300</v>
      </c>
      <c r="C140" s="65" t="s">
        <v>301</v>
      </c>
      <c r="D140" s="65">
        <v>3020</v>
      </c>
      <c r="E140" s="65" t="s">
        <v>323</v>
      </c>
      <c r="F140" s="66">
        <v>-169575.28</v>
      </c>
      <c r="G140" s="66">
        <v>-49984.41</v>
      </c>
      <c r="H140" s="65" t="str">
        <f>VLOOKUP(D140,'COA1'!D:I,3,0)</f>
        <v>BS</v>
      </c>
      <c r="I140" s="65" t="str">
        <f>VLOOKUP(D140,'COA1'!D:I,4,0)</f>
        <v>Share premium</v>
      </c>
      <c r="J140" s="65">
        <f>VLOOKUP(D140,'COA1'!D:I,5,0)</f>
        <v>0</v>
      </c>
      <c r="K140" s="264">
        <f t="shared" si="0"/>
        <v>3.3925634012685153</v>
      </c>
      <c r="L140" s="65"/>
      <c r="M140" s="65"/>
      <c r="N140" s="65"/>
      <c r="O140" s="65"/>
      <c r="P140" s="263"/>
      <c r="Q140" s="263"/>
      <c r="R140" s="263"/>
      <c r="S140" s="263"/>
      <c r="T140" s="65"/>
      <c r="U140" s="65"/>
      <c r="V140" s="65"/>
      <c r="W140" s="65"/>
      <c r="X140" s="65"/>
      <c r="Y140" s="65"/>
      <c r="Z140" s="65"/>
    </row>
    <row r="141" spans="1:26" ht="15.75" hidden="1" customHeight="1">
      <c r="A141" s="65" t="s">
        <v>299</v>
      </c>
      <c r="B141" s="65" t="s">
        <v>300</v>
      </c>
      <c r="C141" s="65" t="s">
        <v>301</v>
      </c>
      <c r="D141" s="65">
        <v>3021</v>
      </c>
      <c r="E141" s="65" t="s">
        <v>324</v>
      </c>
      <c r="F141" s="66">
        <v>-169576.28</v>
      </c>
      <c r="G141" s="66">
        <v>-49984.41</v>
      </c>
      <c r="H141" s="65" t="str">
        <f>VLOOKUP(D141,'COA1'!D:I,3,0)</f>
        <v>BS</v>
      </c>
      <c r="I141" s="65" t="str">
        <f>VLOOKUP(D141,'COA1'!D:I,4,0)</f>
        <v>Share premium</v>
      </c>
      <c r="J141" s="65">
        <f>VLOOKUP(D141,'COA1'!D:I,5,0)</f>
        <v>0</v>
      </c>
      <c r="K141" s="264">
        <f t="shared" si="0"/>
        <v>3.3925834075064603</v>
      </c>
      <c r="L141" s="65"/>
      <c r="M141" s="65"/>
      <c r="N141" s="65"/>
      <c r="O141" s="65"/>
      <c r="P141" s="263"/>
      <c r="Q141" s="263"/>
      <c r="R141" s="263"/>
      <c r="S141" s="263"/>
      <c r="T141" s="65"/>
      <c r="U141" s="65"/>
      <c r="V141" s="65"/>
      <c r="W141" s="65"/>
      <c r="X141" s="65"/>
      <c r="Y141" s="65"/>
      <c r="Z141" s="65"/>
    </row>
    <row r="142" spans="1:26" ht="15.75" hidden="1" customHeight="1">
      <c r="A142" s="65" t="s">
        <v>299</v>
      </c>
      <c r="B142" s="65" t="s">
        <v>300</v>
      </c>
      <c r="C142" s="65" t="s">
        <v>301</v>
      </c>
      <c r="D142" s="65">
        <v>3022</v>
      </c>
      <c r="E142" s="65" t="s">
        <v>325</v>
      </c>
      <c r="F142" s="66">
        <v>-452396.12</v>
      </c>
      <c r="G142" s="66">
        <v>-133332.62</v>
      </c>
      <c r="H142" s="65" t="str">
        <f>VLOOKUP(D142,'COA1'!D:I,3,0)</f>
        <v>BS</v>
      </c>
      <c r="I142" s="65" t="str">
        <f>VLOOKUP(D142,'COA1'!D:I,4,0)</f>
        <v>Share premium</v>
      </c>
      <c r="J142" s="65">
        <f>VLOOKUP(D142,'COA1'!D:I,5,0)</f>
        <v>0</v>
      </c>
      <c r="K142" s="264">
        <f t="shared" si="0"/>
        <v>3.3929890524914308</v>
      </c>
      <c r="L142" s="65"/>
      <c r="M142" s="65"/>
      <c r="N142" s="65"/>
      <c r="O142" s="65"/>
      <c r="P142" s="263"/>
      <c r="Q142" s="263"/>
      <c r="R142" s="263"/>
      <c r="S142" s="263"/>
      <c r="T142" s="65"/>
      <c r="U142" s="65"/>
      <c r="V142" s="65"/>
      <c r="W142" s="65"/>
      <c r="X142" s="65"/>
      <c r="Y142" s="65"/>
      <c r="Z142" s="65"/>
    </row>
    <row r="143" spans="1:26" ht="15.75" hidden="1" customHeight="1">
      <c r="A143" s="65" t="s">
        <v>299</v>
      </c>
      <c r="B143" s="65" t="s">
        <v>300</v>
      </c>
      <c r="C143" s="65" t="s">
        <v>301</v>
      </c>
      <c r="D143" s="65">
        <v>3023</v>
      </c>
      <c r="E143" s="65" t="s">
        <v>326</v>
      </c>
      <c r="F143" s="66">
        <v>-452416.12</v>
      </c>
      <c r="G143" s="66">
        <v>-133332.62</v>
      </c>
      <c r="H143" s="65" t="str">
        <f>VLOOKUP(D143,'COA1'!D:I,3,0)</f>
        <v>BS</v>
      </c>
      <c r="I143" s="65" t="str">
        <f>VLOOKUP(D143,'COA1'!D:I,4,0)</f>
        <v>Share premium</v>
      </c>
      <c r="J143" s="65">
        <f>VLOOKUP(D143,'COA1'!D:I,5,0)</f>
        <v>0</v>
      </c>
      <c r="K143" s="264">
        <f t="shared" si="0"/>
        <v>3.3931390532939352</v>
      </c>
      <c r="L143" s="65"/>
      <c r="M143" s="65"/>
      <c r="N143" s="65"/>
      <c r="O143" s="65"/>
      <c r="P143" s="263"/>
      <c r="Q143" s="263"/>
      <c r="R143" s="263"/>
      <c r="S143" s="263"/>
      <c r="T143" s="65"/>
      <c r="U143" s="65"/>
      <c r="V143" s="65"/>
      <c r="W143" s="65"/>
      <c r="X143" s="65"/>
      <c r="Y143" s="65"/>
      <c r="Z143" s="65"/>
    </row>
    <row r="144" spans="1:26" ht="15.75" hidden="1" customHeight="1">
      <c r="A144" s="65" t="s">
        <v>299</v>
      </c>
      <c r="B144" s="65" t="s">
        <v>300</v>
      </c>
      <c r="C144" s="65" t="s">
        <v>301</v>
      </c>
      <c r="D144" s="65">
        <v>3024</v>
      </c>
      <c r="E144" s="65" t="s">
        <v>327</v>
      </c>
      <c r="F144" s="66">
        <v>-452416.12</v>
      </c>
      <c r="G144" s="66">
        <v>-133332.62</v>
      </c>
      <c r="H144" s="65" t="str">
        <f>VLOOKUP(D144,'COA1'!D:I,3,0)</f>
        <v>BS</v>
      </c>
      <c r="I144" s="65" t="str">
        <f>VLOOKUP(D144,'COA1'!D:I,4,0)</f>
        <v>Share premium</v>
      </c>
      <c r="J144" s="65">
        <f>VLOOKUP(D144,'COA1'!D:I,5,0)</f>
        <v>0</v>
      </c>
      <c r="K144" s="264">
        <f t="shared" si="0"/>
        <v>3.3931390532939352</v>
      </c>
      <c r="L144" s="65"/>
      <c r="M144" s="65"/>
      <c r="N144" s="65"/>
      <c r="O144" s="65"/>
      <c r="P144" s="263"/>
      <c r="Q144" s="263"/>
      <c r="R144" s="263"/>
      <c r="S144" s="263"/>
      <c r="T144" s="65"/>
      <c r="U144" s="65"/>
      <c r="V144" s="65"/>
      <c r="W144" s="65"/>
      <c r="X144" s="65"/>
      <c r="Y144" s="65"/>
      <c r="Z144" s="65"/>
    </row>
    <row r="145" spans="1:26" ht="15.75" hidden="1" customHeight="1">
      <c r="A145" s="65" t="s">
        <v>299</v>
      </c>
      <c r="B145" s="65" t="s">
        <v>300</v>
      </c>
      <c r="C145" s="65" t="s">
        <v>301</v>
      </c>
      <c r="D145" s="65">
        <v>3333</v>
      </c>
      <c r="E145" s="65" t="s">
        <v>328</v>
      </c>
      <c r="F145" s="66">
        <v>-89.49</v>
      </c>
      <c r="G145" s="66">
        <v>-27.28</v>
      </c>
      <c r="H145" s="65" t="str">
        <f>VLOOKUP(D145,'COA1'!D:I,3,0)</f>
        <v>BS</v>
      </c>
      <c r="I145" s="65" t="str">
        <f>VLOOKUP(D145,'COA1'!D:I,4,0)</f>
        <v>Share capital - Ordinary Shares</v>
      </c>
      <c r="J145" s="65">
        <f>VLOOKUP(D145,'COA1'!D:I,5,0)</f>
        <v>0</v>
      </c>
      <c r="K145" s="264">
        <f t="shared" si="0"/>
        <v>3.2804252199413488</v>
      </c>
      <c r="L145" s="65"/>
      <c r="M145" s="65"/>
      <c r="N145" s="65"/>
      <c r="O145" s="65"/>
      <c r="P145" s="263"/>
      <c r="Q145" s="263"/>
      <c r="R145" s="263"/>
      <c r="S145" s="263"/>
      <c r="T145" s="65"/>
      <c r="U145" s="65"/>
      <c r="V145" s="65"/>
      <c r="W145" s="65"/>
      <c r="X145" s="65"/>
      <c r="Y145" s="65"/>
      <c r="Z145" s="65"/>
    </row>
    <row r="146" spans="1:26" ht="15.75" hidden="1" customHeight="1">
      <c r="A146" s="65" t="s">
        <v>299</v>
      </c>
      <c r="B146" s="65" t="s">
        <v>300</v>
      </c>
      <c r="C146" s="65" t="s">
        <v>301</v>
      </c>
      <c r="D146" s="65">
        <v>3334</v>
      </c>
      <c r="E146" s="65" t="s">
        <v>329</v>
      </c>
      <c r="F146" s="66">
        <v>1231494.25</v>
      </c>
      <c r="G146" s="66">
        <v>391399.71</v>
      </c>
      <c r="H146" s="65" t="str">
        <f>VLOOKUP(D146,'COA1'!D:I,3,0)</f>
        <v>BS</v>
      </c>
      <c r="I146" s="65" t="str">
        <f>VLOOKUP(D146,'COA1'!D:I,4,0)</f>
        <v>Investment</v>
      </c>
      <c r="J146" s="65">
        <f>VLOOKUP(D146,'COA1'!D:I,5,0)</f>
        <v>0</v>
      </c>
      <c r="K146" s="264">
        <f t="shared" si="0"/>
        <v>3.1463851876640376</v>
      </c>
      <c r="L146" s="65"/>
      <c r="M146" s="65"/>
      <c r="N146" s="65"/>
      <c r="O146" s="65"/>
      <c r="P146" s="263"/>
      <c r="Q146" s="263"/>
      <c r="R146" s="263"/>
      <c r="S146" s="263"/>
      <c r="T146" s="65"/>
      <c r="U146" s="65"/>
      <c r="V146" s="65"/>
      <c r="W146" s="65"/>
      <c r="X146" s="65"/>
      <c r="Y146" s="65"/>
      <c r="Z146" s="65"/>
    </row>
    <row r="147" spans="1:26" ht="15.75" hidden="1" customHeight="1">
      <c r="A147" s="65" t="s">
        <v>299</v>
      </c>
      <c r="B147" s="65" t="s">
        <v>300</v>
      </c>
      <c r="C147" s="65" t="s">
        <v>301</v>
      </c>
      <c r="D147" s="65">
        <v>3335</v>
      </c>
      <c r="E147" s="65" t="s">
        <v>331</v>
      </c>
      <c r="F147" s="66">
        <v>-8575</v>
      </c>
      <c r="G147" s="66">
        <v>-2626.34</v>
      </c>
      <c r="H147" s="65" t="str">
        <f>VLOOKUP(D147,'COA1'!D:I,3,0)</f>
        <v>BS</v>
      </c>
      <c r="I147" s="65" t="str">
        <f>VLOOKUP(D147,'COA1'!D:I,4,0)</f>
        <v>Share premium</v>
      </c>
      <c r="J147" s="65">
        <f>VLOOKUP(D147,'COA1'!D:I,5,0)</f>
        <v>0</v>
      </c>
      <c r="K147" s="264">
        <f t="shared" si="0"/>
        <v>3.2649999619241985</v>
      </c>
      <c r="L147" s="65"/>
      <c r="M147" s="65"/>
      <c r="N147" s="65"/>
      <c r="O147" s="65"/>
      <c r="P147" s="263"/>
      <c r="Q147" s="263"/>
      <c r="R147" s="263"/>
      <c r="S147" s="263"/>
      <c r="T147" s="65"/>
      <c r="U147" s="65"/>
      <c r="V147" s="65"/>
      <c r="W147" s="65"/>
      <c r="X147" s="65"/>
      <c r="Y147" s="65"/>
      <c r="Z147" s="65"/>
    </row>
    <row r="148" spans="1:26" ht="15.75" hidden="1" customHeight="1">
      <c r="A148" s="65" t="s">
        <v>299</v>
      </c>
      <c r="B148" s="65" t="s">
        <v>300</v>
      </c>
      <c r="C148" s="65" t="s">
        <v>301</v>
      </c>
      <c r="D148" s="65">
        <v>3336</v>
      </c>
      <c r="E148" s="65" t="s">
        <v>332</v>
      </c>
      <c r="F148" s="66">
        <v>-651</v>
      </c>
      <c r="G148" s="66">
        <v>-191</v>
      </c>
      <c r="H148" s="65" t="str">
        <f>VLOOKUP(D148,'COA1'!D:I,3,0)</f>
        <v>BS</v>
      </c>
      <c r="I148" s="65" t="str">
        <f>VLOOKUP(D148,'COA1'!D:I,4,0)</f>
        <v>Share capital - Preferred Seed-1</v>
      </c>
      <c r="J148" s="65">
        <f>VLOOKUP(D148,'COA1'!D:I,5,0)</f>
        <v>0</v>
      </c>
      <c r="K148" s="264">
        <f t="shared" si="0"/>
        <v>3.4083769633507854</v>
      </c>
      <c r="L148" s="65"/>
      <c r="M148" s="65"/>
      <c r="N148" s="65"/>
      <c r="O148" s="65"/>
      <c r="P148" s="263"/>
      <c r="Q148" s="263"/>
      <c r="R148" s="263"/>
      <c r="S148" s="263"/>
      <c r="T148" s="65"/>
      <c r="U148" s="65"/>
      <c r="V148" s="65"/>
      <c r="W148" s="65"/>
      <c r="X148" s="65"/>
      <c r="Y148" s="65"/>
      <c r="Z148" s="65"/>
    </row>
    <row r="149" spans="1:26" ht="15.75" hidden="1" customHeight="1">
      <c r="A149" s="65" t="s">
        <v>299</v>
      </c>
      <c r="B149" s="65" t="s">
        <v>300</v>
      </c>
      <c r="C149" s="65" t="s">
        <v>301</v>
      </c>
      <c r="D149" s="65">
        <v>3337</v>
      </c>
      <c r="E149" s="65" t="s">
        <v>334</v>
      </c>
      <c r="F149" s="66">
        <v>-2413596.58</v>
      </c>
      <c r="G149" s="66">
        <v>-726512.54</v>
      </c>
      <c r="H149" s="65" t="str">
        <f>VLOOKUP(D149,'COA1'!D:I,3,0)</f>
        <v>BS</v>
      </c>
      <c r="I149" s="65" t="str">
        <f>VLOOKUP(D149,'COA1'!D:I,4,0)</f>
        <v>Share premium</v>
      </c>
      <c r="J149" s="65">
        <f>VLOOKUP(D149,'COA1'!D:I,5,0)</f>
        <v>0</v>
      </c>
      <c r="K149" s="264">
        <f t="shared" si="0"/>
        <v>3.3221678183283663</v>
      </c>
      <c r="L149" s="65"/>
      <c r="M149" s="65"/>
      <c r="N149" s="65"/>
      <c r="O149" s="65"/>
      <c r="P149" s="263"/>
      <c r="Q149" s="263"/>
      <c r="R149" s="263"/>
      <c r="S149" s="263"/>
      <c r="T149" s="65"/>
      <c r="U149" s="65"/>
      <c r="V149" s="65"/>
      <c r="W149" s="65"/>
      <c r="X149" s="65"/>
      <c r="Y149" s="65"/>
      <c r="Z149" s="65"/>
    </row>
    <row r="150" spans="1:26" ht="15.75" hidden="1" customHeight="1">
      <c r="A150" s="65" t="s">
        <v>299</v>
      </c>
      <c r="B150" s="65" t="s">
        <v>300</v>
      </c>
      <c r="C150" s="65" t="s">
        <v>301</v>
      </c>
      <c r="D150" s="65">
        <v>3338</v>
      </c>
      <c r="E150" s="65" t="s">
        <v>335</v>
      </c>
      <c r="F150" s="66">
        <v>-169.46</v>
      </c>
      <c r="G150" s="66">
        <v>-49.24</v>
      </c>
      <c r="H150" s="65" t="str">
        <f>VLOOKUP(D150,'COA1'!D:I,3,0)</f>
        <v>BS</v>
      </c>
      <c r="I150" s="65" t="str">
        <f>VLOOKUP(D150,'COA1'!D:I,4,0)</f>
        <v>Share capital - Preferred Seed</v>
      </c>
      <c r="J150" s="65">
        <f>VLOOKUP(D150,'COA1'!D:I,5,0)</f>
        <v>0</v>
      </c>
      <c r="K150" s="264">
        <f t="shared" si="0"/>
        <v>3.4415109666937451</v>
      </c>
      <c r="L150" s="65"/>
      <c r="M150" s="65"/>
      <c r="N150" s="65"/>
      <c r="O150" s="65"/>
      <c r="P150" s="263"/>
      <c r="Q150" s="263"/>
      <c r="R150" s="263"/>
      <c r="S150" s="263"/>
      <c r="T150" s="65"/>
      <c r="U150" s="65"/>
      <c r="V150" s="65"/>
      <c r="W150" s="65"/>
      <c r="X150" s="65"/>
      <c r="Y150" s="65"/>
      <c r="Z150" s="65"/>
    </row>
    <row r="151" spans="1:26" ht="15.75" hidden="1" customHeight="1">
      <c r="A151" s="65" t="s">
        <v>299</v>
      </c>
      <c r="B151" s="65" t="s">
        <v>300</v>
      </c>
      <c r="C151" s="65" t="s">
        <v>301</v>
      </c>
      <c r="D151" s="65">
        <v>99998</v>
      </c>
      <c r="E151" s="65" t="s">
        <v>337</v>
      </c>
      <c r="F151" s="66">
        <v>14212768.529999999</v>
      </c>
      <c r="G151" s="66">
        <v>3981035.15</v>
      </c>
      <c r="H151" s="65" t="str">
        <f>VLOOKUP(D151,'COA1'!D:I,3,0)</f>
        <v>BS</v>
      </c>
      <c r="I151" s="65" t="str">
        <f>VLOOKUP(D151,'COA1'!D:I,4,0)</f>
        <v>Accumulated deficit</v>
      </c>
      <c r="J151" s="65">
        <f>VLOOKUP(D151,'COA1'!D:I,5,0)</f>
        <v>0</v>
      </c>
      <c r="K151" s="264">
        <f t="shared" si="0"/>
        <v>3.5701188244971913</v>
      </c>
      <c r="L151" s="65"/>
      <c r="M151" s="65"/>
      <c r="N151" s="65"/>
      <c r="O151" s="65"/>
      <c r="P151" s="263"/>
      <c r="Q151" s="263"/>
      <c r="R151" s="263"/>
      <c r="S151" s="263"/>
      <c r="T151" s="65"/>
      <c r="U151" s="65"/>
      <c r="V151" s="65"/>
      <c r="W151" s="65"/>
      <c r="X151" s="65"/>
      <c r="Y151" s="65"/>
      <c r="Z151" s="65"/>
    </row>
    <row r="152" spans="1:26" ht="15.75" hidden="1" customHeight="1">
      <c r="A152" s="65" t="s">
        <v>299</v>
      </c>
      <c r="B152" s="65" t="s">
        <v>300</v>
      </c>
      <c r="C152" s="65" t="s">
        <v>339</v>
      </c>
      <c r="D152" s="65">
        <v>80000</v>
      </c>
      <c r="E152" s="65" t="s">
        <v>340</v>
      </c>
      <c r="F152" s="66">
        <v>-1958282.89</v>
      </c>
      <c r="G152" s="66">
        <v>-513806.85</v>
      </c>
      <c r="H152" s="65" t="str">
        <f>VLOOKUP(D152,'COA1'!D:I,3,0)</f>
        <v>BS</v>
      </c>
      <c r="I152" s="65" t="str">
        <f>VLOOKUP(D152,'COA1'!D:I,4,0)</f>
        <v>Share premium</v>
      </c>
      <c r="J152" s="65">
        <f>VLOOKUP(D152,'COA1'!D:I,5,0)</f>
        <v>0</v>
      </c>
      <c r="K152" s="264">
        <f t="shared" si="0"/>
        <v>3.8113211024726508</v>
      </c>
      <c r="L152" s="65"/>
      <c r="M152" s="65"/>
      <c r="N152" s="65"/>
      <c r="O152" s="65"/>
      <c r="P152" s="263"/>
      <c r="Q152" s="263"/>
      <c r="R152" s="263"/>
      <c r="S152" s="263"/>
      <c r="T152" s="65"/>
      <c r="U152" s="65"/>
      <c r="V152" s="65"/>
      <c r="W152" s="65"/>
      <c r="X152" s="65"/>
      <c r="Y152" s="65"/>
      <c r="Z152" s="65"/>
    </row>
    <row r="153" spans="1:26" ht="15.75" hidden="1" customHeight="1">
      <c r="A153" s="65" t="s">
        <v>299</v>
      </c>
      <c r="B153" s="65" t="s">
        <v>300</v>
      </c>
      <c r="C153" s="65" t="s">
        <v>339</v>
      </c>
      <c r="D153" s="492">
        <v>80001</v>
      </c>
      <c r="E153" s="492" t="s">
        <v>341</v>
      </c>
      <c r="F153" s="493">
        <v>170500</v>
      </c>
      <c r="G153" s="493">
        <v>50000</v>
      </c>
      <c r="H153" s="492" t="str">
        <f>VLOOKUP(D153,'COA1'!D:I,3,0)</f>
        <v>BS</v>
      </c>
      <c r="I153" s="65" t="str">
        <f>VLOOKUP(D153,'COA1'!D:I,4,0)</f>
        <v>Other accounts receivable</v>
      </c>
      <c r="J153" s="65">
        <f>VLOOKUP(D153,'COA1'!D:I,5,0)</f>
        <v>0</v>
      </c>
      <c r="K153" s="264">
        <f t="shared" si="0"/>
        <v>3.41</v>
      </c>
      <c r="L153" s="65"/>
      <c r="M153" s="65"/>
      <c r="N153" s="65"/>
      <c r="O153" s="65"/>
      <c r="P153" s="263"/>
      <c r="Q153" s="263"/>
      <c r="R153" s="263"/>
      <c r="S153" s="263"/>
      <c r="T153" s="65"/>
      <c r="U153" s="65"/>
      <c r="V153" s="65"/>
      <c r="W153" s="65"/>
      <c r="X153" s="65"/>
      <c r="Y153" s="65"/>
      <c r="Z153" s="65"/>
    </row>
    <row r="154" spans="1:26" ht="15.75" hidden="1" customHeight="1">
      <c r="A154" s="65" t="s">
        <v>343</v>
      </c>
      <c r="B154" s="65" t="s">
        <v>344</v>
      </c>
      <c r="C154" s="65" t="s">
        <v>345</v>
      </c>
      <c r="D154" s="65">
        <v>4000</v>
      </c>
      <c r="E154" s="65" t="s">
        <v>346</v>
      </c>
      <c r="F154" s="66">
        <v>-2184946.88</v>
      </c>
      <c r="G154" s="66">
        <v>-677944.44</v>
      </c>
      <c r="H154" s="65" t="str">
        <f>VLOOKUP(D154,'COA1'!D:I,3,0)</f>
        <v>PL</v>
      </c>
      <c r="I154" s="65" t="str">
        <f>VLOOKUP(D154,'COA1'!D:I,4,0)</f>
        <v>Revenues</v>
      </c>
      <c r="J154" s="65" t="str">
        <f>VLOOKUP(D154,'COA1'!D:I,5,0)</f>
        <v xml:space="preserve">ads revenue </v>
      </c>
      <c r="K154" s="264">
        <f t="shared" si="0"/>
        <v>3.2228996228658504</v>
      </c>
      <c r="L154" s="65"/>
      <c r="M154" s="65"/>
      <c r="N154" s="65"/>
      <c r="O154" s="65"/>
      <c r="P154" s="263"/>
      <c r="Q154" s="263"/>
      <c r="R154" s="263"/>
      <c r="S154" s="263"/>
      <c r="T154" s="65"/>
      <c r="U154" s="65"/>
      <c r="V154" s="65"/>
      <c r="W154" s="65"/>
      <c r="X154" s="65"/>
      <c r="Y154" s="65"/>
      <c r="Z154" s="65"/>
    </row>
    <row r="155" spans="1:26" ht="15.75" hidden="1" customHeight="1">
      <c r="A155" s="65" t="s">
        <v>343</v>
      </c>
      <c r="B155" s="65" t="s">
        <v>344</v>
      </c>
      <c r="C155" s="65" t="s">
        <v>345</v>
      </c>
      <c r="D155" s="65">
        <v>4001</v>
      </c>
      <c r="E155" s="65" t="s">
        <v>831</v>
      </c>
      <c r="F155" s="66">
        <v>-194083.59</v>
      </c>
      <c r="G155" s="66">
        <v>-59213.08</v>
      </c>
      <c r="H155" s="65" t="str">
        <f>VLOOKUP(D155,'COA1'!D:I,3,0)</f>
        <v>PL</v>
      </c>
      <c r="I155" s="65" t="str">
        <f>VLOOKUP(D155,'COA1'!D:I,4,0)</f>
        <v>Revenues</v>
      </c>
      <c r="J155" s="65" t="str">
        <f>VLOOKUP(D155,'COA1'!D:I,5,0)</f>
        <v xml:space="preserve">ads revenue </v>
      </c>
      <c r="K155" s="264">
        <f t="shared" si="0"/>
        <v>3.2777148224682788</v>
      </c>
      <c r="L155" s="65"/>
      <c r="M155" s="65"/>
      <c r="N155" s="65"/>
      <c r="O155" s="65"/>
      <c r="P155" s="263"/>
      <c r="Q155" s="263"/>
      <c r="R155" s="263"/>
      <c r="S155" s="263"/>
      <c r="T155" s="65"/>
      <c r="U155" s="65"/>
      <c r="V155" s="65"/>
      <c r="W155" s="65"/>
      <c r="X155" s="65"/>
      <c r="Y155" s="65"/>
      <c r="Z155" s="65"/>
    </row>
    <row r="156" spans="1:26" ht="15.75" hidden="1" customHeight="1">
      <c r="A156" s="65" t="s">
        <v>343</v>
      </c>
      <c r="B156" s="65" t="s">
        <v>344</v>
      </c>
      <c r="C156" s="65" t="s">
        <v>345</v>
      </c>
      <c r="D156" s="65">
        <v>4007</v>
      </c>
      <c r="E156" s="65" t="s">
        <v>832</v>
      </c>
      <c r="F156" s="66">
        <v>10470022.33</v>
      </c>
      <c r="G156" s="66">
        <v>3260399</v>
      </c>
      <c r="H156" s="65" t="str">
        <f>VLOOKUP(D156,'COA1'!D:I,3,0)</f>
        <v>PL</v>
      </c>
      <c r="I156" s="65" t="str">
        <f>VLOOKUP(D156,'COA1'!D:I,4,0)</f>
        <v>Revenues</v>
      </c>
      <c r="J156" s="65" t="str">
        <f>VLOOKUP(D156,'COA1'!D:I,5,0)</f>
        <v xml:space="preserve">Net Cash </v>
      </c>
      <c r="K156" s="264">
        <f t="shared" si="0"/>
        <v>3.2112702555730142</v>
      </c>
      <c r="L156" s="65"/>
      <c r="M156" s="65"/>
      <c r="N156" s="65"/>
      <c r="O156" s="65"/>
      <c r="P156" s="263"/>
      <c r="Q156" s="263"/>
      <c r="R156" s="263"/>
      <c r="S156" s="263"/>
      <c r="T156" s="65"/>
      <c r="U156" s="65"/>
      <c r="V156" s="65"/>
      <c r="W156" s="65"/>
      <c r="X156" s="65"/>
      <c r="Y156" s="65"/>
      <c r="Z156" s="65"/>
    </row>
    <row r="157" spans="1:26" ht="15.75" hidden="1" customHeight="1">
      <c r="A157" s="65" t="s">
        <v>343</v>
      </c>
      <c r="B157" s="65" t="s">
        <v>344</v>
      </c>
      <c r="C157" s="65" t="s">
        <v>345</v>
      </c>
      <c r="D157" s="65">
        <v>4008</v>
      </c>
      <c r="E157" s="65" t="s">
        <v>570</v>
      </c>
      <c r="F157" s="66">
        <v>-160429545.97</v>
      </c>
      <c r="G157" s="66">
        <v>-50591214.579999998</v>
      </c>
      <c r="H157" s="65" t="str">
        <f>VLOOKUP(D157,'COA1'!D:I,3,0)</f>
        <v>PL</v>
      </c>
      <c r="I157" s="65" t="str">
        <f>VLOOKUP(D157,'COA1'!D:I,4,0)</f>
        <v>Revenues</v>
      </c>
      <c r="J157" s="65" t="str">
        <f>VLOOKUP(D157,'COA1'!D:I,5,0)</f>
        <v>Revenues</v>
      </c>
      <c r="K157" s="264">
        <f t="shared" si="0"/>
        <v>3.1710949678093301</v>
      </c>
      <c r="L157" s="65"/>
      <c r="M157" s="65"/>
      <c r="N157" s="65"/>
      <c r="O157" s="65"/>
      <c r="P157" s="263"/>
      <c r="Q157" s="263"/>
      <c r="R157" s="263"/>
      <c r="S157" s="263"/>
      <c r="T157" s="65"/>
      <c r="U157" s="65"/>
      <c r="V157" s="65"/>
      <c r="W157" s="65"/>
      <c r="X157" s="65"/>
      <c r="Y157" s="65"/>
      <c r="Z157" s="65"/>
    </row>
    <row r="158" spans="1:26" ht="15.75" hidden="1" customHeight="1">
      <c r="A158" s="65" t="s">
        <v>343</v>
      </c>
      <c r="B158" s="65" t="s">
        <v>344</v>
      </c>
      <c r="C158" s="65" t="s">
        <v>345</v>
      </c>
      <c r="D158" s="65">
        <v>4009</v>
      </c>
      <c r="E158" s="65" t="s">
        <v>571</v>
      </c>
      <c r="F158" s="66">
        <v>160429545.97</v>
      </c>
      <c r="G158" s="66">
        <v>50591214.579999998</v>
      </c>
      <c r="H158" s="65" t="str">
        <f>VLOOKUP(D158,'COA1'!D:I,3,0)</f>
        <v>PL</v>
      </c>
      <c r="I158" s="65" t="str">
        <f>VLOOKUP(D158,'COA1'!D:I,4,0)</f>
        <v>Revenues</v>
      </c>
      <c r="J158" s="65" t="str">
        <f>VLOOKUP(D158,'COA1'!D:I,5,0)</f>
        <v>Revenues</v>
      </c>
      <c r="K158" s="264">
        <f t="shared" si="0"/>
        <v>3.1710949678093301</v>
      </c>
      <c r="L158" s="65"/>
      <c r="M158" s="65"/>
      <c r="N158" s="65"/>
      <c r="O158" s="65"/>
      <c r="P158" s="263"/>
      <c r="Q158" s="263"/>
      <c r="R158" s="263"/>
      <c r="S158" s="263"/>
      <c r="T158" s="65"/>
      <c r="U158" s="65"/>
      <c r="V158" s="65"/>
      <c r="W158" s="65"/>
      <c r="X158" s="65"/>
      <c r="Y158" s="65"/>
      <c r="Z158" s="65"/>
    </row>
    <row r="159" spans="1:26" ht="15.75" hidden="1" customHeight="1">
      <c r="A159" s="65" t="s">
        <v>343</v>
      </c>
      <c r="B159" s="65" t="s">
        <v>344</v>
      </c>
      <c r="C159" s="65" t="s">
        <v>345</v>
      </c>
      <c r="D159" s="65">
        <v>4107</v>
      </c>
      <c r="E159" s="65" t="s">
        <v>811</v>
      </c>
      <c r="F159" s="66">
        <v>-111027</v>
      </c>
      <c r="G159" s="66">
        <v>-35700</v>
      </c>
      <c r="H159" s="65" t="str">
        <f>VLOOKUP(D159,'COA1'!D:I,3,0)</f>
        <v>PL</v>
      </c>
      <c r="I159" s="65" t="str">
        <f>VLOOKUP(D159,'COA1'!D:I,4,0)</f>
        <v>Revenues</v>
      </c>
      <c r="J159" s="65" t="str">
        <f>VLOOKUP(D159,'COA1'!D:I,5,0)</f>
        <v>Revenues</v>
      </c>
      <c r="K159" s="264">
        <f t="shared" si="0"/>
        <v>3.11</v>
      </c>
      <c r="L159" s="65"/>
      <c r="M159" s="65"/>
      <c r="N159" s="65"/>
      <c r="O159" s="65"/>
      <c r="P159" s="263"/>
      <c r="Q159" s="263"/>
      <c r="R159" s="263"/>
      <c r="S159" s="263"/>
      <c r="T159" s="65"/>
      <c r="U159" s="65"/>
      <c r="V159" s="65"/>
      <c r="W159" s="65"/>
      <c r="X159" s="65"/>
      <c r="Y159" s="65"/>
      <c r="Z159" s="65"/>
    </row>
    <row r="160" spans="1:26" ht="15.75" hidden="1" customHeight="1">
      <c r="A160" s="65" t="s">
        <v>343</v>
      </c>
      <c r="B160" s="65" t="s">
        <v>344</v>
      </c>
      <c r="C160" s="65" t="s">
        <v>351</v>
      </c>
      <c r="D160" s="65">
        <v>4002</v>
      </c>
      <c r="E160" s="65" t="s">
        <v>833</v>
      </c>
      <c r="F160" s="66">
        <v>-2628180.4</v>
      </c>
      <c r="G160" s="66">
        <v>-815423.96</v>
      </c>
      <c r="H160" s="65" t="str">
        <f>VLOOKUP(D160,'COA1'!D:I,3,0)</f>
        <v>PL</v>
      </c>
      <c r="I160" s="65" t="str">
        <f>VLOOKUP(D160,'COA1'!D:I,4,0)</f>
        <v>Revenues</v>
      </c>
      <c r="J160" s="65" t="str">
        <f>VLOOKUP(D160,'COA1'!D:I,5,0)</f>
        <v xml:space="preserve">ads revenue </v>
      </c>
      <c r="K160" s="264">
        <f t="shared" si="0"/>
        <v>3.2230845902541301</v>
      </c>
      <c r="L160" s="65"/>
      <c r="M160" s="65"/>
      <c r="N160" s="65"/>
      <c r="O160" s="65"/>
      <c r="P160" s="263"/>
      <c r="Q160" s="263"/>
      <c r="R160" s="263"/>
      <c r="S160" s="263"/>
      <c r="T160" s="65"/>
      <c r="U160" s="65"/>
      <c r="V160" s="65"/>
      <c r="W160" s="65"/>
      <c r="X160" s="65"/>
      <c r="Y160" s="65"/>
      <c r="Z160" s="65"/>
    </row>
    <row r="161" spans="1:26" ht="15.75" hidden="1" customHeight="1">
      <c r="A161" s="65" t="s">
        <v>343</v>
      </c>
      <c r="B161" s="65" t="s">
        <v>344</v>
      </c>
      <c r="C161" s="65" t="s">
        <v>351</v>
      </c>
      <c r="D161" s="65">
        <v>4005</v>
      </c>
      <c r="E161" s="65" t="s">
        <v>353</v>
      </c>
      <c r="F161" s="66">
        <v>-4047001.55</v>
      </c>
      <c r="G161" s="66">
        <v>-1304777</v>
      </c>
      <c r="H161" s="65" t="str">
        <f>VLOOKUP(D161,'COA1'!D:I,3,0)</f>
        <v>PL</v>
      </c>
      <c r="I161" s="65" t="str">
        <f>VLOOKUP(D161,'COA1'!D:I,4,0)</f>
        <v>Revenues</v>
      </c>
      <c r="J161" s="65" t="str">
        <f>VLOOKUP(D161,'COA1'!D:I,5,0)</f>
        <v>Revenues</v>
      </c>
      <c r="K161" s="264">
        <f t="shared" si="0"/>
        <v>3.1016806320160457</v>
      </c>
      <c r="L161" s="65"/>
      <c r="M161" s="65"/>
      <c r="N161" s="65"/>
      <c r="O161" s="65"/>
      <c r="P161" s="263"/>
      <c r="Q161" s="263"/>
      <c r="R161" s="263"/>
      <c r="S161" s="263"/>
      <c r="T161" s="65"/>
      <c r="U161" s="65"/>
      <c r="V161" s="65"/>
      <c r="W161" s="65"/>
      <c r="X161" s="65"/>
      <c r="Y161" s="65"/>
      <c r="Z161" s="65"/>
    </row>
    <row r="162" spans="1:26" ht="15.75" hidden="1" customHeight="1">
      <c r="A162" s="65" t="s">
        <v>343</v>
      </c>
      <c r="B162" s="65" t="s">
        <v>344</v>
      </c>
      <c r="C162" s="65" t="s">
        <v>351</v>
      </c>
      <c r="D162" s="65">
        <v>4103</v>
      </c>
      <c r="E162" s="65" t="s">
        <v>559</v>
      </c>
      <c r="F162" s="66">
        <v>-278267966.26999998</v>
      </c>
      <c r="G162" s="66">
        <v>-87283322.370000005</v>
      </c>
      <c r="H162" s="65" t="str">
        <f>VLOOKUP(D162,'COA1'!D:I,3,0)</f>
        <v>PL</v>
      </c>
      <c r="I162" s="65" t="str">
        <f>VLOOKUP(D162,'COA1'!D:I,4,0)</f>
        <v>Revenues</v>
      </c>
      <c r="J162" s="65" t="str">
        <f>VLOOKUP(D162,'COA1'!D:I,5,0)</f>
        <v>Revenues</v>
      </c>
      <c r="K162" s="264">
        <f t="shared" si="0"/>
        <v>3.1881000712874212</v>
      </c>
      <c r="L162" s="65"/>
      <c r="M162" s="65"/>
      <c r="N162" s="65"/>
      <c r="O162" s="65"/>
      <c r="P162" s="263"/>
      <c r="Q162" s="263"/>
      <c r="R162" s="263"/>
      <c r="S162" s="263"/>
      <c r="T162" s="65"/>
      <c r="U162" s="65"/>
      <c r="V162" s="65"/>
      <c r="W162" s="65"/>
      <c r="X162" s="65"/>
      <c r="Y162" s="65"/>
      <c r="Z162" s="65"/>
    </row>
    <row r="163" spans="1:26" ht="15.75" hidden="1" customHeight="1">
      <c r="A163" s="65" t="s">
        <v>343</v>
      </c>
      <c r="B163" s="65" t="s">
        <v>344</v>
      </c>
      <c r="C163" s="65" t="s">
        <v>351</v>
      </c>
      <c r="D163" s="65">
        <v>4104</v>
      </c>
      <c r="E163" s="65" t="s">
        <v>834</v>
      </c>
      <c r="F163" s="66">
        <v>-171289390.91</v>
      </c>
      <c r="G163" s="66">
        <v>-53781459.380000003</v>
      </c>
      <c r="H163" s="65" t="str">
        <f>VLOOKUP(D163,'COA1'!D:I,3,0)</f>
        <v>PL</v>
      </c>
      <c r="I163" s="65" t="str">
        <f>VLOOKUP(D163,'COA1'!D:I,4,0)</f>
        <v>Revenues</v>
      </c>
      <c r="J163" s="65" t="str">
        <f>VLOOKUP(D163,'COA1'!D:I,5,0)</f>
        <v>Revenues</v>
      </c>
      <c r="K163" s="264">
        <f t="shared" si="0"/>
        <v>3.1849152641941565</v>
      </c>
      <c r="L163" s="65"/>
      <c r="M163" s="65"/>
      <c r="N163" s="65"/>
      <c r="O163" s="65"/>
      <c r="P163" s="263"/>
      <c r="Q163" s="263"/>
      <c r="R163" s="263"/>
      <c r="S163" s="263"/>
      <c r="T163" s="65"/>
      <c r="U163" s="65"/>
      <c r="V163" s="65"/>
      <c r="W163" s="65"/>
      <c r="X163" s="65"/>
      <c r="Y163" s="65"/>
      <c r="Z163" s="65"/>
    </row>
    <row r="164" spans="1:26" ht="15.75" hidden="1" customHeight="1">
      <c r="A164" s="65" t="s">
        <v>343</v>
      </c>
      <c r="B164" s="65" t="s">
        <v>344</v>
      </c>
      <c r="C164" s="65" t="s">
        <v>351</v>
      </c>
      <c r="D164" s="65">
        <v>4105</v>
      </c>
      <c r="E164" s="65" t="s">
        <v>561</v>
      </c>
      <c r="F164" s="66">
        <v>-1303638.58</v>
      </c>
      <c r="G164" s="66">
        <v>-406508.21</v>
      </c>
      <c r="H164" s="65" t="str">
        <f>VLOOKUP(D164,'COA1'!D:I,3,0)</f>
        <v>PL</v>
      </c>
      <c r="I164" s="65" t="str">
        <f>VLOOKUP(D164,'COA1'!D:I,4,0)</f>
        <v>Revenues</v>
      </c>
      <c r="J164" s="65" t="str">
        <f>VLOOKUP(D164,'COA1'!D:I,5,0)</f>
        <v>Revenues</v>
      </c>
      <c r="K164" s="264">
        <f t="shared" si="0"/>
        <v>3.2069182071378091</v>
      </c>
      <c r="L164" s="65"/>
      <c r="M164" s="65"/>
      <c r="N164" s="65"/>
      <c r="O164" s="65"/>
      <c r="P164" s="263"/>
      <c r="Q164" s="263"/>
      <c r="R164" s="263"/>
      <c r="S164" s="263"/>
      <c r="T164" s="65"/>
      <c r="U164" s="65"/>
      <c r="V164" s="65"/>
      <c r="W164" s="65"/>
      <c r="X164" s="65"/>
      <c r="Y164" s="65"/>
      <c r="Z164" s="65"/>
    </row>
    <row r="165" spans="1:26" ht="15.75" hidden="1" customHeight="1">
      <c r="A165" s="65" t="s">
        <v>343</v>
      </c>
      <c r="B165" s="65" t="s">
        <v>344</v>
      </c>
      <c r="C165" s="65" t="s">
        <v>351</v>
      </c>
      <c r="D165" s="65">
        <v>4106</v>
      </c>
      <c r="E165" s="65" t="s">
        <v>567</v>
      </c>
      <c r="F165" s="66">
        <v>-96981422.569999993</v>
      </c>
      <c r="G165" s="66">
        <v>-30609005.539999999</v>
      </c>
      <c r="H165" s="65" t="str">
        <f>VLOOKUP(D165,'COA1'!D:I,3,0)</f>
        <v>PL</v>
      </c>
      <c r="I165" s="65" t="str">
        <f>VLOOKUP(D165,'COA1'!D:I,4,0)</f>
        <v>Revenues</v>
      </c>
      <c r="J165" s="65" t="str">
        <f>VLOOKUP(D165,'COA1'!D:I,5,0)</f>
        <v>Revenues</v>
      </c>
      <c r="K165" s="264">
        <f t="shared" si="0"/>
        <v>3.1683950804368406</v>
      </c>
      <c r="L165" s="65"/>
      <c r="M165" s="65"/>
      <c r="N165" s="65"/>
      <c r="O165" s="65"/>
      <c r="P165" s="263"/>
      <c r="Q165" s="263"/>
      <c r="R165" s="263"/>
      <c r="S165" s="263"/>
      <c r="T165" s="65"/>
      <c r="U165" s="65"/>
      <c r="V165" s="65"/>
      <c r="W165" s="65"/>
      <c r="X165" s="65"/>
      <c r="Y165" s="65"/>
      <c r="Z165" s="65"/>
    </row>
    <row r="166" spans="1:26" ht="15.75" hidden="1" customHeight="1">
      <c r="A166" s="65" t="s">
        <v>354</v>
      </c>
      <c r="B166" s="65" t="s">
        <v>355</v>
      </c>
      <c r="C166" s="65" t="s">
        <v>356</v>
      </c>
      <c r="D166" s="65">
        <v>21001</v>
      </c>
      <c r="E166" s="65" t="s">
        <v>357</v>
      </c>
      <c r="F166" s="66">
        <v>1513836</v>
      </c>
      <c r="G166" s="66">
        <v>469839.59</v>
      </c>
      <c r="H166" s="65" t="str">
        <f>VLOOKUP(D166,'COA1'!D:I,3,0)</f>
        <v>PL</v>
      </c>
      <c r="I166" s="65" t="str">
        <f>VLOOKUP(D166,'COA1'!D:I,4,0)</f>
        <v>Cost of revenues</v>
      </c>
      <c r="J166" s="65" t="str">
        <f>VLOOKUP(D166,'COA1'!D:I,5,0)</f>
        <v xml:space="preserve">Salary </v>
      </c>
      <c r="K166" s="264">
        <f t="shared" si="0"/>
        <v>3.2220273306470406</v>
      </c>
      <c r="L166" s="65"/>
      <c r="M166" s="65"/>
      <c r="N166" s="65"/>
      <c r="O166" s="65"/>
      <c r="P166" s="263"/>
      <c r="Q166" s="263"/>
      <c r="R166" s="263"/>
      <c r="S166" s="263"/>
      <c r="T166" s="65"/>
      <c r="U166" s="65"/>
      <c r="V166" s="65"/>
      <c r="W166" s="65"/>
      <c r="X166" s="65"/>
      <c r="Y166" s="65"/>
      <c r="Z166" s="65"/>
    </row>
    <row r="167" spans="1:26" ht="15.75" hidden="1" customHeight="1">
      <c r="A167" s="65" t="s">
        <v>354</v>
      </c>
      <c r="B167" s="65" t="s">
        <v>355</v>
      </c>
      <c r="C167" s="65" t="s">
        <v>356</v>
      </c>
      <c r="D167" s="65">
        <v>21002</v>
      </c>
      <c r="E167" s="65" t="s">
        <v>360</v>
      </c>
      <c r="F167" s="66">
        <v>78683</v>
      </c>
      <c r="G167" s="66">
        <v>24473.95</v>
      </c>
      <c r="H167" s="65" t="str">
        <f>VLOOKUP(D167,'COA1'!D:I,3,0)</f>
        <v>PL</v>
      </c>
      <c r="I167" s="65" t="str">
        <f>VLOOKUP(D167,'COA1'!D:I,4,0)</f>
        <v>Cost of revenues</v>
      </c>
      <c r="J167" s="65" t="str">
        <f>VLOOKUP(D167,'COA1'!D:I,5,0)</f>
        <v xml:space="preserve">Salary </v>
      </c>
      <c r="K167" s="264">
        <f t="shared" si="0"/>
        <v>3.2149693858163473</v>
      </c>
      <c r="L167" s="65"/>
      <c r="M167" s="65"/>
      <c r="N167" s="65"/>
      <c r="O167" s="65"/>
      <c r="P167" s="263"/>
      <c r="Q167" s="263"/>
      <c r="R167" s="263"/>
      <c r="S167" s="263"/>
      <c r="T167" s="65"/>
      <c r="U167" s="65"/>
      <c r="V167" s="65"/>
      <c r="W167" s="65"/>
      <c r="X167" s="65"/>
      <c r="Y167" s="65"/>
      <c r="Z167" s="65"/>
    </row>
    <row r="168" spans="1:26" ht="15.75" hidden="1" customHeight="1">
      <c r="A168" s="65" t="s">
        <v>354</v>
      </c>
      <c r="B168" s="65" t="s">
        <v>355</v>
      </c>
      <c r="C168" s="65" t="s">
        <v>356</v>
      </c>
      <c r="D168" s="65">
        <v>21003</v>
      </c>
      <c r="E168" s="65" t="s">
        <v>361</v>
      </c>
      <c r="F168" s="66">
        <v>100360</v>
      </c>
      <c r="G168" s="66">
        <v>31133.59</v>
      </c>
      <c r="H168" s="65" t="str">
        <f>VLOOKUP(D168,'COA1'!D:I,3,0)</f>
        <v>PL</v>
      </c>
      <c r="I168" s="65" t="str">
        <f>VLOOKUP(D168,'COA1'!D:I,4,0)</f>
        <v>Cost of revenues</v>
      </c>
      <c r="J168" s="65" t="str">
        <f>VLOOKUP(D168,'COA1'!D:I,5,0)</f>
        <v xml:space="preserve">Salary </v>
      </c>
      <c r="K168" s="264">
        <f t="shared" si="0"/>
        <v>3.2235280287303842</v>
      </c>
      <c r="L168" s="65"/>
      <c r="M168" s="65"/>
      <c r="N168" s="65"/>
      <c r="O168" s="65"/>
      <c r="P168" s="263"/>
      <c r="Q168" s="263"/>
      <c r="R168" s="263"/>
      <c r="S168" s="263"/>
      <c r="T168" s="65"/>
      <c r="U168" s="65"/>
      <c r="V168" s="65"/>
      <c r="W168" s="65"/>
      <c r="X168" s="65"/>
      <c r="Y168" s="65"/>
      <c r="Z168" s="65"/>
    </row>
    <row r="169" spans="1:26" ht="15.75" hidden="1" customHeight="1">
      <c r="A169" s="65" t="s">
        <v>354</v>
      </c>
      <c r="B169" s="65" t="s">
        <v>355</v>
      </c>
      <c r="C169" s="65" t="s">
        <v>356</v>
      </c>
      <c r="D169" s="65">
        <v>21004</v>
      </c>
      <c r="E169" s="65" t="s">
        <v>362</v>
      </c>
      <c r="F169" s="66">
        <v>193607</v>
      </c>
      <c r="G169" s="66">
        <v>60216.52</v>
      </c>
      <c r="H169" s="65" t="str">
        <f>VLOOKUP(D169,'COA1'!D:I,3,0)</f>
        <v>PL</v>
      </c>
      <c r="I169" s="65" t="str">
        <f>VLOOKUP(D169,'COA1'!D:I,4,0)</f>
        <v>Cost of revenues</v>
      </c>
      <c r="J169" s="65" t="str">
        <f>VLOOKUP(D169,'COA1'!D:I,5,0)</f>
        <v xml:space="preserve">Salary </v>
      </c>
      <c r="K169" s="264">
        <f t="shared" si="0"/>
        <v>3.2151808174899514</v>
      </c>
      <c r="L169" s="65"/>
      <c r="M169" s="65"/>
      <c r="N169" s="65"/>
      <c r="O169" s="65"/>
      <c r="P169" s="263"/>
      <c r="Q169" s="263"/>
      <c r="R169" s="263"/>
      <c r="S169" s="263"/>
      <c r="T169" s="65"/>
      <c r="U169" s="65"/>
      <c r="V169" s="65"/>
      <c r="W169" s="65"/>
      <c r="X169" s="65"/>
      <c r="Y169" s="65"/>
      <c r="Z169" s="65"/>
    </row>
    <row r="170" spans="1:26" ht="15.75" hidden="1" customHeight="1">
      <c r="A170" s="65" t="s">
        <v>354</v>
      </c>
      <c r="B170" s="65" t="s">
        <v>355</v>
      </c>
      <c r="C170" s="65" t="s">
        <v>356</v>
      </c>
      <c r="D170" s="65">
        <v>21009</v>
      </c>
      <c r="E170" s="65" t="s">
        <v>368</v>
      </c>
      <c r="F170" s="66">
        <v>18904</v>
      </c>
      <c r="G170" s="66">
        <v>5867.37</v>
      </c>
      <c r="H170" s="65" t="str">
        <f>VLOOKUP(D170,'COA1'!D:I,3,0)</f>
        <v>PL</v>
      </c>
      <c r="I170" s="65" t="str">
        <f>VLOOKUP(D170,'COA1'!D:I,4,0)</f>
        <v>Cost of revenues</v>
      </c>
      <c r="J170" s="65" t="str">
        <f>VLOOKUP(D170,'COA1'!D:I,5,0)</f>
        <v xml:space="preserve">Salary </v>
      </c>
      <c r="K170" s="264">
        <f t="shared" si="0"/>
        <v>3.221886467020147</v>
      </c>
      <c r="L170" s="65"/>
      <c r="M170" s="65"/>
      <c r="N170" s="65"/>
      <c r="O170" s="65"/>
      <c r="P170" s="263"/>
      <c r="Q170" s="263"/>
      <c r="R170" s="263"/>
      <c r="S170" s="263"/>
      <c r="T170" s="65"/>
      <c r="U170" s="65"/>
      <c r="V170" s="65"/>
      <c r="W170" s="65"/>
      <c r="X170" s="65"/>
      <c r="Y170" s="65"/>
      <c r="Z170" s="65"/>
    </row>
    <row r="171" spans="1:26" ht="15.75" hidden="1" customHeight="1">
      <c r="A171" s="65" t="s">
        <v>354</v>
      </c>
      <c r="B171" s="65" t="s">
        <v>355</v>
      </c>
      <c r="C171" s="65" t="s">
        <v>356</v>
      </c>
      <c r="D171" s="65">
        <v>21010</v>
      </c>
      <c r="E171" s="65" t="s">
        <v>369</v>
      </c>
      <c r="F171" s="66">
        <v>-2856.94</v>
      </c>
      <c r="G171" s="66">
        <v>-879.22</v>
      </c>
      <c r="H171" s="65" t="str">
        <f>VLOOKUP(D171,'COA1'!D:I,3,0)</f>
        <v>PL</v>
      </c>
      <c r="I171" s="65" t="str">
        <f>VLOOKUP(D171,'COA1'!D:I,4,0)</f>
        <v>Cost of revenues</v>
      </c>
      <c r="J171" s="65" t="str">
        <f>VLOOKUP(D171,'COA1'!D:I,5,0)</f>
        <v xml:space="preserve">Salary </v>
      </c>
      <c r="K171" s="264">
        <f t="shared" si="0"/>
        <v>3.2494028798252996</v>
      </c>
      <c r="L171" s="65"/>
      <c r="M171" s="65"/>
      <c r="N171" s="65"/>
      <c r="O171" s="65"/>
      <c r="P171" s="263"/>
      <c r="Q171" s="263"/>
      <c r="R171" s="263"/>
      <c r="S171" s="263"/>
      <c r="T171" s="65"/>
      <c r="U171" s="65"/>
      <c r="V171" s="65"/>
      <c r="W171" s="65"/>
      <c r="X171" s="65"/>
      <c r="Y171" s="65"/>
      <c r="Z171" s="65"/>
    </row>
    <row r="172" spans="1:26" ht="15.75" hidden="1" customHeight="1">
      <c r="A172" s="65" t="s">
        <v>354</v>
      </c>
      <c r="B172" s="65" t="s">
        <v>355</v>
      </c>
      <c r="C172" s="65" t="s">
        <v>356</v>
      </c>
      <c r="D172" s="65">
        <v>21011</v>
      </c>
      <c r="E172" s="65" t="s">
        <v>511</v>
      </c>
      <c r="F172" s="66">
        <v>113025.94</v>
      </c>
      <c r="G172" s="66">
        <v>35022.79</v>
      </c>
      <c r="H172" s="65" t="str">
        <f>VLOOKUP(D172,'COA1'!D:I,3,0)</f>
        <v>PL</v>
      </c>
      <c r="I172" s="65" t="str">
        <f>VLOOKUP(D172,'COA1'!D:I,4,0)</f>
        <v>Cost of revenues</v>
      </c>
      <c r="J172" s="65" t="str">
        <f>VLOOKUP(D172,'COA1'!D:I,5,0)</f>
        <v xml:space="preserve">Softwere subscription </v>
      </c>
      <c r="K172" s="264">
        <f t="shared" si="0"/>
        <v>3.2272111959098631</v>
      </c>
      <c r="L172" s="65"/>
      <c r="M172" s="65"/>
      <c r="N172" s="65"/>
      <c r="O172" s="65"/>
      <c r="P172" s="263"/>
      <c r="Q172" s="263"/>
      <c r="R172" s="263"/>
      <c r="S172" s="263"/>
      <c r="T172" s="65"/>
      <c r="U172" s="65"/>
      <c r="V172" s="65"/>
      <c r="W172" s="65"/>
      <c r="X172" s="65"/>
      <c r="Y172" s="65"/>
      <c r="Z172" s="65"/>
    </row>
    <row r="173" spans="1:26" ht="15.75" hidden="1" customHeight="1">
      <c r="A173" s="65" t="s">
        <v>354</v>
      </c>
      <c r="B173" s="65" t="s">
        <v>355</v>
      </c>
      <c r="C173" s="65" t="s">
        <v>356</v>
      </c>
      <c r="D173" s="65">
        <v>23013</v>
      </c>
      <c r="E173" s="65" t="s">
        <v>835</v>
      </c>
      <c r="F173" s="66">
        <v>-6468</v>
      </c>
      <c r="G173" s="66">
        <v>-2026.94</v>
      </c>
      <c r="H173" s="266" t="str">
        <f>VLOOKUP(D173,'COA1'!D:I,3,0)</f>
        <v>PL</v>
      </c>
      <c r="I173" s="266" t="str">
        <f>VLOOKUP(D173,'COA1'!D:I,4,0)</f>
        <v>Research and development expenses, net</v>
      </c>
      <c r="J173" s="266" t="str">
        <f>VLOOKUP(D173,'COA1'!D:I,5,0)</f>
        <v xml:space="preserve">Salary </v>
      </c>
      <c r="K173" s="267">
        <f t="shared" si="0"/>
        <v>3.1910170009965761</v>
      </c>
      <c r="L173" s="266"/>
      <c r="M173" s="65"/>
      <c r="N173" s="266"/>
      <c r="O173" s="266"/>
      <c r="P173" s="268"/>
      <c r="Q173" s="268"/>
      <c r="R173" s="268"/>
      <c r="S173" s="268"/>
      <c r="T173" s="65"/>
      <c r="U173" s="65"/>
      <c r="V173" s="65"/>
      <c r="W173" s="65"/>
      <c r="X173" s="65"/>
      <c r="Y173" s="65"/>
      <c r="Z173" s="65"/>
    </row>
    <row r="174" spans="1:26" ht="15.75" hidden="1" customHeight="1">
      <c r="A174" s="65" t="s">
        <v>354</v>
      </c>
      <c r="B174" s="65" t="s">
        <v>355</v>
      </c>
      <c r="C174" s="65" t="s">
        <v>356</v>
      </c>
      <c r="D174" s="65">
        <v>23038</v>
      </c>
      <c r="E174" s="65" t="s">
        <v>836</v>
      </c>
      <c r="F174" s="66">
        <v>142312.5</v>
      </c>
      <c r="G174" s="66">
        <v>45759.65</v>
      </c>
      <c r="H174" s="65" t="str">
        <f>VLOOKUP(D174,'COA1'!D:I,3,0)</f>
        <v>PL</v>
      </c>
      <c r="I174" s="65" t="str">
        <f>VLOOKUP(D174,'COA1'!D:I,4,0)</f>
        <v>Cost of revenues</v>
      </c>
      <c r="J174" s="65" t="str">
        <f>VLOOKUP(D174,'COA1'!D:I,5,0)</f>
        <v xml:space="preserve">Salary </v>
      </c>
      <c r="K174" s="264">
        <f t="shared" si="0"/>
        <v>3.1099997486868891</v>
      </c>
      <c r="L174" s="65"/>
      <c r="M174" s="65"/>
      <c r="N174" s="65"/>
      <c r="O174" s="65"/>
      <c r="P174" s="263"/>
      <c r="Q174" s="263"/>
      <c r="R174" s="263"/>
      <c r="S174" s="263"/>
      <c r="T174" s="65"/>
      <c r="U174" s="65"/>
      <c r="V174" s="65"/>
      <c r="W174" s="65"/>
      <c r="X174" s="65"/>
      <c r="Y174" s="65"/>
      <c r="Z174" s="65"/>
    </row>
    <row r="175" spans="1:26" ht="15.75" hidden="1" customHeight="1">
      <c r="A175" s="65" t="s">
        <v>354</v>
      </c>
      <c r="B175" s="65" t="s">
        <v>355</v>
      </c>
      <c r="C175" s="65" t="s">
        <v>356</v>
      </c>
      <c r="D175" s="65">
        <v>23041</v>
      </c>
      <c r="E175" s="65" t="s">
        <v>803</v>
      </c>
      <c r="F175" s="66">
        <v>18660</v>
      </c>
      <c r="G175" s="66">
        <v>6000</v>
      </c>
      <c r="H175" s="65" t="str">
        <f>VLOOKUP(D175,'COA1'!D:I,3,0)</f>
        <v>PL</v>
      </c>
      <c r="I175" s="65" t="str">
        <f>VLOOKUP(D175,'COA1'!D:I,4,0)</f>
        <v>Cost of revenues</v>
      </c>
      <c r="J175" s="65" t="str">
        <f>VLOOKUP(D175,'COA1'!D:I,5,0)</f>
        <v xml:space="preserve">Salary </v>
      </c>
      <c r="K175" s="264">
        <f t="shared" si="0"/>
        <v>3.11</v>
      </c>
      <c r="L175" s="65"/>
      <c r="M175" s="65"/>
      <c r="N175" s="65"/>
      <c r="O175" s="65"/>
      <c r="P175" s="263"/>
      <c r="Q175" s="263"/>
      <c r="R175" s="263"/>
      <c r="S175" s="263"/>
      <c r="T175" s="65"/>
      <c r="U175" s="65"/>
      <c r="V175" s="65"/>
      <c r="W175" s="65"/>
      <c r="X175" s="65"/>
      <c r="Y175" s="65"/>
      <c r="Z175" s="65"/>
    </row>
    <row r="176" spans="1:26" ht="15.75" hidden="1" customHeight="1">
      <c r="A176" s="65" t="s">
        <v>354</v>
      </c>
      <c r="B176" s="65" t="s">
        <v>355</v>
      </c>
      <c r="C176" s="65" t="s">
        <v>356</v>
      </c>
      <c r="D176" s="65">
        <v>24016</v>
      </c>
      <c r="E176" s="65" t="s">
        <v>788</v>
      </c>
      <c r="F176" s="66">
        <v>80700</v>
      </c>
      <c r="G176" s="66">
        <v>25948.55</v>
      </c>
      <c r="H176" s="65" t="str">
        <f>VLOOKUP(D176,'COA1'!D:I,3,0)</f>
        <v>PL</v>
      </c>
      <c r="I176" s="65" t="str">
        <f>VLOOKUP(D176,'COA1'!D:I,4,0)</f>
        <v>Cost of revenues</v>
      </c>
      <c r="J176" s="65" t="str">
        <f>VLOOKUP(D176,'COA1'!D:I,5,0)</f>
        <v xml:space="preserve">Salary </v>
      </c>
      <c r="K176" s="264">
        <f t="shared" si="0"/>
        <v>3.1100003661090891</v>
      </c>
      <c r="L176" s="65"/>
      <c r="M176" s="65"/>
      <c r="N176" s="65"/>
      <c r="O176" s="65"/>
      <c r="P176" s="263"/>
      <c r="Q176" s="263"/>
      <c r="R176" s="263"/>
      <c r="S176" s="263"/>
      <c r="T176" s="65"/>
      <c r="U176" s="65"/>
      <c r="V176" s="65"/>
      <c r="W176" s="65"/>
      <c r="X176" s="65"/>
      <c r="Y176" s="65"/>
      <c r="Z176" s="65"/>
    </row>
    <row r="177" spans="1:26" ht="15.75" hidden="1" customHeight="1">
      <c r="A177" s="65" t="s">
        <v>354</v>
      </c>
      <c r="B177" s="65" t="s">
        <v>355</v>
      </c>
      <c r="C177" s="65" t="s">
        <v>356</v>
      </c>
      <c r="D177" s="65">
        <v>61000</v>
      </c>
      <c r="E177" s="65" t="s">
        <v>370</v>
      </c>
      <c r="F177" s="66">
        <v>9740065.5899999999</v>
      </c>
      <c r="G177" s="66">
        <v>3028063.37</v>
      </c>
      <c r="H177" s="266" t="str">
        <f>VLOOKUP(D177,'COA1'!D:I,3,0)</f>
        <v>PL</v>
      </c>
      <c r="I177" s="266" t="str">
        <f>VLOOKUP(D177,'COA1'!D:I,4,0)</f>
        <v>Revenues</v>
      </c>
      <c r="J177" s="266" t="str">
        <f>VLOOKUP(D177,'COA1'!D:I,5,0)</f>
        <v>withdrawals</v>
      </c>
      <c r="K177" s="267">
        <f t="shared" si="0"/>
        <v>3.2165989940956883</v>
      </c>
      <c r="L177" s="266"/>
      <c r="M177" s="65"/>
      <c r="N177" s="266"/>
      <c r="O177" s="266"/>
      <c r="P177" s="268"/>
      <c r="Q177" s="268"/>
      <c r="R177" s="268"/>
      <c r="S177" s="268"/>
      <c r="T177" s="65"/>
      <c r="U177" s="65"/>
      <c r="V177" s="65"/>
      <c r="W177" s="65"/>
      <c r="X177" s="65"/>
      <c r="Y177" s="65"/>
      <c r="Z177" s="65"/>
    </row>
    <row r="178" spans="1:26" ht="15.75" hidden="1" customHeight="1">
      <c r="A178" s="65" t="s">
        <v>354</v>
      </c>
      <c r="B178" s="65" t="s">
        <v>355</v>
      </c>
      <c r="C178" s="65" t="s">
        <v>356</v>
      </c>
      <c r="D178" s="65">
        <v>61002</v>
      </c>
      <c r="E178" s="65" t="s">
        <v>837</v>
      </c>
      <c r="F178" s="66">
        <v>3105388.15</v>
      </c>
      <c r="G178" s="66">
        <v>938775.14</v>
      </c>
      <c r="H178" s="65" t="str">
        <f>VLOOKUP(D178,'COA1'!D:I,3,0)</f>
        <v>PL</v>
      </c>
      <c r="I178" s="65" t="str">
        <f>VLOOKUP(D178,'COA1'!D:I,4,0)</f>
        <v>Cost of revenues</v>
      </c>
      <c r="J178" s="65" t="str">
        <f>VLOOKUP(D178,'COA1'!D:I,5,0)</f>
        <v xml:space="preserve">Hosting and Servers </v>
      </c>
      <c r="K178" s="264">
        <f t="shared" si="0"/>
        <v>3.3079147685994323</v>
      </c>
      <c r="L178" s="65"/>
      <c r="M178" s="65"/>
      <c r="N178" s="65"/>
      <c r="O178" s="65"/>
      <c r="P178" s="263"/>
      <c r="Q178" s="263"/>
      <c r="R178" s="263"/>
      <c r="S178" s="263"/>
      <c r="T178" s="65"/>
      <c r="U178" s="65"/>
      <c r="V178" s="65"/>
      <c r="W178" s="65"/>
      <c r="X178" s="65"/>
      <c r="Y178" s="65"/>
      <c r="Z178" s="65"/>
    </row>
    <row r="179" spans="1:26" ht="15.75" hidden="1" customHeight="1">
      <c r="A179" s="65" t="s">
        <v>354</v>
      </c>
      <c r="B179" s="65" t="s">
        <v>355</v>
      </c>
      <c r="C179" s="65" t="s">
        <v>356</v>
      </c>
      <c r="D179" s="65">
        <v>61003</v>
      </c>
      <c r="E179" s="65" t="s">
        <v>523</v>
      </c>
      <c r="F179" s="66">
        <v>68611.740000000005</v>
      </c>
      <c r="G179" s="66">
        <v>21364</v>
      </c>
      <c r="H179" s="65" t="str">
        <f>VLOOKUP(D179,'COA1'!D:I,3,0)</f>
        <v>PL</v>
      </c>
      <c r="I179" s="65" t="str">
        <f>VLOOKUP(D179,'COA1'!D:I,4,0)</f>
        <v>Cost of revenues</v>
      </c>
      <c r="J179" s="65" t="str">
        <f>VLOOKUP(D179,'COA1'!D:I,5,0)</f>
        <v xml:space="preserve">option expenses </v>
      </c>
      <c r="K179" s="264">
        <f t="shared" si="0"/>
        <v>3.211558696873245</v>
      </c>
      <c r="L179" s="65"/>
      <c r="M179" s="65"/>
      <c r="N179" s="65"/>
      <c r="O179" s="65"/>
      <c r="P179" s="263"/>
      <c r="Q179" s="263"/>
      <c r="R179" s="263"/>
      <c r="S179" s="263"/>
      <c r="T179" s="65"/>
      <c r="U179" s="65"/>
      <c r="V179" s="65"/>
      <c r="W179" s="65"/>
      <c r="X179" s="65"/>
      <c r="Y179" s="65"/>
      <c r="Z179" s="65"/>
    </row>
    <row r="180" spans="1:26" ht="15.75" hidden="1" customHeight="1">
      <c r="A180" s="65" t="s">
        <v>354</v>
      </c>
      <c r="B180" s="65" t="s">
        <v>355</v>
      </c>
      <c r="C180" s="65" t="s">
        <v>356</v>
      </c>
      <c r="D180" s="65">
        <v>61004</v>
      </c>
      <c r="E180" s="65" t="s">
        <v>838</v>
      </c>
      <c r="F180" s="66">
        <v>38899.980000000003</v>
      </c>
      <c r="G180" s="66">
        <v>11977.91</v>
      </c>
      <c r="H180" s="65" t="str">
        <f>VLOOKUP(D180,'COA1'!D:I,3,0)</f>
        <v>PL</v>
      </c>
      <c r="I180" s="65" t="str">
        <f>VLOOKUP(D180,'COA1'!D:I,4,0)</f>
        <v>Cost of revenues</v>
      </c>
      <c r="J180" s="65" t="str">
        <f>VLOOKUP(D180,'COA1'!D:I,5,0)</f>
        <v xml:space="preserve">Salary </v>
      </c>
      <c r="K180" s="264">
        <f t="shared" si="0"/>
        <v>3.2476433701705893</v>
      </c>
      <c r="L180" s="65"/>
      <c r="M180" s="65"/>
      <c r="N180" s="65"/>
      <c r="O180" s="65"/>
      <c r="P180" s="263"/>
      <c r="Q180" s="263"/>
      <c r="R180" s="263"/>
      <c r="S180" s="263"/>
      <c r="T180" s="65"/>
      <c r="U180" s="65"/>
      <c r="V180" s="65"/>
      <c r="W180" s="65"/>
      <c r="X180" s="65"/>
      <c r="Y180" s="65"/>
      <c r="Z180" s="65"/>
    </row>
    <row r="181" spans="1:26" ht="15.75" hidden="1" customHeight="1">
      <c r="A181" s="65" t="s">
        <v>354</v>
      </c>
      <c r="B181" s="65" t="s">
        <v>355</v>
      </c>
      <c r="C181" s="65" t="s">
        <v>356</v>
      </c>
      <c r="D181" s="65">
        <v>61005</v>
      </c>
      <c r="E181" s="65" t="s">
        <v>839</v>
      </c>
      <c r="F181" s="66">
        <v>8671.39</v>
      </c>
      <c r="G181" s="66">
        <v>2685.05</v>
      </c>
      <c r="H181" s="65" t="str">
        <f>VLOOKUP(D181,'COA1'!D:I,3,0)</f>
        <v>PL</v>
      </c>
      <c r="I181" s="65" t="str">
        <f>VLOOKUP(D181,'COA1'!D:I,4,0)</f>
        <v>Cost of revenues</v>
      </c>
      <c r="J181" s="65" t="str">
        <f>VLOOKUP(D181,'COA1'!D:I,5,0)</f>
        <v xml:space="preserve">Salary </v>
      </c>
      <c r="K181" s="264">
        <f t="shared" si="0"/>
        <v>3.2295078303942195</v>
      </c>
      <c r="L181" s="65"/>
      <c r="M181" s="65"/>
      <c r="N181" s="65"/>
      <c r="O181" s="65"/>
      <c r="P181" s="263"/>
      <c r="Q181" s="263"/>
      <c r="R181" s="263"/>
      <c r="S181" s="263"/>
      <c r="T181" s="65"/>
      <c r="U181" s="65"/>
      <c r="V181" s="65"/>
      <c r="W181" s="65"/>
      <c r="X181" s="65"/>
      <c r="Y181" s="65"/>
      <c r="Z181" s="65"/>
    </row>
    <row r="182" spans="1:26" ht="15.75" hidden="1" customHeight="1">
      <c r="A182" s="65" t="s">
        <v>354</v>
      </c>
      <c r="B182" s="65" t="s">
        <v>355</v>
      </c>
      <c r="C182" s="65" t="s">
        <v>356</v>
      </c>
      <c r="D182" s="65">
        <v>61006</v>
      </c>
      <c r="E182" s="65" t="s">
        <v>550</v>
      </c>
      <c r="F182" s="66">
        <v>692152.93</v>
      </c>
      <c r="G182" s="66">
        <v>220446</v>
      </c>
      <c r="H182" s="65" t="str">
        <f>VLOOKUP(D182,'COA1'!D:I,3,0)</f>
        <v>PL</v>
      </c>
      <c r="I182" s="65" t="str">
        <f>VLOOKUP(D182,'COA1'!D:I,4,0)</f>
        <v>Cost of revenues</v>
      </c>
      <c r="J182" s="65" t="str">
        <f>VLOOKUP(D182,'COA1'!D:I,5,0)</f>
        <v>Allocation exp</v>
      </c>
      <c r="K182" s="264">
        <f t="shared" si="0"/>
        <v>3.1397844823675642</v>
      </c>
      <c r="L182" s="65"/>
      <c r="M182" s="65"/>
      <c r="N182" s="65"/>
      <c r="O182" s="65"/>
      <c r="P182" s="263"/>
      <c r="Q182" s="263"/>
      <c r="R182" s="263"/>
      <c r="S182" s="263"/>
      <c r="T182" s="65"/>
      <c r="U182" s="65"/>
      <c r="V182" s="65"/>
      <c r="W182" s="65"/>
      <c r="X182" s="65"/>
      <c r="Y182" s="65"/>
      <c r="Z182" s="65"/>
    </row>
    <row r="183" spans="1:26" ht="15.75" hidden="1" customHeight="1">
      <c r="A183" s="65" t="s">
        <v>354</v>
      </c>
      <c r="B183" s="65" t="s">
        <v>355</v>
      </c>
      <c r="C183" s="65" t="s">
        <v>356</v>
      </c>
      <c r="D183" s="65">
        <v>61007</v>
      </c>
      <c r="E183" s="65" t="s">
        <v>585</v>
      </c>
      <c r="F183" s="66">
        <v>339997.05</v>
      </c>
      <c r="G183" s="66">
        <v>106748</v>
      </c>
      <c r="H183" s="65" t="str">
        <f>VLOOKUP(D183,'COA1'!D:I,3,0)</f>
        <v>PL</v>
      </c>
      <c r="I183" s="65" t="str">
        <f>VLOOKUP(D183,'COA1'!D:I,4,0)</f>
        <v>Cost of revenues</v>
      </c>
      <c r="J183" s="65" t="str">
        <f>VLOOKUP(D183,'COA1'!D:I,5,0)</f>
        <v xml:space="preserve">professional fees </v>
      </c>
      <c r="K183" s="264">
        <f t="shared" si="0"/>
        <v>3.185043747892232</v>
      </c>
      <c r="L183" s="65"/>
      <c r="M183" s="65"/>
      <c r="N183" s="65"/>
      <c r="O183" s="65"/>
      <c r="P183" s="263"/>
      <c r="Q183" s="263"/>
      <c r="R183" s="263"/>
      <c r="S183" s="263"/>
      <c r="T183" s="65"/>
      <c r="U183" s="65"/>
      <c r="V183" s="65"/>
      <c r="W183" s="65"/>
      <c r="X183" s="65"/>
      <c r="Y183" s="65"/>
      <c r="Z183" s="65"/>
    </row>
    <row r="184" spans="1:26" ht="15.75" hidden="1" customHeight="1">
      <c r="A184" s="65" t="s">
        <v>354</v>
      </c>
      <c r="B184" s="65" t="s">
        <v>355</v>
      </c>
      <c r="C184" s="65" t="s">
        <v>356</v>
      </c>
      <c r="D184" s="65">
        <v>61008</v>
      </c>
      <c r="E184" s="65" t="s">
        <v>562</v>
      </c>
      <c r="F184" s="66">
        <v>36093859.93</v>
      </c>
      <c r="G184" s="66">
        <v>11270061.359999999</v>
      </c>
      <c r="H184" s="65" t="str">
        <f>VLOOKUP(D184,'COA1'!D:I,3,0)</f>
        <v>PL</v>
      </c>
      <c r="I184" s="65" t="str">
        <f>VLOOKUP(D184,'COA1'!D:I,4,0)</f>
        <v>Cost of revenues</v>
      </c>
      <c r="J184" s="65" t="str">
        <f>VLOOKUP(D184,'COA1'!D:I,5,0)</f>
        <v xml:space="preserve">IC expenses </v>
      </c>
      <c r="K184" s="264">
        <f t="shared" si="0"/>
        <v>3.2026320688994012</v>
      </c>
      <c r="L184" s="65"/>
      <c r="M184" s="65"/>
      <c r="N184" s="65"/>
      <c r="O184" s="65"/>
      <c r="P184" s="263"/>
      <c r="Q184" s="263"/>
      <c r="R184" s="263"/>
      <c r="S184" s="263"/>
      <c r="T184" s="65"/>
      <c r="U184" s="65"/>
      <c r="V184" s="65"/>
      <c r="W184" s="65"/>
      <c r="X184" s="65"/>
      <c r="Y184" s="65"/>
      <c r="Z184" s="65"/>
    </row>
    <row r="185" spans="1:26" ht="15.75" hidden="1" customHeight="1">
      <c r="A185" s="65" t="s">
        <v>354</v>
      </c>
      <c r="B185" s="65" t="s">
        <v>355</v>
      </c>
      <c r="C185" s="65" t="s">
        <v>356</v>
      </c>
      <c r="D185" s="65">
        <v>61009</v>
      </c>
      <c r="E185" s="65" t="s">
        <v>568</v>
      </c>
      <c r="F185" s="66">
        <v>47516.2</v>
      </c>
      <c r="G185" s="66">
        <v>14600</v>
      </c>
      <c r="H185" s="65" t="str">
        <f>VLOOKUP(D185,'COA1'!D:I,3,0)</f>
        <v>PL</v>
      </c>
      <c r="I185" s="65" t="str">
        <f>VLOOKUP(D185,'COA1'!D:I,4,0)</f>
        <v>Cost of revenues</v>
      </c>
      <c r="J185" s="65" t="str">
        <f>VLOOKUP(D185,'COA1'!D:I,5,0)</f>
        <v>recruitment</v>
      </c>
      <c r="K185" s="264">
        <f t="shared" si="0"/>
        <v>3.2545342465753424</v>
      </c>
      <c r="L185" s="65"/>
      <c r="M185" s="65"/>
      <c r="N185" s="65"/>
      <c r="O185" s="65"/>
      <c r="P185" s="263"/>
      <c r="Q185" s="263"/>
      <c r="R185" s="263"/>
      <c r="S185" s="263"/>
      <c r="T185" s="65"/>
      <c r="U185" s="65"/>
      <c r="V185" s="65"/>
      <c r="W185" s="65"/>
      <c r="X185" s="65"/>
      <c r="Y185" s="65"/>
      <c r="Z185" s="65"/>
    </row>
    <row r="186" spans="1:26" ht="15.75" hidden="1" customHeight="1">
      <c r="A186" s="65" t="s">
        <v>354</v>
      </c>
      <c r="B186" s="65" t="s">
        <v>355</v>
      </c>
      <c r="C186" s="65" t="s">
        <v>356</v>
      </c>
      <c r="D186" s="65">
        <v>61016</v>
      </c>
      <c r="E186" s="65" t="s">
        <v>804</v>
      </c>
      <c r="F186" s="66">
        <v>49279.48</v>
      </c>
      <c r="G186" s="66">
        <v>15845.49</v>
      </c>
      <c r="H186" s="65" t="str">
        <f>VLOOKUP(D186,'COA1'!D:I,3,0)</f>
        <v>PL</v>
      </c>
      <c r="I186" s="65" t="str">
        <f>VLOOKUP(D186,'COA1'!D:I,4,0)</f>
        <v>Cost of revenues</v>
      </c>
      <c r="J186" s="65" t="str">
        <f>VLOOKUP(D186,'COA1'!D:I,5,0)</f>
        <v xml:space="preserve">Salary </v>
      </c>
      <c r="K186" s="264">
        <f t="shared" si="0"/>
        <v>3.1100003849675839</v>
      </c>
      <c r="L186" s="65"/>
      <c r="M186" s="65"/>
      <c r="N186" s="65"/>
      <c r="O186" s="65"/>
      <c r="P186" s="263"/>
      <c r="Q186" s="263"/>
      <c r="R186" s="263"/>
      <c r="S186" s="263"/>
      <c r="T186" s="65"/>
      <c r="U186" s="65"/>
      <c r="V186" s="65"/>
      <c r="W186" s="65"/>
      <c r="X186" s="65"/>
      <c r="Y186" s="65"/>
      <c r="Z186" s="65"/>
    </row>
    <row r="187" spans="1:26" ht="15.75" hidden="1" customHeight="1">
      <c r="A187" s="65" t="s">
        <v>354</v>
      </c>
      <c r="B187" s="65" t="s">
        <v>355</v>
      </c>
      <c r="C187" s="65" t="s">
        <v>372</v>
      </c>
      <c r="D187" s="65">
        <v>23001</v>
      </c>
      <c r="E187" s="65" t="s">
        <v>373</v>
      </c>
      <c r="F187" s="66">
        <v>2338151</v>
      </c>
      <c r="G187" s="66">
        <v>726536.8</v>
      </c>
      <c r="H187" s="65" t="str">
        <f>VLOOKUP(D187,'COA1'!D:I,3,0)</f>
        <v>PL</v>
      </c>
      <c r="I187" s="65" t="str">
        <f>VLOOKUP(D187,'COA1'!D:I,4,0)</f>
        <v>Research and development expenses, net</v>
      </c>
      <c r="J187" s="65" t="str">
        <f>VLOOKUP(D187,'COA1'!D:I,5,0)</f>
        <v xml:space="preserve">Salary </v>
      </c>
      <c r="K187" s="264">
        <f t="shared" si="0"/>
        <v>3.218214135884101</v>
      </c>
      <c r="L187" s="65"/>
      <c r="M187" s="65"/>
      <c r="N187" s="65"/>
      <c r="O187" s="65"/>
      <c r="P187" s="263"/>
      <c r="Q187" s="263"/>
      <c r="R187" s="263"/>
      <c r="S187" s="263"/>
      <c r="T187" s="65"/>
      <c r="U187" s="65"/>
      <c r="V187" s="65"/>
      <c r="W187" s="65"/>
      <c r="X187" s="65"/>
      <c r="Y187" s="65"/>
      <c r="Z187" s="65"/>
    </row>
    <row r="188" spans="1:26" ht="15.75" hidden="1" customHeight="1">
      <c r="A188" s="65" t="s">
        <v>354</v>
      </c>
      <c r="B188" s="65" t="s">
        <v>355</v>
      </c>
      <c r="C188" s="65" t="s">
        <v>372</v>
      </c>
      <c r="D188" s="65">
        <v>23002</v>
      </c>
      <c r="E188" s="65" t="s">
        <v>375</v>
      </c>
      <c r="F188" s="66">
        <v>104271</v>
      </c>
      <c r="G188" s="66">
        <v>32436.41</v>
      </c>
      <c r="H188" s="65" t="str">
        <f>VLOOKUP(D188,'COA1'!D:I,3,0)</f>
        <v>PL</v>
      </c>
      <c r="I188" s="65" t="str">
        <f>VLOOKUP(D188,'COA1'!D:I,4,0)</f>
        <v>Research and development expenses, net</v>
      </c>
      <c r="J188" s="65" t="str">
        <f>VLOOKUP(D188,'COA1'!D:I,5,0)</f>
        <v xml:space="preserve">Salary </v>
      </c>
      <c r="K188" s="264">
        <f t="shared" si="0"/>
        <v>3.2146282526333834</v>
      </c>
      <c r="L188" s="65"/>
      <c r="M188" s="65"/>
      <c r="N188" s="65"/>
      <c r="O188" s="65"/>
      <c r="P188" s="263"/>
      <c r="Q188" s="263"/>
      <c r="R188" s="263"/>
      <c r="S188" s="263"/>
      <c r="T188" s="65"/>
      <c r="U188" s="65"/>
      <c r="V188" s="65"/>
      <c r="W188" s="65"/>
      <c r="X188" s="65"/>
      <c r="Y188" s="65"/>
      <c r="Z188" s="65"/>
    </row>
    <row r="189" spans="1:26" ht="15.75" hidden="1" customHeight="1">
      <c r="A189" s="65" t="s">
        <v>354</v>
      </c>
      <c r="B189" s="65" t="s">
        <v>355</v>
      </c>
      <c r="C189" s="65" t="s">
        <v>372</v>
      </c>
      <c r="D189" s="65">
        <v>23003</v>
      </c>
      <c r="E189" s="65" t="s">
        <v>376</v>
      </c>
      <c r="F189" s="66">
        <v>317358</v>
      </c>
      <c r="G189" s="66">
        <v>98779.88</v>
      </c>
      <c r="H189" s="65" t="str">
        <f>VLOOKUP(D189,'COA1'!D:I,3,0)</f>
        <v>PL</v>
      </c>
      <c r="I189" s="65" t="str">
        <f>VLOOKUP(D189,'COA1'!D:I,4,0)</f>
        <v>Research and development expenses, net</v>
      </c>
      <c r="J189" s="65" t="str">
        <f>VLOOKUP(D189,'COA1'!D:I,5,0)</f>
        <v xml:space="preserve">Salary </v>
      </c>
      <c r="K189" s="264">
        <f t="shared" si="0"/>
        <v>3.2127797685115631</v>
      </c>
      <c r="L189" s="65"/>
      <c r="M189" s="65"/>
      <c r="N189" s="65"/>
      <c r="O189" s="65"/>
      <c r="P189" s="263"/>
      <c r="Q189" s="263"/>
      <c r="R189" s="263"/>
      <c r="S189" s="263"/>
      <c r="T189" s="65"/>
      <c r="U189" s="65"/>
      <c r="V189" s="65"/>
      <c r="W189" s="65"/>
      <c r="X189" s="65"/>
      <c r="Y189" s="65"/>
      <c r="Z189" s="65"/>
    </row>
    <row r="190" spans="1:26" ht="15.75" hidden="1" customHeight="1">
      <c r="A190" s="65" t="s">
        <v>354</v>
      </c>
      <c r="B190" s="65" t="s">
        <v>355</v>
      </c>
      <c r="C190" s="65" t="s">
        <v>372</v>
      </c>
      <c r="D190" s="65">
        <v>23004</v>
      </c>
      <c r="E190" s="65" t="s">
        <v>377</v>
      </c>
      <c r="F190" s="66">
        <v>160177</v>
      </c>
      <c r="G190" s="66">
        <v>49755.77</v>
      </c>
      <c r="H190" s="65" t="str">
        <f>VLOOKUP(D190,'COA1'!D:I,3,0)</f>
        <v>PL</v>
      </c>
      <c r="I190" s="65" t="str">
        <f>VLOOKUP(D190,'COA1'!D:I,4,0)</f>
        <v>Research and development expenses, net</v>
      </c>
      <c r="J190" s="65" t="str">
        <f>VLOOKUP(D190,'COA1'!D:I,5,0)</f>
        <v xml:space="preserve">Salary </v>
      </c>
      <c r="K190" s="264">
        <f t="shared" si="0"/>
        <v>3.2192648209443853</v>
      </c>
      <c r="L190" s="65"/>
      <c r="M190" s="65"/>
      <c r="N190" s="65"/>
      <c r="O190" s="65"/>
      <c r="P190" s="263"/>
      <c r="Q190" s="263"/>
      <c r="R190" s="263"/>
      <c r="S190" s="263"/>
      <c r="T190" s="65"/>
      <c r="U190" s="65"/>
      <c r="V190" s="65"/>
      <c r="W190" s="65"/>
      <c r="X190" s="65"/>
      <c r="Y190" s="65"/>
      <c r="Z190" s="65"/>
    </row>
    <row r="191" spans="1:26" ht="15.75" hidden="1" customHeight="1">
      <c r="A191" s="65" t="s">
        <v>354</v>
      </c>
      <c r="B191" s="65" t="s">
        <v>355</v>
      </c>
      <c r="C191" s="65" t="s">
        <v>372</v>
      </c>
      <c r="D191" s="65">
        <v>23007</v>
      </c>
      <c r="E191" s="65" t="s">
        <v>840</v>
      </c>
      <c r="F191" s="66">
        <v>46800</v>
      </c>
      <c r="G191" s="66">
        <v>12878.95</v>
      </c>
      <c r="H191" s="65" t="str">
        <f>VLOOKUP(D191,'COA1'!D:I,3,0)</f>
        <v>PL</v>
      </c>
      <c r="I191" s="65" t="str">
        <f>VLOOKUP(D191,'COA1'!D:I,4,0)</f>
        <v>Research and development expenses, net</v>
      </c>
      <c r="J191" s="65" t="str">
        <f>VLOOKUP(D191,'COA1'!D:I,5,0)</f>
        <v xml:space="preserve">Salary </v>
      </c>
      <c r="K191" s="264">
        <f t="shared" si="0"/>
        <v>3.6338366093509173</v>
      </c>
      <c r="L191" s="65"/>
      <c r="M191" s="65"/>
      <c r="N191" s="65"/>
      <c r="O191" s="65"/>
      <c r="P191" s="263"/>
      <c r="Q191" s="263"/>
      <c r="R191" s="263"/>
      <c r="S191" s="263"/>
      <c r="T191" s="65"/>
      <c r="U191" s="65"/>
      <c r="V191" s="65"/>
      <c r="W191" s="65"/>
      <c r="X191" s="65"/>
      <c r="Y191" s="65"/>
      <c r="Z191" s="65"/>
    </row>
    <row r="192" spans="1:26" ht="15.75" hidden="1" customHeight="1">
      <c r="A192" s="65" t="s">
        <v>354</v>
      </c>
      <c r="B192" s="65" t="s">
        <v>355</v>
      </c>
      <c r="C192" s="65" t="s">
        <v>372</v>
      </c>
      <c r="D192" s="65">
        <v>23011</v>
      </c>
      <c r="E192" s="65" t="s">
        <v>841</v>
      </c>
      <c r="F192" s="66">
        <v>119695.6</v>
      </c>
      <c r="G192" s="66">
        <v>36998.5</v>
      </c>
      <c r="H192" s="65" t="str">
        <f>VLOOKUP(D192,'COA1'!D:I,3,0)</f>
        <v>PL</v>
      </c>
      <c r="I192" s="65" t="str">
        <f>VLOOKUP(D192,'COA1'!D:I,4,0)</f>
        <v>Research and development expenses, net</v>
      </c>
      <c r="J192" s="65" t="str">
        <f>VLOOKUP(D192,'COA1'!D:I,5,0)</f>
        <v xml:space="preserve">Salary </v>
      </c>
      <c r="K192" s="264">
        <f t="shared" si="0"/>
        <v>3.2351473708393583</v>
      </c>
      <c r="L192" s="65"/>
      <c r="M192" s="65"/>
      <c r="N192" s="65"/>
      <c r="O192" s="65"/>
      <c r="P192" s="263"/>
      <c r="Q192" s="263"/>
      <c r="R192" s="263"/>
      <c r="S192" s="263"/>
      <c r="T192" s="65"/>
      <c r="U192" s="65"/>
      <c r="V192" s="65"/>
      <c r="W192" s="65"/>
      <c r="X192" s="65"/>
      <c r="Y192" s="65"/>
      <c r="Z192" s="65"/>
    </row>
    <row r="193" spans="1:26" ht="15.75" hidden="1" customHeight="1">
      <c r="A193" s="65" t="s">
        <v>354</v>
      </c>
      <c r="B193" s="65" t="s">
        <v>355</v>
      </c>
      <c r="C193" s="65" t="s">
        <v>372</v>
      </c>
      <c r="D193" s="65">
        <v>23012</v>
      </c>
      <c r="E193" s="65" t="s">
        <v>842</v>
      </c>
      <c r="F193" s="66">
        <v>4931.25</v>
      </c>
      <c r="G193" s="66">
        <v>1538.09</v>
      </c>
      <c r="H193" s="65" t="str">
        <f>VLOOKUP(D193,'COA1'!D:I,3,0)</f>
        <v>PL</v>
      </c>
      <c r="I193" s="65" t="str">
        <f>VLOOKUP(D193,'COA1'!D:I,4,0)</f>
        <v>Research and development expenses, net</v>
      </c>
      <c r="J193" s="65" t="str">
        <f>VLOOKUP(D193,'COA1'!D:I,5,0)</f>
        <v xml:space="preserve">Salary </v>
      </c>
      <c r="K193" s="264">
        <f t="shared" si="0"/>
        <v>3.2060867699549442</v>
      </c>
      <c r="L193" s="65"/>
      <c r="M193" s="65"/>
      <c r="N193" s="65"/>
      <c r="O193" s="65"/>
      <c r="P193" s="263"/>
      <c r="Q193" s="263"/>
      <c r="R193" s="263"/>
      <c r="S193" s="263"/>
      <c r="T193" s="65"/>
      <c r="U193" s="65"/>
      <c r="V193" s="65"/>
      <c r="W193" s="65"/>
      <c r="X193" s="65"/>
      <c r="Y193" s="65"/>
      <c r="Z193" s="65"/>
    </row>
    <row r="194" spans="1:26" ht="15.75" hidden="1" customHeight="1">
      <c r="A194" s="65" t="s">
        <v>354</v>
      </c>
      <c r="B194" s="65" t="s">
        <v>355</v>
      </c>
      <c r="C194" s="65" t="s">
        <v>372</v>
      </c>
      <c r="D194" s="65">
        <v>23015</v>
      </c>
      <c r="E194" s="65" t="s">
        <v>380</v>
      </c>
      <c r="F194" s="66">
        <v>2148276</v>
      </c>
      <c r="G194" s="66">
        <v>666644.78</v>
      </c>
      <c r="H194" s="65" t="str">
        <f>VLOOKUP(D194,'COA1'!D:I,3,0)</f>
        <v>PL</v>
      </c>
      <c r="I194" s="65" t="str">
        <f>VLOOKUP(D194,'COA1'!D:I,4,0)</f>
        <v>Research and development expenses, net</v>
      </c>
      <c r="J194" s="65" t="str">
        <f>VLOOKUP(D194,'COA1'!D:I,5,0)</f>
        <v xml:space="preserve">Salary </v>
      </c>
      <c r="K194" s="264">
        <f t="shared" si="0"/>
        <v>3.2225197953248803</v>
      </c>
      <c r="L194" s="65"/>
      <c r="M194" s="65"/>
      <c r="N194" s="65"/>
      <c r="O194" s="65"/>
      <c r="P194" s="263"/>
      <c r="Q194" s="263"/>
      <c r="R194" s="263"/>
      <c r="S194" s="263"/>
      <c r="T194" s="65"/>
      <c r="U194" s="65"/>
      <c r="V194" s="65"/>
      <c r="W194" s="65"/>
      <c r="X194" s="65"/>
      <c r="Y194" s="65"/>
      <c r="Z194" s="65"/>
    </row>
    <row r="195" spans="1:26" ht="15.75" hidden="1" customHeight="1">
      <c r="A195" s="65" t="s">
        <v>354</v>
      </c>
      <c r="B195" s="65" t="s">
        <v>355</v>
      </c>
      <c r="C195" s="65" t="s">
        <v>372</v>
      </c>
      <c r="D195" s="65">
        <v>23016</v>
      </c>
      <c r="E195" s="65" t="s">
        <v>381</v>
      </c>
      <c r="F195" s="66">
        <v>130641</v>
      </c>
      <c r="G195" s="66">
        <v>40529.019999999997</v>
      </c>
      <c r="H195" s="65" t="str">
        <f>VLOOKUP(D195,'COA1'!D:I,3,0)</f>
        <v>PL</v>
      </c>
      <c r="I195" s="65" t="str">
        <f>VLOOKUP(D195,'COA1'!D:I,4,0)</f>
        <v>Research and development expenses, net</v>
      </c>
      <c r="J195" s="65" t="str">
        <f>VLOOKUP(D195,'COA1'!D:I,5,0)</f>
        <v xml:space="preserve">Salary </v>
      </c>
      <c r="K195" s="264">
        <f t="shared" si="0"/>
        <v>3.2233940026183712</v>
      </c>
      <c r="L195" s="65"/>
      <c r="M195" s="65"/>
      <c r="N195" s="65"/>
      <c r="O195" s="65"/>
      <c r="P195" s="263"/>
      <c r="Q195" s="263"/>
      <c r="R195" s="263"/>
      <c r="S195" s="263"/>
      <c r="T195" s="65"/>
      <c r="U195" s="65"/>
      <c r="V195" s="65"/>
      <c r="W195" s="65"/>
      <c r="X195" s="65"/>
      <c r="Y195" s="65"/>
      <c r="Z195" s="65"/>
    </row>
    <row r="196" spans="1:26" ht="15.75" hidden="1" customHeight="1">
      <c r="A196" s="65" t="s">
        <v>354</v>
      </c>
      <c r="B196" s="65" t="s">
        <v>355</v>
      </c>
      <c r="C196" s="65" t="s">
        <v>372</v>
      </c>
      <c r="D196" s="65">
        <v>23017</v>
      </c>
      <c r="E196" s="65" t="s">
        <v>382</v>
      </c>
      <c r="F196" s="66">
        <v>303173</v>
      </c>
      <c r="G196" s="66">
        <v>94124.42</v>
      </c>
      <c r="H196" s="65" t="str">
        <f>VLOOKUP(D196,'COA1'!D:I,3,0)</f>
        <v>PL</v>
      </c>
      <c r="I196" s="65" t="str">
        <f>VLOOKUP(D196,'COA1'!D:I,4,0)</f>
        <v>Research and development expenses, net</v>
      </c>
      <c r="J196" s="65" t="str">
        <f>VLOOKUP(D196,'COA1'!D:I,5,0)</f>
        <v xml:space="preserve">Salary </v>
      </c>
      <c r="K196" s="264">
        <f t="shared" si="0"/>
        <v>3.2209813351306709</v>
      </c>
      <c r="L196" s="65"/>
      <c r="M196" s="65"/>
      <c r="N196" s="65"/>
      <c r="O196" s="65"/>
      <c r="P196" s="263"/>
      <c r="Q196" s="263"/>
      <c r="R196" s="263"/>
      <c r="S196" s="263"/>
      <c r="T196" s="65"/>
      <c r="U196" s="65"/>
      <c r="V196" s="65"/>
      <c r="W196" s="65"/>
      <c r="X196" s="65"/>
      <c r="Y196" s="65"/>
      <c r="Z196" s="65"/>
    </row>
    <row r="197" spans="1:26" ht="15.75" hidden="1" customHeight="1">
      <c r="A197" s="65" t="s">
        <v>354</v>
      </c>
      <c r="B197" s="65" t="s">
        <v>355</v>
      </c>
      <c r="C197" s="65" t="s">
        <v>372</v>
      </c>
      <c r="D197" s="65">
        <v>23018</v>
      </c>
      <c r="E197" s="65" t="s">
        <v>383</v>
      </c>
      <c r="F197" s="66">
        <v>141077</v>
      </c>
      <c r="G197" s="66">
        <v>43756.959999999999</v>
      </c>
      <c r="H197" s="65" t="str">
        <f>VLOOKUP(D197,'COA1'!D:I,3,0)</f>
        <v>PL</v>
      </c>
      <c r="I197" s="65" t="str">
        <f>VLOOKUP(D197,'COA1'!D:I,4,0)</f>
        <v>Research and development expenses, net</v>
      </c>
      <c r="J197" s="65" t="str">
        <f>VLOOKUP(D197,'COA1'!D:I,5,0)</f>
        <v xml:space="preserve">Salary </v>
      </c>
      <c r="K197" s="264">
        <f t="shared" si="0"/>
        <v>3.2241042339321564</v>
      </c>
      <c r="L197" s="65"/>
      <c r="M197" s="65"/>
      <c r="N197" s="65"/>
      <c r="O197" s="65"/>
      <c r="P197" s="263"/>
      <c r="Q197" s="263"/>
      <c r="R197" s="263"/>
      <c r="S197" s="263"/>
      <c r="T197" s="65"/>
      <c r="U197" s="65"/>
      <c r="V197" s="65"/>
      <c r="W197" s="65"/>
      <c r="X197" s="65"/>
      <c r="Y197" s="65"/>
      <c r="Z197" s="65"/>
    </row>
    <row r="198" spans="1:26" ht="15.75" hidden="1" customHeight="1">
      <c r="A198" s="65" t="s">
        <v>354</v>
      </c>
      <c r="B198" s="65" t="s">
        <v>355</v>
      </c>
      <c r="C198" s="65" t="s">
        <v>372</v>
      </c>
      <c r="D198" s="65">
        <v>23019</v>
      </c>
      <c r="E198" s="65" t="s">
        <v>384</v>
      </c>
      <c r="F198" s="66">
        <v>3746833</v>
      </c>
      <c r="G198" s="66">
        <v>1161732.67</v>
      </c>
      <c r="H198" s="65" t="str">
        <f>VLOOKUP(D198,'COA1'!D:I,3,0)</f>
        <v>PL</v>
      </c>
      <c r="I198" s="65" t="str">
        <f>VLOOKUP(D198,'COA1'!D:I,4,0)</f>
        <v>Research and development expenses, net</v>
      </c>
      <c r="J198" s="65" t="str">
        <f>VLOOKUP(D198,'COA1'!D:I,5,0)</f>
        <v xml:space="preserve">Salary </v>
      </c>
      <c r="K198" s="264">
        <f t="shared" si="0"/>
        <v>3.2252110117553983</v>
      </c>
      <c r="L198" s="65"/>
      <c r="M198" s="65"/>
      <c r="N198" s="65"/>
      <c r="O198" s="65"/>
      <c r="P198" s="263"/>
      <c r="Q198" s="263"/>
      <c r="R198" s="263"/>
      <c r="S198" s="263"/>
      <c r="T198" s="65"/>
      <c r="U198" s="65"/>
      <c r="V198" s="65"/>
      <c r="W198" s="65"/>
      <c r="X198" s="65"/>
      <c r="Y198" s="65"/>
      <c r="Z198" s="65"/>
    </row>
    <row r="199" spans="1:26" ht="15.75" hidden="1" customHeight="1">
      <c r="A199" s="65" t="s">
        <v>354</v>
      </c>
      <c r="B199" s="65" t="s">
        <v>355</v>
      </c>
      <c r="C199" s="65" t="s">
        <v>372</v>
      </c>
      <c r="D199" s="65">
        <v>23020</v>
      </c>
      <c r="E199" s="65" t="s">
        <v>385</v>
      </c>
      <c r="F199" s="66">
        <v>121261</v>
      </c>
      <c r="G199" s="66">
        <v>37656.42</v>
      </c>
      <c r="H199" s="65" t="str">
        <f>VLOOKUP(D199,'COA1'!D:I,3,0)</f>
        <v>PL</v>
      </c>
      <c r="I199" s="65" t="str">
        <f>VLOOKUP(D199,'COA1'!D:I,4,0)</f>
        <v>Research and development expenses, net</v>
      </c>
      <c r="J199" s="65" t="str">
        <f>VLOOKUP(D199,'COA1'!D:I,5,0)</f>
        <v xml:space="preserve">Salary </v>
      </c>
      <c r="K199" s="264">
        <f t="shared" si="0"/>
        <v>3.2201945909887346</v>
      </c>
      <c r="L199" s="65"/>
      <c r="M199" s="65"/>
      <c r="N199" s="65"/>
      <c r="O199" s="65"/>
      <c r="P199" s="263"/>
      <c r="Q199" s="263"/>
      <c r="R199" s="263"/>
      <c r="S199" s="263"/>
      <c r="T199" s="65"/>
      <c r="U199" s="65"/>
      <c r="V199" s="65"/>
      <c r="W199" s="65"/>
      <c r="X199" s="65"/>
      <c r="Y199" s="65"/>
      <c r="Z199" s="65"/>
    </row>
    <row r="200" spans="1:26" ht="15.75" hidden="1" customHeight="1">
      <c r="A200" s="65" t="s">
        <v>354</v>
      </c>
      <c r="B200" s="65" t="s">
        <v>355</v>
      </c>
      <c r="C200" s="65" t="s">
        <v>372</v>
      </c>
      <c r="D200" s="65">
        <v>23021</v>
      </c>
      <c r="E200" s="65" t="s">
        <v>386</v>
      </c>
      <c r="F200" s="66">
        <v>485414</v>
      </c>
      <c r="G200" s="66">
        <v>150778.21</v>
      </c>
      <c r="H200" s="65" t="str">
        <f>VLOOKUP(D200,'COA1'!D:I,3,0)</f>
        <v>PL</v>
      </c>
      <c r="I200" s="65" t="str">
        <f>VLOOKUP(D200,'COA1'!D:I,4,0)</f>
        <v>Research and development expenses, net</v>
      </c>
      <c r="J200" s="65" t="str">
        <f>VLOOKUP(D200,'COA1'!D:I,5,0)</f>
        <v xml:space="preserve">Salary </v>
      </c>
      <c r="K200" s="264">
        <f t="shared" si="0"/>
        <v>3.219390918621464</v>
      </c>
      <c r="L200" s="65"/>
      <c r="M200" s="65"/>
      <c r="N200" s="65"/>
      <c r="O200" s="65"/>
      <c r="P200" s="263"/>
      <c r="Q200" s="263"/>
      <c r="R200" s="263"/>
      <c r="S200" s="263"/>
      <c r="T200" s="65"/>
      <c r="U200" s="65"/>
      <c r="V200" s="65"/>
      <c r="W200" s="65"/>
      <c r="X200" s="65"/>
      <c r="Y200" s="65"/>
      <c r="Z200" s="65"/>
    </row>
    <row r="201" spans="1:26" ht="15.75" hidden="1" customHeight="1">
      <c r="A201" s="65" t="s">
        <v>354</v>
      </c>
      <c r="B201" s="65" t="s">
        <v>355</v>
      </c>
      <c r="C201" s="65" t="s">
        <v>372</v>
      </c>
      <c r="D201" s="65">
        <v>23022</v>
      </c>
      <c r="E201" s="65" t="s">
        <v>387</v>
      </c>
      <c r="F201" s="66">
        <v>243852</v>
      </c>
      <c r="G201" s="66">
        <v>75643.789999999994</v>
      </c>
      <c r="H201" s="65" t="str">
        <f>VLOOKUP(D201,'COA1'!D:I,3,0)</f>
        <v>PL</v>
      </c>
      <c r="I201" s="65" t="str">
        <f>VLOOKUP(D201,'COA1'!D:I,4,0)</f>
        <v>Research and development expenses, net</v>
      </c>
      <c r="J201" s="65" t="str">
        <f>VLOOKUP(D201,'COA1'!D:I,5,0)</f>
        <v xml:space="preserve">Salary </v>
      </c>
      <c r="K201" s="264">
        <f t="shared" si="0"/>
        <v>3.2236882895476286</v>
      </c>
      <c r="L201" s="65"/>
      <c r="M201" s="65"/>
      <c r="N201" s="65"/>
      <c r="O201" s="65"/>
      <c r="P201" s="263"/>
      <c r="Q201" s="263"/>
      <c r="R201" s="263"/>
      <c r="S201" s="263"/>
      <c r="T201" s="65"/>
      <c r="U201" s="65"/>
      <c r="V201" s="65"/>
      <c r="W201" s="65"/>
      <c r="X201" s="65"/>
      <c r="Y201" s="65"/>
      <c r="Z201" s="65"/>
    </row>
    <row r="202" spans="1:26" ht="15.75" hidden="1" customHeight="1">
      <c r="A202" s="65" t="s">
        <v>354</v>
      </c>
      <c r="B202" s="65" t="s">
        <v>355</v>
      </c>
      <c r="C202" s="65" t="s">
        <v>372</v>
      </c>
      <c r="D202" s="65">
        <v>23023</v>
      </c>
      <c r="E202" s="65" t="s">
        <v>388</v>
      </c>
      <c r="F202" s="66">
        <v>551664</v>
      </c>
      <c r="G202" s="66">
        <v>170801.95</v>
      </c>
      <c r="H202" s="65" t="str">
        <f>VLOOKUP(D202,'COA1'!D:I,3,0)</f>
        <v>PL</v>
      </c>
      <c r="I202" s="65" t="str">
        <f>VLOOKUP(D202,'COA1'!D:I,4,0)</f>
        <v>Research and development expenses, net</v>
      </c>
      <c r="J202" s="65" t="str">
        <f>VLOOKUP(D202,'COA1'!D:I,5,0)</f>
        <v xml:space="preserve">Salary </v>
      </c>
      <c r="K202" s="264">
        <f t="shared" si="0"/>
        <v>3.2298460292754267</v>
      </c>
      <c r="L202" s="65"/>
      <c r="M202" s="65"/>
      <c r="N202" s="65"/>
      <c r="O202" s="65"/>
      <c r="P202" s="263"/>
      <c r="Q202" s="263"/>
      <c r="R202" s="263"/>
      <c r="S202" s="263"/>
      <c r="T202" s="65"/>
      <c r="U202" s="65"/>
      <c r="V202" s="65"/>
      <c r="W202" s="65"/>
      <c r="X202" s="65"/>
      <c r="Y202" s="65"/>
      <c r="Z202" s="65"/>
    </row>
    <row r="203" spans="1:26" ht="15.75" hidden="1" customHeight="1">
      <c r="A203" s="65" t="s">
        <v>354</v>
      </c>
      <c r="B203" s="65" t="s">
        <v>355</v>
      </c>
      <c r="C203" s="65" t="s">
        <v>372</v>
      </c>
      <c r="D203" s="65">
        <v>23024</v>
      </c>
      <c r="E203" s="65" t="s">
        <v>389</v>
      </c>
      <c r="F203" s="66">
        <v>21872</v>
      </c>
      <c r="G203" s="66">
        <v>6786.03</v>
      </c>
      <c r="H203" s="65" t="str">
        <f>VLOOKUP(D203,'COA1'!D:I,3,0)</f>
        <v>PL</v>
      </c>
      <c r="I203" s="65" t="str">
        <f>VLOOKUP(D203,'COA1'!D:I,4,0)</f>
        <v>Research and development expenses, net</v>
      </c>
      <c r="J203" s="65" t="str">
        <f>VLOOKUP(D203,'COA1'!D:I,5,0)</f>
        <v xml:space="preserve">Salary </v>
      </c>
      <c r="K203" s="264">
        <f t="shared" si="0"/>
        <v>3.2230921466601239</v>
      </c>
      <c r="L203" s="65"/>
      <c r="M203" s="65"/>
      <c r="N203" s="65"/>
      <c r="O203" s="65"/>
      <c r="P203" s="263"/>
      <c r="Q203" s="263"/>
      <c r="R203" s="263"/>
      <c r="S203" s="263"/>
      <c r="T203" s="65"/>
      <c r="U203" s="65"/>
      <c r="V203" s="65"/>
      <c r="W203" s="65"/>
      <c r="X203" s="65"/>
      <c r="Y203" s="65"/>
      <c r="Z203" s="65"/>
    </row>
    <row r="204" spans="1:26" ht="15.75" hidden="1" customHeight="1">
      <c r="A204" s="65" t="s">
        <v>354</v>
      </c>
      <c r="B204" s="65" t="s">
        <v>355</v>
      </c>
      <c r="C204" s="65" t="s">
        <v>372</v>
      </c>
      <c r="D204" s="65">
        <v>23025</v>
      </c>
      <c r="E204" s="65" t="s">
        <v>390</v>
      </c>
      <c r="F204" s="66">
        <v>75366</v>
      </c>
      <c r="G204" s="66">
        <v>23357.69</v>
      </c>
      <c r="H204" s="65" t="str">
        <f>VLOOKUP(D204,'COA1'!D:I,3,0)</f>
        <v>PL</v>
      </c>
      <c r="I204" s="65" t="str">
        <f>VLOOKUP(D204,'COA1'!D:I,4,0)</f>
        <v>Research and development expenses, net</v>
      </c>
      <c r="J204" s="65" t="str">
        <f>VLOOKUP(D204,'COA1'!D:I,5,0)</f>
        <v xml:space="preserve">Salary </v>
      </c>
      <c r="K204" s="264">
        <f t="shared" si="0"/>
        <v>3.2266033156532177</v>
      </c>
      <c r="L204" s="65"/>
      <c r="M204" s="65"/>
      <c r="N204" s="65"/>
      <c r="O204" s="65"/>
      <c r="P204" s="263"/>
      <c r="Q204" s="263"/>
      <c r="R204" s="263"/>
      <c r="S204" s="263"/>
      <c r="T204" s="65"/>
      <c r="U204" s="65"/>
      <c r="V204" s="65"/>
      <c r="W204" s="65"/>
      <c r="X204" s="65"/>
      <c r="Y204" s="65"/>
      <c r="Z204" s="65"/>
    </row>
    <row r="205" spans="1:26" ht="15.75" hidden="1" customHeight="1">
      <c r="A205" s="65" t="s">
        <v>354</v>
      </c>
      <c r="B205" s="65" t="s">
        <v>355</v>
      </c>
      <c r="C205" s="65" t="s">
        <v>372</v>
      </c>
      <c r="D205" s="65">
        <v>23026</v>
      </c>
      <c r="E205" s="65" t="s">
        <v>391</v>
      </c>
      <c r="F205" s="66">
        <v>38836</v>
      </c>
      <c r="G205" s="66">
        <v>12019.94</v>
      </c>
      <c r="H205" s="65" t="str">
        <f>VLOOKUP(D205,'COA1'!D:I,3,0)</f>
        <v>PL</v>
      </c>
      <c r="I205" s="65" t="str">
        <f>VLOOKUP(D205,'COA1'!D:I,4,0)</f>
        <v>Research and development expenses, net</v>
      </c>
      <c r="J205" s="65" t="str">
        <f>VLOOKUP(D205,'COA1'!D:I,5,0)</f>
        <v xml:space="preserve">Salary </v>
      </c>
      <c r="K205" s="264">
        <f t="shared" si="0"/>
        <v>3.2309645472439961</v>
      </c>
      <c r="L205" s="65"/>
      <c r="M205" s="65"/>
      <c r="N205" s="65"/>
      <c r="O205" s="65"/>
      <c r="P205" s="263"/>
      <c r="Q205" s="263"/>
      <c r="R205" s="263"/>
      <c r="S205" s="263"/>
      <c r="T205" s="65"/>
      <c r="U205" s="65"/>
      <c r="V205" s="65"/>
      <c r="W205" s="65"/>
      <c r="X205" s="65"/>
      <c r="Y205" s="65"/>
      <c r="Z205" s="65"/>
    </row>
    <row r="206" spans="1:26" ht="15.75" hidden="1" customHeight="1">
      <c r="A206" s="65" t="s">
        <v>354</v>
      </c>
      <c r="B206" s="65" t="s">
        <v>355</v>
      </c>
      <c r="C206" s="65" t="s">
        <v>372</v>
      </c>
      <c r="D206" s="65">
        <v>23027</v>
      </c>
      <c r="E206" s="65" t="s">
        <v>392</v>
      </c>
      <c r="F206" s="66">
        <v>1537716.58</v>
      </c>
      <c r="G206" s="66">
        <v>476492.95</v>
      </c>
      <c r="H206" s="65" t="str">
        <f>VLOOKUP(D206,'COA1'!D:I,3,0)</f>
        <v>PL</v>
      </c>
      <c r="I206" s="65" t="str">
        <f>VLOOKUP(D206,'COA1'!D:I,4,0)</f>
        <v>Research and development expenses, net</v>
      </c>
      <c r="J206" s="65" t="str">
        <f>VLOOKUP(D206,'COA1'!D:I,5,0)</f>
        <v xml:space="preserve">Salary </v>
      </c>
      <c r="K206" s="264">
        <f t="shared" si="0"/>
        <v>3.2271549453145112</v>
      </c>
      <c r="L206" s="65"/>
      <c r="M206" s="65"/>
      <c r="N206" s="65"/>
      <c r="O206" s="65"/>
      <c r="P206" s="263"/>
      <c r="Q206" s="263"/>
      <c r="R206" s="263"/>
      <c r="S206" s="263"/>
      <c r="T206" s="65"/>
      <c r="U206" s="65"/>
      <c r="V206" s="65"/>
      <c r="W206" s="65"/>
      <c r="X206" s="65"/>
      <c r="Y206" s="65"/>
      <c r="Z206" s="65"/>
    </row>
    <row r="207" spans="1:26" ht="15.75" hidden="1" customHeight="1">
      <c r="A207" s="65" t="s">
        <v>354</v>
      </c>
      <c r="B207" s="65" t="s">
        <v>355</v>
      </c>
      <c r="C207" s="65" t="s">
        <v>372</v>
      </c>
      <c r="D207" s="65">
        <v>23028</v>
      </c>
      <c r="E207" s="65" t="s">
        <v>393</v>
      </c>
      <c r="F207" s="66">
        <v>46933</v>
      </c>
      <c r="G207" s="66">
        <v>14560.18</v>
      </c>
      <c r="H207" s="65" t="str">
        <f>VLOOKUP(D207,'COA1'!D:I,3,0)</f>
        <v>PL</v>
      </c>
      <c r="I207" s="65" t="str">
        <f>VLOOKUP(D207,'COA1'!D:I,4,0)</f>
        <v>Research and development expenses, net</v>
      </c>
      <c r="J207" s="65" t="str">
        <f>VLOOKUP(D207,'COA1'!D:I,5,0)</f>
        <v xml:space="preserve">Salary </v>
      </c>
      <c r="K207" s="264">
        <f t="shared" si="0"/>
        <v>3.2233804801863712</v>
      </c>
      <c r="L207" s="65"/>
      <c r="M207" s="65"/>
      <c r="N207" s="65"/>
      <c r="O207" s="65"/>
      <c r="P207" s="263"/>
      <c r="Q207" s="263"/>
      <c r="R207" s="263"/>
      <c r="S207" s="263"/>
      <c r="T207" s="65"/>
      <c r="U207" s="65"/>
      <c r="V207" s="65"/>
      <c r="W207" s="65"/>
      <c r="X207" s="65"/>
      <c r="Y207" s="65"/>
      <c r="Z207" s="65"/>
    </row>
    <row r="208" spans="1:26" ht="15.75" hidden="1" customHeight="1">
      <c r="A208" s="65" t="s">
        <v>354</v>
      </c>
      <c r="B208" s="65" t="s">
        <v>355</v>
      </c>
      <c r="C208" s="65" t="s">
        <v>372</v>
      </c>
      <c r="D208" s="65">
        <v>23029</v>
      </c>
      <c r="E208" s="65" t="s">
        <v>394</v>
      </c>
      <c r="F208" s="66">
        <v>164134</v>
      </c>
      <c r="G208" s="66">
        <v>50900.56</v>
      </c>
      <c r="H208" s="65" t="str">
        <f>VLOOKUP(D208,'COA1'!D:I,3,0)</f>
        <v>PL</v>
      </c>
      <c r="I208" s="65" t="str">
        <f>VLOOKUP(D208,'COA1'!D:I,4,0)</f>
        <v>Research and development expenses, net</v>
      </c>
      <c r="J208" s="65" t="str">
        <f>VLOOKUP(D208,'COA1'!D:I,5,0)</f>
        <v xml:space="preserve">Salary </v>
      </c>
      <c r="K208" s="264">
        <f t="shared" si="0"/>
        <v>3.2246010652927986</v>
      </c>
      <c r="L208" s="65"/>
      <c r="M208" s="65"/>
      <c r="N208" s="65"/>
      <c r="O208" s="65"/>
      <c r="P208" s="263"/>
      <c r="Q208" s="263"/>
      <c r="R208" s="263"/>
      <c r="S208" s="263"/>
      <c r="T208" s="266"/>
      <c r="U208" s="266"/>
      <c r="V208" s="266"/>
      <c r="W208" s="266"/>
      <c r="X208" s="266"/>
      <c r="Y208" s="266"/>
      <c r="Z208" s="266"/>
    </row>
    <row r="209" spans="1:26" ht="15.75" hidden="1" customHeight="1">
      <c r="A209" s="65" t="s">
        <v>354</v>
      </c>
      <c r="B209" s="65" t="s">
        <v>355</v>
      </c>
      <c r="C209" s="65" t="s">
        <v>372</v>
      </c>
      <c r="D209" s="65">
        <v>23030</v>
      </c>
      <c r="E209" s="65" t="s">
        <v>395</v>
      </c>
      <c r="F209" s="66">
        <v>82147</v>
      </c>
      <c r="G209" s="66">
        <v>25433.84</v>
      </c>
      <c r="H209" s="65" t="str">
        <f>VLOOKUP(D209,'COA1'!D:I,3,0)</f>
        <v>PL</v>
      </c>
      <c r="I209" s="65" t="str">
        <f>VLOOKUP(D209,'COA1'!D:I,4,0)</f>
        <v>Research and development expenses, net</v>
      </c>
      <c r="J209" s="65" t="str">
        <f>VLOOKUP(D209,'COA1'!D:I,5,0)</f>
        <v xml:space="preserve">Salary </v>
      </c>
      <c r="K209" s="264">
        <f t="shared" si="0"/>
        <v>3.2298308080887512</v>
      </c>
      <c r="L209" s="65"/>
      <c r="M209" s="65"/>
      <c r="N209" s="65"/>
      <c r="O209" s="65"/>
      <c r="P209" s="263"/>
      <c r="Q209" s="263"/>
      <c r="R209" s="263"/>
      <c r="S209" s="263"/>
      <c r="T209" s="65"/>
      <c r="U209" s="65"/>
      <c r="V209" s="65"/>
      <c r="W209" s="65"/>
      <c r="X209" s="65"/>
      <c r="Y209" s="65"/>
      <c r="Z209" s="65"/>
    </row>
    <row r="210" spans="1:26" ht="15.75" hidden="1" customHeight="1">
      <c r="A210" s="65" t="s">
        <v>354</v>
      </c>
      <c r="B210" s="65" t="s">
        <v>355</v>
      </c>
      <c r="C210" s="65" t="s">
        <v>372</v>
      </c>
      <c r="D210" s="65">
        <v>24002</v>
      </c>
      <c r="E210" s="65" t="s">
        <v>760</v>
      </c>
      <c r="F210" s="66">
        <v>114374.48</v>
      </c>
      <c r="G210" s="66">
        <v>35334.44</v>
      </c>
      <c r="H210" s="65" t="str">
        <f>VLOOKUP(D210,'COA1'!D:I,3,0)</f>
        <v>PL</v>
      </c>
      <c r="I210" s="65" t="str">
        <f>VLOOKUP(D210,'COA1'!D:I,4,0)</f>
        <v>Research and development expenses, net</v>
      </c>
      <c r="J210" s="65" t="str">
        <f>VLOOKUP(D210,'COA1'!D:I,5,0)</f>
        <v xml:space="preserve">Salary </v>
      </c>
      <c r="K210" s="264">
        <f t="shared" si="0"/>
        <v>3.2369122023725292</v>
      </c>
      <c r="L210" s="65"/>
      <c r="M210" s="65"/>
      <c r="N210" s="65"/>
      <c r="O210" s="65"/>
      <c r="P210" s="263"/>
      <c r="Q210" s="263"/>
      <c r="R210" s="263"/>
      <c r="S210" s="263"/>
      <c r="T210" s="65"/>
      <c r="U210" s="65"/>
      <c r="V210" s="65"/>
      <c r="W210" s="65"/>
      <c r="X210" s="65"/>
      <c r="Y210" s="65"/>
      <c r="Z210" s="65"/>
    </row>
    <row r="211" spans="1:26" ht="15.75" hidden="1" customHeight="1">
      <c r="A211" s="65" t="s">
        <v>354</v>
      </c>
      <c r="B211" s="65" t="s">
        <v>355</v>
      </c>
      <c r="C211" s="65" t="s">
        <v>372</v>
      </c>
      <c r="D211" s="65">
        <v>24003</v>
      </c>
      <c r="E211" s="65" t="s">
        <v>761</v>
      </c>
      <c r="F211" s="66">
        <v>123425.73</v>
      </c>
      <c r="G211" s="66">
        <v>38063.97</v>
      </c>
      <c r="H211" s="65" t="str">
        <f>VLOOKUP(D211,'COA1'!D:I,3,0)</f>
        <v>PL</v>
      </c>
      <c r="I211" s="65" t="str">
        <f>VLOOKUP(D211,'COA1'!D:I,4,0)</f>
        <v>Research and development expenses, net</v>
      </c>
      <c r="J211" s="65" t="str">
        <f>VLOOKUP(D211,'COA1'!D:I,5,0)</f>
        <v xml:space="preserve">Salary </v>
      </c>
      <c r="K211" s="264">
        <f t="shared" si="0"/>
        <v>3.2425868872847472</v>
      </c>
      <c r="L211" s="65"/>
      <c r="M211" s="65"/>
      <c r="N211" s="65"/>
      <c r="O211" s="65"/>
      <c r="P211" s="263"/>
      <c r="Q211" s="263"/>
      <c r="R211" s="263"/>
      <c r="S211" s="263"/>
      <c r="T211" s="65"/>
      <c r="U211" s="65"/>
      <c r="V211" s="65"/>
      <c r="W211" s="65"/>
      <c r="X211" s="65"/>
      <c r="Y211" s="65"/>
      <c r="Z211" s="65"/>
    </row>
    <row r="212" spans="1:26" ht="15.75" hidden="1" customHeight="1">
      <c r="A212" s="65" t="s">
        <v>354</v>
      </c>
      <c r="B212" s="65" t="s">
        <v>355</v>
      </c>
      <c r="C212" s="65" t="s">
        <v>372</v>
      </c>
      <c r="D212" s="65">
        <v>24004</v>
      </c>
      <c r="E212" s="65" t="s">
        <v>762</v>
      </c>
      <c r="F212" s="66">
        <v>92766.399999999994</v>
      </c>
      <c r="G212" s="66">
        <v>28757.33</v>
      </c>
      <c r="H212" s="65" t="str">
        <f>VLOOKUP(D212,'COA1'!D:I,3,0)</f>
        <v>PL</v>
      </c>
      <c r="I212" s="65" t="str">
        <f>VLOOKUP(D212,'COA1'!D:I,4,0)</f>
        <v>Research and development expenses, net</v>
      </c>
      <c r="J212" s="65" t="str">
        <f>VLOOKUP(D212,'COA1'!D:I,5,0)</f>
        <v xml:space="preserve">Salary </v>
      </c>
      <c r="K212" s="264">
        <f t="shared" si="0"/>
        <v>3.2258349436474107</v>
      </c>
      <c r="L212" s="65"/>
      <c r="M212" s="65"/>
      <c r="N212" s="65"/>
      <c r="O212" s="65"/>
      <c r="P212" s="263"/>
      <c r="Q212" s="263"/>
      <c r="R212" s="263"/>
      <c r="S212" s="263"/>
      <c r="T212" s="65"/>
      <c r="U212" s="65"/>
      <c r="V212" s="65"/>
      <c r="W212" s="65"/>
      <c r="X212" s="65"/>
      <c r="Y212" s="65"/>
      <c r="Z212" s="65"/>
    </row>
    <row r="213" spans="1:26" ht="15.75" hidden="1" customHeight="1">
      <c r="A213" s="65" t="s">
        <v>354</v>
      </c>
      <c r="B213" s="65" t="s">
        <v>355</v>
      </c>
      <c r="C213" s="65" t="s">
        <v>372</v>
      </c>
      <c r="D213" s="65">
        <v>24005</v>
      </c>
      <c r="E213" s="65" t="s">
        <v>763</v>
      </c>
      <c r="F213" s="66">
        <v>27984.240000000002</v>
      </c>
      <c r="G213" s="66">
        <v>8581.75</v>
      </c>
      <c r="H213" s="65" t="str">
        <f>VLOOKUP(D213,'COA1'!D:I,3,0)</f>
        <v>PL</v>
      </c>
      <c r="I213" s="65" t="str">
        <f>VLOOKUP(D213,'COA1'!D:I,4,0)</f>
        <v>Research and development expenses, net</v>
      </c>
      <c r="J213" s="65" t="str">
        <f>VLOOKUP(D213,'COA1'!D:I,5,0)</f>
        <v xml:space="preserve">Salary </v>
      </c>
      <c r="K213" s="264">
        <f t="shared" si="0"/>
        <v>3.2609013313135433</v>
      </c>
      <c r="L213" s="65"/>
      <c r="M213" s="65"/>
      <c r="N213" s="65"/>
      <c r="O213" s="65"/>
      <c r="P213" s="263"/>
      <c r="Q213" s="263"/>
      <c r="R213" s="263"/>
      <c r="S213" s="263"/>
      <c r="T213" s="65"/>
      <c r="U213" s="65"/>
      <c r="V213" s="65"/>
      <c r="W213" s="65"/>
      <c r="X213" s="65"/>
      <c r="Y213" s="65"/>
      <c r="Z213" s="65"/>
    </row>
    <row r="214" spans="1:26" ht="15.75" hidden="1" customHeight="1">
      <c r="A214" s="65" t="s">
        <v>354</v>
      </c>
      <c r="B214" s="65" t="s">
        <v>355</v>
      </c>
      <c r="C214" s="65" t="s">
        <v>372</v>
      </c>
      <c r="D214" s="65">
        <v>24006</v>
      </c>
      <c r="E214" s="65" t="s">
        <v>764</v>
      </c>
      <c r="F214" s="66">
        <v>4830.7299999999996</v>
      </c>
      <c r="G214" s="66">
        <v>1504.25</v>
      </c>
      <c r="H214" s="65" t="str">
        <f>VLOOKUP(D214,'COA1'!D:I,3,0)</f>
        <v>PL</v>
      </c>
      <c r="I214" s="65" t="str">
        <f>VLOOKUP(D214,'COA1'!D:I,4,0)</f>
        <v>Research and development expenses, net</v>
      </c>
      <c r="J214" s="65" t="str">
        <f>VLOOKUP(D214,'COA1'!D:I,5,0)</f>
        <v xml:space="preserve">Salary </v>
      </c>
      <c r="K214" s="264">
        <f t="shared" si="0"/>
        <v>3.2113877347515372</v>
      </c>
      <c r="L214" s="65"/>
      <c r="M214" s="65"/>
      <c r="N214" s="65"/>
      <c r="O214" s="65"/>
      <c r="P214" s="263"/>
      <c r="Q214" s="263"/>
      <c r="R214" s="263"/>
      <c r="S214" s="263"/>
      <c r="T214" s="65"/>
      <c r="U214" s="65"/>
      <c r="V214" s="65"/>
      <c r="W214" s="65"/>
      <c r="X214" s="65"/>
      <c r="Y214" s="65"/>
      <c r="Z214" s="65"/>
    </row>
    <row r="215" spans="1:26" ht="15.75" hidden="1" customHeight="1">
      <c r="A215" s="65" t="s">
        <v>354</v>
      </c>
      <c r="B215" s="65" t="s">
        <v>355</v>
      </c>
      <c r="C215" s="65" t="s">
        <v>372</v>
      </c>
      <c r="D215" s="65">
        <v>24007</v>
      </c>
      <c r="E215" s="65" t="s">
        <v>765</v>
      </c>
      <c r="F215" s="66">
        <v>12080.73</v>
      </c>
      <c r="G215" s="66">
        <v>3760.47</v>
      </c>
      <c r="H215" s="65" t="str">
        <f>VLOOKUP(D215,'COA1'!D:I,3,0)</f>
        <v>PL</v>
      </c>
      <c r="I215" s="65" t="str">
        <f>VLOOKUP(D215,'COA1'!D:I,4,0)</f>
        <v>Research and development expenses, net</v>
      </c>
      <c r="J215" s="65" t="str">
        <f>VLOOKUP(D215,'COA1'!D:I,5,0)</f>
        <v xml:space="preserve">Salary </v>
      </c>
      <c r="K215" s="264">
        <f t="shared" si="0"/>
        <v>3.2125585365659082</v>
      </c>
      <c r="L215" s="65"/>
      <c r="M215" s="65"/>
      <c r="N215" s="65"/>
      <c r="O215" s="65"/>
      <c r="P215" s="263"/>
      <c r="Q215" s="263"/>
      <c r="R215" s="263"/>
      <c r="S215" s="263"/>
      <c r="T215" s="65"/>
      <c r="U215" s="65"/>
      <c r="V215" s="65"/>
      <c r="W215" s="65"/>
      <c r="X215" s="65"/>
      <c r="Y215" s="65"/>
      <c r="Z215" s="65"/>
    </row>
    <row r="216" spans="1:26" ht="15.75" hidden="1" customHeight="1">
      <c r="A216" s="65" t="s">
        <v>354</v>
      </c>
      <c r="B216" s="65" t="s">
        <v>355</v>
      </c>
      <c r="C216" s="65" t="s">
        <v>372</v>
      </c>
      <c r="D216" s="65">
        <v>24008</v>
      </c>
      <c r="E216" s="65" t="s">
        <v>766</v>
      </c>
      <c r="F216" s="66">
        <v>10427.950000000001</v>
      </c>
      <c r="G216" s="66">
        <v>3251.27</v>
      </c>
      <c r="H216" s="65" t="str">
        <f>VLOOKUP(D216,'COA1'!D:I,3,0)</f>
        <v>PL</v>
      </c>
      <c r="I216" s="65" t="str">
        <f>VLOOKUP(D216,'COA1'!D:I,4,0)</f>
        <v>Research and development expenses, net</v>
      </c>
      <c r="J216" s="65" t="str">
        <f>VLOOKUP(D216,'COA1'!D:I,5,0)</f>
        <v xml:space="preserve">Salary </v>
      </c>
      <c r="K216" s="264">
        <f t="shared" si="0"/>
        <v>3.2073466676098881</v>
      </c>
      <c r="L216" s="65"/>
      <c r="M216" s="65"/>
      <c r="N216" s="65"/>
      <c r="O216" s="65"/>
      <c r="P216" s="263"/>
      <c r="Q216" s="263"/>
      <c r="R216" s="263"/>
      <c r="S216" s="263"/>
      <c r="T216" s="65"/>
      <c r="U216" s="65"/>
      <c r="V216" s="65"/>
      <c r="W216" s="65"/>
      <c r="X216" s="65"/>
      <c r="Y216" s="65"/>
      <c r="Z216" s="65"/>
    </row>
    <row r="217" spans="1:26" ht="15.75" hidden="1" customHeight="1">
      <c r="A217" s="65" t="s">
        <v>354</v>
      </c>
      <c r="B217" s="65" t="s">
        <v>355</v>
      </c>
      <c r="C217" s="65" t="s">
        <v>372</v>
      </c>
      <c r="D217" s="65">
        <v>24009</v>
      </c>
      <c r="E217" s="65" t="s">
        <v>767</v>
      </c>
      <c r="F217" s="66">
        <v>3759.13</v>
      </c>
      <c r="G217" s="66">
        <v>1169.79</v>
      </c>
      <c r="H217" s="65" t="str">
        <f>VLOOKUP(D217,'COA1'!D:I,3,0)</f>
        <v>PL</v>
      </c>
      <c r="I217" s="65" t="str">
        <f>VLOOKUP(D217,'COA1'!D:I,4,0)</f>
        <v>Research and development expenses, net</v>
      </c>
      <c r="J217" s="65" t="str">
        <f>VLOOKUP(D217,'COA1'!D:I,5,0)</f>
        <v xml:space="preserve">Salary </v>
      </c>
      <c r="K217" s="264">
        <f t="shared" si="0"/>
        <v>3.2135084074919433</v>
      </c>
      <c r="L217" s="65"/>
      <c r="M217" s="65"/>
      <c r="N217" s="65"/>
      <c r="O217" s="65"/>
      <c r="P217" s="263"/>
      <c r="Q217" s="263"/>
      <c r="R217" s="263"/>
      <c r="S217" s="263"/>
      <c r="T217" s="65"/>
      <c r="U217" s="65"/>
      <c r="V217" s="65"/>
      <c r="W217" s="65"/>
      <c r="X217" s="65"/>
      <c r="Y217" s="65"/>
      <c r="Z217" s="65"/>
    </row>
    <row r="218" spans="1:26" ht="15.75" hidden="1" customHeight="1">
      <c r="A218" s="65" t="s">
        <v>354</v>
      </c>
      <c r="B218" s="65" t="s">
        <v>355</v>
      </c>
      <c r="C218" s="65" t="s">
        <v>372</v>
      </c>
      <c r="D218" s="65">
        <v>24010</v>
      </c>
      <c r="E218" s="65" t="s">
        <v>789</v>
      </c>
      <c r="F218" s="66">
        <v>315268</v>
      </c>
      <c r="G218" s="66">
        <v>101372.36</v>
      </c>
      <c r="H218" s="65" t="str">
        <f>VLOOKUP(D218,'COA1'!D:I,3,0)</f>
        <v>PL</v>
      </c>
      <c r="I218" s="65" t="str">
        <f>VLOOKUP(D218,'COA1'!D:I,4,0)</f>
        <v>Research and development expenses, net</v>
      </c>
      <c r="J218" s="65" t="str">
        <f>VLOOKUP(D218,'COA1'!D:I,5,0)</f>
        <v xml:space="preserve">Salary </v>
      </c>
      <c r="K218" s="264">
        <f t="shared" si="0"/>
        <v>3.1099996093609739</v>
      </c>
      <c r="L218" s="65"/>
      <c r="M218" s="65"/>
      <c r="N218" s="65"/>
      <c r="O218" s="65"/>
      <c r="P218" s="263"/>
      <c r="Q218" s="263"/>
      <c r="R218" s="263"/>
      <c r="S218" s="263"/>
      <c r="T218" s="65"/>
      <c r="U218" s="65"/>
      <c r="V218" s="65"/>
      <c r="W218" s="65"/>
      <c r="X218" s="65"/>
      <c r="Y218" s="65"/>
      <c r="Z218" s="65"/>
    </row>
    <row r="219" spans="1:26" ht="15.75" hidden="1" customHeight="1">
      <c r="A219" s="65" t="s">
        <v>354</v>
      </c>
      <c r="B219" s="65" t="s">
        <v>355</v>
      </c>
      <c r="C219" s="65" t="s">
        <v>372</v>
      </c>
      <c r="D219" s="65">
        <v>24011</v>
      </c>
      <c r="E219" s="65" t="s">
        <v>790</v>
      </c>
      <c r="F219" s="66">
        <v>263082</v>
      </c>
      <c r="G219" s="66">
        <v>84592.28</v>
      </c>
      <c r="H219" s="65" t="str">
        <f>VLOOKUP(D219,'COA1'!D:I,3,0)</f>
        <v>PL</v>
      </c>
      <c r="I219" s="65" t="str">
        <f>VLOOKUP(D219,'COA1'!D:I,4,0)</f>
        <v>Research and development expenses, net</v>
      </c>
      <c r="J219" s="65" t="str">
        <f>VLOOKUP(D219,'COA1'!D:I,5,0)</f>
        <v xml:space="preserve">Salary </v>
      </c>
      <c r="K219" s="264">
        <f t="shared" si="0"/>
        <v>3.1100001087569695</v>
      </c>
      <c r="L219" s="65"/>
      <c r="M219" s="65"/>
      <c r="N219" s="65"/>
      <c r="O219" s="65"/>
      <c r="P219" s="263"/>
      <c r="Q219" s="263"/>
      <c r="R219" s="263"/>
      <c r="S219" s="263"/>
      <c r="T219" s="65"/>
      <c r="U219" s="65"/>
      <c r="V219" s="65"/>
      <c r="W219" s="65"/>
      <c r="X219" s="65"/>
      <c r="Y219" s="65"/>
      <c r="Z219" s="65"/>
    </row>
    <row r="220" spans="1:26" ht="15.75" hidden="1" customHeight="1">
      <c r="A220" s="65" t="s">
        <v>354</v>
      </c>
      <c r="B220" s="65" t="s">
        <v>355</v>
      </c>
      <c r="C220" s="65" t="s">
        <v>372</v>
      </c>
      <c r="D220" s="65">
        <v>24012</v>
      </c>
      <c r="E220" s="65" t="s">
        <v>791</v>
      </c>
      <c r="F220" s="66">
        <v>292672</v>
      </c>
      <c r="G220" s="66">
        <v>94106.75</v>
      </c>
      <c r="H220" s="65" t="str">
        <f>VLOOKUP(D220,'COA1'!D:I,3,0)</f>
        <v>PL</v>
      </c>
      <c r="I220" s="65" t="str">
        <f>VLOOKUP(D220,'COA1'!D:I,4,0)</f>
        <v>Research and development expenses, net</v>
      </c>
      <c r="J220" s="65" t="str">
        <f>VLOOKUP(D220,'COA1'!D:I,5,0)</f>
        <v xml:space="preserve">Salary </v>
      </c>
      <c r="K220" s="264">
        <f t="shared" si="0"/>
        <v>3.1100000796967273</v>
      </c>
      <c r="L220" s="65"/>
      <c r="M220" s="65"/>
      <c r="N220" s="65"/>
      <c r="O220" s="65"/>
      <c r="P220" s="263"/>
      <c r="Q220" s="263"/>
      <c r="R220" s="263"/>
      <c r="S220" s="263"/>
      <c r="T220" s="65"/>
      <c r="U220" s="65"/>
      <c r="V220" s="65"/>
      <c r="W220" s="65"/>
      <c r="X220" s="65"/>
      <c r="Y220" s="65"/>
      <c r="Z220" s="65"/>
    </row>
    <row r="221" spans="1:26" ht="15.75" hidden="1" customHeight="1">
      <c r="A221" s="65" t="s">
        <v>354</v>
      </c>
      <c r="B221" s="65" t="s">
        <v>355</v>
      </c>
      <c r="C221" s="65" t="s">
        <v>372</v>
      </c>
      <c r="D221" s="65">
        <v>24015</v>
      </c>
      <c r="E221" s="65" t="s">
        <v>792</v>
      </c>
      <c r="F221" s="66">
        <v>573508</v>
      </c>
      <c r="G221" s="66">
        <v>184407.72</v>
      </c>
      <c r="H221" s="65" t="str">
        <f>VLOOKUP(D221,'COA1'!D:I,3,0)</f>
        <v>PL</v>
      </c>
      <c r="I221" s="65" t="str">
        <f>VLOOKUP(D221,'COA1'!D:I,4,0)</f>
        <v>Research and development expenses, net</v>
      </c>
      <c r="J221" s="65" t="str">
        <f>VLOOKUP(D221,'COA1'!D:I,5,0)</f>
        <v xml:space="preserve">Salary </v>
      </c>
      <c r="K221" s="264">
        <f t="shared" si="0"/>
        <v>3.1099999501105486</v>
      </c>
      <c r="L221" s="65"/>
      <c r="M221" s="65"/>
      <c r="N221" s="65"/>
      <c r="O221" s="65"/>
      <c r="P221" s="263"/>
      <c r="Q221" s="263"/>
      <c r="R221" s="263"/>
      <c r="S221" s="263"/>
      <c r="T221" s="65"/>
      <c r="U221" s="65"/>
      <c r="V221" s="65"/>
      <c r="W221" s="65"/>
      <c r="X221" s="65"/>
      <c r="Y221" s="65"/>
      <c r="Z221" s="65"/>
    </row>
    <row r="222" spans="1:26" ht="15.75" hidden="1" customHeight="1">
      <c r="A222" s="65" t="s">
        <v>354</v>
      </c>
      <c r="B222" s="65" t="s">
        <v>355</v>
      </c>
      <c r="C222" s="65" t="s">
        <v>372</v>
      </c>
      <c r="D222" s="65">
        <v>24019</v>
      </c>
      <c r="E222" s="65" t="s">
        <v>793</v>
      </c>
      <c r="F222" s="66">
        <v>75320</v>
      </c>
      <c r="G222" s="66">
        <v>24218.65</v>
      </c>
      <c r="H222" s="266" t="str">
        <f>VLOOKUP(D222,'COA1'!D:I,3,0)</f>
        <v>PL</v>
      </c>
      <c r="I222" s="266" t="str">
        <f>VLOOKUP(D222,'COA1'!D:I,4,0)</f>
        <v>Research and development expenses, net</v>
      </c>
      <c r="J222" s="266" t="str">
        <f>VLOOKUP(D222,'COA1'!D:I,5,0)</f>
        <v xml:space="preserve">Salary </v>
      </c>
      <c r="K222" s="267">
        <f t="shared" si="0"/>
        <v>3.1099999380642602</v>
      </c>
      <c r="L222" s="65"/>
      <c r="M222" s="65"/>
      <c r="N222" s="65"/>
      <c r="O222" s="65"/>
      <c r="P222" s="263"/>
      <c r="Q222" s="263"/>
      <c r="R222" s="263"/>
      <c r="S222" s="263"/>
      <c r="T222" s="65"/>
      <c r="U222" s="65"/>
      <c r="V222" s="65"/>
      <c r="W222" s="65"/>
      <c r="X222" s="65"/>
      <c r="Y222" s="65"/>
      <c r="Z222" s="65"/>
    </row>
    <row r="223" spans="1:26" ht="15.75" hidden="1" customHeight="1">
      <c r="A223" s="65" t="s">
        <v>354</v>
      </c>
      <c r="B223" s="65" t="s">
        <v>355</v>
      </c>
      <c r="C223" s="65" t="s">
        <v>372</v>
      </c>
      <c r="D223" s="65">
        <v>61012</v>
      </c>
      <c r="E223" s="65" t="s">
        <v>758</v>
      </c>
      <c r="F223" s="66">
        <v>416.23</v>
      </c>
      <c r="G223" s="66">
        <v>130.69</v>
      </c>
      <c r="H223" s="266" t="str">
        <f>VLOOKUP(D223,'COA1'!D:I,3,0)</f>
        <v>PL</v>
      </c>
      <c r="I223" s="266" t="str">
        <f>VLOOKUP(D223,'COA1'!D:I,4,0)</f>
        <v>Research and development expenses, net</v>
      </c>
      <c r="J223" s="266" t="str">
        <f>VLOOKUP(D223,'COA1'!D:I,5,0)</f>
        <v xml:space="preserve">Salary </v>
      </c>
      <c r="K223" s="267">
        <f t="shared" si="0"/>
        <v>3.1848649475858903</v>
      </c>
      <c r="L223" s="65"/>
      <c r="M223" s="65"/>
      <c r="N223" s="65"/>
      <c r="O223" s="65"/>
      <c r="P223" s="263"/>
      <c r="Q223" s="263"/>
      <c r="R223" s="263"/>
      <c r="S223" s="263"/>
      <c r="T223" s="65"/>
      <c r="U223" s="65"/>
      <c r="V223" s="65"/>
      <c r="W223" s="65"/>
      <c r="X223" s="65"/>
      <c r="Y223" s="65"/>
      <c r="Z223" s="65"/>
    </row>
    <row r="224" spans="1:26" ht="15.75" hidden="1" customHeight="1">
      <c r="A224" s="65" t="s">
        <v>354</v>
      </c>
      <c r="B224" s="65" t="s">
        <v>355</v>
      </c>
      <c r="C224" s="65" t="s">
        <v>372</v>
      </c>
      <c r="D224" s="65">
        <v>61013</v>
      </c>
      <c r="E224" s="65" t="s">
        <v>759</v>
      </c>
      <c r="F224" s="66">
        <v>4754.47</v>
      </c>
      <c r="G224" s="66">
        <v>1509.55</v>
      </c>
      <c r="H224" s="65" t="str">
        <f>VLOOKUP(D224,'COA1'!D:I,3,0)</f>
        <v>PL</v>
      </c>
      <c r="I224" s="65" t="str">
        <f>VLOOKUP(D224,'COA1'!D:I,4,0)</f>
        <v>Research and development expenses, net</v>
      </c>
      <c r="J224" s="65" t="str">
        <f>VLOOKUP(D224,'COA1'!D:I,5,0)</f>
        <v xml:space="preserve">Salary </v>
      </c>
      <c r="K224" s="264">
        <f t="shared" si="0"/>
        <v>3.149594249942036</v>
      </c>
      <c r="L224" s="65"/>
      <c r="M224" s="65"/>
      <c r="N224" s="65"/>
      <c r="O224" s="65"/>
      <c r="P224" s="263"/>
      <c r="Q224" s="263"/>
      <c r="R224" s="263"/>
      <c r="S224" s="263"/>
      <c r="T224" s="65"/>
      <c r="U224" s="65"/>
      <c r="V224" s="65"/>
      <c r="W224" s="65"/>
      <c r="X224" s="65"/>
      <c r="Y224" s="65"/>
      <c r="Z224" s="65"/>
    </row>
    <row r="225" spans="1:26" ht="15.75" hidden="1" customHeight="1">
      <c r="A225" s="65" t="s">
        <v>354</v>
      </c>
      <c r="B225" s="65" t="s">
        <v>355</v>
      </c>
      <c r="C225" s="65" t="s">
        <v>372</v>
      </c>
      <c r="D225" s="65">
        <v>90010</v>
      </c>
      <c r="E225" s="65" t="s">
        <v>396</v>
      </c>
      <c r="F225" s="66">
        <v>24432</v>
      </c>
      <c r="G225" s="66">
        <v>7605.81</v>
      </c>
      <c r="H225" s="65" t="str">
        <f>VLOOKUP(D225,'COA1'!D:I,3,0)</f>
        <v>PL</v>
      </c>
      <c r="I225" s="65" t="str">
        <f>VLOOKUP(D225,'COA1'!D:I,4,0)</f>
        <v>Research and development expenses, net</v>
      </c>
      <c r="J225" s="65" t="str">
        <f>VLOOKUP(D225,'COA1'!D:I,5,0)</f>
        <v xml:space="preserve">Salary </v>
      </c>
      <c r="K225" s="264">
        <f t="shared" si="0"/>
        <v>3.2122811377091987</v>
      </c>
      <c r="L225" s="65"/>
      <c r="M225" s="65"/>
      <c r="N225" s="65"/>
      <c r="O225" s="65"/>
      <c r="P225" s="263"/>
      <c r="Q225" s="263"/>
      <c r="R225" s="263"/>
      <c r="S225" s="263"/>
      <c r="T225" s="269"/>
      <c r="U225" s="269"/>
      <c r="V225" s="269"/>
      <c r="W225" s="269"/>
      <c r="X225" s="269"/>
      <c r="Y225" s="269"/>
      <c r="Z225" s="269"/>
    </row>
    <row r="226" spans="1:26" ht="15.75" hidden="1" customHeight="1">
      <c r="A226" s="65" t="s">
        <v>354</v>
      </c>
      <c r="B226" s="65" t="s">
        <v>355</v>
      </c>
      <c r="C226" s="65" t="s">
        <v>372</v>
      </c>
      <c r="D226" s="65">
        <v>90011</v>
      </c>
      <c r="E226" s="65" t="s">
        <v>397</v>
      </c>
      <c r="F226" s="66">
        <v>-24432</v>
      </c>
      <c r="G226" s="66">
        <v>-7605.81</v>
      </c>
      <c r="H226" s="65" t="str">
        <f>VLOOKUP(D226,'COA1'!D:I,3,0)</f>
        <v>PL</v>
      </c>
      <c r="I226" s="65" t="str">
        <f>VLOOKUP(D226,'COA1'!D:I,4,0)</f>
        <v>Research and development expenses, net</v>
      </c>
      <c r="J226" s="65" t="str">
        <f>VLOOKUP(D226,'COA1'!D:I,5,0)</f>
        <v xml:space="preserve">Salary </v>
      </c>
      <c r="K226" s="264">
        <f t="shared" si="0"/>
        <v>3.2122811377091987</v>
      </c>
      <c r="L226" s="65"/>
      <c r="M226" s="65"/>
      <c r="N226" s="65"/>
      <c r="O226" s="65"/>
      <c r="P226" s="263"/>
      <c r="Q226" s="263"/>
      <c r="R226" s="263"/>
      <c r="S226" s="263"/>
      <c r="T226" s="65"/>
      <c r="U226" s="65"/>
      <c r="V226" s="65"/>
      <c r="W226" s="65"/>
      <c r="X226" s="65"/>
      <c r="Y226" s="65"/>
      <c r="Z226" s="65"/>
    </row>
    <row r="227" spans="1:26" ht="15.75" hidden="1" customHeight="1">
      <c r="A227" s="65" t="s">
        <v>354</v>
      </c>
      <c r="B227" s="65" t="s">
        <v>355</v>
      </c>
      <c r="C227" s="65" t="s">
        <v>372</v>
      </c>
      <c r="D227" s="65">
        <v>90012</v>
      </c>
      <c r="E227" s="65" t="s">
        <v>398</v>
      </c>
      <c r="F227" s="66">
        <v>540583</v>
      </c>
      <c r="G227" s="66">
        <v>167839.05</v>
      </c>
      <c r="H227" s="65" t="str">
        <f>VLOOKUP(D227,'COA1'!D:I,3,0)</f>
        <v>PL</v>
      </c>
      <c r="I227" s="65" t="str">
        <f>VLOOKUP(D227,'COA1'!D:I,4,0)</f>
        <v>Research and development expenses, net</v>
      </c>
      <c r="J227" s="65" t="str">
        <f>VLOOKUP(D227,'COA1'!D:I,5,0)</f>
        <v xml:space="preserve">Salary </v>
      </c>
      <c r="K227" s="264">
        <f t="shared" si="0"/>
        <v>3.2208416336960917</v>
      </c>
      <c r="L227" s="65"/>
      <c r="M227" s="65"/>
      <c r="N227" s="65"/>
      <c r="O227" s="65"/>
      <c r="P227" s="263"/>
      <c r="Q227" s="263"/>
      <c r="R227" s="263"/>
      <c r="S227" s="263"/>
      <c r="T227" s="65"/>
      <c r="U227" s="65"/>
      <c r="V227" s="65"/>
      <c r="W227" s="65"/>
      <c r="X227" s="65"/>
      <c r="Y227" s="65"/>
      <c r="Z227" s="65"/>
    </row>
    <row r="228" spans="1:26" ht="15.75" hidden="1" customHeight="1">
      <c r="A228" s="65" t="s">
        <v>354</v>
      </c>
      <c r="B228" s="65" t="s">
        <v>355</v>
      </c>
      <c r="C228" s="65" t="s">
        <v>372</v>
      </c>
      <c r="D228" s="65">
        <v>90013</v>
      </c>
      <c r="E228" s="65" t="s">
        <v>399</v>
      </c>
      <c r="F228" s="66">
        <v>-540583</v>
      </c>
      <c r="G228" s="66">
        <v>-167839.05</v>
      </c>
      <c r="H228" s="65" t="str">
        <f>VLOOKUP(D228,'COA1'!D:I,3,0)</f>
        <v>PL</v>
      </c>
      <c r="I228" s="65" t="str">
        <f>VLOOKUP(D228,'COA1'!D:I,4,0)</f>
        <v>Research and development expenses, net</v>
      </c>
      <c r="J228" s="65" t="str">
        <f>VLOOKUP(D228,'COA1'!D:I,5,0)</f>
        <v xml:space="preserve">Salary </v>
      </c>
      <c r="K228" s="264">
        <f t="shared" si="0"/>
        <v>3.2208416336960917</v>
      </c>
      <c r="L228" s="65"/>
      <c r="M228" s="65"/>
      <c r="N228" s="65"/>
      <c r="O228" s="65"/>
      <c r="P228" s="263"/>
      <c r="Q228" s="263"/>
      <c r="R228" s="263"/>
      <c r="S228" s="263"/>
      <c r="T228" s="65"/>
      <c r="U228" s="65"/>
      <c r="V228" s="65"/>
      <c r="W228" s="65"/>
      <c r="X228" s="65"/>
      <c r="Y228" s="65"/>
      <c r="Z228" s="65"/>
    </row>
    <row r="229" spans="1:26" ht="15.75" hidden="1" customHeight="1">
      <c r="A229" s="65" t="s">
        <v>354</v>
      </c>
      <c r="B229" s="65" t="s">
        <v>355</v>
      </c>
      <c r="C229" s="65" t="s">
        <v>372</v>
      </c>
      <c r="D229" s="65">
        <v>90015</v>
      </c>
      <c r="E229" s="65" t="s">
        <v>400</v>
      </c>
      <c r="F229" s="66">
        <v>150440</v>
      </c>
      <c r="G229" s="66">
        <v>45586.46</v>
      </c>
      <c r="H229" s="65" t="str">
        <f>VLOOKUP(D229,'COA1'!D:I,3,0)</f>
        <v>PL</v>
      </c>
      <c r="I229" s="65" t="str">
        <f>VLOOKUP(D229,'COA1'!D:I,4,0)</f>
        <v>Research and development expenses, net</v>
      </c>
      <c r="J229" s="65" t="str">
        <f>VLOOKUP(D229,'COA1'!D:I,5,0)</f>
        <v xml:space="preserve">Salary </v>
      </c>
      <c r="K229" s="264">
        <f t="shared" si="0"/>
        <v>3.3001027059350516</v>
      </c>
      <c r="L229" s="65"/>
      <c r="M229" s="65"/>
      <c r="N229" s="65"/>
      <c r="O229" s="65"/>
      <c r="P229" s="263"/>
      <c r="Q229" s="263"/>
      <c r="R229" s="263"/>
      <c r="S229" s="263"/>
      <c r="T229" s="65"/>
      <c r="U229" s="65"/>
      <c r="V229" s="65"/>
      <c r="W229" s="65"/>
      <c r="X229" s="65"/>
      <c r="Y229" s="65"/>
      <c r="Z229" s="65"/>
    </row>
    <row r="230" spans="1:26" ht="15.75" hidden="1" customHeight="1">
      <c r="A230" s="65" t="s">
        <v>354</v>
      </c>
      <c r="B230" s="65" t="s">
        <v>355</v>
      </c>
      <c r="C230" s="65" t="s">
        <v>372</v>
      </c>
      <c r="D230" s="65">
        <v>90016</v>
      </c>
      <c r="E230" s="65" t="s">
        <v>401</v>
      </c>
      <c r="F230" s="66">
        <v>-150440</v>
      </c>
      <c r="G230" s="66">
        <v>-45586.46</v>
      </c>
      <c r="H230" s="65" t="str">
        <f>VLOOKUP(D230,'COA1'!D:I,3,0)</f>
        <v>PL</v>
      </c>
      <c r="I230" s="65" t="str">
        <f>VLOOKUP(D230,'COA1'!D:I,4,0)</f>
        <v>Research and development expenses, net</v>
      </c>
      <c r="J230" s="65" t="str">
        <f>VLOOKUP(D230,'COA1'!D:I,5,0)</f>
        <v xml:space="preserve">Salary </v>
      </c>
      <c r="K230" s="264">
        <f t="shared" si="0"/>
        <v>3.3001027059350516</v>
      </c>
      <c r="L230" s="65"/>
      <c r="M230" s="65"/>
      <c r="N230" s="65"/>
      <c r="O230" s="65"/>
      <c r="P230" s="263"/>
      <c r="Q230" s="263"/>
      <c r="R230" s="263"/>
      <c r="S230" s="263"/>
      <c r="T230" s="65"/>
      <c r="U230" s="65"/>
      <c r="V230" s="65"/>
      <c r="W230" s="65"/>
      <c r="X230" s="65"/>
      <c r="Y230" s="65"/>
      <c r="Z230" s="65"/>
    </row>
    <row r="231" spans="1:26" ht="15.75" hidden="1" customHeight="1">
      <c r="A231" s="65" t="s">
        <v>354</v>
      </c>
      <c r="B231" s="65" t="s">
        <v>355</v>
      </c>
      <c r="C231" s="65" t="s">
        <v>372</v>
      </c>
      <c r="D231" s="65">
        <v>90020</v>
      </c>
      <c r="E231" s="65" t="s">
        <v>402</v>
      </c>
      <c r="F231" s="66">
        <v>-65004</v>
      </c>
      <c r="G231" s="66">
        <v>-20233.150000000001</v>
      </c>
      <c r="H231" s="65" t="str">
        <f>VLOOKUP(D231,'COA1'!D:I,3,0)</f>
        <v>PL</v>
      </c>
      <c r="I231" s="65" t="str">
        <f>VLOOKUP(D231,'COA1'!D:I,4,0)</f>
        <v>Research and development expenses, net</v>
      </c>
      <c r="J231" s="65" t="str">
        <f>VLOOKUP(D231,'COA1'!D:I,5,0)</f>
        <v xml:space="preserve">Salary </v>
      </c>
      <c r="K231" s="264">
        <f t="shared" si="0"/>
        <v>3.2127473972169431</v>
      </c>
      <c r="L231" s="65"/>
      <c r="M231" s="65"/>
      <c r="N231" s="65"/>
      <c r="O231" s="65"/>
      <c r="P231" s="263"/>
      <c r="Q231" s="263"/>
      <c r="R231" s="263"/>
      <c r="S231" s="263"/>
      <c r="T231" s="65"/>
      <c r="U231" s="65"/>
      <c r="V231" s="65"/>
      <c r="W231" s="65"/>
      <c r="X231" s="65"/>
      <c r="Y231" s="65"/>
      <c r="Z231" s="65"/>
    </row>
    <row r="232" spans="1:26" ht="15.75" hidden="1" customHeight="1">
      <c r="A232" s="65" t="s">
        <v>354</v>
      </c>
      <c r="B232" s="65" t="s">
        <v>355</v>
      </c>
      <c r="C232" s="65" t="s">
        <v>372</v>
      </c>
      <c r="D232" s="65">
        <v>90021</v>
      </c>
      <c r="E232" s="65" t="s">
        <v>403</v>
      </c>
      <c r="F232" s="66">
        <v>65004</v>
      </c>
      <c r="G232" s="66">
        <v>20233.150000000001</v>
      </c>
      <c r="H232" s="65" t="str">
        <f>VLOOKUP(D232,'COA1'!D:I,3,0)</f>
        <v>PL</v>
      </c>
      <c r="I232" s="65" t="str">
        <f>VLOOKUP(D232,'COA1'!D:I,4,0)</f>
        <v>Research and development expenses, net</v>
      </c>
      <c r="J232" s="65" t="str">
        <f>VLOOKUP(D232,'COA1'!D:I,5,0)</f>
        <v xml:space="preserve">Salary </v>
      </c>
      <c r="K232" s="264">
        <f t="shared" si="0"/>
        <v>3.2127473972169431</v>
      </c>
      <c r="L232" s="65"/>
      <c r="M232" s="65"/>
      <c r="N232" s="65"/>
      <c r="O232" s="65"/>
      <c r="P232" s="263"/>
      <c r="Q232" s="263"/>
      <c r="R232" s="263"/>
      <c r="S232" s="263"/>
      <c r="T232" s="65"/>
      <c r="U232" s="65"/>
      <c r="V232" s="65"/>
      <c r="W232" s="65"/>
      <c r="X232" s="65"/>
      <c r="Y232" s="65"/>
      <c r="Z232" s="65"/>
    </row>
    <row r="233" spans="1:26" ht="15.75" hidden="1" customHeight="1">
      <c r="A233" s="65" t="s">
        <v>354</v>
      </c>
      <c r="B233" s="65" t="s">
        <v>355</v>
      </c>
      <c r="C233" s="65" t="s">
        <v>843</v>
      </c>
      <c r="D233" s="65">
        <v>23005</v>
      </c>
      <c r="E233" s="65" t="s">
        <v>768</v>
      </c>
      <c r="F233" s="66">
        <v>10773.92</v>
      </c>
      <c r="G233" s="66">
        <v>3422.97</v>
      </c>
      <c r="H233" s="65" t="str">
        <f>VLOOKUP(D233,'COA1'!D:I,3,0)</f>
        <v>PL</v>
      </c>
      <c r="I233" s="65" t="str">
        <f>VLOOKUP(D233,'COA1'!D:I,4,0)</f>
        <v>Research and development expenses, net</v>
      </c>
      <c r="J233" s="65" t="str">
        <f>VLOOKUP(D233,'COA1'!D:I,5,0)</f>
        <v>Travel Parking and transportation</v>
      </c>
      <c r="K233" s="264">
        <f t="shared" si="0"/>
        <v>3.14753561965194</v>
      </c>
      <c r="L233" s="65"/>
      <c r="M233" s="65"/>
      <c r="N233" s="65"/>
      <c r="O233" s="65"/>
      <c r="P233" s="263"/>
      <c r="Q233" s="263"/>
      <c r="R233" s="263"/>
      <c r="S233" s="263"/>
      <c r="T233" s="65"/>
      <c r="U233" s="65"/>
      <c r="V233" s="65"/>
      <c r="W233" s="65"/>
      <c r="X233" s="65"/>
      <c r="Y233" s="65"/>
      <c r="Z233" s="65"/>
    </row>
    <row r="234" spans="1:26" ht="15.75" hidden="1" customHeight="1">
      <c r="A234" s="65" t="s">
        <v>354</v>
      </c>
      <c r="B234" s="65" t="s">
        <v>355</v>
      </c>
      <c r="C234" s="65" t="s">
        <v>843</v>
      </c>
      <c r="D234" s="65">
        <v>23035</v>
      </c>
      <c r="E234" s="65" t="s">
        <v>769</v>
      </c>
      <c r="F234" s="66">
        <v>3004.26</v>
      </c>
      <c r="G234" s="66">
        <v>966</v>
      </c>
      <c r="H234" s="65" t="str">
        <f>VLOOKUP(D234,'COA1'!D:I,3,0)</f>
        <v>PL</v>
      </c>
      <c r="I234" s="65" t="str">
        <f>VLOOKUP(D234,'COA1'!D:I,4,0)</f>
        <v>Research and development expenses, net</v>
      </c>
      <c r="J234" s="65" t="str">
        <f>VLOOKUP(D234,'COA1'!D:I,5,0)</f>
        <v>Travel Parking and transportation</v>
      </c>
      <c r="K234" s="264">
        <f t="shared" si="0"/>
        <v>3.1100000000000003</v>
      </c>
      <c r="L234" s="65"/>
      <c r="M234" s="65"/>
      <c r="N234" s="65"/>
      <c r="O234" s="65"/>
      <c r="P234" s="263"/>
      <c r="Q234" s="263"/>
      <c r="R234" s="263"/>
      <c r="S234" s="263"/>
      <c r="T234" s="65"/>
      <c r="U234" s="65"/>
      <c r="V234" s="65"/>
      <c r="W234" s="65"/>
      <c r="X234" s="65"/>
      <c r="Y234" s="65"/>
      <c r="Z234" s="65"/>
    </row>
    <row r="235" spans="1:26" ht="15.75" hidden="1" customHeight="1">
      <c r="A235" s="65" t="s">
        <v>354</v>
      </c>
      <c r="B235" s="65" t="s">
        <v>355</v>
      </c>
      <c r="C235" s="65" t="s">
        <v>404</v>
      </c>
      <c r="D235" s="65">
        <v>20004</v>
      </c>
      <c r="E235" s="65" t="s">
        <v>405</v>
      </c>
      <c r="F235" s="66">
        <v>44232.79</v>
      </c>
      <c r="G235" s="66">
        <v>13648.44</v>
      </c>
      <c r="H235" s="65" t="str">
        <f>VLOOKUP(D235,'COA1'!D:I,3,0)</f>
        <v>PL</v>
      </c>
      <c r="I235" s="65" t="str">
        <f>VLOOKUP(D235,'COA1'!D:I,4,0)</f>
        <v>General and administrative expenses</v>
      </c>
      <c r="J235" s="65" t="str">
        <f>VLOOKUP(D235,'COA1'!D:I,5,0)</f>
        <v>Design Exp</v>
      </c>
      <c r="K235" s="264">
        <f t="shared" si="0"/>
        <v>3.2408678207912405</v>
      </c>
      <c r="L235" s="65"/>
      <c r="M235" s="65"/>
      <c r="N235" s="65"/>
      <c r="O235" s="65"/>
      <c r="P235" s="263"/>
      <c r="Q235" s="263"/>
      <c r="R235" s="263"/>
      <c r="S235" s="263"/>
      <c r="T235" s="65"/>
      <c r="U235" s="65"/>
      <c r="V235" s="65"/>
      <c r="W235" s="65"/>
      <c r="X235" s="65"/>
      <c r="Y235" s="65"/>
      <c r="Z235" s="65"/>
    </row>
    <row r="236" spans="1:26" ht="15.75" hidden="1" customHeight="1">
      <c r="A236" s="65" t="s">
        <v>354</v>
      </c>
      <c r="B236" s="65" t="s">
        <v>355</v>
      </c>
      <c r="C236" s="65" t="s">
        <v>404</v>
      </c>
      <c r="D236" s="65">
        <v>20019</v>
      </c>
      <c r="E236" s="65" t="s">
        <v>844</v>
      </c>
      <c r="F236" s="66">
        <v>1006111</v>
      </c>
      <c r="G236" s="66">
        <v>271192.5</v>
      </c>
      <c r="H236" s="65" t="str">
        <f>VLOOKUP(D236,'COA1'!D:I,3,0)</f>
        <v>PL</v>
      </c>
      <c r="I236" s="65" t="str">
        <f>VLOOKUP(D236,'COA1'!D:I,4,0)</f>
        <v>Research and development expenses, net</v>
      </c>
      <c r="J236" s="65" t="str">
        <f>VLOOKUP(D236,'COA1'!D:I,5,0)</f>
        <v xml:space="preserve">professional fees </v>
      </c>
      <c r="K236" s="264">
        <f t="shared" si="0"/>
        <v>3.7099514182729978</v>
      </c>
      <c r="L236" s="65"/>
      <c r="M236" s="65"/>
      <c r="N236" s="65"/>
      <c r="O236" s="65"/>
      <c r="P236" s="263"/>
      <c r="Q236" s="263"/>
      <c r="R236" s="263"/>
      <c r="S236" s="263"/>
      <c r="T236" s="266"/>
      <c r="U236" s="266"/>
      <c r="V236" s="266"/>
      <c r="W236" s="266"/>
      <c r="X236" s="266"/>
      <c r="Y236" s="266"/>
      <c r="Z236" s="266"/>
    </row>
    <row r="237" spans="1:26" ht="15.75" hidden="1" customHeight="1">
      <c r="A237" s="65" t="s">
        <v>354</v>
      </c>
      <c r="B237" s="65" t="s">
        <v>355</v>
      </c>
      <c r="C237" s="65" t="s">
        <v>404</v>
      </c>
      <c r="D237" s="65">
        <v>20043</v>
      </c>
      <c r="E237" s="65" t="s">
        <v>845</v>
      </c>
      <c r="F237" s="66">
        <v>284322.51</v>
      </c>
      <c r="G237" s="66">
        <v>89321.18</v>
      </c>
      <c r="H237" s="65" t="str">
        <f>VLOOKUP(D237,'COA1'!D:I,3,0)</f>
        <v>PL</v>
      </c>
      <c r="I237" s="65" t="str">
        <f>VLOOKUP(D237,'COA1'!D:I,4,0)</f>
        <v>Research and development expenses, net</v>
      </c>
      <c r="J237" s="65" t="str">
        <f>VLOOKUP(D237,'COA1'!D:I,5,0)</f>
        <v>recruitment</v>
      </c>
      <c r="K237" s="264">
        <f t="shared" si="0"/>
        <v>3.1831477147973195</v>
      </c>
      <c r="L237" s="65"/>
      <c r="M237" s="65"/>
      <c r="N237" s="65"/>
      <c r="O237" s="65"/>
      <c r="P237" s="263"/>
      <c r="Q237" s="263"/>
      <c r="R237" s="263"/>
      <c r="S237" s="263"/>
      <c r="T237" s="65"/>
      <c r="U237" s="65"/>
      <c r="V237" s="65"/>
      <c r="W237" s="65"/>
      <c r="X237" s="65"/>
      <c r="Y237" s="65"/>
      <c r="Z237" s="65"/>
    </row>
    <row r="238" spans="1:26" ht="15.75" hidden="1" customHeight="1">
      <c r="A238" s="65" t="s">
        <v>354</v>
      </c>
      <c r="B238" s="65" t="s">
        <v>355</v>
      </c>
      <c r="C238" s="65" t="s">
        <v>404</v>
      </c>
      <c r="D238" s="65">
        <v>20076</v>
      </c>
      <c r="E238" s="65" t="s">
        <v>846</v>
      </c>
      <c r="F238" s="66">
        <v>111305</v>
      </c>
      <c r="G238" s="66">
        <v>34707.93</v>
      </c>
      <c r="H238" s="65" t="str">
        <f>VLOOKUP(D238,'COA1'!D:I,3,0)</f>
        <v>PL</v>
      </c>
      <c r="I238" s="65" t="str">
        <f>VLOOKUP(D238,'COA1'!D:I,4,0)</f>
        <v>Research and development expenses, net</v>
      </c>
      <c r="J238" s="65" t="str">
        <f>VLOOKUP(D238,'COA1'!D:I,5,0)</f>
        <v xml:space="preserve">Softwere subscription </v>
      </c>
      <c r="K238" s="264">
        <f t="shared" si="0"/>
        <v>3.2069040130022159</v>
      </c>
      <c r="L238" s="65"/>
      <c r="M238" s="65"/>
      <c r="N238" s="65"/>
      <c r="O238" s="65"/>
      <c r="P238" s="263"/>
      <c r="Q238" s="263"/>
      <c r="R238" s="263"/>
      <c r="S238" s="263"/>
      <c r="T238" s="65"/>
      <c r="U238" s="65"/>
      <c r="V238" s="65"/>
      <c r="W238" s="65"/>
      <c r="X238" s="65"/>
      <c r="Y238" s="65"/>
      <c r="Z238" s="65"/>
    </row>
    <row r="239" spans="1:26" ht="15.75" hidden="1" customHeight="1">
      <c r="A239" s="65" t="s">
        <v>354</v>
      </c>
      <c r="B239" s="65" t="s">
        <v>355</v>
      </c>
      <c r="C239" s="65" t="s">
        <v>404</v>
      </c>
      <c r="D239" s="65">
        <v>20101</v>
      </c>
      <c r="E239" s="65" t="s">
        <v>598</v>
      </c>
      <c r="F239" s="66">
        <v>42031.72</v>
      </c>
      <c r="G239" s="66">
        <v>13327.12</v>
      </c>
      <c r="H239" s="65" t="str">
        <f>VLOOKUP(D239,'COA1'!D:I,3,0)</f>
        <v>PL</v>
      </c>
      <c r="I239" s="65" t="str">
        <f>VLOOKUP(D239,'COA1'!D:I,4,0)</f>
        <v>Research and development expenses, net</v>
      </c>
      <c r="J239" s="65" t="str">
        <f>VLOOKUP(D239,'COA1'!D:I,5,0)</f>
        <v xml:space="preserve">professional fees </v>
      </c>
      <c r="K239" s="264">
        <f t="shared" si="0"/>
        <v>3.1538486934911667</v>
      </c>
      <c r="L239" s="65"/>
      <c r="M239" s="65"/>
      <c r="N239" s="65"/>
      <c r="O239" s="65"/>
      <c r="P239" s="263"/>
      <c r="Q239" s="263"/>
      <c r="R239" s="263"/>
      <c r="S239" s="263"/>
      <c r="T239" s="65"/>
      <c r="U239" s="65"/>
      <c r="V239" s="65"/>
      <c r="W239" s="65"/>
      <c r="X239" s="65"/>
      <c r="Y239" s="65"/>
      <c r="Z239" s="65"/>
    </row>
    <row r="240" spans="1:26" ht="15.75" hidden="1" customHeight="1">
      <c r="A240" s="65" t="s">
        <v>354</v>
      </c>
      <c r="B240" s="65" t="s">
        <v>355</v>
      </c>
      <c r="C240" s="65" t="s">
        <v>404</v>
      </c>
      <c r="D240" s="65">
        <v>20102</v>
      </c>
      <c r="E240" s="65" t="s">
        <v>657</v>
      </c>
      <c r="F240" s="66">
        <v>53364</v>
      </c>
      <c r="G240" s="66">
        <v>17000</v>
      </c>
      <c r="H240" s="65" t="str">
        <f>VLOOKUP(D240,'COA1'!D:I,3,0)</f>
        <v>PL</v>
      </c>
      <c r="I240" s="65" t="str">
        <f>VLOOKUP(D240,'COA1'!D:I,4,0)</f>
        <v>Research and development expenses, net</v>
      </c>
      <c r="J240" s="65" t="str">
        <f>VLOOKUP(D240,'COA1'!D:I,5,0)</f>
        <v xml:space="preserve">professional fees </v>
      </c>
      <c r="K240" s="264">
        <f t="shared" si="0"/>
        <v>3.1390588235294117</v>
      </c>
      <c r="L240" s="65"/>
      <c r="M240" s="65"/>
      <c r="N240" s="65"/>
      <c r="O240" s="65"/>
      <c r="P240" s="263"/>
      <c r="Q240" s="263"/>
      <c r="R240" s="263"/>
      <c r="S240" s="263"/>
      <c r="T240" s="65"/>
      <c r="U240" s="65"/>
      <c r="V240" s="65"/>
      <c r="W240" s="65"/>
      <c r="X240" s="65"/>
      <c r="Y240" s="65"/>
      <c r="Z240" s="65"/>
    </row>
    <row r="241" spans="1:26" ht="15.75" hidden="1" customHeight="1">
      <c r="A241" s="65" t="s">
        <v>354</v>
      </c>
      <c r="B241" s="65" t="s">
        <v>355</v>
      </c>
      <c r="C241" s="65" t="s">
        <v>404</v>
      </c>
      <c r="D241" s="65">
        <v>23000</v>
      </c>
      <c r="E241" s="65" t="s">
        <v>408</v>
      </c>
      <c r="F241" s="66">
        <v>226643.93</v>
      </c>
      <c r="G241" s="66">
        <v>66253.009999999995</v>
      </c>
      <c r="H241" s="65" t="str">
        <f>VLOOKUP(D241,'COA1'!D:I,3,0)</f>
        <v>PL</v>
      </c>
      <c r="I241" s="65" t="str">
        <f>VLOOKUP(D241,'COA1'!D:I,4,0)</f>
        <v>Research and development expenses, net</v>
      </c>
      <c r="J241" s="65" t="str">
        <f>VLOOKUP(D241,'COA1'!D:I,5,0)</f>
        <v xml:space="preserve">Softwere subscription </v>
      </c>
      <c r="K241" s="264">
        <f t="shared" si="0"/>
        <v>3.4208850284688954</v>
      </c>
      <c r="L241" s="65"/>
      <c r="M241" s="65"/>
      <c r="N241" s="65"/>
      <c r="O241" s="65"/>
      <c r="P241" s="263"/>
      <c r="Q241" s="263"/>
      <c r="R241" s="263"/>
      <c r="S241" s="263"/>
      <c r="T241" s="65"/>
      <c r="U241" s="65"/>
      <c r="V241" s="65"/>
      <c r="W241" s="65"/>
      <c r="X241" s="65"/>
      <c r="Y241" s="65"/>
      <c r="Z241" s="65"/>
    </row>
    <row r="242" spans="1:26" ht="15.75" hidden="1" customHeight="1">
      <c r="A242" s="65" t="s">
        <v>354</v>
      </c>
      <c r="B242" s="65" t="s">
        <v>355</v>
      </c>
      <c r="C242" s="65" t="s">
        <v>404</v>
      </c>
      <c r="D242" s="65">
        <v>23006</v>
      </c>
      <c r="E242" s="65" t="s">
        <v>847</v>
      </c>
      <c r="F242" s="66">
        <v>14778.07</v>
      </c>
      <c r="G242" s="66">
        <v>4551.8100000000004</v>
      </c>
      <c r="H242" s="65" t="str">
        <f>VLOOKUP(D242,'COA1'!D:I,3,0)</f>
        <v>PL</v>
      </c>
      <c r="I242" s="65" t="str">
        <f>VLOOKUP(D242,'COA1'!D:I,4,0)</f>
        <v>Research and development expenses, net</v>
      </c>
      <c r="J242" s="65" t="str">
        <f>VLOOKUP(D242,'COA1'!D:I,5,0)</f>
        <v xml:space="preserve">Softwere subscription </v>
      </c>
      <c r="K242" s="264">
        <f t="shared" si="0"/>
        <v>3.2466359536096627</v>
      </c>
      <c r="L242" s="65"/>
      <c r="M242" s="65"/>
      <c r="N242" s="65"/>
      <c r="O242" s="65"/>
      <c r="P242" s="263"/>
      <c r="Q242" s="263"/>
      <c r="R242" s="263"/>
      <c r="S242" s="263"/>
      <c r="T242" s="65"/>
      <c r="U242" s="65"/>
      <c r="V242" s="65"/>
      <c r="W242" s="65"/>
      <c r="X242" s="65"/>
      <c r="Y242" s="65"/>
      <c r="Z242" s="65"/>
    </row>
    <row r="243" spans="1:26" ht="15.75" hidden="1" customHeight="1">
      <c r="A243" s="65" t="s">
        <v>354</v>
      </c>
      <c r="B243" s="65" t="s">
        <v>355</v>
      </c>
      <c r="C243" s="65" t="s">
        <v>404</v>
      </c>
      <c r="D243" s="65">
        <v>23009</v>
      </c>
      <c r="E243" s="65" t="s">
        <v>415</v>
      </c>
      <c r="F243" s="66">
        <v>56155.02</v>
      </c>
      <c r="G243" s="66">
        <v>17259.259999999998</v>
      </c>
      <c r="H243" s="65" t="str">
        <f>VLOOKUP(D243,'COA1'!D:I,3,0)</f>
        <v>PL</v>
      </c>
      <c r="I243" s="65" t="str">
        <f>VLOOKUP(D243,'COA1'!D:I,4,0)</f>
        <v>Research and development expenses, net</v>
      </c>
      <c r="J243" s="65" t="str">
        <f>VLOOKUP(D243,'COA1'!D:I,5,0)</f>
        <v xml:space="preserve">Softwere subscription </v>
      </c>
      <c r="K243" s="264">
        <f t="shared" si="0"/>
        <v>3.2536168989863992</v>
      </c>
      <c r="L243" s="65"/>
      <c r="M243" s="65"/>
      <c r="N243" s="65"/>
      <c r="O243" s="65"/>
      <c r="P243" s="263"/>
      <c r="Q243" s="263"/>
      <c r="R243" s="263"/>
      <c r="S243" s="263"/>
      <c r="T243" s="65"/>
      <c r="U243" s="65"/>
      <c r="V243" s="65"/>
      <c r="W243" s="65"/>
      <c r="X243" s="65"/>
      <c r="Y243" s="65"/>
      <c r="Z243" s="65"/>
    </row>
    <row r="244" spans="1:26" ht="15.75" hidden="1" customHeight="1">
      <c r="A244" s="65" t="s">
        <v>354</v>
      </c>
      <c r="B244" s="65" t="s">
        <v>355</v>
      </c>
      <c r="C244" s="65" t="s">
        <v>404</v>
      </c>
      <c r="D244" s="65">
        <v>23010</v>
      </c>
      <c r="E244" s="65" t="s">
        <v>417</v>
      </c>
      <c r="F244" s="66">
        <v>2252314.5499999998</v>
      </c>
      <c r="G244" s="66">
        <v>700277.38</v>
      </c>
      <c r="H244" s="65" t="str">
        <f>VLOOKUP(D244,'COA1'!D:I,3,0)</f>
        <v>PL</v>
      </c>
      <c r="I244" s="65" t="str">
        <f>VLOOKUP(D244,'COA1'!D:I,4,0)</f>
        <v>Research and development expenses, net</v>
      </c>
      <c r="J244" s="65" t="str">
        <f>VLOOKUP(D244,'COA1'!D:I,5,0)</f>
        <v xml:space="preserve">Softwere subscription </v>
      </c>
      <c r="K244" s="264">
        <f t="shared" si="0"/>
        <v>3.2163177254133211</v>
      </c>
      <c r="L244" s="65"/>
      <c r="M244" s="65"/>
      <c r="N244" s="65"/>
      <c r="O244" s="65"/>
      <c r="P244" s="263"/>
      <c r="Q244" s="263"/>
      <c r="R244" s="263"/>
      <c r="S244" s="263"/>
      <c r="T244" s="65"/>
      <c r="U244" s="65"/>
      <c r="V244" s="65"/>
      <c r="W244" s="65"/>
      <c r="X244" s="65"/>
      <c r="Y244" s="65"/>
      <c r="Z244" s="65"/>
    </row>
    <row r="245" spans="1:26" ht="15.75" hidden="1" customHeight="1">
      <c r="A245" s="65" t="s">
        <v>354</v>
      </c>
      <c r="B245" s="65" t="s">
        <v>355</v>
      </c>
      <c r="C245" s="65" t="s">
        <v>404</v>
      </c>
      <c r="D245" s="65">
        <v>23031</v>
      </c>
      <c r="E245" s="65" t="s">
        <v>525</v>
      </c>
      <c r="F245" s="66">
        <v>1523877.43</v>
      </c>
      <c r="G245" s="66">
        <v>474606</v>
      </c>
      <c r="H245" s="65" t="str">
        <f>VLOOKUP(D245,'COA1'!D:I,3,0)</f>
        <v>PL</v>
      </c>
      <c r="I245" s="65" t="str">
        <f>VLOOKUP(D245,'COA1'!D:I,4,0)</f>
        <v>Research and development expenses, net</v>
      </c>
      <c r="J245" s="65" t="str">
        <f>VLOOKUP(D245,'COA1'!D:I,5,0)</f>
        <v xml:space="preserve">option expenses </v>
      </c>
      <c r="K245" s="264">
        <f t="shared" si="0"/>
        <v>3.2108263064520886</v>
      </c>
      <c r="L245" s="65"/>
      <c r="M245" s="65"/>
      <c r="N245" s="65"/>
      <c r="O245" s="65"/>
      <c r="P245" s="263"/>
      <c r="Q245" s="263"/>
      <c r="R245" s="263"/>
      <c r="S245" s="263"/>
      <c r="T245" s="65"/>
      <c r="U245" s="65"/>
      <c r="V245" s="65"/>
      <c r="W245" s="65"/>
      <c r="X245" s="65"/>
      <c r="Y245" s="65"/>
      <c r="Z245" s="65"/>
    </row>
    <row r="246" spans="1:26" ht="15.75" hidden="1" customHeight="1">
      <c r="A246" s="65" t="s">
        <v>354</v>
      </c>
      <c r="B246" s="65" t="s">
        <v>355</v>
      </c>
      <c r="C246" s="65" t="s">
        <v>404</v>
      </c>
      <c r="D246" s="65">
        <v>23032</v>
      </c>
      <c r="E246" s="65" t="s">
        <v>552</v>
      </c>
      <c r="F246" s="66">
        <v>2604306.42</v>
      </c>
      <c r="G246" s="66">
        <v>840030</v>
      </c>
      <c r="H246" s="65" t="str">
        <f>VLOOKUP(D246,'COA1'!D:I,3,0)</f>
        <v>PL</v>
      </c>
      <c r="I246" s="65" t="str">
        <f>VLOOKUP(D246,'COA1'!D:I,4,0)</f>
        <v>Research and development expenses, net</v>
      </c>
      <c r="J246" s="65" t="str">
        <f>VLOOKUP(D246,'COA1'!D:I,5,0)</f>
        <v>Allocation exp</v>
      </c>
      <c r="K246" s="264">
        <f t="shared" si="0"/>
        <v>3.100254062354916</v>
      </c>
      <c r="L246" s="65"/>
      <c r="M246" s="65"/>
      <c r="N246" s="65"/>
      <c r="O246" s="65"/>
      <c r="P246" s="263"/>
      <c r="Q246" s="263"/>
      <c r="R246" s="263"/>
      <c r="S246" s="263"/>
      <c r="T246" s="65"/>
      <c r="U246" s="65"/>
      <c r="V246" s="65"/>
      <c r="W246" s="65"/>
      <c r="X246" s="65"/>
      <c r="Y246" s="65"/>
      <c r="Z246" s="65"/>
    </row>
    <row r="247" spans="1:26" ht="15.75" hidden="1" customHeight="1">
      <c r="A247" s="65" t="s">
        <v>354</v>
      </c>
      <c r="B247" s="65" t="s">
        <v>355</v>
      </c>
      <c r="C247" s="65" t="s">
        <v>404</v>
      </c>
      <c r="D247" s="65">
        <v>23033</v>
      </c>
      <c r="E247" s="65" t="s">
        <v>512</v>
      </c>
      <c r="F247" s="66">
        <v>267356.99</v>
      </c>
      <c r="G247" s="66">
        <v>84596.34</v>
      </c>
      <c r="H247" s="65" t="str">
        <f>VLOOKUP(D247,'COA1'!D:I,3,0)</f>
        <v>PL</v>
      </c>
      <c r="I247" s="65" t="str">
        <f>VLOOKUP(D247,'COA1'!D:I,4,0)</f>
        <v>Research and development expenses, net</v>
      </c>
      <c r="J247" s="65" t="str">
        <f>VLOOKUP(D247,'COA1'!D:I,5,0)</f>
        <v xml:space="preserve">Softwere subscription </v>
      </c>
      <c r="K247" s="264">
        <f t="shared" si="0"/>
        <v>3.1603848346157766</v>
      </c>
      <c r="L247" s="65"/>
      <c r="M247" s="65"/>
      <c r="N247" s="65"/>
      <c r="O247" s="65"/>
      <c r="P247" s="263"/>
      <c r="Q247" s="263"/>
      <c r="R247" s="263"/>
      <c r="S247" s="263"/>
      <c r="T247" s="65"/>
      <c r="U247" s="65"/>
      <c r="V247" s="65"/>
      <c r="W247" s="65"/>
      <c r="X247" s="65"/>
      <c r="Y247" s="65"/>
      <c r="Z247" s="65"/>
    </row>
    <row r="248" spans="1:26" ht="15.75" hidden="1" customHeight="1">
      <c r="A248" s="65" t="s">
        <v>354</v>
      </c>
      <c r="B248" s="65" t="s">
        <v>355</v>
      </c>
      <c r="C248" s="65" t="s">
        <v>404</v>
      </c>
      <c r="D248" s="65">
        <v>23034</v>
      </c>
      <c r="E248" s="65" t="s">
        <v>848</v>
      </c>
      <c r="F248" s="66">
        <v>113436.4</v>
      </c>
      <c r="G248" s="66">
        <v>34948.120000000003</v>
      </c>
      <c r="H248" s="65" t="str">
        <f>VLOOKUP(D248,'COA1'!D:I,3,0)</f>
        <v>PL</v>
      </c>
      <c r="I248" s="65" t="str">
        <f>VLOOKUP(D248,'COA1'!D:I,4,0)</f>
        <v>Research and development expenses, net</v>
      </c>
      <c r="J248" s="65" t="str">
        <f>VLOOKUP(D248,'COA1'!D:I,5,0)</f>
        <v>recruitment</v>
      </c>
      <c r="K248" s="264">
        <f t="shared" si="0"/>
        <v>3.2458512789815299</v>
      </c>
      <c r="L248" s="65"/>
      <c r="M248" s="65"/>
      <c r="N248" s="65"/>
      <c r="O248" s="65"/>
      <c r="P248" s="263"/>
      <c r="Q248" s="263"/>
      <c r="R248" s="263"/>
      <c r="S248" s="263"/>
      <c r="T248" s="65"/>
      <c r="U248" s="65"/>
      <c r="V248" s="65"/>
      <c r="W248" s="65"/>
      <c r="X248" s="65"/>
      <c r="Y248" s="65"/>
      <c r="Z248" s="65"/>
    </row>
    <row r="249" spans="1:26" ht="15.75" hidden="1" customHeight="1">
      <c r="A249" s="65" t="s">
        <v>354</v>
      </c>
      <c r="B249" s="65" t="s">
        <v>355</v>
      </c>
      <c r="C249" s="65" t="s">
        <v>404</v>
      </c>
      <c r="D249" s="65">
        <v>23036</v>
      </c>
      <c r="E249" s="65" t="s">
        <v>593</v>
      </c>
      <c r="F249" s="66">
        <v>3260128.24</v>
      </c>
      <c r="G249" s="66">
        <v>1030000</v>
      </c>
      <c r="H249" s="65" t="str">
        <f>VLOOKUP(D249,'COA1'!D:I,3,0)</f>
        <v>PL</v>
      </c>
      <c r="I249" s="65" t="str">
        <f>VLOOKUP(D249,'COA1'!D:I,4,0)</f>
        <v>Research and development expenses, net</v>
      </c>
      <c r="J249" s="65" t="str">
        <f>VLOOKUP(D249,'COA1'!D:I,5,0)</f>
        <v xml:space="preserve">Salary </v>
      </c>
      <c r="K249" s="264">
        <f t="shared" si="0"/>
        <v>3.1651730485436897</v>
      </c>
      <c r="L249" s="65"/>
      <c r="M249" s="65"/>
      <c r="N249" s="65"/>
      <c r="O249" s="65"/>
      <c r="P249" s="263"/>
      <c r="Q249" s="263"/>
      <c r="R249" s="263"/>
      <c r="S249" s="263"/>
      <c r="T249" s="65"/>
      <c r="U249" s="65"/>
      <c r="V249" s="65"/>
      <c r="W249" s="65"/>
      <c r="X249" s="65"/>
      <c r="Y249" s="65"/>
      <c r="Z249" s="65"/>
    </row>
    <row r="250" spans="1:26" ht="15.75" hidden="1" customHeight="1">
      <c r="A250" s="65" t="s">
        <v>354</v>
      </c>
      <c r="B250" s="65" t="s">
        <v>355</v>
      </c>
      <c r="C250" s="65" t="s">
        <v>404</v>
      </c>
      <c r="D250" s="65">
        <v>23037</v>
      </c>
      <c r="E250" s="65" t="s">
        <v>849</v>
      </c>
      <c r="F250" s="66">
        <v>80964.850000000006</v>
      </c>
      <c r="G250" s="66">
        <v>25257.62</v>
      </c>
      <c r="H250" s="65" t="str">
        <f>VLOOKUP(D250,'COA1'!D:I,3,0)</f>
        <v>PL</v>
      </c>
      <c r="I250" s="65" t="str">
        <f>VLOOKUP(D250,'COA1'!D:I,4,0)</f>
        <v>Research and development expenses, net</v>
      </c>
      <c r="J250" s="65" t="str">
        <f>VLOOKUP(D250,'COA1'!D:I,5,0)</f>
        <v xml:space="preserve">Softwere subscription </v>
      </c>
      <c r="K250" s="264">
        <f t="shared" si="0"/>
        <v>3.2055613315902294</v>
      </c>
      <c r="L250" s="65"/>
      <c r="M250" s="65"/>
      <c r="N250" s="65"/>
      <c r="O250" s="65"/>
      <c r="P250" s="263"/>
      <c r="Q250" s="263"/>
      <c r="R250" s="263"/>
      <c r="S250" s="263"/>
      <c r="T250" s="65"/>
      <c r="U250" s="65"/>
      <c r="V250" s="65"/>
      <c r="W250" s="65"/>
      <c r="X250" s="65"/>
      <c r="Y250" s="65"/>
      <c r="Z250" s="65"/>
    </row>
    <row r="251" spans="1:26" ht="15.75" hidden="1" customHeight="1">
      <c r="A251" s="65" t="s">
        <v>354</v>
      </c>
      <c r="B251" s="65" t="s">
        <v>355</v>
      </c>
      <c r="C251" s="65" t="s">
        <v>404</v>
      </c>
      <c r="D251" s="65">
        <v>23040</v>
      </c>
      <c r="E251" s="65" t="s">
        <v>850</v>
      </c>
      <c r="F251" s="66">
        <v>4283696.2699999996</v>
      </c>
      <c r="G251" s="66">
        <v>1377394.3</v>
      </c>
      <c r="H251" s="65" t="str">
        <f>VLOOKUP(D251,'COA1'!D:I,3,0)</f>
        <v>PL</v>
      </c>
      <c r="I251" s="65" t="str">
        <f>VLOOKUP(D251,'COA1'!D:I,4,0)</f>
        <v>Research and development expenses, net</v>
      </c>
      <c r="J251" s="65" t="str">
        <f>VLOOKUP(D251,'COA1'!D:I,5,0)</f>
        <v xml:space="preserve">Salary </v>
      </c>
      <c r="K251" s="264">
        <f t="shared" si="0"/>
        <v>3.1099999978219741</v>
      </c>
      <c r="L251" s="65"/>
      <c r="M251" s="65"/>
      <c r="N251" s="65"/>
      <c r="O251" s="65"/>
      <c r="P251" s="263"/>
      <c r="Q251" s="263"/>
      <c r="R251" s="263"/>
      <c r="S251" s="263"/>
      <c r="T251" s="65"/>
      <c r="U251" s="65"/>
      <c r="V251" s="65"/>
      <c r="W251" s="65"/>
      <c r="X251" s="65"/>
      <c r="Y251" s="65"/>
      <c r="Z251" s="65"/>
    </row>
    <row r="252" spans="1:26" ht="15.75" hidden="1" customHeight="1">
      <c r="A252" s="65" t="s">
        <v>354</v>
      </c>
      <c r="B252" s="65" t="s">
        <v>355</v>
      </c>
      <c r="C252" s="65" t="s">
        <v>404</v>
      </c>
      <c r="D252" s="65">
        <v>61014</v>
      </c>
      <c r="E252" s="65" t="s">
        <v>851</v>
      </c>
      <c r="F252" s="66">
        <v>2126871.15</v>
      </c>
      <c r="G252" s="66">
        <v>683881.4</v>
      </c>
      <c r="H252" s="65" t="str">
        <f>VLOOKUP(D252,'COA1'!D:I,3,0)</f>
        <v>PL</v>
      </c>
      <c r="I252" s="65" t="str">
        <f>VLOOKUP(D252,'COA1'!D:I,4,0)</f>
        <v>Research and development expenses, net</v>
      </c>
      <c r="J252" s="65" t="str">
        <f>VLOOKUP(D252,'COA1'!D:I,5,0)</f>
        <v xml:space="preserve">Hosting and Servers </v>
      </c>
      <c r="K252" s="264">
        <f t="shared" si="0"/>
        <v>3.1099999941510323</v>
      </c>
      <c r="L252" s="65"/>
      <c r="M252" s="65"/>
      <c r="N252" s="65"/>
      <c r="O252" s="65"/>
      <c r="P252" s="263"/>
      <c r="Q252" s="263"/>
      <c r="R252" s="263"/>
      <c r="S252" s="263"/>
      <c r="T252" s="65"/>
      <c r="U252" s="65"/>
      <c r="V252" s="65"/>
      <c r="W252" s="65"/>
      <c r="X252" s="65"/>
      <c r="Y252" s="65"/>
      <c r="Z252" s="65"/>
    </row>
    <row r="253" spans="1:26" ht="15.75" hidden="1" customHeight="1">
      <c r="A253" s="65" t="s">
        <v>354</v>
      </c>
      <c r="B253" s="65" t="s">
        <v>355</v>
      </c>
      <c r="C253" s="65" t="s">
        <v>404</v>
      </c>
      <c r="D253" s="65">
        <v>61015</v>
      </c>
      <c r="E253" s="65" t="s">
        <v>805</v>
      </c>
      <c r="F253" s="66">
        <v>228477.58</v>
      </c>
      <c r="G253" s="66">
        <v>73465.460000000006</v>
      </c>
      <c r="H253" s="65" t="str">
        <f>VLOOKUP(D253,'COA1'!D:I,3,0)</f>
        <v>PL</v>
      </c>
      <c r="I253" s="65" t="str">
        <f>VLOOKUP(D253,'COA1'!D:I,4,0)</f>
        <v>Research and development expenses, net</v>
      </c>
      <c r="J253" s="65" t="str">
        <f>VLOOKUP(D253,'COA1'!D:I,5,0)</f>
        <v xml:space="preserve">Salary </v>
      </c>
      <c r="K253" s="264">
        <f t="shared" si="0"/>
        <v>3.1099999918328964</v>
      </c>
      <c r="L253" s="65"/>
      <c r="M253" s="65"/>
      <c r="N253" s="65"/>
      <c r="O253" s="65"/>
      <c r="P253" s="263"/>
      <c r="Q253" s="263"/>
      <c r="R253" s="263"/>
      <c r="S253" s="263"/>
      <c r="T253" s="65"/>
      <c r="U253" s="65"/>
      <c r="V253" s="65"/>
      <c r="W253" s="65"/>
      <c r="X253" s="65"/>
      <c r="Y253" s="65"/>
      <c r="Z253" s="65"/>
    </row>
    <row r="254" spans="1:26" ht="15.75" hidden="1" customHeight="1">
      <c r="A254" s="65" t="s">
        <v>354</v>
      </c>
      <c r="B254" s="65" t="s">
        <v>355</v>
      </c>
      <c r="C254" s="65" t="s">
        <v>404</v>
      </c>
      <c r="D254" s="65">
        <v>61019</v>
      </c>
      <c r="E254" s="65" t="s">
        <v>806</v>
      </c>
      <c r="F254" s="66">
        <v>77896.34</v>
      </c>
      <c r="G254" s="66">
        <v>23946</v>
      </c>
      <c r="H254" s="266" t="str">
        <f>VLOOKUP(D254,'COA1'!D:I,3,0)</f>
        <v>PL</v>
      </c>
      <c r="I254" s="266" t="str">
        <f>VLOOKUP(D254,'COA1'!D:I,4,0)</f>
        <v>Research and development expenses, net</v>
      </c>
      <c r="J254" s="266" t="str">
        <f>VLOOKUP(D254,'COA1'!D:I,5,0)</f>
        <v xml:space="preserve">professional fees </v>
      </c>
      <c r="K254" s="267">
        <f t="shared" si="0"/>
        <v>3.2530000835212558</v>
      </c>
      <c r="L254" s="65"/>
      <c r="M254" s="65"/>
      <c r="N254" s="65"/>
      <c r="O254" s="65"/>
      <c r="P254" s="263"/>
      <c r="Q254" s="263"/>
      <c r="R254" s="263"/>
      <c r="S254" s="263"/>
      <c r="T254" s="65"/>
      <c r="U254" s="65"/>
      <c r="V254" s="65"/>
      <c r="W254" s="65"/>
      <c r="X254" s="65"/>
      <c r="Y254" s="65"/>
      <c r="Z254" s="65"/>
    </row>
    <row r="255" spans="1:26" ht="15.75" hidden="1" customHeight="1">
      <c r="A255" s="65" t="s">
        <v>418</v>
      </c>
      <c r="B255" s="65" t="s">
        <v>419</v>
      </c>
      <c r="C255" s="65" t="s">
        <v>420</v>
      </c>
      <c r="D255" s="65">
        <v>20051</v>
      </c>
      <c r="E255" s="65" t="s">
        <v>421</v>
      </c>
      <c r="F255" s="66">
        <v>108138</v>
      </c>
      <c r="G255" s="66">
        <v>33623.050000000003</v>
      </c>
      <c r="H255" s="266" t="str">
        <f>VLOOKUP(D255,'COA1'!D:I,3,0)</f>
        <v>PL</v>
      </c>
      <c r="I255" s="266" t="str">
        <f>VLOOKUP(D255,'COA1'!D:I,4,0)</f>
        <v>Marketing expenses</v>
      </c>
      <c r="J255" s="266" t="str">
        <f>VLOOKUP(D255,'COA1'!D:I,5,0)</f>
        <v xml:space="preserve">Salary </v>
      </c>
      <c r="K255" s="267">
        <f t="shared" si="0"/>
        <v>3.2161865149056967</v>
      </c>
      <c r="L255" s="65"/>
      <c r="M255" s="65"/>
      <c r="N255" s="65"/>
      <c r="O255" s="65"/>
      <c r="P255" s="263"/>
      <c r="Q255" s="263"/>
      <c r="R255" s="263"/>
      <c r="S255" s="263"/>
      <c r="T255" s="65"/>
      <c r="U255" s="65"/>
      <c r="V255" s="65"/>
      <c r="W255" s="65"/>
      <c r="X255" s="65"/>
      <c r="Y255" s="65"/>
      <c r="Z255" s="65"/>
    </row>
    <row r="256" spans="1:26" ht="15.75" hidden="1" customHeight="1">
      <c r="A256" s="65" t="s">
        <v>418</v>
      </c>
      <c r="B256" s="65" t="s">
        <v>419</v>
      </c>
      <c r="C256" s="65" t="s">
        <v>420</v>
      </c>
      <c r="D256" s="65">
        <v>20053</v>
      </c>
      <c r="E256" s="65" t="s">
        <v>422</v>
      </c>
      <c r="F256" s="66">
        <v>1589028</v>
      </c>
      <c r="G256" s="66">
        <v>494107.3</v>
      </c>
      <c r="H256" s="266" t="str">
        <f>VLOOKUP(D256,'COA1'!D:I,3,0)</f>
        <v>PL</v>
      </c>
      <c r="I256" s="266" t="str">
        <f>VLOOKUP(D256,'COA1'!D:I,4,0)</f>
        <v>Marketing expenses</v>
      </c>
      <c r="J256" s="266" t="str">
        <f>VLOOKUP(D256,'COA1'!D:I,5,0)</f>
        <v xml:space="preserve">Salary </v>
      </c>
      <c r="K256" s="267">
        <f t="shared" si="0"/>
        <v>3.215957343678185</v>
      </c>
      <c r="L256" s="65"/>
      <c r="M256" s="65"/>
      <c r="N256" s="65"/>
      <c r="O256" s="65"/>
      <c r="P256" s="263"/>
      <c r="Q256" s="263"/>
      <c r="R256" s="263"/>
      <c r="S256" s="263"/>
      <c r="T256" s="65"/>
      <c r="U256" s="65"/>
      <c r="V256" s="65"/>
      <c r="W256" s="65"/>
      <c r="X256" s="65"/>
      <c r="Y256" s="65"/>
      <c r="Z256" s="65"/>
    </row>
    <row r="257" spans="1:26" ht="15.75" hidden="1" customHeight="1">
      <c r="A257" s="65" t="s">
        <v>418</v>
      </c>
      <c r="B257" s="65" t="s">
        <v>419</v>
      </c>
      <c r="C257" s="65" t="s">
        <v>420</v>
      </c>
      <c r="D257" s="65">
        <v>20054</v>
      </c>
      <c r="E257" s="65" t="s">
        <v>423</v>
      </c>
      <c r="F257" s="66">
        <v>82723</v>
      </c>
      <c r="G257" s="66">
        <v>25725.62</v>
      </c>
      <c r="H257" s="266" t="str">
        <f>VLOOKUP(D257,'COA1'!D:I,3,0)</f>
        <v>PL</v>
      </c>
      <c r="I257" s="266" t="str">
        <f>VLOOKUP(D257,'COA1'!D:I,4,0)</f>
        <v>Marketing expenses</v>
      </c>
      <c r="J257" s="266" t="str">
        <f>VLOOKUP(D257,'COA1'!D:I,5,0)</f>
        <v xml:space="preserve">Salary </v>
      </c>
      <c r="K257" s="267">
        <f t="shared" ref="K257:K360" si="1">F257/G257</f>
        <v>3.2155881957363905</v>
      </c>
      <c r="L257" s="65"/>
      <c r="M257" s="65"/>
      <c r="N257" s="65"/>
      <c r="O257" s="65"/>
      <c r="P257" s="263"/>
      <c r="Q257" s="263"/>
      <c r="R257" s="263"/>
      <c r="S257" s="263"/>
      <c r="T257" s="65"/>
      <c r="U257" s="65"/>
      <c r="V257" s="65"/>
      <c r="W257" s="65"/>
      <c r="X257" s="65"/>
      <c r="Y257" s="65"/>
      <c r="Z257" s="65"/>
    </row>
    <row r="258" spans="1:26" ht="15.75" hidden="1" customHeight="1">
      <c r="A258" s="65" t="s">
        <v>418</v>
      </c>
      <c r="B258" s="65" t="s">
        <v>419</v>
      </c>
      <c r="C258" s="65" t="s">
        <v>420</v>
      </c>
      <c r="D258" s="65">
        <v>20055</v>
      </c>
      <c r="E258" s="65" t="s">
        <v>424</v>
      </c>
      <c r="F258" s="66">
        <v>228895</v>
      </c>
      <c r="G258" s="66">
        <v>71247.759999999995</v>
      </c>
      <c r="H258" s="65" t="str">
        <f>VLOOKUP(D258,'COA1'!D:I,3,0)</f>
        <v>PL</v>
      </c>
      <c r="I258" s="65" t="str">
        <f>VLOOKUP(D258,'COA1'!D:I,4,0)</f>
        <v>Marketing expenses</v>
      </c>
      <c r="J258" s="65" t="str">
        <f>VLOOKUP(D258,'COA1'!D:I,5,0)</f>
        <v xml:space="preserve">Salary </v>
      </c>
      <c r="K258" s="264">
        <f t="shared" si="1"/>
        <v>3.2126624051057888</v>
      </c>
      <c r="L258" s="65"/>
      <c r="M258" s="65"/>
      <c r="N258" s="65"/>
      <c r="O258" s="65"/>
      <c r="P258" s="263"/>
      <c r="Q258" s="263"/>
      <c r="R258" s="263"/>
      <c r="S258" s="263"/>
      <c r="T258" s="65"/>
      <c r="U258" s="65"/>
      <c r="V258" s="65"/>
      <c r="W258" s="65"/>
      <c r="X258" s="65"/>
      <c r="Y258" s="65"/>
      <c r="Z258" s="65"/>
    </row>
    <row r="259" spans="1:26" ht="15.75" hidden="1" customHeight="1">
      <c r="A259" s="65" t="s">
        <v>418</v>
      </c>
      <c r="B259" s="65" t="s">
        <v>419</v>
      </c>
      <c r="C259" s="65" t="s">
        <v>420</v>
      </c>
      <c r="D259" s="65">
        <v>20057</v>
      </c>
      <c r="E259" s="65" t="s">
        <v>852</v>
      </c>
      <c r="F259" s="66">
        <v>78374.710000000006</v>
      </c>
      <c r="G259" s="66">
        <v>24291.89</v>
      </c>
      <c r="H259" s="65" t="str">
        <f>VLOOKUP(D259,'COA1'!D:I,3,0)</f>
        <v>PL</v>
      </c>
      <c r="I259" s="65" t="str">
        <f>VLOOKUP(D259,'COA1'!D:I,4,0)</f>
        <v>Marketing expenses</v>
      </c>
      <c r="J259" s="65" t="str">
        <f>VLOOKUP(D259,'COA1'!D:I,5,0)</f>
        <v xml:space="preserve">Salary </v>
      </c>
      <c r="K259" s="264">
        <f t="shared" si="1"/>
        <v>3.2263734933757733</v>
      </c>
      <c r="L259" s="65"/>
      <c r="M259" s="65"/>
      <c r="N259" s="65"/>
      <c r="O259" s="65"/>
      <c r="P259" s="263"/>
      <c r="Q259" s="263"/>
      <c r="R259" s="263"/>
      <c r="S259" s="263"/>
      <c r="T259" s="65"/>
      <c r="U259" s="65"/>
      <c r="V259" s="65"/>
      <c r="W259" s="65"/>
      <c r="X259" s="65"/>
      <c r="Y259" s="65"/>
      <c r="Z259" s="65"/>
    </row>
    <row r="260" spans="1:26" ht="15.75" hidden="1" customHeight="1">
      <c r="A260" s="65" t="s">
        <v>418</v>
      </c>
      <c r="B260" s="65" t="s">
        <v>419</v>
      </c>
      <c r="C260" s="65" t="s">
        <v>420</v>
      </c>
      <c r="D260" s="65">
        <v>20058</v>
      </c>
      <c r="E260" s="65" t="s">
        <v>853</v>
      </c>
      <c r="F260" s="66">
        <v>8745.34</v>
      </c>
      <c r="G260" s="66">
        <v>2724.91</v>
      </c>
      <c r="H260" s="65" t="str">
        <f>VLOOKUP(D260,'COA1'!D:I,3,0)</f>
        <v>PL</v>
      </c>
      <c r="I260" s="65" t="str">
        <f>VLOOKUP(D260,'COA1'!D:I,4,0)</f>
        <v>Marketing expenses</v>
      </c>
      <c r="J260" s="65" t="str">
        <f>VLOOKUP(D260,'COA1'!D:I,5,0)</f>
        <v xml:space="preserve">Salary </v>
      </c>
      <c r="K260" s="264">
        <f t="shared" si="1"/>
        <v>3.2094050812687396</v>
      </c>
      <c r="L260" s="65"/>
      <c r="M260" s="65"/>
      <c r="N260" s="65"/>
      <c r="O260" s="65"/>
      <c r="P260" s="263"/>
      <c r="Q260" s="263"/>
      <c r="R260" s="263"/>
      <c r="S260" s="263"/>
      <c r="T260" s="65"/>
      <c r="U260" s="65"/>
      <c r="V260" s="65"/>
      <c r="W260" s="65"/>
      <c r="X260" s="65"/>
      <c r="Y260" s="65"/>
      <c r="Z260" s="65"/>
    </row>
    <row r="261" spans="1:26" ht="15.75" hidden="1" customHeight="1">
      <c r="A261" s="65" t="s">
        <v>418</v>
      </c>
      <c r="B261" s="65" t="s">
        <v>419</v>
      </c>
      <c r="C261" s="65" t="s">
        <v>420</v>
      </c>
      <c r="D261" s="65">
        <v>20059</v>
      </c>
      <c r="E261" s="65" t="s">
        <v>427</v>
      </c>
      <c r="F261" s="66">
        <v>8112.5</v>
      </c>
      <c r="G261" s="66">
        <v>740.35</v>
      </c>
      <c r="H261" s="65" t="str">
        <f>VLOOKUP(D261,'COA1'!D:I,3,0)</f>
        <v>PL</v>
      </c>
      <c r="I261" s="65" t="str">
        <f>VLOOKUP(D261,'COA1'!D:I,4,0)</f>
        <v>Cost of revenues</v>
      </c>
      <c r="J261" s="65" t="str">
        <f>VLOOKUP(D261,'COA1'!D:I,5,0)</f>
        <v xml:space="preserve">professional fees </v>
      </c>
      <c r="K261" s="264">
        <f t="shared" si="1"/>
        <v>10.957655163098535</v>
      </c>
      <c r="L261" s="65"/>
      <c r="M261" s="65"/>
      <c r="N261" s="65"/>
      <c r="O261" s="65"/>
      <c r="P261" s="263"/>
      <c r="Q261" s="263"/>
      <c r="R261" s="263"/>
      <c r="S261" s="263"/>
      <c r="T261" s="65"/>
      <c r="U261" s="65"/>
      <c r="V261" s="65"/>
      <c r="W261" s="65"/>
      <c r="X261" s="65"/>
      <c r="Y261" s="65"/>
      <c r="Z261" s="65"/>
    </row>
    <row r="262" spans="1:26" ht="15.75" hidden="1" customHeight="1">
      <c r="A262" s="65" t="s">
        <v>418</v>
      </c>
      <c r="B262" s="65" t="s">
        <v>419</v>
      </c>
      <c r="C262" s="65" t="s">
        <v>420</v>
      </c>
      <c r="D262" s="65">
        <v>21005</v>
      </c>
      <c r="E262" s="65" t="s">
        <v>363</v>
      </c>
      <c r="F262" s="66">
        <v>599082</v>
      </c>
      <c r="G262" s="66">
        <v>185882.52</v>
      </c>
      <c r="H262" s="266" t="str">
        <f>VLOOKUP(D262,'COA1'!D:I,3,0)</f>
        <v>PL</v>
      </c>
      <c r="I262" s="266" t="str">
        <f>VLOOKUP(D262,'COA1'!D:I,4,0)</f>
        <v>Marketing expenses</v>
      </c>
      <c r="J262" s="266" t="str">
        <f>VLOOKUP(D262,'COA1'!D:I,5,0)</f>
        <v xml:space="preserve">Salary </v>
      </c>
      <c r="K262" s="267">
        <f t="shared" si="1"/>
        <v>3.2229065971345774</v>
      </c>
      <c r="L262" s="65"/>
      <c r="M262" s="65"/>
      <c r="N262" s="65"/>
      <c r="O262" s="65"/>
      <c r="P262" s="263"/>
      <c r="Q262" s="263"/>
      <c r="R262" s="263"/>
      <c r="S262" s="263"/>
      <c r="T262" s="65"/>
      <c r="U262" s="65"/>
      <c r="V262" s="65"/>
      <c r="W262" s="65"/>
      <c r="X262" s="65"/>
      <c r="Y262" s="65"/>
      <c r="Z262" s="65"/>
    </row>
    <row r="263" spans="1:26" ht="15.75" hidden="1" customHeight="1">
      <c r="A263" s="65" t="s">
        <v>418</v>
      </c>
      <c r="B263" s="65" t="s">
        <v>419</v>
      </c>
      <c r="C263" s="65" t="s">
        <v>420</v>
      </c>
      <c r="D263" s="65">
        <v>21006</v>
      </c>
      <c r="E263" s="65" t="s">
        <v>365</v>
      </c>
      <c r="F263" s="66">
        <v>34813</v>
      </c>
      <c r="G263" s="66">
        <v>10787.61</v>
      </c>
      <c r="H263" s="65" t="str">
        <f>VLOOKUP(D263,'COA1'!D:I,3,0)</f>
        <v>PL</v>
      </c>
      <c r="I263" s="65" t="str">
        <f>VLOOKUP(D263,'COA1'!D:I,4,0)</f>
        <v>Marketing expenses</v>
      </c>
      <c r="J263" s="65" t="str">
        <f>VLOOKUP(D263,'COA1'!D:I,5,0)</f>
        <v xml:space="preserve">Salary </v>
      </c>
      <c r="K263" s="264">
        <f t="shared" si="1"/>
        <v>3.2271281590639629</v>
      </c>
      <c r="L263" s="65"/>
      <c r="M263" s="65"/>
      <c r="N263" s="65"/>
      <c r="O263" s="65"/>
      <c r="P263" s="263"/>
      <c r="Q263" s="263"/>
      <c r="R263" s="263"/>
      <c r="S263" s="263"/>
      <c r="T263" s="65"/>
      <c r="U263" s="65"/>
      <c r="V263" s="65"/>
      <c r="W263" s="65"/>
      <c r="X263" s="65"/>
      <c r="Y263" s="65"/>
      <c r="Z263" s="65"/>
    </row>
    <row r="264" spans="1:26" ht="15.75" hidden="1" customHeight="1">
      <c r="A264" s="65" t="s">
        <v>418</v>
      </c>
      <c r="B264" s="65" t="s">
        <v>419</v>
      </c>
      <c r="C264" s="65" t="s">
        <v>420</v>
      </c>
      <c r="D264" s="65">
        <v>21007</v>
      </c>
      <c r="E264" s="65" t="s">
        <v>366</v>
      </c>
      <c r="F264" s="66">
        <v>40225</v>
      </c>
      <c r="G264" s="66">
        <v>12479.68</v>
      </c>
      <c r="H264" s="65" t="str">
        <f>VLOOKUP(D264,'COA1'!D:I,3,0)</f>
        <v>PL</v>
      </c>
      <c r="I264" s="65" t="str">
        <f>VLOOKUP(D264,'COA1'!D:I,4,0)</f>
        <v>Marketing expenses</v>
      </c>
      <c r="J264" s="65" t="str">
        <f>VLOOKUP(D264,'COA1'!D:I,5,0)</f>
        <v xml:space="preserve">Salary </v>
      </c>
      <c r="K264" s="264">
        <f t="shared" si="1"/>
        <v>3.2232396984538063</v>
      </c>
      <c r="L264" s="65"/>
      <c r="M264" s="65"/>
      <c r="N264" s="65"/>
      <c r="O264" s="65"/>
      <c r="P264" s="263"/>
      <c r="Q264" s="263"/>
      <c r="R264" s="263"/>
      <c r="S264" s="263"/>
      <c r="T264" s="65"/>
      <c r="U264" s="65"/>
      <c r="V264" s="65"/>
      <c r="W264" s="65"/>
      <c r="X264" s="65"/>
      <c r="Y264" s="65"/>
      <c r="Z264" s="65"/>
    </row>
    <row r="265" spans="1:26" ht="15.75" hidden="1" customHeight="1">
      <c r="A265" s="65" t="s">
        <v>418</v>
      </c>
      <c r="B265" s="65" t="s">
        <v>419</v>
      </c>
      <c r="C265" s="65" t="s">
        <v>420</v>
      </c>
      <c r="D265" s="65">
        <v>21008</v>
      </c>
      <c r="E265" s="65" t="s">
        <v>367</v>
      </c>
      <c r="F265" s="66">
        <v>76650</v>
      </c>
      <c r="G265" s="66">
        <v>23747.02</v>
      </c>
      <c r="H265" s="65" t="str">
        <f>VLOOKUP(D265,'COA1'!D:I,3,0)</f>
        <v>PL</v>
      </c>
      <c r="I265" s="65" t="str">
        <f>VLOOKUP(D265,'COA1'!D:I,4,0)</f>
        <v>Marketing expenses</v>
      </c>
      <c r="J265" s="65" t="str">
        <f>VLOOKUP(D265,'COA1'!D:I,5,0)</f>
        <v xml:space="preserve">Salary </v>
      </c>
      <c r="K265" s="264">
        <f t="shared" si="1"/>
        <v>3.227773421675646</v>
      </c>
      <c r="L265" s="65"/>
      <c r="M265" s="65"/>
      <c r="N265" s="65"/>
      <c r="O265" s="65"/>
      <c r="P265" s="263"/>
      <c r="Q265" s="263"/>
      <c r="R265" s="263"/>
      <c r="S265" s="263"/>
      <c r="T265" s="65"/>
      <c r="U265" s="65"/>
      <c r="V265" s="65"/>
      <c r="W265" s="65"/>
      <c r="X265" s="65"/>
      <c r="Y265" s="65"/>
      <c r="Z265" s="65"/>
    </row>
    <row r="266" spans="1:26" ht="15.75" hidden="1" customHeight="1">
      <c r="A266" s="65" t="s">
        <v>418</v>
      </c>
      <c r="B266" s="65" t="s">
        <v>419</v>
      </c>
      <c r="C266" s="65" t="s">
        <v>420</v>
      </c>
      <c r="D266" s="65">
        <v>24017</v>
      </c>
      <c r="E266" s="65" t="s">
        <v>794</v>
      </c>
      <c r="F266" s="66">
        <v>82852</v>
      </c>
      <c r="G266" s="66">
        <v>26640.52</v>
      </c>
      <c r="H266" s="65" t="str">
        <f>VLOOKUP(D266,'COA1'!D:I,3,0)</f>
        <v>PL</v>
      </c>
      <c r="I266" s="65" t="str">
        <f>VLOOKUP(D266,'COA1'!D:I,4,0)</f>
        <v>Marketing expenses</v>
      </c>
      <c r="J266" s="65" t="str">
        <f>VLOOKUP(D266,'COA1'!D:I,5,0)</f>
        <v xml:space="preserve">Salary </v>
      </c>
      <c r="K266" s="264">
        <f t="shared" si="1"/>
        <v>3.1099993543669568</v>
      </c>
      <c r="L266" s="65"/>
      <c r="M266" s="65"/>
      <c r="N266" s="65"/>
      <c r="O266" s="65"/>
      <c r="P266" s="263"/>
      <c r="Q266" s="263"/>
      <c r="R266" s="263"/>
      <c r="S266" s="263"/>
      <c r="T266" s="65"/>
      <c r="U266" s="65"/>
      <c r="V266" s="65"/>
      <c r="W266" s="65"/>
      <c r="X266" s="65"/>
      <c r="Y266" s="65"/>
      <c r="Z266" s="65"/>
    </row>
    <row r="267" spans="1:26" ht="15.75" hidden="1" customHeight="1">
      <c r="A267" s="65" t="s">
        <v>418</v>
      </c>
      <c r="B267" s="65" t="s">
        <v>419</v>
      </c>
      <c r="C267" s="65" t="s">
        <v>420</v>
      </c>
      <c r="D267" s="65">
        <v>24018</v>
      </c>
      <c r="E267" s="65" t="s">
        <v>795</v>
      </c>
      <c r="F267" s="66">
        <v>177540</v>
      </c>
      <c r="G267" s="66">
        <v>57086.82</v>
      </c>
      <c r="H267" s="266" t="str">
        <f>VLOOKUP(D267,'COA1'!D:I,3,0)</f>
        <v>PL</v>
      </c>
      <c r="I267" s="266" t="str">
        <f>VLOOKUP(D267,'COA1'!D:I,4,0)</f>
        <v>Marketing expenses</v>
      </c>
      <c r="J267" s="266" t="str">
        <f>VLOOKUP(D267,'COA1'!D:I,5,0)</f>
        <v xml:space="preserve">Salary </v>
      </c>
      <c r="K267" s="267">
        <f t="shared" si="1"/>
        <v>3.1099998213247821</v>
      </c>
      <c r="L267" s="65"/>
      <c r="M267" s="65"/>
      <c r="N267" s="65"/>
      <c r="O267" s="65"/>
      <c r="P267" s="263"/>
      <c r="Q267" s="263"/>
      <c r="R267" s="263"/>
      <c r="S267" s="263"/>
      <c r="T267" s="65"/>
      <c r="U267" s="65"/>
      <c r="V267" s="65"/>
      <c r="W267" s="65"/>
      <c r="X267" s="65"/>
      <c r="Y267" s="65"/>
      <c r="Z267" s="65"/>
    </row>
    <row r="268" spans="1:26" ht="15.75" hidden="1" customHeight="1">
      <c r="A268" s="65" t="s">
        <v>418</v>
      </c>
      <c r="B268" s="65" t="s">
        <v>419</v>
      </c>
      <c r="C268" s="65" t="s">
        <v>420</v>
      </c>
      <c r="D268" s="65">
        <v>61010</v>
      </c>
      <c r="E268" s="65" t="s">
        <v>756</v>
      </c>
      <c r="F268" s="66">
        <v>16517.07</v>
      </c>
      <c r="G268" s="66">
        <v>5101.8500000000004</v>
      </c>
      <c r="H268" s="65" t="str">
        <f>VLOOKUP(D268,'COA1'!D:I,3,0)</f>
        <v>PL</v>
      </c>
      <c r="I268" s="65" t="str">
        <f>VLOOKUP(D268,'COA1'!D:I,4,0)</f>
        <v>Marketing expenses</v>
      </c>
      <c r="J268" s="65" t="str">
        <f>VLOOKUP(D268,'COA1'!D:I,5,0)</f>
        <v xml:space="preserve">Salary </v>
      </c>
      <c r="K268" s="264">
        <f t="shared" si="1"/>
        <v>3.2374668012583667</v>
      </c>
      <c r="L268" s="65"/>
      <c r="M268" s="65"/>
      <c r="N268" s="65"/>
      <c r="O268" s="65"/>
      <c r="P268" s="263"/>
      <c r="Q268" s="263"/>
      <c r="R268" s="263"/>
      <c r="S268" s="263"/>
      <c r="T268" s="65"/>
      <c r="U268" s="65"/>
      <c r="V268" s="65"/>
      <c r="W268" s="65"/>
      <c r="X268" s="65"/>
      <c r="Y268" s="65"/>
      <c r="Z268" s="65"/>
    </row>
    <row r="269" spans="1:26" ht="15.75" hidden="1" customHeight="1">
      <c r="A269" s="65" t="s">
        <v>418</v>
      </c>
      <c r="B269" s="65" t="s">
        <v>419</v>
      </c>
      <c r="C269" s="65" t="s">
        <v>420</v>
      </c>
      <c r="D269" s="65">
        <v>61011</v>
      </c>
      <c r="E269" s="65" t="s">
        <v>757</v>
      </c>
      <c r="F269" s="66">
        <v>4748.91</v>
      </c>
      <c r="G269" s="66">
        <v>1478.74</v>
      </c>
      <c r="H269" s="65" t="str">
        <f>VLOOKUP(D269,'COA1'!D:I,3,0)</f>
        <v>PL</v>
      </c>
      <c r="I269" s="65" t="str">
        <f>VLOOKUP(D269,'COA1'!D:I,4,0)</f>
        <v>Marketing expenses</v>
      </c>
      <c r="J269" s="65" t="str">
        <f>VLOOKUP(D269,'COA1'!D:I,5,0)</f>
        <v xml:space="preserve">Salary </v>
      </c>
      <c r="K269" s="264">
        <f t="shared" si="1"/>
        <v>3.2114570512733813</v>
      </c>
      <c r="L269" s="65"/>
      <c r="M269" s="65"/>
      <c r="N269" s="65"/>
      <c r="O269" s="65"/>
      <c r="P269" s="263"/>
      <c r="Q269" s="263"/>
      <c r="R269" s="263"/>
      <c r="S269" s="263"/>
      <c r="T269" s="65"/>
      <c r="U269" s="65"/>
      <c r="V269" s="65"/>
      <c r="W269" s="65"/>
      <c r="X269" s="65"/>
      <c r="Y269" s="65"/>
      <c r="Z269" s="65"/>
    </row>
    <row r="270" spans="1:26" ht="15.75" hidden="1" customHeight="1">
      <c r="A270" s="65" t="s">
        <v>418</v>
      </c>
      <c r="B270" s="65" t="s">
        <v>419</v>
      </c>
      <c r="C270" s="65" t="s">
        <v>430</v>
      </c>
      <c r="D270" s="65">
        <v>20025</v>
      </c>
      <c r="E270" s="65" t="s">
        <v>854</v>
      </c>
      <c r="F270" s="66">
        <v>338664676.04000002</v>
      </c>
      <c r="G270" s="66">
        <v>105871768.5</v>
      </c>
      <c r="H270" s="65" t="str">
        <f>VLOOKUP(D270,'COA1'!D:I,3,0)</f>
        <v>PL</v>
      </c>
      <c r="I270" s="65" t="str">
        <f>VLOOKUP(D270,'COA1'!D:I,4,0)</f>
        <v>Marketing expenses</v>
      </c>
      <c r="J270" s="65" t="str">
        <f>VLOOKUP(D270,'COA1'!D:I,5,0)</f>
        <v>User Acquisition</v>
      </c>
      <c r="K270" s="264">
        <f t="shared" si="1"/>
        <v>3.1988194854797389</v>
      </c>
      <c r="L270" s="65"/>
      <c r="M270" s="65"/>
      <c r="N270" s="65"/>
      <c r="O270" s="65"/>
      <c r="P270" s="263"/>
      <c r="Q270" s="263"/>
      <c r="R270" s="263"/>
      <c r="S270" s="263"/>
      <c r="T270" s="65"/>
      <c r="U270" s="65"/>
      <c r="V270" s="65"/>
      <c r="W270" s="65"/>
      <c r="X270" s="65"/>
      <c r="Y270" s="65"/>
      <c r="Z270" s="65"/>
    </row>
    <row r="271" spans="1:26" ht="15.75" hidden="1" customHeight="1">
      <c r="A271" s="65" t="s">
        <v>418</v>
      </c>
      <c r="B271" s="65" t="s">
        <v>419</v>
      </c>
      <c r="C271" s="65" t="s">
        <v>430</v>
      </c>
      <c r="D271" s="65">
        <v>20030</v>
      </c>
      <c r="E271" s="65" t="s">
        <v>513</v>
      </c>
      <c r="F271" s="66">
        <v>512516.86</v>
      </c>
      <c r="G271" s="66">
        <v>160333.97</v>
      </c>
      <c r="H271" s="65" t="str">
        <f>VLOOKUP(D271,'COA1'!D:I,3,0)</f>
        <v>PL</v>
      </c>
      <c r="I271" s="65" t="str">
        <f>VLOOKUP(D271,'COA1'!D:I,4,0)</f>
        <v>Marketing expenses</v>
      </c>
      <c r="J271" s="65" t="str">
        <f>VLOOKUP(D271,'COA1'!D:I,5,0)</f>
        <v xml:space="preserve">Softwere subscription </v>
      </c>
      <c r="K271" s="264">
        <f t="shared" si="1"/>
        <v>3.1965581591973304</v>
      </c>
      <c r="L271" s="65"/>
      <c r="M271" s="65"/>
      <c r="N271" s="65"/>
      <c r="O271" s="65"/>
      <c r="P271" s="263"/>
      <c r="Q271" s="263"/>
      <c r="R271" s="263"/>
      <c r="S271" s="263"/>
      <c r="T271" s="65"/>
      <c r="U271" s="65"/>
      <c r="V271" s="65"/>
      <c r="W271" s="65"/>
      <c r="X271" s="65"/>
      <c r="Y271" s="65"/>
      <c r="Z271" s="65"/>
    </row>
    <row r="272" spans="1:26" ht="15.75" hidden="1" customHeight="1">
      <c r="A272" s="65" t="s">
        <v>418</v>
      </c>
      <c r="B272" s="65" t="s">
        <v>419</v>
      </c>
      <c r="C272" s="65" t="s">
        <v>430</v>
      </c>
      <c r="D272" s="65">
        <v>20063</v>
      </c>
      <c r="E272" s="65" t="s">
        <v>545</v>
      </c>
      <c r="F272" s="66">
        <v>321183.40999999997</v>
      </c>
      <c r="G272" s="66">
        <v>98163.14</v>
      </c>
      <c r="H272" s="65" t="str">
        <f>VLOOKUP(D272,'COA1'!D:I,3,0)</f>
        <v>PL</v>
      </c>
      <c r="I272" s="65" t="str">
        <f>VLOOKUP(D272,'COA1'!D:I,4,0)</f>
        <v>Marketing expenses</v>
      </c>
      <c r="J272" s="65" t="str">
        <f>VLOOKUP(D272,'COA1'!D:I,5,0)</f>
        <v xml:space="preserve">Softwere subscription </v>
      </c>
      <c r="K272" s="264">
        <f t="shared" si="1"/>
        <v>3.2719349645905784</v>
      </c>
      <c r="L272" s="65"/>
      <c r="M272" s="65"/>
      <c r="N272" s="65"/>
      <c r="O272" s="65"/>
      <c r="P272" s="263"/>
      <c r="Q272" s="263"/>
      <c r="R272" s="263"/>
      <c r="S272" s="263"/>
      <c r="T272" s="65"/>
      <c r="U272" s="65"/>
      <c r="V272" s="65"/>
      <c r="W272" s="65"/>
      <c r="X272" s="65"/>
      <c r="Y272" s="65"/>
      <c r="Z272" s="65"/>
    </row>
    <row r="273" spans="1:26" ht="15.75" hidden="1" customHeight="1">
      <c r="A273" s="65" t="s">
        <v>418</v>
      </c>
      <c r="B273" s="65" t="s">
        <v>419</v>
      </c>
      <c r="C273" s="65" t="s">
        <v>430</v>
      </c>
      <c r="D273" s="65">
        <v>20064</v>
      </c>
      <c r="E273" s="65" t="s">
        <v>546</v>
      </c>
      <c r="F273" s="66">
        <v>1683323.75</v>
      </c>
      <c r="G273" s="66">
        <v>524966.18999999994</v>
      </c>
      <c r="H273" s="65" t="str">
        <f>VLOOKUP(D273,'COA1'!D:I,3,0)</f>
        <v>PL</v>
      </c>
      <c r="I273" s="65" t="str">
        <f>VLOOKUP(D273,'COA1'!D:I,4,0)</f>
        <v>Marketing expenses</v>
      </c>
      <c r="J273" s="65" t="str">
        <f>VLOOKUP(D273,'COA1'!D:I,5,0)</f>
        <v>PR</v>
      </c>
      <c r="K273" s="264">
        <f t="shared" si="1"/>
        <v>3.2065374533929512</v>
      </c>
      <c r="L273" s="65"/>
      <c r="M273" s="65"/>
      <c r="N273" s="65"/>
      <c r="O273" s="65"/>
      <c r="P273" s="263"/>
      <c r="Q273" s="263"/>
      <c r="R273" s="263"/>
      <c r="S273" s="263"/>
      <c r="T273" s="65"/>
      <c r="U273" s="65"/>
      <c r="V273" s="65"/>
      <c r="W273" s="65"/>
      <c r="X273" s="65"/>
      <c r="Y273" s="65"/>
      <c r="Z273" s="65"/>
    </row>
    <row r="274" spans="1:26" ht="15.75" hidden="1" customHeight="1">
      <c r="A274" s="65" t="s">
        <v>418</v>
      </c>
      <c r="B274" s="65" t="s">
        <v>419</v>
      </c>
      <c r="C274" s="65" t="s">
        <v>430</v>
      </c>
      <c r="D274" s="65">
        <v>20065</v>
      </c>
      <c r="E274" s="65" t="s">
        <v>855</v>
      </c>
      <c r="F274" s="66">
        <v>74500</v>
      </c>
      <c r="G274" s="66">
        <v>23010.1</v>
      </c>
      <c r="H274" s="65" t="str">
        <f>VLOOKUP(D274,'COA1'!D:I,3,0)</f>
        <v>PL</v>
      </c>
      <c r="I274" s="65" t="str">
        <f>VLOOKUP(D274,'COA1'!D:I,4,0)</f>
        <v>Marketing expenses</v>
      </c>
      <c r="J274" s="65" t="str">
        <f>VLOOKUP(D274,'COA1'!D:I,5,0)</f>
        <v>recruitment</v>
      </c>
      <c r="K274" s="264">
        <f t="shared" si="1"/>
        <v>3.2377086583717585</v>
      </c>
      <c r="L274" s="65"/>
      <c r="M274" s="65"/>
      <c r="N274" s="65"/>
      <c r="O274" s="65"/>
      <c r="P274" s="263"/>
      <c r="Q274" s="263"/>
      <c r="R274" s="263"/>
      <c r="S274" s="263"/>
      <c r="T274" s="65"/>
      <c r="U274" s="65"/>
      <c r="V274" s="65"/>
      <c r="W274" s="65"/>
      <c r="X274" s="65"/>
      <c r="Y274" s="65"/>
      <c r="Z274" s="65"/>
    </row>
    <row r="275" spans="1:26" ht="15.75" hidden="1" customHeight="1">
      <c r="A275" s="65" t="s">
        <v>418</v>
      </c>
      <c r="B275" s="65" t="s">
        <v>419</v>
      </c>
      <c r="C275" s="65" t="s">
        <v>430</v>
      </c>
      <c r="D275" s="65">
        <v>20067</v>
      </c>
      <c r="E275" s="65" t="s">
        <v>564</v>
      </c>
      <c r="F275" s="66">
        <v>51777823.149999999</v>
      </c>
      <c r="G275" s="66">
        <v>16152223.039999999</v>
      </c>
      <c r="H275" s="65" t="str">
        <f>VLOOKUP(D275,'COA1'!D:I,3,0)</f>
        <v>PL</v>
      </c>
      <c r="I275" s="65" t="str">
        <f>VLOOKUP(D275,'COA1'!D:I,4,0)</f>
        <v>Marketing expenses</v>
      </c>
      <c r="J275" s="65" t="str">
        <f>VLOOKUP(D275,'COA1'!D:I,5,0)</f>
        <v xml:space="preserve">IC expenses </v>
      </c>
      <c r="K275" s="264">
        <f t="shared" si="1"/>
        <v>3.2056159094494525</v>
      </c>
      <c r="L275" s="65"/>
      <c r="M275" s="65"/>
      <c r="N275" s="65"/>
      <c r="O275" s="65"/>
      <c r="P275" s="263"/>
      <c r="Q275" s="263"/>
      <c r="R275" s="263"/>
      <c r="S275" s="263"/>
      <c r="T275" s="65"/>
      <c r="U275" s="65"/>
      <c r="V275" s="65"/>
      <c r="W275" s="65"/>
      <c r="X275" s="65"/>
      <c r="Y275" s="65"/>
      <c r="Z275" s="65"/>
    </row>
    <row r="276" spans="1:26" ht="15.75" hidden="1" customHeight="1">
      <c r="A276" s="65" t="s">
        <v>418</v>
      </c>
      <c r="B276" s="65" t="s">
        <v>419</v>
      </c>
      <c r="C276" s="65" t="s">
        <v>430</v>
      </c>
      <c r="D276" s="65">
        <v>20070</v>
      </c>
      <c r="E276" s="65" t="s">
        <v>653</v>
      </c>
      <c r="F276" s="66">
        <v>25342.92</v>
      </c>
      <c r="G276" s="66">
        <v>8201.6</v>
      </c>
      <c r="H276" s="65" t="str">
        <f>VLOOKUP(D276,'COA1'!D:I,3,0)</f>
        <v>PL</v>
      </c>
      <c r="I276" s="65" t="str">
        <f>VLOOKUP(D276,'COA1'!D:I,4,0)</f>
        <v>Marketing expenses</v>
      </c>
      <c r="J276" s="65" t="str">
        <f>VLOOKUP(D276,'COA1'!D:I,5,0)</f>
        <v>PR</v>
      </c>
      <c r="K276" s="264">
        <f t="shared" si="1"/>
        <v>3.0899970737417086</v>
      </c>
      <c r="L276" s="65"/>
      <c r="M276" s="65"/>
      <c r="N276" s="65"/>
      <c r="O276" s="65"/>
      <c r="P276" s="263"/>
      <c r="Q276" s="263"/>
      <c r="R276" s="263"/>
      <c r="S276" s="263"/>
      <c r="T276" s="65"/>
      <c r="U276" s="65"/>
      <c r="V276" s="65"/>
      <c r="W276" s="65"/>
      <c r="X276" s="65"/>
      <c r="Y276" s="65"/>
      <c r="Z276" s="65"/>
    </row>
    <row r="277" spans="1:26" ht="15.75" hidden="1" customHeight="1">
      <c r="A277" s="65" t="s">
        <v>418</v>
      </c>
      <c r="B277" s="65" t="s">
        <v>419</v>
      </c>
      <c r="C277" s="65" t="s">
        <v>430</v>
      </c>
      <c r="D277" s="65">
        <v>20073</v>
      </c>
      <c r="E277" s="65" t="s">
        <v>856</v>
      </c>
      <c r="F277" s="66">
        <v>254800</v>
      </c>
      <c r="G277" s="66">
        <v>79348.759999999995</v>
      </c>
      <c r="H277" s="65" t="str">
        <f>VLOOKUP(D277,'COA1'!D:I,3,0)</f>
        <v>PL</v>
      </c>
      <c r="I277" s="65" t="str">
        <f>VLOOKUP(D277,'COA1'!D:I,4,0)</f>
        <v>Marketing expenses</v>
      </c>
      <c r="J277" s="65" t="str">
        <f>VLOOKUP(D277,'COA1'!D:I,5,0)</f>
        <v>Copywriting expenses</v>
      </c>
      <c r="K277" s="264">
        <f t="shared" si="1"/>
        <v>3.2111402875104793</v>
      </c>
      <c r="L277" s="65"/>
      <c r="M277" s="65"/>
      <c r="N277" s="65"/>
      <c r="O277" s="65"/>
      <c r="P277" s="263"/>
      <c r="Q277" s="263"/>
      <c r="R277" s="263"/>
      <c r="S277" s="263"/>
      <c r="T277" s="65"/>
      <c r="U277" s="65"/>
      <c r="V277" s="65"/>
      <c r="W277" s="65"/>
      <c r="X277" s="65"/>
      <c r="Y277" s="65"/>
      <c r="Z277" s="65"/>
    </row>
    <row r="278" spans="1:26" ht="15.75" hidden="1" customHeight="1">
      <c r="A278" s="65" t="s">
        <v>418</v>
      </c>
      <c r="B278" s="65" t="s">
        <v>419</v>
      </c>
      <c r="C278" s="65" t="s">
        <v>430</v>
      </c>
      <c r="D278" s="65">
        <v>20074</v>
      </c>
      <c r="E278" s="65" t="s">
        <v>781</v>
      </c>
      <c r="F278" s="66">
        <v>5234.9399999999996</v>
      </c>
      <c r="G278" s="66">
        <v>1683.27</v>
      </c>
      <c r="H278" s="65" t="str">
        <f>VLOOKUP(D278,'COA1'!D:I,3,0)</f>
        <v>PL</v>
      </c>
      <c r="I278" s="65" t="str">
        <f>VLOOKUP(D278,'COA1'!D:I,4,0)</f>
        <v>General and administrative expenses</v>
      </c>
      <c r="J278" s="65" t="str">
        <f>VLOOKUP(D278,'COA1'!D:I,5,0)</f>
        <v>Other expenses</v>
      </c>
      <c r="K278" s="264">
        <f t="shared" si="1"/>
        <v>3.1099823557718009</v>
      </c>
      <c r="L278" s="65"/>
      <c r="M278" s="65"/>
      <c r="N278" s="65"/>
      <c r="O278" s="65"/>
      <c r="P278" s="263"/>
      <c r="Q278" s="263"/>
      <c r="R278" s="263"/>
      <c r="S278" s="263"/>
      <c r="T278" s="65"/>
      <c r="U278" s="65"/>
      <c r="V278" s="65"/>
      <c r="W278" s="65"/>
      <c r="X278" s="65"/>
      <c r="Y278" s="65"/>
      <c r="Z278" s="65"/>
    </row>
    <row r="279" spans="1:26" ht="15.75" hidden="1" customHeight="1">
      <c r="A279" s="65" t="s">
        <v>418</v>
      </c>
      <c r="B279" s="65" t="s">
        <v>419</v>
      </c>
      <c r="C279" s="65" t="s">
        <v>430</v>
      </c>
      <c r="D279" s="65">
        <v>61018</v>
      </c>
      <c r="E279" s="65" t="s">
        <v>807</v>
      </c>
      <c r="F279" s="66">
        <v>58239.38</v>
      </c>
      <c r="G279" s="66">
        <v>18726.490000000002</v>
      </c>
      <c r="H279" s="65" t="str">
        <f>VLOOKUP(D279,'COA1'!D:I,3,0)</f>
        <v>PL</v>
      </c>
      <c r="I279" s="65" t="str">
        <f>VLOOKUP(D279,'COA1'!D:I,4,0)</f>
        <v>Marketing expenses</v>
      </c>
      <c r="J279" s="65" t="str">
        <f>VLOOKUP(D279,'COA1'!D:I,5,0)</f>
        <v xml:space="preserve">Salary </v>
      </c>
      <c r="K279" s="264">
        <f t="shared" si="1"/>
        <v>3.109999791738868</v>
      </c>
      <c r="L279" s="65"/>
      <c r="M279" s="65"/>
      <c r="N279" s="65"/>
      <c r="O279" s="65"/>
      <c r="P279" s="263"/>
      <c r="Q279" s="263"/>
      <c r="R279" s="263"/>
      <c r="S279" s="263"/>
      <c r="T279" s="65"/>
      <c r="U279" s="65"/>
      <c r="V279" s="65"/>
      <c r="W279" s="65"/>
      <c r="X279" s="65"/>
      <c r="Y279" s="65"/>
      <c r="Z279" s="65"/>
    </row>
    <row r="280" spans="1:26" ht="15.75" hidden="1" customHeight="1">
      <c r="A280" s="65" t="s">
        <v>418</v>
      </c>
      <c r="B280" s="65" t="s">
        <v>419</v>
      </c>
      <c r="C280" s="65" t="s">
        <v>857</v>
      </c>
      <c r="D280" s="65">
        <v>20050</v>
      </c>
      <c r="E280" s="65" t="s">
        <v>858</v>
      </c>
      <c r="F280" s="66">
        <v>524208.68</v>
      </c>
      <c r="G280" s="66">
        <v>160777.78</v>
      </c>
      <c r="H280" s="65" t="str">
        <f>VLOOKUP(D280,'COA1'!D:I,3,0)</f>
        <v>PL</v>
      </c>
      <c r="I280" s="65" t="str">
        <f>VLOOKUP(D280,'COA1'!D:I,4,0)</f>
        <v>Marketing expenses</v>
      </c>
      <c r="J280" s="65" t="str">
        <f>VLOOKUP(D280,'COA1'!D:I,5,0)</f>
        <v xml:space="preserve">Softwere subscription </v>
      </c>
      <c r="K280" s="264">
        <f t="shared" si="1"/>
        <v>3.2604547717974461</v>
      </c>
      <c r="L280" s="65"/>
      <c r="M280" s="65"/>
      <c r="N280" s="65"/>
      <c r="O280" s="65"/>
      <c r="P280" s="263"/>
      <c r="Q280" s="263"/>
      <c r="R280" s="263"/>
      <c r="S280" s="263"/>
      <c r="T280" s="65"/>
      <c r="U280" s="65"/>
      <c r="V280" s="65"/>
      <c r="W280" s="65"/>
      <c r="X280" s="65"/>
      <c r="Y280" s="65"/>
      <c r="Z280" s="65"/>
    </row>
    <row r="281" spans="1:26" ht="15.75" hidden="1" customHeight="1">
      <c r="A281" s="65" t="s">
        <v>418</v>
      </c>
      <c r="B281" s="65" t="s">
        <v>419</v>
      </c>
      <c r="C281" s="65" t="s">
        <v>857</v>
      </c>
      <c r="D281" s="65">
        <v>20060</v>
      </c>
      <c r="E281" s="65" t="s">
        <v>526</v>
      </c>
      <c r="F281" s="66">
        <v>88061.77</v>
      </c>
      <c r="G281" s="66">
        <v>27657</v>
      </c>
      <c r="H281" s="65" t="str">
        <f>VLOOKUP(D281,'COA1'!D:I,3,0)</f>
        <v>PL</v>
      </c>
      <c r="I281" s="65" t="str">
        <f>VLOOKUP(D281,'COA1'!D:I,4,0)</f>
        <v>Marketing expenses</v>
      </c>
      <c r="J281" s="65" t="str">
        <f>VLOOKUP(D281,'COA1'!D:I,5,0)</f>
        <v xml:space="preserve">option expenses </v>
      </c>
      <c r="K281" s="264">
        <f t="shared" si="1"/>
        <v>3.1840680478721484</v>
      </c>
      <c r="L281" s="65"/>
      <c r="M281" s="65"/>
      <c r="N281" s="65"/>
      <c r="O281" s="65"/>
      <c r="P281" s="263"/>
      <c r="Q281" s="263"/>
      <c r="R281" s="263"/>
      <c r="S281" s="263"/>
      <c r="T281" s="65"/>
      <c r="U281" s="65"/>
      <c r="V281" s="65"/>
      <c r="W281" s="65"/>
      <c r="X281" s="65"/>
      <c r="Y281" s="65"/>
      <c r="Z281" s="65"/>
    </row>
    <row r="282" spans="1:26" ht="15.75" hidden="1" customHeight="1">
      <c r="A282" s="65" t="s">
        <v>418</v>
      </c>
      <c r="B282" s="65" t="s">
        <v>419</v>
      </c>
      <c r="C282" s="65" t="s">
        <v>857</v>
      </c>
      <c r="D282" s="65">
        <v>20061</v>
      </c>
      <c r="E282" s="65" t="s">
        <v>553</v>
      </c>
      <c r="F282" s="66">
        <v>427219.73</v>
      </c>
      <c r="G282" s="66">
        <v>143693</v>
      </c>
      <c r="H282" s="65" t="str">
        <f>VLOOKUP(D282,'COA1'!D:I,3,0)</f>
        <v>PL</v>
      </c>
      <c r="I282" s="65" t="str">
        <f>VLOOKUP(D282,'COA1'!D:I,4,0)</f>
        <v>Marketing expenses</v>
      </c>
      <c r="J282" s="65" t="str">
        <f>VLOOKUP(D282,'COA1'!D:I,5,0)</f>
        <v>Allocation exp</v>
      </c>
      <c r="K282" s="264">
        <f t="shared" si="1"/>
        <v>2.9731422546679376</v>
      </c>
      <c r="L282" s="65"/>
      <c r="M282" s="65"/>
      <c r="N282" s="65"/>
      <c r="O282" s="65"/>
      <c r="P282" s="263"/>
      <c r="Q282" s="263"/>
      <c r="R282" s="263"/>
      <c r="S282" s="263"/>
      <c r="T282" s="65"/>
      <c r="U282" s="65"/>
      <c r="V282" s="65"/>
      <c r="W282" s="65"/>
      <c r="X282" s="65"/>
      <c r="Y282" s="65"/>
      <c r="Z282" s="65"/>
    </row>
    <row r="283" spans="1:26" ht="15.75" hidden="1" customHeight="1">
      <c r="A283" s="65" t="s">
        <v>433</v>
      </c>
      <c r="B283" s="65" t="s">
        <v>434</v>
      </c>
      <c r="C283" s="65" t="s">
        <v>435</v>
      </c>
      <c r="D283" s="65">
        <v>24013</v>
      </c>
      <c r="E283" s="65" t="s">
        <v>796</v>
      </c>
      <c r="F283" s="66">
        <v>12374</v>
      </c>
      <c r="G283" s="66">
        <v>3978.78</v>
      </c>
      <c r="H283" s="65" t="str">
        <f>VLOOKUP(D283,'COA1'!D:I,3,0)</f>
        <v>PL</v>
      </c>
      <c r="I283" s="65" t="str">
        <f>VLOOKUP(D283,'COA1'!D:I,4,0)</f>
        <v>General and administrative expenses</v>
      </c>
      <c r="J283" s="65" t="str">
        <f>VLOOKUP(D283,'COA1'!D:I,5,0)</f>
        <v xml:space="preserve">Salary </v>
      </c>
      <c r="K283" s="264">
        <f t="shared" si="1"/>
        <v>3.1099985422667249</v>
      </c>
      <c r="L283" s="65"/>
      <c r="M283" s="65"/>
      <c r="N283" s="65"/>
      <c r="O283" s="65"/>
      <c r="P283" s="263"/>
      <c r="Q283" s="263"/>
      <c r="R283" s="263"/>
      <c r="S283" s="263"/>
      <c r="T283" s="65"/>
      <c r="U283" s="65"/>
      <c r="V283" s="65"/>
      <c r="W283" s="65"/>
      <c r="X283" s="65"/>
      <c r="Y283" s="65"/>
      <c r="Z283" s="65"/>
    </row>
    <row r="284" spans="1:26" ht="15.75" hidden="1" customHeight="1">
      <c r="A284" s="65" t="s">
        <v>433</v>
      </c>
      <c r="B284" s="65" t="s">
        <v>434</v>
      </c>
      <c r="C284" s="65" t="s">
        <v>435</v>
      </c>
      <c r="D284" s="65">
        <v>24014</v>
      </c>
      <c r="E284" s="65" t="s">
        <v>797</v>
      </c>
      <c r="F284" s="66">
        <v>210896</v>
      </c>
      <c r="G284" s="66">
        <v>67812.22</v>
      </c>
      <c r="H284" s="65" t="str">
        <f>VLOOKUP(D284,'COA1'!D:I,3,0)</f>
        <v>PL</v>
      </c>
      <c r="I284" s="65" t="str">
        <f>VLOOKUP(D284,'COA1'!D:I,4,0)</f>
        <v>General and administrative expenses</v>
      </c>
      <c r="J284" s="65" t="str">
        <f>VLOOKUP(D284,'COA1'!D:I,5,0)</f>
        <v xml:space="preserve">Salary </v>
      </c>
      <c r="K284" s="264">
        <f t="shared" si="1"/>
        <v>3.1099999380642602</v>
      </c>
      <c r="L284" s="65"/>
      <c r="M284" s="65"/>
      <c r="N284" s="65"/>
      <c r="O284" s="65"/>
      <c r="P284" s="263"/>
      <c r="Q284" s="263"/>
      <c r="R284" s="263"/>
      <c r="S284" s="263"/>
      <c r="T284" s="65"/>
      <c r="U284" s="65"/>
      <c r="V284" s="65"/>
      <c r="W284" s="65"/>
      <c r="X284" s="65"/>
      <c r="Y284" s="65"/>
      <c r="Z284" s="65"/>
    </row>
    <row r="285" spans="1:26" ht="15.75" hidden="1" customHeight="1">
      <c r="A285" s="65" t="s">
        <v>433</v>
      </c>
      <c r="B285" s="65" t="s">
        <v>434</v>
      </c>
      <c r="C285" s="65" t="s">
        <v>435</v>
      </c>
      <c r="D285" s="65">
        <v>26000</v>
      </c>
      <c r="E285" s="65" t="s">
        <v>436</v>
      </c>
      <c r="F285" s="66">
        <v>1111410</v>
      </c>
      <c r="G285" s="66">
        <v>348068.73</v>
      </c>
      <c r="H285" s="65" t="str">
        <f>VLOOKUP(D285,'COA1'!D:I,3,0)</f>
        <v>PL</v>
      </c>
      <c r="I285" s="65" t="str">
        <f>VLOOKUP(D285,'COA1'!D:I,4,0)</f>
        <v>General and administrative expenses</v>
      </c>
      <c r="J285" s="65" t="str">
        <f>VLOOKUP(D285,'COA1'!D:I,5,0)</f>
        <v xml:space="preserve">Salary </v>
      </c>
      <c r="K285" s="264">
        <f t="shared" si="1"/>
        <v>3.1930762639895862</v>
      </c>
      <c r="L285" s="65"/>
      <c r="M285" s="65"/>
      <c r="N285" s="65"/>
      <c r="O285" s="65"/>
      <c r="P285" s="263"/>
      <c r="Q285" s="263"/>
      <c r="R285" s="263"/>
      <c r="S285" s="263"/>
      <c r="T285" s="65"/>
      <c r="U285" s="65"/>
      <c r="V285" s="65"/>
      <c r="W285" s="65"/>
      <c r="X285" s="65"/>
      <c r="Y285" s="65"/>
      <c r="Z285" s="65"/>
    </row>
    <row r="286" spans="1:26" ht="15.75" hidden="1" customHeight="1">
      <c r="A286" s="65" t="s">
        <v>433</v>
      </c>
      <c r="B286" s="65" t="s">
        <v>434</v>
      </c>
      <c r="C286" s="65" t="s">
        <v>435</v>
      </c>
      <c r="D286" s="65">
        <v>26001</v>
      </c>
      <c r="E286" s="65" t="s">
        <v>437</v>
      </c>
      <c r="F286" s="66">
        <v>54823</v>
      </c>
      <c r="G286" s="66">
        <v>17085.919999999998</v>
      </c>
      <c r="H286" s="65" t="str">
        <f>VLOOKUP(D286,'COA1'!D:I,3,0)</f>
        <v>PL</v>
      </c>
      <c r="I286" s="65" t="str">
        <f>VLOOKUP(D286,'COA1'!D:I,4,0)</f>
        <v>General and administrative expenses</v>
      </c>
      <c r="J286" s="65" t="str">
        <f>VLOOKUP(D286,'COA1'!D:I,5,0)</f>
        <v xml:space="preserve">Salary </v>
      </c>
      <c r="K286" s="264">
        <f t="shared" si="1"/>
        <v>3.2086653806174912</v>
      </c>
      <c r="L286" s="65"/>
      <c r="M286" s="65"/>
      <c r="N286" s="65"/>
      <c r="O286" s="65"/>
      <c r="P286" s="263"/>
      <c r="Q286" s="263"/>
      <c r="R286" s="263"/>
      <c r="S286" s="263"/>
      <c r="T286" s="65"/>
      <c r="U286" s="65"/>
      <c r="V286" s="65"/>
      <c r="W286" s="65"/>
      <c r="X286" s="65"/>
      <c r="Y286" s="65"/>
      <c r="Z286" s="65"/>
    </row>
    <row r="287" spans="1:26" ht="15.75" hidden="1" customHeight="1">
      <c r="A287" s="65" t="s">
        <v>433</v>
      </c>
      <c r="B287" s="65" t="s">
        <v>434</v>
      </c>
      <c r="C287" s="65" t="s">
        <v>435</v>
      </c>
      <c r="D287" s="65">
        <v>26002</v>
      </c>
      <c r="E287" s="65" t="s">
        <v>438</v>
      </c>
      <c r="F287" s="66">
        <v>65011</v>
      </c>
      <c r="G287" s="66">
        <v>20266.28</v>
      </c>
      <c r="H287" s="65" t="str">
        <f>VLOOKUP(D287,'COA1'!D:I,3,0)</f>
        <v>PL</v>
      </c>
      <c r="I287" s="65" t="str">
        <f>VLOOKUP(D287,'COA1'!D:I,4,0)</f>
        <v>General and administrative expenses</v>
      </c>
      <c r="J287" s="65" t="str">
        <f>VLOOKUP(D287,'COA1'!D:I,5,0)</f>
        <v xml:space="preserve">Salary </v>
      </c>
      <c r="K287" s="264">
        <f t="shared" si="1"/>
        <v>3.2078408074890903</v>
      </c>
      <c r="L287" s="65"/>
      <c r="M287" s="65"/>
      <c r="N287" s="65"/>
      <c r="O287" s="65"/>
      <c r="P287" s="263"/>
      <c r="Q287" s="263"/>
      <c r="R287" s="263"/>
      <c r="S287" s="263"/>
      <c r="T287" s="65"/>
      <c r="U287" s="65"/>
      <c r="V287" s="65"/>
      <c r="W287" s="65"/>
      <c r="X287" s="65"/>
      <c r="Y287" s="65"/>
      <c r="Z287" s="65"/>
    </row>
    <row r="288" spans="1:26" ht="15.75" hidden="1" customHeight="1">
      <c r="A288" s="65" t="s">
        <v>433</v>
      </c>
      <c r="B288" s="65" t="s">
        <v>434</v>
      </c>
      <c r="C288" s="65" t="s">
        <v>435</v>
      </c>
      <c r="D288" s="65">
        <v>26003</v>
      </c>
      <c r="E288" s="65" t="s">
        <v>439</v>
      </c>
      <c r="F288" s="66">
        <v>129555</v>
      </c>
      <c r="G288" s="66">
        <v>40369.440000000002</v>
      </c>
      <c r="H288" s="65" t="str">
        <f>VLOOKUP(D288,'COA1'!D:I,3,0)</f>
        <v>PL</v>
      </c>
      <c r="I288" s="65" t="str">
        <f>VLOOKUP(D288,'COA1'!D:I,4,0)</f>
        <v>General and administrative expenses</v>
      </c>
      <c r="J288" s="65" t="str">
        <f>VLOOKUP(D288,'COA1'!D:I,5,0)</f>
        <v xml:space="preserve">Salary </v>
      </c>
      <c r="K288" s="264">
        <f t="shared" si="1"/>
        <v>3.209234510065039</v>
      </c>
      <c r="L288" s="65"/>
      <c r="M288" s="65"/>
      <c r="N288" s="65"/>
      <c r="O288" s="65"/>
      <c r="P288" s="263"/>
      <c r="Q288" s="263"/>
      <c r="R288" s="263"/>
      <c r="S288" s="263"/>
      <c r="T288" s="65"/>
      <c r="U288" s="65"/>
      <c r="V288" s="65"/>
      <c r="W288" s="65"/>
      <c r="X288" s="65"/>
      <c r="Y288" s="65"/>
      <c r="Z288" s="65"/>
    </row>
    <row r="289" spans="1:26" ht="15.75" hidden="1" customHeight="1">
      <c r="A289" s="65" t="s">
        <v>433</v>
      </c>
      <c r="B289" s="65" t="s">
        <v>434</v>
      </c>
      <c r="C289" s="65" t="s">
        <v>435</v>
      </c>
      <c r="D289" s="65">
        <v>26006</v>
      </c>
      <c r="E289" s="65" t="s">
        <v>859</v>
      </c>
      <c r="F289" s="66">
        <v>3351.11</v>
      </c>
      <c r="G289" s="66">
        <v>1043.19</v>
      </c>
      <c r="H289" s="65" t="str">
        <f>VLOOKUP(D289,'COA1'!D:I,3,0)</f>
        <v>PL</v>
      </c>
      <c r="I289" s="65" t="str">
        <f>VLOOKUP(D289,'COA1'!D:I,4,0)</f>
        <v>General and administrative expenses</v>
      </c>
      <c r="J289" s="65" t="str">
        <f>VLOOKUP(D289,'COA1'!D:I,5,0)</f>
        <v xml:space="preserve">Salary </v>
      </c>
      <c r="K289" s="264">
        <f t="shared" si="1"/>
        <v>3.2123678332806103</v>
      </c>
      <c r="L289" s="65"/>
      <c r="M289" s="65"/>
      <c r="N289" s="65"/>
      <c r="O289" s="65"/>
      <c r="P289" s="263"/>
      <c r="Q289" s="263"/>
      <c r="R289" s="263"/>
      <c r="S289" s="263"/>
      <c r="T289" s="65"/>
      <c r="U289" s="65"/>
      <c r="V289" s="65"/>
      <c r="W289" s="65"/>
      <c r="X289" s="65"/>
      <c r="Y289" s="65"/>
      <c r="Z289" s="65"/>
    </row>
    <row r="290" spans="1:26" ht="15.75" hidden="1" customHeight="1">
      <c r="A290" s="65" t="s">
        <v>433</v>
      </c>
      <c r="B290" s="65" t="s">
        <v>434</v>
      </c>
      <c r="C290" s="65" t="s">
        <v>435</v>
      </c>
      <c r="D290" s="65">
        <v>26007</v>
      </c>
      <c r="E290" s="65" t="s">
        <v>860</v>
      </c>
      <c r="F290" s="66">
        <v>15093.63</v>
      </c>
      <c r="G290" s="66">
        <v>4682.04</v>
      </c>
      <c r="H290" s="65" t="str">
        <f>VLOOKUP(D290,'COA1'!D:I,3,0)</f>
        <v>PL</v>
      </c>
      <c r="I290" s="65" t="str">
        <f>VLOOKUP(D290,'COA1'!D:I,4,0)</f>
        <v>General and administrative expenses</v>
      </c>
      <c r="J290" s="65" t="str">
        <f>VLOOKUP(D290,'COA1'!D:I,5,0)</f>
        <v xml:space="preserve">Salary </v>
      </c>
      <c r="K290" s="264">
        <f t="shared" si="1"/>
        <v>3.223729400005126</v>
      </c>
      <c r="L290" s="65"/>
      <c r="M290" s="65"/>
      <c r="N290" s="65"/>
      <c r="O290" s="65"/>
      <c r="P290" s="263"/>
      <c r="Q290" s="263"/>
      <c r="R290" s="263"/>
      <c r="S290" s="263"/>
      <c r="T290" s="65"/>
      <c r="U290" s="65"/>
      <c r="V290" s="65"/>
      <c r="W290" s="65"/>
      <c r="X290" s="65"/>
      <c r="Y290" s="65"/>
      <c r="Z290" s="65"/>
    </row>
    <row r="291" spans="1:26" ht="15.75" hidden="1" customHeight="1">
      <c r="A291" s="65" t="s">
        <v>433</v>
      </c>
      <c r="B291" s="65" t="s">
        <v>434</v>
      </c>
      <c r="C291" s="65" t="s">
        <v>435</v>
      </c>
      <c r="D291" s="65">
        <v>26011</v>
      </c>
      <c r="E291" s="65" t="s">
        <v>442</v>
      </c>
      <c r="F291" s="66">
        <v>738222</v>
      </c>
      <c r="G291" s="66">
        <v>230022.01</v>
      </c>
      <c r="H291" s="65" t="str">
        <f>VLOOKUP(D291,'COA1'!D:I,3,0)</f>
        <v>PL</v>
      </c>
      <c r="I291" s="65" t="str">
        <f>VLOOKUP(D291,'COA1'!D:I,4,0)</f>
        <v>General and administrative expenses</v>
      </c>
      <c r="J291" s="65" t="str">
        <f>VLOOKUP(D291,'COA1'!D:I,5,0)</f>
        <v xml:space="preserve">Salary </v>
      </c>
      <c r="K291" s="264">
        <f t="shared" si="1"/>
        <v>3.2093537483652108</v>
      </c>
      <c r="L291" s="65"/>
      <c r="M291" s="65"/>
      <c r="N291" s="65"/>
      <c r="O291" s="65"/>
      <c r="P291" s="263"/>
      <c r="Q291" s="263"/>
      <c r="R291" s="263"/>
      <c r="S291" s="263"/>
      <c r="T291" s="65"/>
      <c r="U291" s="65"/>
      <c r="V291" s="65"/>
      <c r="W291" s="65"/>
      <c r="X291" s="65"/>
      <c r="Y291" s="65"/>
      <c r="Z291" s="65"/>
    </row>
    <row r="292" spans="1:26" ht="15.75" hidden="1" customHeight="1">
      <c r="A292" s="65" t="s">
        <v>433</v>
      </c>
      <c r="B292" s="65" t="s">
        <v>434</v>
      </c>
      <c r="C292" s="65" t="s">
        <v>435</v>
      </c>
      <c r="D292" s="65">
        <v>26012</v>
      </c>
      <c r="E292" s="65" t="s">
        <v>443</v>
      </c>
      <c r="F292" s="66">
        <v>35543</v>
      </c>
      <c r="G292" s="66">
        <v>11032.92</v>
      </c>
      <c r="H292" s="65" t="str">
        <f>VLOOKUP(D292,'COA1'!D:I,3,0)</f>
        <v>PL</v>
      </c>
      <c r="I292" s="65" t="str">
        <f>VLOOKUP(D292,'COA1'!D:I,4,0)</f>
        <v>General and administrative expenses</v>
      </c>
      <c r="J292" s="65" t="str">
        <f>VLOOKUP(D292,'COA1'!D:I,5,0)</f>
        <v xml:space="preserve">Salary </v>
      </c>
      <c r="K292" s="264">
        <f t="shared" si="1"/>
        <v>3.2215406256911137</v>
      </c>
      <c r="L292" s="65"/>
      <c r="M292" s="65"/>
      <c r="N292" s="65"/>
      <c r="O292" s="65"/>
      <c r="P292" s="263"/>
      <c r="Q292" s="263"/>
      <c r="R292" s="263"/>
      <c r="S292" s="263"/>
      <c r="T292" s="65"/>
      <c r="U292" s="65"/>
      <c r="V292" s="65"/>
      <c r="W292" s="65"/>
      <c r="X292" s="65"/>
      <c r="Y292" s="65"/>
      <c r="Z292" s="65"/>
    </row>
    <row r="293" spans="1:26" ht="15.75" hidden="1" customHeight="1">
      <c r="A293" s="65" t="s">
        <v>433</v>
      </c>
      <c r="B293" s="65" t="s">
        <v>434</v>
      </c>
      <c r="C293" s="65" t="s">
        <v>435</v>
      </c>
      <c r="D293" s="65">
        <v>26013</v>
      </c>
      <c r="E293" s="65" t="s">
        <v>444</v>
      </c>
      <c r="F293" s="66">
        <v>46034</v>
      </c>
      <c r="G293" s="66">
        <v>14326.44</v>
      </c>
      <c r="H293" s="65" t="str">
        <f>VLOOKUP(D293,'COA1'!D:I,3,0)</f>
        <v>PL</v>
      </c>
      <c r="I293" s="65" t="str">
        <f>VLOOKUP(D293,'COA1'!D:I,4,0)</f>
        <v>General and administrative expenses</v>
      </c>
      <c r="J293" s="65" t="str">
        <f>VLOOKUP(D293,'COA1'!D:I,5,0)</f>
        <v xml:space="preserve">Salary </v>
      </c>
      <c r="K293" s="264">
        <f t="shared" si="1"/>
        <v>3.2132197531277833</v>
      </c>
      <c r="L293" s="65"/>
      <c r="M293" s="65"/>
      <c r="N293" s="65"/>
      <c r="O293" s="65"/>
      <c r="P293" s="263"/>
      <c r="Q293" s="263"/>
      <c r="R293" s="263"/>
      <c r="S293" s="263"/>
      <c r="T293" s="65"/>
      <c r="U293" s="65"/>
      <c r="V293" s="65"/>
      <c r="W293" s="65"/>
      <c r="X293" s="65"/>
      <c r="Y293" s="65"/>
      <c r="Z293" s="65"/>
    </row>
    <row r="294" spans="1:26" ht="15.75" hidden="1" customHeight="1">
      <c r="A294" s="65" t="s">
        <v>433</v>
      </c>
      <c r="B294" s="65" t="s">
        <v>434</v>
      </c>
      <c r="C294" s="65" t="s">
        <v>435</v>
      </c>
      <c r="D294" s="65">
        <v>26014</v>
      </c>
      <c r="E294" s="65" t="s">
        <v>445</v>
      </c>
      <c r="F294" s="66">
        <v>103956</v>
      </c>
      <c r="G294" s="66">
        <v>32353.71</v>
      </c>
      <c r="H294" s="65" t="str">
        <f>VLOOKUP(D294,'COA1'!D:I,3,0)</f>
        <v>PL</v>
      </c>
      <c r="I294" s="65" t="str">
        <f>VLOOKUP(D294,'COA1'!D:I,4,0)</f>
        <v>General and administrative expenses</v>
      </c>
      <c r="J294" s="65" t="str">
        <f>VLOOKUP(D294,'COA1'!D:I,5,0)</f>
        <v xml:space="preserve">Salary </v>
      </c>
      <c r="K294" s="264">
        <f t="shared" si="1"/>
        <v>3.2131090993892202</v>
      </c>
      <c r="L294" s="65"/>
      <c r="M294" s="65"/>
      <c r="N294" s="65"/>
      <c r="O294" s="65"/>
      <c r="P294" s="263"/>
      <c r="Q294" s="263"/>
      <c r="R294" s="263"/>
      <c r="S294" s="263"/>
      <c r="T294" s="65"/>
      <c r="U294" s="65"/>
      <c r="V294" s="65"/>
      <c r="W294" s="65"/>
      <c r="X294" s="65"/>
      <c r="Y294" s="65"/>
      <c r="Z294" s="65"/>
    </row>
    <row r="295" spans="1:26" ht="15.75" hidden="1" customHeight="1">
      <c r="A295" s="65" t="s">
        <v>433</v>
      </c>
      <c r="B295" s="65" t="s">
        <v>434</v>
      </c>
      <c r="C295" s="65" t="s">
        <v>435</v>
      </c>
      <c r="D295" s="65">
        <v>26015</v>
      </c>
      <c r="E295" s="65" t="s">
        <v>594</v>
      </c>
      <c r="F295" s="66">
        <v>1630062.73</v>
      </c>
      <c r="G295" s="66">
        <v>515000</v>
      </c>
      <c r="H295" s="65" t="str">
        <f>VLOOKUP(D295,'COA1'!D:I,3,0)</f>
        <v>PL</v>
      </c>
      <c r="I295" s="65" t="str">
        <f>VLOOKUP(D295,'COA1'!D:I,4,0)</f>
        <v>General and administrative expenses</v>
      </c>
      <c r="J295" s="65" t="str">
        <f>VLOOKUP(D295,'COA1'!D:I,5,0)</f>
        <v xml:space="preserve">Salary </v>
      </c>
      <c r="K295" s="264">
        <f t="shared" si="1"/>
        <v>3.1651703495145629</v>
      </c>
      <c r="L295" s="65"/>
      <c r="M295" s="65"/>
      <c r="N295" s="65"/>
      <c r="O295" s="65"/>
      <c r="P295" s="263"/>
      <c r="Q295" s="263"/>
      <c r="R295" s="263"/>
      <c r="S295" s="263"/>
      <c r="T295" s="65"/>
      <c r="U295" s="65"/>
      <c r="V295" s="65"/>
      <c r="W295" s="65"/>
      <c r="X295" s="65"/>
      <c r="Y295" s="65"/>
      <c r="Z295" s="65"/>
    </row>
    <row r="296" spans="1:26" ht="15.75" hidden="1" customHeight="1">
      <c r="A296" s="65" t="s">
        <v>433</v>
      </c>
      <c r="B296" s="65" t="s">
        <v>434</v>
      </c>
      <c r="C296" s="65" t="s">
        <v>435</v>
      </c>
      <c r="D296" s="65">
        <v>27001</v>
      </c>
      <c r="E296" s="65" t="s">
        <v>770</v>
      </c>
      <c r="F296" s="66">
        <v>24836.58</v>
      </c>
      <c r="G296" s="66">
        <v>7751.73</v>
      </c>
      <c r="H296" s="65" t="str">
        <f>VLOOKUP(D296,'COA1'!D:I,3,0)</f>
        <v>PL</v>
      </c>
      <c r="I296" s="65" t="str">
        <f>VLOOKUP(D296,'COA1'!D:I,4,0)</f>
        <v>General and administrative expenses</v>
      </c>
      <c r="J296" s="65" t="str">
        <f>VLOOKUP(D296,'COA1'!D:I,5,0)</f>
        <v xml:space="preserve">Salary </v>
      </c>
      <c r="K296" s="264">
        <f t="shared" si="1"/>
        <v>3.2040047834483403</v>
      </c>
      <c r="L296" s="65"/>
      <c r="M296" s="65"/>
      <c r="N296" s="65"/>
      <c r="O296" s="65"/>
      <c r="P296" s="263"/>
      <c r="Q296" s="263"/>
      <c r="R296" s="263"/>
      <c r="S296" s="263"/>
      <c r="T296" s="65"/>
      <c r="U296" s="65"/>
      <c r="V296" s="65"/>
      <c r="W296" s="65"/>
      <c r="X296" s="65"/>
      <c r="Y296" s="65"/>
      <c r="Z296" s="65"/>
    </row>
    <row r="297" spans="1:26" ht="15.75" hidden="1" customHeight="1">
      <c r="A297" s="65" t="s">
        <v>433</v>
      </c>
      <c r="B297" s="65" t="s">
        <v>434</v>
      </c>
      <c r="C297" s="65" t="s">
        <v>435</v>
      </c>
      <c r="D297" s="65">
        <v>27002</v>
      </c>
      <c r="E297" s="65" t="s">
        <v>771</v>
      </c>
      <c r="F297" s="66">
        <v>4558.82</v>
      </c>
      <c r="G297" s="66">
        <v>1420.16</v>
      </c>
      <c r="H297" s="65" t="str">
        <f>VLOOKUP(D297,'COA1'!D:I,3,0)</f>
        <v>PL</v>
      </c>
      <c r="I297" s="65" t="str">
        <f>VLOOKUP(D297,'COA1'!D:I,4,0)</f>
        <v>General and administrative expenses</v>
      </c>
      <c r="J297" s="65" t="str">
        <f>VLOOKUP(D297,'COA1'!D:I,5,0)</f>
        <v xml:space="preserve">Salary </v>
      </c>
      <c r="K297" s="264">
        <f t="shared" si="1"/>
        <v>3.2100749211356465</v>
      </c>
      <c r="L297" s="65"/>
      <c r="M297" s="65"/>
      <c r="N297" s="65"/>
      <c r="O297" s="65"/>
      <c r="P297" s="263"/>
      <c r="Q297" s="263"/>
      <c r="R297" s="263"/>
      <c r="S297" s="263"/>
      <c r="T297" s="65"/>
      <c r="U297" s="65"/>
      <c r="V297" s="65"/>
      <c r="W297" s="65"/>
      <c r="X297" s="65"/>
      <c r="Y297" s="65"/>
      <c r="Z297" s="65"/>
    </row>
    <row r="298" spans="1:26" ht="15.75" hidden="1" customHeight="1">
      <c r="A298" s="65" t="s">
        <v>433</v>
      </c>
      <c r="B298" s="65" t="s">
        <v>434</v>
      </c>
      <c r="C298" s="65" t="s">
        <v>446</v>
      </c>
      <c r="D298" s="65">
        <v>20001</v>
      </c>
      <c r="E298" s="65" t="s">
        <v>447</v>
      </c>
      <c r="F298" s="66">
        <v>129166.79</v>
      </c>
      <c r="G298" s="66">
        <v>39948.93</v>
      </c>
      <c r="H298" s="65" t="str">
        <f>VLOOKUP(D298,'COA1'!D:I,3,0)</f>
        <v>PL</v>
      </c>
      <c r="I298" s="65" t="str">
        <f>VLOOKUP(D298,'COA1'!D:I,4,0)</f>
        <v>General and administrative expenses</v>
      </c>
      <c r="J298" s="65" t="str">
        <f>VLOOKUP(D298,'COA1'!D:I,5,0)</f>
        <v>Rent and related</v>
      </c>
      <c r="K298" s="264">
        <f t="shared" si="1"/>
        <v>3.2332978630466447</v>
      </c>
      <c r="L298" s="65"/>
      <c r="M298" s="65"/>
      <c r="N298" s="65"/>
      <c r="O298" s="65"/>
      <c r="P298" s="263"/>
      <c r="Q298" s="263"/>
      <c r="R298" s="263"/>
      <c r="S298" s="263"/>
      <c r="T298" s="65"/>
      <c r="U298" s="65"/>
      <c r="V298" s="65"/>
      <c r="W298" s="65"/>
      <c r="X298" s="65"/>
      <c r="Y298" s="65"/>
      <c r="Z298" s="65"/>
    </row>
    <row r="299" spans="1:26" ht="15.75" hidden="1" customHeight="1">
      <c r="A299" s="65" t="s">
        <v>433</v>
      </c>
      <c r="B299" s="65" t="s">
        <v>434</v>
      </c>
      <c r="C299" s="65" t="s">
        <v>446</v>
      </c>
      <c r="D299" s="65">
        <v>20026</v>
      </c>
      <c r="E299" s="65" t="s">
        <v>548</v>
      </c>
      <c r="F299" s="66">
        <v>2367.89</v>
      </c>
      <c r="G299" s="66">
        <v>743.68</v>
      </c>
      <c r="H299" s="65" t="str">
        <f>VLOOKUP(D299,'COA1'!D:I,3,0)</f>
        <v>PL</v>
      </c>
      <c r="I299" s="65" t="str">
        <f>VLOOKUP(D299,'COA1'!D:I,4,0)</f>
        <v>General and administrative expenses</v>
      </c>
      <c r="J299" s="65" t="str">
        <f>VLOOKUP(D299,'COA1'!D:I,5,0)</f>
        <v>Other expenses</v>
      </c>
      <c r="K299" s="264">
        <f t="shared" si="1"/>
        <v>3.1840173192771086</v>
      </c>
      <c r="L299" s="65"/>
      <c r="M299" s="65"/>
      <c r="N299" s="65"/>
      <c r="O299" s="65"/>
      <c r="P299" s="263"/>
      <c r="Q299" s="263"/>
      <c r="R299" s="263"/>
      <c r="S299" s="263"/>
      <c r="T299" s="65"/>
      <c r="U299" s="65"/>
      <c r="V299" s="65"/>
      <c r="W299" s="65"/>
      <c r="X299" s="65"/>
      <c r="Y299" s="65"/>
      <c r="Z299" s="65"/>
    </row>
    <row r="300" spans="1:26" ht="15.75" hidden="1" customHeight="1">
      <c r="A300" s="65" t="s">
        <v>433</v>
      </c>
      <c r="B300" s="65" t="s">
        <v>434</v>
      </c>
      <c r="C300" s="65" t="s">
        <v>446</v>
      </c>
      <c r="D300" s="65">
        <v>20027</v>
      </c>
      <c r="E300" s="65" t="s">
        <v>449</v>
      </c>
      <c r="F300" s="66">
        <v>2652.82</v>
      </c>
      <c r="G300" s="66">
        <v>838.92</v>
      </c>
      <c r="H300" s="65" t="str">
        <f>VLOOKUP(D300,'COA1'!D:I,3,0)</f>
        <v>PL</v>
      </c>
      <c r="I300" s="65" t="str">
        <f>VLOOKUP(D300,'COA1'!D:I,4,0)</f>
        <v>General and administrative expenses</v>
      </c>
      <c r="J300" s="65" t="str">
        <f>VLOOKUP(D300,'COA1'!D:I,5,0)</f>
        <v>Other expenses</v>
      </c>
      <c r="K300" s="264">
        <f t="shared" si="1"/>
        <v>3.1621847136794932</v>
      </c>
      <c r="L300" s="65"/>
      <c r="M300" s="65"/>
      <c r="N300" s="65"/>
      <c r="O300" s="65"/>
      <c r="P300" s="263"/>
      <c r="Q300" s="263"/>
      <c r="R300" s="263"/>
      <c r="S300" s="263"/>
      <c r="T300" s="65"/>
      <c r="U300" s="65"/>
      <c r="V300" s="65"/>
      <c r="W300" s="65"/>
      <c r="X300" s="65"/>
      <c r="Y300" s="65"/>
      <c r="Z300" s="65"/>
    </row>
    <row r="301" spans="1:26" ht="15.75" hidden="1" customHeight="1">
      <c r="A301" s="65" t="s">
        <v>433</v>
      </c>
      <c r="B301" s="65" t="s">
        <v>434</v>
      </c>
      <c r="C301" s="65" t="s">
        <v>451</v>
      </c>
      <c r="D301" s="65">
        <v>20018</v>
      </c>
      <c r="E301" s="65" t="s">
        <v>452</v>
      </c>
      <c r="F301" s="66">
        <v>13030.97</v>
      </c>
      <c r="G301" s="66">
        <v>4071.9</v>
      </c>
      <c r="H301" s="65" t="str">
        <f>VLOOKUP(D301,'COA1'!D:I,3,0)</f>
        <v>PL</v>
      </c>
      <c r="I301" s="65" t="str">
        <f>VLOOKUP(D301,'COA1'!D:I,4,0)</f>
        <v>General and administrative expenses</v>
      </c>
      <c r="J301" s="65" t="str">
        <f>VLOOKUP(D301,'COA1'!D:I,5,0)</f>
        <v>insurance</v>
      </c>
      <c r="K301" s="264">
        <f t="shared" si="1"/>
        <v>3.2002185711829858</v>
      </c>
      <c r="L301" s="65"/>
      <c r="M301" s="65"/>
      <c r="N301" s="65"/>
      <c r="O301" s="65"/>
      <c r="P301" s="263"/>
      <c r="Q301" s="263"/>
      <c r="R301" s="263"/>
      <c r="S301" s="263"/>
      <c r="T301" s="65"/>
      <c r="U301" s="65"/>
      <c r="V301" s="65"/>
      <c r="W301" s="65"/>
      <c r="X301" s="65"/>
      <c r="Y301" s="65"/>
      <c r="Z301" s="65"/>
    </row>
    <row r="302" spans="1:26" ht="15.75" hidden="1" customHeight="1">
      <c r="A302" s="65" t="s">
        <v>433</v>
      </c>
      <c r="B302" s="65" t="s">
        <v>434</v>
      </c>
      <c r="C302" s="65" t="s">
        <v>454</v>
      </c>
      <c r="D302" s="65">
        <v>20002</v>
      </c>
      <c r="E302" s="65" t="s">
        <v>455</v>
      </c>
      <c r="F302" s="66">
        <v>77467.5</v>
      </c>
      <c r="G302" s="66">
        <v>23564.91</v>
      </c>
      <c r="H302" s="65" t="str">
        <f>VLOOKUP(D302,'COA1'!D:I,3,0)</f>
        <v>PL</v>
      </c>
      <c r="I302" s="65" t="str">
        <f>VLOOKUP(D302,'COA1'!D:I,4,0)</f>
        <v>General and administrative expenses</v>
      </c>
      <c r="J302" s="65" t="str">
        <f>VLOOKUP(D302,'COA1'!D:I,5,0)</f>
        <v>Rent and related</v>
      </c>
      <c r="K302" s="264">
        <f t="shared" si="1"/>
        <v>3.2874091180488278</v>
      </c>
      <c r="L302" s="65"/>
      <c r="M302" s="65"/>
      <c r="N302" s="65"/>
      <c r="O302" s="65"/>
      <c r="P302" s="263"/>
      <c r="Q302" s="263"/>
      <c r="R302" s="263"/>
      <c r="S302" s="263"/>
      <c r="T302" s="65"/>
      <c r="U302" s="65"/>
      <c r="V302" s="65"/>
      <c r="W302" s="65"/>
      <c r="X302" s="65"/>
      <c r="Y302" s="65"/>
      <c r="Z302" s="65"/>
    </row>
    <row r="303" spans="1:26" ht="15.75" hidden="1" customHeight="1">
      <c r="A303" s="65" t="s">
        <v>433</v>
      </c>
      <c r="B303" s="65" t="s">
        <v>434</v>
      </c>
      <c r="C303" s="65" t="s">
        <v>454</v>
      </c>
      <c r="D303" s="65">
        <v>20006</v>
      </c>
      <c r="E303" s="65" t="s">
        <v>456</v>
      </c>
      <c r="F303" s="66">
        <v>256153.95</v>
      </c>
      <c r="G303" s="66">
        <v>79835</v>
      </c>
      <c r="H303" s="65" t="str">
        <f>VLOOKUP(D303,'COA1'!D:I,3,0)</f>
        <v>PL</v>
      </c>
      <c r="I303" s="65" t="str">
        <f>VLOOKUP(D303,'COA1'!D:I,4,0)</f>
        <v>General and administrative expenses</v>
      </c>
      <c r="J303" s="65" t="str">
        <f>VLOOKUP(D303,'COA1'!D:I,5,0)</f>
        <v>Rent and related</v>
      </c>
      <c r="K303" s="264">
        <f t="shared" si="1"/>
        <v>3.2085419928602743</v>
      </c>
      <c r="L303" s="65"/>
      <c r="M303" s="65"/>
      <c r="N303" s="65"/>
      <c r="O303" s="65"/>
      <c r="P303" s="263"/>
      <c r="Q303" s="263"/>
      <c r="R303" s="263"/>
      <c r="S303" s="263"/>
      <c r="T303" s="65"/>
      <c r="U303" s="65"/>
      <c r="V303" s="65"/>
      <c r="W303" s="65"/>
      <c r="X303" s="65"/>
      <c r="Y303" s="65"/>
      <c r="Z303" s="65"/>
    </row>
    <row r="304" spans="1:26" ht="15.75" hidden="1" customHeight="1">
      <c r="A304" s="65" t="s">
        <v>433</v>
      </c>
      <c r="B304" s="65" t="s">
        <v>434</v>
      </c>
      <c r="C304" s="65" t="s">
        <v>454</v>
      </c>
      <c r="D304" s="65">
        <v>20009</v>
      </c>
      <c r="E304" s="65" t="s">
        <v>457</v>
      </c>
      <c r="F304" s="66">
        <v>609404.41</v>
      </c>
      <c r="G304" s="66">
        <v>189271.08</v>
      </c>
      <c r="H304" s="65" t="str">
        <f>VLOOKUP(D304,'COA1'!D:I,3,0)</f>
        <v>PL</v>
      </c>
      <c r="I304" s="65" t="str">
        <f>VLOOKUP(D304,'COA1'!D:I,4,0)</f>
        <v>General and administrative expenses</v>
      </c>
      <c r="J304" s="65" t="str">
        <f>VLOOKUP(D304,'COA1'!D:I,5,0)</f>
        <v>Rent and related</v>
      </c>
      <c r="K304" s="264">
        <f t="shared" si="1"/>
        <v>3.2197439249567346</v>
      </c>
      <c r="L304" s="65"/>
      <c r="M304" s="65"/>
      <c r="N304" s="65"/>
      <c r="O304" s="65"/>
      <c r="P304" s="263"/>
      <c r="Q304" s="263"/>
      <c r="R304" s="263"/>
      <c r="S304" s="263"/>
      <c r="T304" s="65"/>
      <c r="U304" s="65"/>
      <c r="V304" s="65"/>
      <c r="W304" s="65"/>
      <c r="X304" s="65"/>
      <c r="Y304" s="65"/>
      <c r="Z304" s="65"/>
    </row>
    <row r="305" spans="1:26" ht="15.75" hidden="1" customHeight="1">
      <c r="A305" s="65" t="s">
        <v>433</v>
      </c>
      <c r="B305" s="65" t="s">
        <v>434</v>
      </c>
      <c r="C305" s="65" t="s">
        <v>454</v>
      </c>
      <c r="D305" s="65">
        <v>20042</v>
      </c>
      <c r="E305" s="65" t="s">
        <v>458</v>
      </c>
      <c r="F305" s="66">
        <v>104449.36</v>
      </c>
      <c r="G305" s="66">
        <v>32558.41</v>
      </c>
      <c r="H305" s="65" t="str">
        <f>VLOOKUP(D305,'COA1'!D:I,3,0)</f>
        <v>PL</v>
      </c>
      <c r="I305" s="65" t="str">
        <f>VLOOKUP(D305,'COA1'!D:I,4,0)</f>
        <v>General and administrative expenses</v>
      </c>
      <c r="J305" s="65" t="str">
        <f>VLOOKUP(D305,'COA1'!D:I,5,0)</f>
        <v>Rent and related</v>
      </c>
      <c r="K305" s="264">
        <f t="shared" si="1"/>
        <v>3.2080608358946274</v>
      </c>
      <c r="L305" s="65"/>
      <c r="M305" s="65"/>
      <c r="N305" s="65"/>
      <c r="O305" s="65"/>
      <c r="P305" s="263"/>
      <c r="Q305" s="263"/>
      <c r="R305" s="263"/>
      <c r="S305" s="263"/>
      <c r="T305" s="65"/>
      <c r="U305" s="65"/>
      <c r="V305" s="65"/>
      <c r="W305" s="65"/>
      <c r="X305" s="65"/>
      <c r="Y305" s="65"/>
      <c r="Z305" s="65"/>
    </row>
    <row r="306" spans="1:26" ht="15.75" hidden="1" customHeight="1">
      <c r="A306" s="65" t="s">
        <v>433</v>
      </c>
      <c r="B306" s="65" t="s">
        <v>434</v>
      </c>
      <c r="C306" s="65" t="s">
        <v>459</v>
      </c>
      <c r="D306" s="65">
        <v>20600</v>
      </c>
      <c r="E306" s="65" t="s">
        <v>460</v>
      </c>
      <c r="F306" s="66">
        <v>227709</v>
      </c>
      <c r="G306" s="66">
        <v>70794.86</v>
      </c>
      <c r="H306" s="65" t="str">
        <f>VLOOKUP(D306,'COA1'!D:I,3,0)</f>
        <v>PL</v>
      </c>
      <c r="I306" s="65" t="str">
        <f>VLOOKUP(D306,'COA1'!D:I,4,0)</f>
        <v>General and administrative expenses</v>
      </c>
      <c r="J306" s="65" t="str">
        <f>VLOOKUP(D306,'COA1'!D:I,5,0)</f>
        <v>depreciation Exp</v>
      </c>
      <c r="K306" s="264">
        <f t="shared" si="1"/>
        <v>3.2164623250897026</v>
      </c>
      <c r="L306" s="65"/>
      <c r="M306" s="65"/>
      <c r="N306" s="65"/>
      <c r="O306" s="65"/>
      <c r="P306" s="263"/>
      <c r="Q306" s="263"/>
      <c r="R306" s="263"/>
      <c r="S306" s="263"/>
      <c r="T306" s="65"/>
      <c r="U306" s="65"/>
      <c r="V306" s="65"/>
      <c r="W306" s="65"/>
      <c r="X306" s="65"/>
      <c r="Y306" s="65"/>
      <c r="Z306" s="65"/>
    </row>
    <row r="307" spans="1:26" ht="15.75" hidden="1" customHeight="1">
      <c r="A307" s="65" t="s">
        <v>433</v>
      </c>
      <c r="B307" s="65" t="s">
        <v>434</v>
      </c>
      <c r="C307" s="65" t="s">
        <v>459</v>
      </c>
      <c r="D307" s="65">
        <v>20601</v>
      </c>
      <c r="E307" s="65" t="s">
        <v>462</v>
      </c>
      <c r="F307" s="66">
        <v>1512</v>
      </c>
      <c r="G307" s="66">
        <v>467.9</v>
      </c>
      <c r="H307" s="65" t="str">
        <f>VLOOKUP(D307,'COA1'!D:I,3,0)</f>
        <v>PL</v>
      </c>
      <c r="I307" s="65" t="str">
        <f>VLOOKUP(D307,'COA1'!D:I,4,0)</f>
        <v>General and administrative expenses</v>
      </c>
      <c r="J307" s="65" t="str">
        <f>VLOOKUP(D307,'COA1'!D:I,5,0)</f>
        <v>depreciation Exp</v>
      </c>
      <c r="K307" s="264">
        <f t="shared" si="1"/>
        <v>3.2314597136140204</v>
      </c>
      <c r="L307" s="65"/>
      <c r="M307" s="65"/>
      <c r="N307" s="65"/>
      <c r="O307" s="65"/>
      <c r="P307" s="263"/>
      <c r="Q307" s="263"/>
      <c r="R307" s="263"/>
      <c r="S307" s="263"/>
      <c r="T307" s="65"/>
      <c r="U307" s="65"/>
      <c r="V307" s="65"/>
      <c r="W307" s="65"/>
      <c r="X307" s="65"/>
      <c r="Y307" s="65"/>
      <c r="Z307" s="65"/>
    </row>
    <row r="308" spans="1:26" ht="15.75" hidden="1" customHeight="1">
      <c r="A308" s="65" t="s">
        <v>433</v>
      </c>
      <c r="B308" s="65" t="s">
        <v>434</v>
      </c>
      <c r="C308" s="65" t="s">
        <v>459</v>
      </c>
      <c r="D308" s="65">
        <v>20602</v>
      </c>
      <c r="E308" s="65" t="s">
        <v>463</v>
      </c>
      <c r="F308" s="66">
        <v>5778.76</v>
      </c>
      <c r="G308" s="66">
        <v>1811.76</v>
      </c>
      <c r="H308" s="65" t="str">
        <f>VLOOKUP(D308,'COA1'!D:I,3,0)</f>
        <v>PL</v>
      </c>
      <c r="I308" s="65" t="str">
        <f>VLOOKUP(D308,'COA1'!D:I,4,0)</f>
        <v>General and administrative expenses</v>
      </c>
      <c r="J308" s="65" t="str">
        <f>VLOOKUP(D308,'COA1'!D:I,5,0)</f>
        <v>depreciation Exp</v>
      </c>
      <c r="K308" s="264">
        <f t="shared" si="1"/>
        <v>3.1895836093080763</v>
      </c>
      <c r="L308" s="65"/>
      <c r="M308" s="65"/>
      <c r="N308" s="65"/>
      <c r="O308" s="65"/>
      <c r="P308" s="263"/>
      <c r="Q308" s="263"/>
      <c r="R308" s="263"/>
      <c r="S308" s="263"/>
      <c r="T308" s="65"/>
      <c r="U308" s="65"/>
      <c r="V308" s="65"/>
      <c r="W308" s="65"/>
      <c r="X308" s="65"/>
      <c r="Y308" s="65"/>
      <c r="Z308" s="65"/>
    </row>
    <row r="309" spans="1:26" ht="15.75" hidden="1" customHeight="1">
      <c r="A309" s="65" t="s">
        <v>433</v>
      </c>
      <c r="B309" s="65" t="s">
        <v>434</v>
      </c>
      <c r="C309" s="65" t="s">
        <v>459</v>
      </c>
      <c r="D309" s="65">
        <v>20603</v>
      </c>
      <c r="E309" s="65" t="s">
        <v>464</v>
      </c>
      <c r="F309" s="66">
        <v>25423</v>
      </c>
      <c r="G309" s="66">
        <v>7931.2</v>
      </c>
      <c r="H309" s="65" t="str">
        <f>VLOOKUP(D309,'COA1'!D:I,3,0)</f>
        <v>PL</v>
      </c>
      <c r="I309" s="65" t="str">
        <f>VLOOKUP(D309,'COA1'!D:I,4,0)</f>
        <v>General and administrative expenses</v>
      </c>
      <c r="J309" s="65" t="str">
        <f>VLOOKUP(D309,'COA1'!D:I,5,0)</f>
        <v>depreciation Exp</v>
      </c>
      <c r="K309" s="264">
        <f t="shared" si="1"/>
        <v>3.2054417994754894</v>
      </c>
      <c r="L309" s="65"/>
      <c r="M309" s="65"/>
      <c r="N309" s="65"/>
      <c r="O309" s="65"/>
      <c r="P309" s="263"/>
      <c r="Q309" s="263"/>
      <c r="R309" s="263"/>
      <c r="S309" s="263"/>
      <c r="T309" s="65"/>
      <c r="U309" s="65"/>
      <c r="V309" s="65"/>
      <c r="W309" s="65"/>
      <c r="X309" s="65"/>
      <c r="Y309" s="65"/>
      <c r="Z309" s="65"/>
    </row>
    <row r="310" spans="1:26" ht="15.75" hidden="1" customHeight="1">
      <c r="A310" s="65" t="s">
        <v>433</v>
      </c>
      <c r="B310" s="65" t="s">
        <v>434</v>
      </c>
      <c r="C310" s="65" t="s">
        <v>459</v>
      </c>
      <c r="D310" s="65">
        <v>20604</v>
      </c>
      <c r="E310" s="65" t="s">
        <v>465</v>
      </c>
      <c r="F310" s="66">
        <v>7418</v>
      </c>
      <c r="G310" s="66">
        <v>2325.84</v>
      </c>
      <c r="H310" s="65" t="str">
        <f>VLOOKUP(D310,'COA1'!D:I,3,0)</f>
        <v>PL</v>
      </c>
      <c r="I310" s="65" t="str">
        <f>VLOOKUP(D310,'COA1'!D:I,4,0)</f>
        <v>General and administrative expenses</v>
      </c>
      <c r="J310" s="65" t="str">
        <f>VLOOKUP(D310,'COA1'!D:I,5,0)</f>
        <v>depreciation Exp</v>
      </c>
      <c r="K310" s="264">
        <f t="shared" si="1"/>
        <v>3.1893853403501526</v>
      </c>
      <c r="L310" s="65"/>
      <c r="M310" s="65"/>
      <c r="N310" s="65"/>
      <c r="O310" s="65"/>
      <c r="P310" s="263"/>
      <c r="Q310" s="263"/>
      <c r="R310" s="263"/>
      <c r="S310" s="263"/>
      <c r="T310" s="65"/>
      <c r="U310" s="65"/>
      <c r="V310" s="65"/>
      <c r="W310" s="65"/>
      <c r="X310" s="65"/>
      <c r="Y310" s="65"/>
      <c r="Z310" s="65"/>
    </row>
    <row r="311" spans="1:26" ht="15.75" hidden="1" customHeight="1">
      <c r="A311" s="65" t="s">
        <v>433</v>
      </c>
      <c r="B311" s="65" t="s">
        <v>434</v>
      </c>
      <c r="C311" s="65" t="s">
        <v>861</v>
      </c>
      <c r="D311" s="65">
        <v>20044</v>
      </c>
      <c r="E311" s="65" t="s">
        <v>862</v>
      </c>
      <c r="F311" s="66">
        <v>37823.32</v>
      </c>
      <c r="G311" s="66">
        <v>11979.3</v>
      </c>
      <c r="H311" s="65" t="str">
        <f>VLOOKUP(D311,'COA1'!D:I,3,0)</f>
        <v>PL</v>
      </c>
      <c r="I311" s="65" t="str">
        <f>VLOOKUP(D311,'COA1'!D:I,4,0)</f>
        <v>General and administrative expenses</v>
      </c>
      <c r="J311" s="65" t="str">
        <f>VLOOKUP(D311,'COA1'!D:I,5,0)</f>
        <v>Travel Parking and transportation</v>
      </c>
      <c r="K311" s="264">
        <f t="shared" si="1"/>
        <v>3.1573898307914487</v>
      </c>
      <c r="L311" s="65"/>
      <c r="M311" s="65"/>
      <c r="N311" s="65"/>
      <c r="O311" s="65"/>
      <c r="P311" s="263"/>
      <c r="Q311" s="263"/>
      <c r="R311" s="263"/>
      <c r="S311" s="263"/>
      <c r="T311" s="65"/>
      <c r="U311" s="65"/>
      <c r="V311" s="65"/>
      <c r="W311" s="65"/>
      <c r="X311" s="65"/>
      <c r="Y311" s="65"/>
      <c r="Z311" s="65"/>
    </row>
    <row r="312" spans="1:26" ht="15.75" hidden="1" customHeight="1">
      <c r="A312" s="65" t="s">
        <v>433</v>
      </c>
      <c r="B312" s="65" t="s">
        <v>434</v>
      </c>
      <c r="C312" s="65" t="s">
        <v>861</v>
      </c>
      <c r="D312" s="65">
        <v>20069</v>
      </c>
      <c r="E312" s="65" t="s">
        <v>654</v>
      </c>
      <c r="F312" s="66">
        <v>8496.7800000000007</v>
      </c>
      <c r="G312" s="66">
        <v>2667.25</v>
      </c>
      <c r="H312" s="65" t="str">
        <f>VLOOKUP(D312,'COA1'!D:I,3,0)</f>
        <v>PL</v>
      </c>
      <c r="I312" s="65" t="str">
        <f>VLOOKUP(D312,'COA1'!D:I,4,0)</f>
        <v>General and administrative expenses</v>
      </c>
      <c r="J312" s="65" t="str">
        <f>VLOOKUP(D312,'COA1'!D:I,5,0)</f>
        <v>Travel Parking and transportation</v>
      </c>
      <c r="K312" s="264">
        <f t="shared" si="1"/>
        <v>3.1855956509513548</v>
      </c>
      <c r="L312" s="65"/>
      <c r="M312" s="65"/>
      <c r="N312" s="65"/>
      <c r="O312" s="65"/>
      <c r="P312" s="263"/>
      <c r="Q312" s="263"/>
      <c r="R312" s="263"/>
      <c r="S312" s="263"/>
      <c r="T312" s="65"/>
      <c r="U312" s="65"/>
      <c r="V312" s="65"/>
      <c r="W312" s="65"/>
      <c r="X312" s="65"/>
      <c r="Y312" s="65"/>
      <c r="Z312" s="65"/>
    </row>
    <row r="313" spans="1:26" ht="15.75" hidden="1" customHeight="1">
      <c r="A313" s="65" t="s">
        <v>433</v>
      </c>
      <c r="B313" s="65" t="s">
        <v>434</v>
      </c>
      <c r="C313" s="65" t="s">
        <v>861</v>
      </c>
      <c r="D313" s="65">
        <v>20072</v>
      </c>
      <c r="E313" s="65" t="s">
        <v>772</v>
      </c>
      <c r="F313" s="66">
        <v>18526.34</v>
      </c>
      <c r="G313" s="66">
        <v>5905.22</v>
      </c>
      <c r="H313" s="65" t="str">
        <f>VLOOKUP(D313,'COA1'!D:I,3,0)</f>
        <v>PL</v>
      </c>
      <c r="I313" s="65" t="str">
        <f>VLOOKUP(D313,'COA1'!D:I,4,0)</f>
        <v>General and administrative expenses</v>
      </c>
      <c r="J313" s="65" t="str">
        <f>VLOOKUP(D313,'COA1'!D:I,5,0)</f>
        <v>Travel Parking and transportation</v>
      </c>
      <c r="K313" s="264">
        <f t="shared" si="1"/>
        <v>3.1372819302244452</v>
      </c>
      <c r="L313" s="65"/>
      <c r="M313" s="65"/>
      <c r="N313" s="65"/>
      <c r="O313" s="65"/>
      <c r="P313" s="263"/>
      <c r="Q313" s="263"/>
      <c r="R313" s="263"/>
      <c r="S313" s="263"/>
      <c r="T313" s="65"/>
      <c r="U313" s="65"/>
      <c r="V313" s="65"/>
      <c r="W313" s="65"/>
      <c r="X313" s="65"/>
      <c r="Y313" s="65"/>
      <c r="Z313" s="65"/>
    </row>
    <row r="314" spans="1:26" ht="15.75" hidden="1" customHeight="1">
      <c r="A314" s="65" t="s">
        <v>433</v>
      </c>
      <c r="B314" s="65" t="s">
        <v>434</v>
      </c>
      <c r="C314" s="65" t="s">
        <v>466</v>
      </c>
      <c r="D314" s="65">
        <v>20003</v>
      </c>
      <c r="E314" s="65" t="s">
        <v>863</v>
      </c>
      <c r="F314" s="66">
        <v>11415.96</v>
      </c>
      <c r="G314" s="66">
        <v>3683.11</v>
      </c>
      <c r="H314" s="65" t="str">
        <f>VLOOKUP(D314,'COA1'!D:I,3,0)</f>
        <v>PL</v>
      </c>
      <c r="I314" s="65" t="str">
        <f>VLOOKUP(D314,'COA1'!D:I,4,0)</f>
        <v>General and administrative expenses</v>
      </c>
      <c r="J314" s="65" t="str">
        <f>VLOOKUP(D314,'COA1'!D:I,5,0)</f>
        <v>Travel Parking and transportation</v>
      </c>
      <c r="K314" s="264">
        <f t="shared" si="1"/>
        <v>3.0995435922359089</v>
      </c>
      <c r="L314" s="65"/>
      <c r="M314" s="65"/>
      <c r="N314" s="65"/>
      <c r="O314" s="65"/>
      <c r="P314" s="263"/>
      <c r="Q314" s="263"/>
      <c r="R314" s="263"/>
      <c r="S314" s="263"/>
      <c r="T314" s="65"/>
      <c r="U314" s="65"/>
      <c r="V314" s="65"/>
      <c r="W314" s="65"/>
      <c r="X314" s="65"/>
      <c r="Y314" s="65"/>
      <c r="Z314" s="65"/>
    </row>
    <row r="315" spans="1:26" ht="15.75" hidden="1" customHeight="1">
      <c r="A315" s="65" t="s">
        <v>433</v>
      </c>
      <c r="B315" s="65" t="s">
        <v>434</v>
      </c>
      <c r="C315" s="65" t="s">
        <v>466</v>
      </c>
      <c r="D315" s="65">
        <v>20007</v>
      </c>
      <c r="E315" s="65" t="s">
        <v>467</v>
      </c>
      <c r="F315" s="66">
        <v>1951.7</v>
      </c>
      <c r="G315" s="66">
        <v>599.29</v>
      </c>
      <c r="H315" s="65" t="str">
        <f>VLOOKUP(D315,'COA1'!D:I,3,0)</f>
        <v>PL</v>
      </c>
      <c r="I315" s="65" t="str">
        <f>VLOOKUP(D315,'COA1'!D:I,4,0)</f>
        <v>General and administrative expenses</v>
      </c>
      <c r="J315" s="65" t="str">
        <f>VLOOKUP(D315,'COA1'!D:I,5,0)</f>
        <v>depreciation Exp</v>
      </c>
      <c r="K315" s="264">
        <f t="shared" si="1"/>
        <v>3.2566870797109915</v>
      </c>
      <c r="L315" s="65"/>
      <c r="M315" s="65"/>
      <c r="N315" s="65"/>
      <c r="O315" s="65"/>
      <c r="P315" s="263"/>
      <c r="Q315" s="263"/>
      <c r="R315" s="263"/>
      <c r="S315" s="263"/>
      <c r="T315" s="65"/>
      <c r="U315" s="65"/>
      <c r="V315" s="65"/>
      <c r="W315" s="65"/>
      <c r="X315" s="65"/>
      <c r="Y315" s="65"/>
      <c r="Z315" s="65"/>
    </row>
    <row r="316" spans="1:26" ht="15.75" hidden="1" customHeight="1">
      <c r="A316" s="65" t="s">
        <v>433</v>
      </c>
      <c r="B316" s="65" t="s">
        <v>434</v>
      </c>
      <c r="C316" s="65" t="s">
        <v>466</v>
      </c>
      <c r="D316" s="65">
        <v>20008</v>
      </c>
      <c r="E316" s="65" t="s">
        <v>468</v>
      </c>
      <c r="F316" s="66">
        <v>39652.19</v>
      </c>
      <c r="G316" s="66">
        <v>12301.63</v>
      </c>
      <c r="H316" s="65" t="str">
        <f>VLOOKUP(D316,'COA1'!D:I,3,0)</f>
        <v>PL</v>
      </c>
      <c r="I316" s="65" t="str">
        <f>VLOOKUP(D316,'COA1'!D:I,4,0)</f>
        <v>General and administrative expenses</v>
      </c>
      <c r="J316" s="65" t="str">
        <f>VLOOKUP(D316,'COA1'!D:I,5,0)</f>
        <v>Travel Parking and transportation</v>
      </c>
      <c r="K316" s="264">
        <f t="shared" si="1"/>
        <v>3.2233281280610786</v>
      </c>
      <c r="L316" s="65"/>
      <c r="M316" s="65"/>
      <c r="N316" s="65"/>
      <c r="O316" s="65"/>
      <c r="P316" s="263"/>
      <c r="Q316" s="263"/>
      <c r="R316" s="263"/>
      <c r="S316" s="263"/>
      <c r="T316" s="65"/>
      <c r="U316" s="65"/>
      <c r="V316" s="65"/>
      <c r="W316" s="65"/>
      <c r="X316" s="65"/>
      <c r="Y316" s="65"/>
      <c r="Z316" s="65"/>
    </row>
    <row r="317" spans="1:26" ht="15.75" hidden="1" customHeight="1">
      <c r="A317" s="65" t="s">
        <v>433</v>
      </c>
      <c r="B317" s="65" t="s">
        <v>434</v>
      </c>
      <c r="C317" s="65" t="s">
        <v>466</v>
      </c>
      <c r="D317" s="65">
        <v>20028</v>
      </c>
      <c r="E317" s="65" t="s">
        <v>470</v>
      </c>
      <c r="F317" s="66">
        <v>185172.39</v>
      </c>
      <c r="G317" s="66">
        <v>58002.559999999998</v>
      </c>
      <c r="H317" s="65" t="str">
        <f>VLOOKUP(D317,'COA1'!D:I,3,0)</f>
        <v>PL</v>
      </c>
      <c r="I317" s="65" t="str">
        <f>VLOOKUP(D317,'COA1'!D:I,4,0)</f>
        <v>General and administrative expenses</v>
      </c>
      <c r="J317" s="65" t="str">
        <f>VLOOKUP(D317,'COA1'!D:I,5,0)</f>
        <v>Travel Parking and transportation</v>
      </c>
      <c r="K317" s="264">
        <f t="shared" si="1"/>
        <v>3.1924865040439596</v>
      </c>
      <c r="L317" s="65"/>
      <c r="M317" s="65"/>
      <c r="N317" s="65"/>
      <c r="O317" s="65"/>
      <c r="P317" s="263"/>
      <c r="Q317" s="263"/>
      <c r="R317" s="263"/>
      <c r="S317" s="263"/>
      <c r="T317" s="65"/>
      <c r="U317" s="65"/>
      <c r="V317" s="65"/>
      <c r="W317" s="65"/>
      <c r="X317" s="65"/>
      <c r="Y317" s="65"/>
      <c r="Z317" s="65"/>
    </row>
    <row r="318" spans="1:26" ht="15.75" hidden="1" customHeight="1">
      <c r="A318" s="65" t="s">
        <v>433</v>
      </c>
      <c r="B318" s="65" t="s">
        <v>434</v>
      </c>
      <c r="C318" s="65" t="s">
        <v>471</v>
      </c>
      <c r="D318" s="65">
        <v>20014</v>
      </c>
      <c r="E318" s="65" t="s">
        <v>25</v>
      </c>
      <c r="F318" s="66">
        <v>162989.07</v>
      </c>
      <c r="G318" s="66">
        <v>50996.45</v>
      </c>
      <c r="H318" s="65" t="str">
        <f>VLOOKUP(D318,'COA1'!D:I,3,0)</f>
        <v>PL</v>
      </c>
      <c r="I318" s="65" t="str">
        <f>VLOOKUP(D318,'COA1'!D:I,4,0)</f>
        <v>General and administrative expenses</v>
      </c>
      <c r="J318" s="65" t="str">
        <f>VLOOKUP(D318,'COA1'!D:I,5,0)</f>
        <v>Refreshment</v>
      </c>
      <c r="K318" s="264">
        <f t="shared" si="1"/>
        <v>3.1960865903410927</v>
      </c>
      <c r="L318" s="65"/>
      <c r="M318" s="65"/>
      <c r="N318" s="65"/>
      <c r="O318" s="65"/>
      <c r="P318" s="263"/>
      <c r="Q318" s="263"/>
      <c r="R318" s="263"/>
      <c r="S318" s="263"/>
      <c r="T318" s="65"/>
      <c r="U318" s="65"/>
      <c r="V318" s="65"/>
      <c r="W318" s="65"/>
      <c r="X318" s="65"/>
      <c r="Y318" s="65"/>
      <c r="Z318" s="65"/>
    </row>
    <row r="319" spans="1:26" ht="15.75" hidden="1" customHeight="1">
      <c r="A319" s="65" t="s">
        <v>433</v>
      </c>
      <c r="B319" s="65" t="s">
        <v>434</v>
      </c>
      <c r="C319" s="65" t="s">
        <v>471</v>
      </c>
      <c r="D319" s="65">
        <v>20021</v>
      </c>
      <c r="E319" s="65" t="s">
        <v>27</v>
      </c>
      <c r="F319" s="66">
        <v>274886.48</v>
      </c>
      <c r="G319" s="66">
        <v>85326.46</v>
      </c>
      <c r="H319" s="65" t="str">
        <f>VLOOKUP(D319,'COA1'!D:I,3,0)</f>
        <v>PL</v>
      </c>
      <c r="I319" s="65" t="str">
        <f>VLOOKUP(D319,'COA1'!D:I,4,0)</f>
        <v>General and administrative expenses</v>
      </c>
      <c r="J319" s="65" t="str">
        <f>VLOOKUP(D319,'COA1'!D:I,5,0)</f>
        <v xml:space="preserve">Gift </v>
      </c>
      <c r="K319" s="264">
        <f t="shared" si="1"/>
        <v>3.2215854261386205</v>
      </c>
      <c r="L319" s="65"/>
      <c r="M319" s="65"/>
      <c r="N319" s="65"/>
      <c r="O319" s="65"/>
      <c r="P319" s="263"/>
      <c r="Q319" s="263"/>
      <c r="R319" s="263"/>
      <c r="S319" s="263"/>
      <c r="T319" s="65"/>
      <c r="U319" s="65"/>
      <c r="V319" s="65"/>
      <c r="W319" s="65"/>
      <c r="X319" s="65"/>
      <c r="Y319" s="65"/>
      <c r="Z319" s="65"/>
    </row>
    <row r="320" spans="1:26" ht="15.75" hidden="1" customHeight="1">
      <c r="A320" s="65" t="s">
        <v>433</v>
      </c>
      <c r="B320" s="65" t="s">
        <v>434</v>
      </c>
      <c r="C320" s="65" t="s">
        <v>471</v>
      </c>
      <c r="D320" s="65">
        <v>20024</v>
      </c>
      <c r="E320" s="65" t="s">
        <v>11</v>
      </c>
      <c r="F320" s="66">
        <v>778158.31</v>
      </c>
      <c r="G320" s="66">
        <v>242018.36</v>
      </c>
      <c r="H320" s="65" t="str">
        <f>VLOOKUP(D320,'COA1'!D:I,3,0)</f>
        <v>PL</v>
      </c>
      <c r="I320" s="65" t="str">
        <f>VLOOKUP(D320,'COA1'!D:I,4,0)</f>
        <v>General and administrative expenses</v>
      </c>
      <c r="J320" s="65" t="str">
        <f>VLOOKUP(D320,'COA1'!D:I,5,0)</f>
        <v xml:space="preserve">Meals </v>
      </c>
      <c r="K320" s="264">
        <f t="shared" si="1"/>
        <v>3.2152862700168701</v>
      </c>
      <c r="L320" s="65"/>
      <c r="M320" s="65"/>
      <c r="N320" s="65"/>
      <c r="O320" s="65"/>
      <c r="P320" s="263"/>
      <c r="Q320" s="263"/>
      <c r="R320" s="263"/>
      <c r="S320" s="263"/>
      <c r="T320" s="65"/>
      <c r="U320" s="65"/>
      <c r="V320" s="65"/>
      <c r="W320" s="65"/>
      <c r="X320" s="65"/>
      <c r="Y320" s="65"/>
      <c r="Z320" s="65"/>
    </row>
    <row r="321" spans="1:26" ht="15.75" hidden="1" customHeight="1">
      <c r="A321" s="65" t="s">
        <v>433</v>
      </c>
      <c r="B321" s="65" t="s">
        <v>434</v>
      </c>
      <c r="C321" s="65" t="s">
        <v>471</v>
      </c>
      <c r="D321" s="65">
        <v>20035</v>
      </c>
      <c r="E321" s="65" t="s">
        <v>475</v>
      </c>
      <c r="F321" s="66">
        <v>-876.79</v>
      </c>
      <c r="G321" s="66">
        <v>-294.32</v>
      </c>
      <c r="H321" s="65" t="str">
        <f>VLOOKUP(D321,'COA1'!D:I,3,0)</f>
        <v>PL</v>
      </c>
      <c r="I321" s="65" t="str">
        <f>VLOOKUP(D321,'COA1'!D:I,4,0)</f>
        <v>General and administrative expenses</v>
      </c>
      <c r="J321" s="65" t="str">
        <f>VLOOKUP(D321,'COA1'!D:I,5,0)</f>
        <v>Other expenses</v>
      </c>
      <c r="K321" s="264">
        <f t="shared" si="1"/>
        <v>2.9790364229410167</v>
      </c>
      <c r="L321" s="65"/>
      <c r="M321" s="65"/>
      <c r="N321" s="65"/>
      <c r="O321" s="65"/>
      <c r="P321" s="263"/>
      <c r="Q321" s="263"/>
      <c r="R321" s="263"/>
      <c r="S321" s="263"/>
      <c r="T321" s="65"/>
      <c r="U321" s="65"/>
      <c r="V321" s="65"/>
      <c r="W321" s="65"/>
      <c r="X321" s="65"/>
      <c r="Y321" s="65"/>
      <c r="Z321" s="65"/>
    </row>
    <row r="322" spans="1:26" ht="15.75" hidden="1" customHeight="1">
      <c r="A322" s="65" t="s">
        <v>433</v>
      </c>
      <c r="B322" s="65" t="s">
        <v>434</v>
      </c>
      <c r="C322" s="65" t="s">
        <v>471</v>
      </c>
      <c r="D322" s="65">
        <v>20036</v>
      </c>
      <c r="E322" s="65" t="s">
        <v>29</v>
      </c>
      <c r="F322" s="66">
        <v>726384.99</v>
      </c>
      <c r="G322" s="66">
        <v>230383.04</v>
      </c>
      <c r="H322" s="65" t="str">
        <f>VLOOKUP(D322,'COA1'!D:I,3,0)</f>
        <v>PL</v>
      </c>
      <c r="I322" s="65" t="str">
        <f>VLOOKUP(D322,'COA1'!D:I,4,0)</f>
        <v>General and administrative expenses</v>
      </c>
      <c r="J322" s="65" t="str">
        <f>VLOOKUP(D322,'COA1'!D:I,5,0)</f>
        <v>Welfare</v>
      </c>
      <c r="K322" s="264">
        <f t="shared" si="1"/>
        <v>3.1529447219725895</v>
      </c>
      <c r="L322" s="65"/>
      <c r="M322" s="65"/>
      <c r="N322" s="65"/>
      <c r="O322" s="65"/>
      <c r="P322" s="263"/>
      <c r="Q322" s="263"/>
      <c r="R322" s="263"/>
      <c r="S322" s="263"/>
      <c r="T322" s="65"/>
      <c r="U322" s="65"/>
      <c r="V322" s="65"/>
      <c r="W322" s="65"/>
      <c r="X322" s="65"/>
      <c r="Y322" s="65"/>
      <c r="Z322" s="65"/>
    </row>
    <row r="323" spans="1:26" ht="15.75" hidden="1" customHeight="1">
      <c r="A323" s="65" t="s">
        <v>433</v>
      </c>
      <c r="B323" s="65" t="s">
        <v>434</v>
      </c>
      <c r="C323" s="65" t="s">
        <v>471</v>
      </c>
      <c r="D323" s="65">
        <v>20038</v>
      </c>
      <c r="E323" s="65" t="s">
        <v>596</v>
      </c>
      <c r="F323" s="66">
        <v>14320</v>
      </c>
      <c r="G323" s="66">
        <v>4437.5600000000004</v>
      </c>
      <c r="H323" s="65" t="str">
        <f>VLOOKUP(D323,'COA1'!D:I,3,0)</f>
        <v>PL</v>
      </c>
      <c r="I323" s="65" t="str">
        <f>VLOOKUP(D323,'COA1'!D:I,4,0)</f>
        <v>General and administrative expenses</v>
      </c>
      <c r="J323" s="65" t="str">
        <f>VLOOKUP(D323,'COA1'!D:I,5,0)</f>
        <v>Other expenses</v>
      </c>
      <c r="K323" s="264">
        <f t="shared" si="1"/>
        <v>3.2269986208637178</v>
      </c>
      <c r="L323" s="65"/>
      <c r="M323" s="65"/>
      <c r="N323" s="65"/>
      <c r="O323" s="65"/>
      <c r="P323" s="263"/>
      <c r="Q323" s="263"/>
      <c r="R323" s="263"/>
      <c r="S323" s="263"/>
      <c r="T323" s="65"/>
      <c r="U323" s="65"/>
      <c r="V323" s="65"/>
      <c r="W323" s="65"/>
      <c r="X323" s="65"/>
      <c r="Y323" s="65"/>
      <c r="Z323" s="65"/>
    </row>
    <row r="324" spans="1:26" ht="15.75" hidden="1" customHeight="1">
      <c r="A324" s="65" t="s">
        <v>433</v>
      </c>
      <c r="B324" s="65" t="s">
        <v>434</v>
      </c>
      <c r="C324" s="65" t="s">
        <v>471</v>
      </c>
      <c r="D324" s="65">
        <v>20039</v>
      </c>
      <c r="E324" s="65" t="s">
        <v>16</v>
      </c>
      <c r="F324" s="66">
        <v>77400</v>
      </c>
      <c r="G324" s="66">
        <v>24499.37</v>
      </c>
      <c r="H324" s="65" t="str">
        <f>VLOOKUP(D324,'COA1'!D:I,3,0)</f>
        <v>PL</v>
      </c>
      <c r="I324" s="65" t="str">
        <f>VLOOKUP(D324,'COA1'!D:I,4,0)</f>
        <v>General and administrative expenses</v>
      </c>
      <c r="J324" s="65" t="str">
        <f>VLOOKUP(D324,'COA1'!D:I,5,0)</f>
        <v>Other expenses</v>
      </c>
      <c r="K324" s="264">
        <f t="shared" si="1"/>
        <v>3.1592649117099749</v>
      </c>
      <c r="L324" s="65"/>
      <c r="M324" s="65"/>
      <c r="N324" s="65"/>
      <c r="O324" s="65"/>
      <c r="P324" s="263"/>
      <c r="Q324" s="263"/>
      <c r="R324" s="263"/>
      <c r="S324" s="263"/>
      <c r="T324" s="65"/>
      <c r="U324" s="65"/>
      <c r="V324" s="65"/>
      <c r="W324" s="65"/>
      <c r="X324" s="65"/>
      <c r="Y324" s="65"/>
      <c r="Z324" s="65"/>
    </row>
    <row r="325" spans="1:26" ht="15.75" hidden="1" customHeight="1">
      <c r="A325" s="65" t="s">
        <v>433</v>
      </c>
      <c r="B325" s="65" t="s">
        <v>434</v>
      </c>
      <c r="C325" s="65" t="s">
        <v>471</v>
      </c>
      <c r="D325" s="65">
        <v>20040</v>
      </c>
      <c r="E325" s="65" t="s">
        <v>477</v>
      </c>
      <c r="F325" s="66">
        <v>28708.66</v>
      </c>
      <c r="G325" s="66">
        <v>8940.35</v>
      </c>
      <c r="H325" s="65" t="str">
        <f>VLOOKUP(D325,'COA1'!D:I,3,0)</f>
        <v>PL</v>
      </c>
      <c r="I325" s="65" t="str">
        <f>VLOOKUP(D325,'COA1'!D:I,4,0)</f>
        <v>General and administrative expenses</v>
      </c>
      <c r="J325" s="65" t="str">
        <f>VLOOKUP(D325,'COA1'!D:I,5,0)</f>
        <v>Welfare</v>
      </c>
      <c r="K325" s="264">
        <f t="shared" si="1"/>
        <v>3.211133792301196</v>
      </c>
      <c r="L325" s="65"/>
      <c r="M325" s="65"/>
      <c r="N325" s="65"/>
      <c r="O325" s="65"/>
      <c r="P325" s="263"/>
      <c r="Q325" s="263"/>
      <c r="R325" s="263"/>
      <c r="S325" s="263"/>
      <c r="T325" s="65"/>
      <c r="U325" s="65"/>
      <c r="V325" s="65"/>
      <c r="W325" s="65"/>
      <c r="X325" s="65"/>
      <c r="Y325" s="65"/>
      <c r="Z325" s="65"/>
    </row>
    <row r="326" spans="1:26" ht="15.75" hidden="1" customHeight="1">
      <c r="A326" s="65" t="s">
        <v>433</v>
      </c>
      <c r="B326" s="65" t="s">
        <v>434</v>
      </c>
      <c r="C326" s="65" t="s">
        <v>471</v>
      </c>
      <c r="D326" s="65">
        <v>20041</v>
      </c>
      <c r="E326" s="65" t="s">
        <v>31</v>
      </c>
      <c r="F326" s="66">
        <v>15640.26</v>
      </c>
      <c r="G326" s="66">
        <v>4810.9399999999996</v>
      </c>
      <c r="H326" s="65" t="str">
        <f>VLOOKUP(D326,'COA1'!D:I,3,0)</f>
        <v>PL</v>
      </c>
      <c r="I326" s="65" t="str">
        <f>VLOOKUP(D326,'COA1'!D:I,4,0)</f>
        <v>General and administrative expenses</v>
      </c>
      <c r="J326" s="65" t="str">
        <f>VLOOKUP(D326,'COA1'!D:I,5,0)</f>
        <v xml:space="preserve">Gift </v>
      </c>
      <c r="K326" s="264">
        <f t="shared" si="1"/>
        <v>3.2509779793553863</v>
      </c>
      <c r="L326" s="65"/>
      <c r="M326" s="65"/>
      <c r="N326" s="65"/>
      <c r="O326" s="65"/>
      <c r="P326" s="263"/>
      <c r="Q326" s="263"/>
      <c r="R326" s="263"/>
      <c r="S326" s="263"/>
      <c r="T326" s="65"/>
      <c r="U326" s="65"/>
      <c r="V326" s="65"/>
      <c r="W326" s="65"/>
      <c r="X326" s="65"/>
      <c r="Y326" s="65"/>
      <c r="Z326" s="65"/>
    </row>
    <row r="327" spans="1:26" ht="15.75" hidden="1" customHeight="1">
      <c r="A327" s="65" t="s">
        <v>433</v>
      </c>
      <c r="B327" s="65" t="s">
        <v>434</v>
      </c>
      <c r="C327" s="65" t="s">
        <v>471</v>
      </c>
      <c r="D327" s="65">
        <v>20052</v>
      </c>
      <c r="E327" s="65" t="s">
        <v>586</v>
      </c>
      <c r="F327" s="66">
        <v>3391.3</v>
      </c>
      <c r="G327" s="66">
        <v>1073.1199999999999</v>
      </c>
      <c r="H327" s="65" t="str">
        <f>VLOOKUP(D327,'COA1'!D:I,3,0)</f>
        <v>PL</v>
      </c>
      <c r="I327" s="65" t="str">
        <f>VLOOKUP(D327,'COA1'!D:I,4,0)</f>
        <v>General and administrative expenses</v>
      </c>
      <c r="J327" s="65" t="str">
        <f>VLOOKUP(D327,'COA1'!D:I,5,0)</f>
        <v>Refreshment</v>
      </c>
      <c r="K327" s="264">
        <f t="shared" si="1"/>
        <v>3.1602243924258242</v>
      </c>
      <c r="L327" s="65"/>
      <c r="M327" s="65"/>
      <c r="N327" s="65"/>
      <c r="O327" s="65"/>
      <c r="P327" s="263"/>
      <c r="Q327" s="263"/>
      <c r="R327" s="263"/>
      <c r="S327" s="263"/>
      <c r="T327" s="65"/>
      <c r="U327" s="65"/>
      <c r="V327" s="65"/>
      <c r="W327" s="65"/>
      <c r="X327" s="65"/>
      <c r="Y327" s="65"/>
      <c r="Z327" s="65"/>
    </row>
    <row r="328" spans="1:26" ht="15.75" hidden="1" customHeight="1">
      <c r="A328" s="65" t="s">
        <v>433</v>
      </c>
      <c r="B328" s="65" t="s">
        <v>434</v>
      </c>
      <c r="C328" s="65" t="s">
        <v>471</v>
      </c>
      <c r="D328" s="65">
        <v>20068</v>
      </c>
      <c r="E328" s="65" t="s">
        <v>597</v>
      </c>
      <c r="F328" s="66">
        <v>7090.85</v>
      </c>
      <c r="G328" s="66">
        <v>2249.94</v>
      </c>
      <c r="H328" s="65" t="str">
        <f>VLOOKUP(D328,'COA1'!D:I,3,0)</f>
        <v>PL</v>
      </c>
      <c r="I328" s="65" t="str">
        <f>VLOOKUP(D328,'COA1'!D:I,4,0)</f>
        <v>General and administrative expenses</v>
      </c>
      <c r="J328" s="65" t="str">
        <f>VLOOKUP(D328,'COA1'!D:I,5,0)</f>
        <v xml:space="preserve">Gift </v>
      </c>
      <c r="K328" s="264">
        <f t="shared" si="1"/>
        <v>3.1515729308337113</v>
      </c>
      <c r="L328" s="65"/>
      <c r="M328" s="65"/>
      <c r="N328" s="65"/>
      <c r="O328" s="65"/>
      <c r="P328" s="263"/>
      <c r="Q328" s="263"/>
      <c r="R328" s="263"/>
      <c r="S328" s="263"/>
      <c r="T328" s="65"/>
      <c r="U328" s="65"/>
      <c r="V328" s="65"/>
      <c r="W328" s="65"/>
      <c r="X328" s="65"/>
      <c r="Y328" s="65"/>
      <c r="Z328" s="65"/>
    </row>
    <row r="329" spans="1:26" ht="15.75" hidden="1" customHeight="1">
      <c r="A329" s="65" t="s">
        <v>433</v>
      </c>
      <c r="B329" s="65" t="s">
        <v>434</v>
      </c>
      <c r="C329" s="65" t="s">
        <v>471</v>
      </c>
      <c r="D329" s="65">
        <v>20071</v>
      </c>
      <c r="E329" s="65" t="s">
        <v>655</v>
      </c>
      <c r="F329" s="66">
        <v>201944.48</v>
      </c>
      <c r="G329" s="66">
        <v>65345.8</v>
      </c>
      <c r="H329" s="65" t="str">
        <f>VLOOKUP(D329,'COA1'!D:I,3,0)</f>
        <v>PL</v>
      </c>
      <c r="I329" s="65" t="str">
        <f>VLOOKUP(D329,'COA1'!D:I,4,0)</f>
        <v>Marketing expenses</v>
      </c>
      <c r="J329" s="65" t="str">
        <f>VLOOKUP(D329,'COA1'!D:I,5,0)</f>
        <v xml:space="preserve">Gift to Users </v>
      </c>
      <c r="K329" s="264">
        <f t="shared" si="1"/>
        <v>3.0903972405265527</v>
      </c>
      <c r="L329" s="65"/>
      <c r="M329" s="65"/>
      <c r="N329" s="65"/>
      <c r="O329" s="65"/>
      <c r="P329" s="263"/>
      <c r="Q329" s="263"/>
      <c r="R329" s="263"/>
      <c r="S329" s="263"/>
      <c r="T329" s="65"/>
      <c r="U329" s="65"/>
      <c r="V329" s="65"/>
      <c r="W329" s="65"/>
      <c r="X329" s="65"/>
      <c r="Y329" s="65"/>
      <c r="Z329" s="65"/>
    </row>
    <row r="330" spans="1:26" ht="15.75" hidden="1" customHeight="1">
      <c r="A330" s="65" t="s">
        <v>433</v>
      </c>
      <c r="B330" s="65" t="s">
        <v>434</v>
      </c>
      <c r="C330" s="65" t="s">
        <v>471</v>
      </c>
      <c r="D330" s="65">
        <v>20075</v>
      </c>
      <c r="E330" s="65" t="s">
        <v>773</v>
      </c>
      <c r="F330" s="66">
        <v>634.9</v>
      </c>
      <c r="G330" s="66">
        <v>203.82</v>
      </c>
      <c r="H330" s="65" t="str">
        <f>VLOOKUP(D330,'COA1'!D:I,3,0)</f>
        <v>PL</v>
      </c>
      <c r="I330" s="65" t="str">
        <f>VLOOKUP(D330,'COA1'!D:I,4,0)</f>
        <v>General and administrative expenses</v>
      </c>
      <c r="J330" s="65" t="str">
        <f>VLOOKUP(D330,'COA1'!D:I,5,0)</f>
        <v>Other expenses</v>
      </c>
      <c r="K330" s="264">
        <f t="shared" si="1"/>
        <v>3.1150034344029045</v>
      </c>
      <c r="L330" s="65"/>
      <c r="M330" s="65"/>
      <c r="N330" s="65"/>
      <c r="O330" s="65"/>
      <c r="P330" s="263"/>
      <c r="Q330" s="263"/>
      <c r="R330" s="263"/>
      <c r="S330" s="263"/>
      <c r="T330" s="65"/>
      <c r="U330" s="65"/>
      <c r="V330" s="65"/>
      <c r="W330" s="65"/>
      <c r="X330" s="65"/>
      <c r="Y330" s="65"/>
      <c r="Z330" s="65"/>
    </row>
    <row r="331" spans="1:26" ht="15.75" hidden="1" customHeight="1">
      <c r="A331" s="65" t="s">
        <v>433</v>
      </c>
      <c r="B331" s="65" t="s">
        <v>434</v>
      </c>
      <c r="C331" s="65" t="s">
        <v>478</v>
      </c>
      <c r="D331" s="65">
        <v>20033</v>
      </c>
      <c r="E331" s="65" t="s">
        <v>479</v>
      </c>
      <c r="F331" s="66">
        <v>45689.34</v>
      </c>
      <c r="G331" s="66">
        <v>14103.4</v>
      </c>
      <c r="H331" s="65" t="str">
        <f>VLOOKUP(D331,'COA1'!D:I,3,0)</f>
        <v>PL</v>
      </c>
      <c r="I331" s="65" t="str">
        <f>VLOOKUP(D331,'COA1'!D:I,4,0)</f>
        <v>General and administrative expenses</v>
      </c>
      <c r="J331" s="65" t="str">
        <f>VLOOKUP(D331,'COA1'!D:I,5,0)</f>
        <v>Conferences and seminars</v>
      </c>
      <c r="K331" s="264">
        <f t="shared" si="1"/>
        <v>3.2395975438546731</v>
      </c>
      <c r="L331" s="65"/>
      <c r="M331" s="65"/>
      <c r="N331" s="65"/>
      <c r="O331" s="65"/>
      <c r="P331" s="263"/>
      <c r="Q331" s="263"/>
      <c r="R331" s="263"/>
      <c r="S331" s="263"/>
      <c r="T331" s="65"/>
      <c r="U331" s="65"/>
      <c r="V331" s="65"/>
      <c r="W331" s="65"/>
      <c r="X331" s="65"/>
      <c r="Y331" s="65"/>
      <c r="Z331" s="65"/>
    </row>
    <row r="332" spans="1:26" ht="15.75" hidden="1" customHeight="1">
      <c r="A332" s="65" t="s">
        <v>433</v>
      </c>
      <c r="B332" s="65" t="s">
        <v>434</v>
      </c>
      <c r="C332" s="65" t="s">
        <v>864</v>
      </c>
      <c r="D332" s="65">
        <v>20048</v>
      </c>
      <c r="E332" s="65" t="s">
        <v>528</v>
      </c>
      <c r="F332" s="66">
        <v>592674.04</v>
      </c>
      <c r="G332" s="66">
        <v>152451</v>
      </c>
      <c r="H332" s="65" t="str">
        <f>VLOOKUP(D332,'COA1'!D:I,3,0)</f>
        <v>PL</v>
      </c>
      <c r="I332" s="65" t="str">
        <f>VLOOKUP(D332,'COA1'!D:I,4,0)</f>
        <v>General and administrative expenses</v>
      </c>
      <c r="J332" s="65" t="str">
        <f>VLOOKUP(D332,'COA1'!D:I,5,0)</f>
        <v xml:space="preserve">option expenses </v>
      </c>
      <c r="K332" s="264">
        <f t="shared" si="1"/>
        <v>3.8876362896930821</v>
      </c>
      <c r="L332" s="65"/>
      <c r="M332" s="65"/>
      <c r="N332" s="65"/>
      <c r="O332" s="65"/>
      <c r="P332" s="263"/>
      <c r="Q332" s="263"/>
      <c r="R332" s="263"/>
      <c r="S332" s="263"/>
      <c r="T332" s="65"/>
      <c r="U332" s="65"/>
      <c r="V332" s="65"/>
      <c r="W332" s="65"/>
      <c r="X332" s="65"/>
      <c r="Y332" s="65"/>
      <c r="Z332" s="65"/>
    </row>
    <row r="333" spans="1:26" ht="15.75" hidden="1" customHeight="1">
      <c r="A333" s="65" t="s">
        <v>433</v>
      </c>
      <c r="B333" s="65" t="s">
        <v>434</v>
      </c>
      <c r="C333" s="65" t="s">
        <v>864</v>
      </c>
      <c r="D333" s="65">
        <v>20049</v>
      </c>
      <c r="E333" s="65" t="s">
        <v>554</v>
      </c>
      <c r="F333" s="66">
        <v>-3696681.17</v>
      </c>
      <c r="G333" s="66">
        <v>-1195488</v>
      </c>
      <c r="H333" s="65" t="str">
        <f>VLOOKUP(D333,'COA1'!D:I,3,0)</f>
        <v>PL</v>
      </c>
      <c r="I333" s="65" t="str">
        <f>VLOOKUP(D333,'COA1'!D:I,4,0)</f>
        <v>General and administrative expenses</v>
      </c>
      <c r="J333" s="65" t="str">
        <f>VLOOKUP(D333,'COA1'!D:I,5,0)</f>
        <v>Allocation exp</v>
      </c>
      <c r="K333" s="264">
        <f t="shared" si="1"/>
        <v>3.0921942922053587</v>
      </c>
      <c r="L333" s="65"/>
      <c r="M333" s="65"/>
      <c r="N333" s="65"/>
      <c r="O333" s="65"/>
      <c r="P333" s="263"/>
      <c r="Q333" s="263"/>
      <c r="R333" s="263"/>
      <c r="S333" s="263"/>
      <c r="T333" s="65"/>
      <c r="U333" s="65"/>
      <c r="V333" s="65"/>
      <c r="W333" s="65"/>
      <c r="X333" s="65"/>
      <c r="Y333" s="65"/>
      <c r="Z333" s="65"/>
    </row>
    <row r="334" spans="1:26" ht="15" hidden="1" customHeight="1">
      <c r="A334" s="65" t="s">
        <v>433</v>
      </c>
      <c r="B334" s="65" t="s">
        <v>434</v>
      </c>
      <c r="C334" s="65" t="s">
        <v>864</v>
      </c>
      <c r="D334" s="65">
        <v>20062</v>
      </c>
      <c r="E334" s="65" t="s">
        <v>865</v>
      </c>
      <c r="F334" s="66">
        <v>11009.25</v>
      </c>
      <c r="G334" s="66">
        <v>3197.94</v>
      </c>
      <c r="H334" s="65" t="str">
        <f>VLOOKUP(D334,'COA1'!D:I,3,0)</f>
        <v>PL</v>
      </c>
      <c r="I334" s="65" t="str">
        <f>VLOOKUP(D334,'COA1'!D:I,4,0)</f>
        <v>General and administrative expenses</v>
      </c>
      <c r="J334" s="65" t="str">
        <f>VLOOKUP(D334,'COA1'!D:I,5,0)</f>
        <v>Other expenses</v>
      </c>
      <c r="K334" s="264">
        <f t="shared" si="1"/>
        <v>3.4426068031295145</v>
      </c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5" hidden="1" customHeight="1">
      <c r="A335" s="65" t="s">
        <v>433</v>
      </c>
      <c r="B335" s="65" t="s">
        <v>434</v>
      </c>
      <c r="C335" s="65" t="s">
        <v>864</v>
      </c>
      <c r="D335" s="65">
        <v>20066</v>
      </c>
      <c r="E335" s="65" t="s">
        <v>572</v>
      </c>
      <c r="F335" s="66">
        <v>0</v>
      </c>
      <c r="G335" s="66">
        <v>0.01</v>
      </c>
      <c r="H335" s="65" t="str">
        <f>VLOOKUP(D335,'COA1'!D:I,3,0)</f>
        <v>PL</v>
      </c>
      <c r="I335" s="65" t="str">
        <f>VLOOKUP(D335,'COA1'!D:I,4,0)</f>
        <v>Revenues</v>
      </c>
      <c r="J335" s="65" t="str">
        <f>VLOOKUP(D335,'COA1'!D:I,5,0)</f>
        <v>Revenues</v>
      </c>
      <c r="K335" s="264">
        <f t="shared" si="1"/>
        <v>0</v>
      </c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5" hidden="1" customHeight="1">
      <c r="A336" s="65" t="s">
        <v>433</v>
      </c>
      <c r="B336" s="65" t="s">
        <v>434</v>
      </c>
      <c r="C336" s="65" t="s">
        <v>864</v>
      </c>
      <c r="D336" s="65">
        <v>20077</v>
      </c>
      <c r="E336" s="65" t="s">
        <v>798</v>
      </c>
      <c r="F336" s="66">
        <v>933</v>
      </c>
      <c r="G336" s="66">
        <v>300</v>
      </c>
      <c r="H336" s="65" t="str">
        <f>VLOOKUP(D336,'COA1'!D:I,3,0)</f>
        <v>PL</v>
      </c>
      <c r="I336" s="65" t="str">
        <f>VLOOKUP(D336,'COA1'!D:I,4,0)</f>
        <v>General and administrative expenses</v>
      </c>
      <c r="J336" s="65" t="str">
        <f>VLOOKUP(D336,'COA1'!D:I,5,0)</f>
        <v xml:space="preserve">professional fees </v>
      </c>
      <c r="K336" s="264">
        <f t="shared" si="1"/>
        <v>3.11</v>
      </c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5" hidden="1" customHeight="1">
      <c r="A337" s="65" t="s">
        <v>433</v>
      </c>
      <c r="B337" s="65" t="s">
        <v>434</v>
      </c>
      <c r="C337" s="65" t="s">
        <v>864</v>
      </c>
      <c r="D337" s="65">
        <v>61017</v>
      </c>
      <c r="E337" s="65" t="s">
        <v>810</v>
      </c>
      <c r="F337" s="66">
        <v>49279.48</v>
      </c>
      <c r="G337" s="66">
        <v>15845.49</v>
      </c>
      <c r="H337" s="65" t="str">
        <f>VLOOKUP(D337,'COA1'!D:I,3,0)</f>
        <v>PL</v>
      </c>
      <c r="I337" s="65" t="str">
        <f>VLOOKUP(D337,'COA1'!D:I,4,0)</f>
        <v>General and administrative expenses</v>
      </c>
      <c r="J337" s="65" t="str">
        <f>VLOOKUP(D337,'COA1'!D:I,5,0)</f>
        <v xml:space="preserve">Salary </v>
      </c>
      <c r="K337" s="264">
        <f t="shared" si="1"/>
        <v>3.1100003849675839</v>
      </c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5" hidden="1" customHeight="1">
      <c r="A338" s="65" t="s">
        <v>433</v>
      </c>
      <c r="B338" s="65" t="s">
        <v>434</v>
      </c>
      <c r="C338" s="65" t="s">
        <v>481</v>
      </c>
      <c r="D338" s="65">
        <v>20005</v>
      </c>
      <c r="E338" s="65" t="s">
        <v>482</v>
      </c>
      <c r="F338" s="66">
        <v>126666.2</v>
      </c>
      <c r="G338" s="66">
        <v>39245.49</v>
      </c>
      <c r="H338" s="65" t="str">
        <f>VLOOKUP(D338,'COA1'!D:I,3,0)</f>
        <v>PL</v>
      </c>
      <c r="I338" s="65" t="str">
        <f>VLOOKUP(D338,'COA1'!D:I,4,0)</f>
        <v>General and administrative expenses</v>
      </c>
      <c r="J338" s="65" t="str">
        <f>VLOOKUP(D338,'COA1'!D:I,5,0)</f>
        <v xml:space="preserve">professional fees </v>
      </c>
      <c r="K338" s="264">
        <f t="shared" si="1"/>
        <v>3.2275351893937367</v>
      </c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5" hidden="1" customHeight="1">
      <c r="A339" s="65" t="s">
        <v>433</v>
      </c>
      <c r="B339" s="65" t="s">
        <v>434</v>
      </c>
      <c r="C339" s="65" t="s">
        <v>481</v>
      </c>
      <c r="D339" s="65">
        <v>20010</v>
      </c>
      <c r="E339" s="65" t="s">
        <v>587</v>
      </c>
      <c r="F339" s="66">
        <v>158324.19</v>
      </c>
      <c r="G339" s="66">
        <v>49647.91</v>
      </c>
      <c r="H339" s="65" t="str">
        <f>VLOOKUP(D339,'COA1'!D:I,3,0)</f>
        <v>PL</v>
      </c>
      <c r="I339" s="65" t="str">
        <f>VLOOKUP(D339,'COA1'!D:I,4,0)</f>
        <v>General and administrative expenses</v>
      </c>
      <c r="J339" s="65" t="str">
        <f>VLOOKUP(D339,'COA1'!D:I,5,0)</f>
        <v xml:space="preserve">professional fees </v>
      </c>
      <c r="K339" s="264">
        <f t="shared" si="1"/>
        <v>3.1889396754062758</v>
      </c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5" hidden="1" customHeight="1">
      <c r="A340" s="65" t="s">
        <v>433</v>
      </c>
      <c r="B340" s="65" t="s">
        <v>434</v>
      </c>
      <c r="C340" s="65" t="s">
        <v>481</v>
      </c>
      <c r="D340" s="65">
        <v>20015</v>
      </c>
      <c r="E340" s="65" t="s">
        <v>483</v>
      </c>
      <c r="F340" s="66">
        <v>1324117.97</v>
      </c>
      <c r="G340" s="66">
        <v>413177.21</v>
      </c>
      <c r="H340" s="65" t="str">
        <f>VLOOKUP(D340,'COA1'!D:I,3,0)</f>
        <v>PL</v>
      </c>
      <c r="I340" s="65" t="str">
        <f>VLOOKUP(D340,'COA1'!D:I,4,0)</f>
        <v>General and administrative expenses</v>
      </c>
      <c r="J340" s="65" t="str">
        <f>VLOOKUP(D340,'COA1'!D:I,5,0)</f>
        <v xml:space="preserve">Legal </v>
      </c>
      <c r="K340" s="264">
        <f t="shared" si="1"/>
        <v>3.2047216979852298</v>
      </c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5" hidden="1" customHeight="1">
      <c r="A341" s="65" t="s">
        <v>433</v>
      </c>
      <c r="B341" s="65" t="s">
        <v>434</v>
      </c>
      <c r="C341" s="65" t="s">
        <v>481</v>
      </c>
      <c r="D341" s="65">
        <v>20045</v>
      </c>
      <c r="E341" s="65" t="s">
        <v>866</v>
      </c>
      <c r="F341" s="66">
        <v>181695.27</v>
      </c>
      <c r="G341" s="66">
        <v>56867.040000000001</v>
      </c>
      <c r="H341" s="65" t="str">
        <f>VLOOKUP(D341,'COA1'!D:I,3,0)</f>
        <v>PL</v>
      </c>
      <c r="I341" s="65" t="str">
        <f>VLOOKUP(D341,'COA1'!D:I,4,0)</f>
        <v>General and administrative expenses</v>
      </c>
      <c r="J341" s="65" t="str">
        <f>VLOOKUP(D341,'COA1'!D:I,5,0)</f>
        <v xml:space="preserve">professional fees </v>
      </c>
      <c r="K341" s="264">
        <f t="shared" si="1"/>
        <v>3.195089281946097</v>
      </c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5" hidden="1" customHeight="1">
      <c r="A342" s="65" t="s">
        <v>433</v>
      </c>
      <c r="B342" s="65" t="s">
        <v>434</v>
      </c>
      <c r="C342" s="65" t="s">
        <v>481</v>
      </c>
      <c r="D342" s="65">
        <v>20046</v>
      </c>
      <c r="E342" s="65" t="s">
        <v>514</v>
      </c>
      <c r="F342" s="66">
        <v>144870.20000000001</v>
      </c>
      <c r="G342" s="66">
        <v>44290.79</v>
      </c>
      <c r="H342" s="65" t="str">
        <f>VLOOKUP(D342,'COA1'!D:I,3,0)</f>
        <v>PL</v>
      </c>
      <c r="I342" s="65" t="str">
        <f>VLOOKUP(D342,'COA1'!D:I,4,0)</f>
        <v>General and administrative expenses</v>
      </c>
      <c r="J342" s="65" t="str">
        <f>VLOOKUP(D342,'COA1'!D:I,5,0)</f>
        <v xml:space="preserve">Softwere subscription </v>
      </c>
      <c r="K342" s="264">
        <f t="shared" si="1"/>
        <v>3.2708876947103454</v>
      </c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5" hidden="1" customHeight="1">
      <c r="A343" s="65" t="s">
        <v>433</v>
      </c>
      <c r="B343" s="65" t="s">
        <v>434</v>
      </c>
      <c r="C343" s="65" t="s">
        <v>481</v>
      </c>
      <c r="D343" s="65">
        <v>20047</v>
      </c>
      <c r="E343" s="65" t="s">
        <v>867</v>
      </c>
      <c r="F343" s="66">
        <v>-22517.81</v>
      </c>
      <c r="G343" s="66">
        <v>-7161.79</v>
      </c>
      <c r="H343" s="65" t="str">
        <f>VLOOKUP(D343,'COA1'!D:I,3,0)</f>
        <v>PL</v>
      </c>
      <c r="I343" s="65" t="str">
        <f>VLOOKUP(D343,'COA1'!D:I,4,0)</f>
        <v>General and administrative expenses</v>
      </c>
      <c r="J343" s="65" t="str">
        <f>VLOOKUP(D343,'COA1'!D:I,5,0)</f>
        <v>Other expenses</v>
      </c>
      <c r="K343" s="264">
        <f t="shared" si="1"/>
        <v>3.1441594908535437</v>
      </c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5" hidden="1" customHeight="1">
      <c r="A344" s="65" t="s">
        <v>433</v>
      </c>
      <c r="B344" s="65" t="s">
        <v>434</v>
      </c>
      <c r="C344" s="65" t="s">
        <v>481</v>
      </c>
      <c r="D344" s="65">
        <v>20090</v>
      </c>
      <c r="E344" s="65" t="s">
        <v>527</v>
      </c>
      <c r="F344" s="66">
        <v>1319896.5900000001</v>
      </c>
      <c r="G344" s="66">
        <v>392817.9</v>
      </c>
      <c r="H344" s="65" t="str">
        <f>VLOOKUP(D344,'COA1'!D:I,3,0)</f>
        <v>PL</v>
      </c>
      <c r="I344" s="65" t="str">
        <f>VLOOKUP(D344,'COA1'!D:I,4,0)</f>
        <v>General and administrative expenses</v>
      </c>
      <c r="J344" s="65" t="str">
        <f>VLOOKUP(D344,'COA1'!D:I,5,0)</f>
        <v xml:space="preserve">professional fees </v>
      </c>
      <c r="K344" s="264">
        <f t="shared" si="1"/>
        <v>3.3600724152336237</v>
      </c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5" hidden="1" customHeight="1">
      <c r="A345" s="65" t="s">
        <v>433</v>
      </c>
      <c r="B345" s="65" t="s">
        <v>434</v>
      </c>
      <c r="C345" s="65" t="s">
        <v>481</v>
      </c>
      <c r="D345" s="65">
        <v>20091</v>
      </c>
      <c r="E345" s="65" t="s">
        <v>814</v>
      </c>
      <c r="F345" s="66">
        <v>17902</v>
      </c>
      <c r="G345" s="66">
        <v>5532.59</v>
      </c>
      <c r="H345" s="65" t="str">
        <f>VLOOKUP(D345,'COA1'!D:I,3,0)</f>
        <v>PL</v>
      </c>
      <c r="I345" s="65" t="str">
        <f>VLOOKUP(D345,'COA1'!D:I,4,0)</f>
        <v>General and administrative expenses</v>
      </c>
      <c r="J345" s="65" t="str">
        <f>VLOOKUP(D345,'COA1'!D:I,5,0)</f>
        <v>events</v>
      </c>
      <c r="K345" s="264">
        <f t="shared" si="1"/>
        <v>3.2357358850014188</v>
      </c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5" hidden="1" customHeight="1">
      <c r="A346" s="65" t="s">
        <v>433</v>
      </c>
      <c r="B346" s="65" t="s">
        <v>434</v>
      </c>
      <c r="C346" s="65" t="s">
        <v>481</v>
      </c>
      <c r="D346" s="65">
        <v>20100</v>
      </c>
      <c r="E346" s="65" t="s">
        <v>565</v>
      </c>
      <c r="F346" s="66">
        <v>236989.33</v>
      </c>
      <c r="G346" s="66">
        <v>74057.94</v>
      </c>
      <c r="H346" s="65" t="str">
        <f>VLOOKUP(D346,'COA1'!D:I,3,0)</f>
        <v>PL</v>
      </c>
      <c r="I346" s="65" t="str">
        <f>VLOOKUP(D346,'COA1'!D:I,4,0)</f>
        <v>General and administrative expenses</v>
      </c>
      <c r="J346" s="65" t="str">
        <f>VLOOKUP(D346,'COA1'!D:I,5,0)</f>
        <v xml:space="preserve">IC expenses </v>
      </c>
      <c r="K346" s="264">
        <f t="shared" si="1"/>
        <v>3.200052958534898</v>
      </c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5" hidden="1" customHeight="1">
      <c r="A347" s="65" t="s">
        <v>433</v>
      </c>
      <c r="B347" s="65" t="s">
        <v>434</v>
      </c>
      <c r="C347" s="65" t="s">
        <v>481</v>
      </c>
      <c r="D347" s="65">
        <v>23039</v>
      </c>
      <c r="E347" s="65" t="s">
        <v>868</v>
      </c>
      <c r="F347" s="66">
        <v>1810000</v>
      </c>
      <c r="G347" s="66">
        <v>581993.56999999995</v>
      </c>
      <c r="H347" s="65" t="str">
        <f>VLOOKUP(D347,'COA1'!D:I,3,0)</f>
        <v>PL</v>
      </c>
      <c r="I347" s="65" t="str">
        <f>VLOOKUP(D347,'COA1'!D:I,4,0)</f>
        <v>General and administrative expenses</v>
      </c>
      <c r="J347" s="65" t="str">
        <f>VLOOKUP(D347,'COA1'!D:I,5,0)</f>
        <v xml:space="preserve">Salary </v>
      </c>
      <c r="K347" s="264">
        <f t="shared" si="1"/>
        <v>3.109999995360774</v>
      </c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5" hidden="1" customHeight="1">
      <c r="A348" s="65" t="s">
        <v>433</v>
      </c>
      <c r="B348" s="65" t="s">
        <v>434</v>
      </c>
      <c r="C348" s="65" t="s">
        <v>490</v>
      </c>
      <c r="D348" s="65">
        <v>20017</v>
      </c>
      <c r="E348" s="65" t="s">
        <v>491</v>
      </c>
      <c r="F348" s="66">
        <v>92315.87</v>
      </c>
      <c r="G348" s="66">
        <v>28237.86</v>
      </c>
      <c r="H348" s="65" t="str">
        <f>VLOOKUP(D348,'COA1'!D:I,3,0)</f>
        <v>PL</v>
      </c>
      <c r="I348" s="65" t="str">
        <f>VLOOKUP(D348,'COA1'!D:I,4,0)</f>
        <v>General and administrative expenses</v>
      </c>
      <c r="J348" s="65" t="str">
        <f>VLOOKUP(D348,'COA1'!D:I,5,0)</f>
        <v>communication</v>
      </c>
      <c r="K348" s="264">
        <f t="shared" si="1"/>
        <v>3.2692233051654762</v>
      </c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5" hidden="1" customHeight="1">
      <c r="A349" s="65" t="s">
        <v>433</v>
      </c>
      <c r="B349" s="65" t="s">
        <v>434</v>
      </c>
      <c r="C349" s="65" t="s">
        <v>490</v>
      </c>
      <c r="D349" s="65">
        <v>20020</v>
      </c>
      <c r="E349" s="65" t="s">
        <v>493</v>
      </c>
      <c r="F349" s="66">
        <v>39278.79</v>
      </c>
      <c r="G349" s="66">
        <v>12111.87</v>
      </c>
      <c r="H349" s="65" t="str">
        <f>VLOOKUP(D349,'COA1'!D:I,3,0)</f>
        <v>PL</v>
      </c>
      <c r="I349" s="65" t="str">
        <f>VLOOKUP(D349,'COA1'!D:I,4,0)</f>
        <v>General and administrative expenses</v>
      </c>
      <c r="J349" s="65" t="str">
        <f>VLOOKUP(D349,'COA1'!D:I,5,0)</f>
        <v xml:space="preserve">Softwere subscription </v>
      </c>
      <c r="K349" s="264">
        <f t="shared" si="1"/>
        <v>3.2429996358943747</v>
      </c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5" hidden="1" customHeight="1">
      <c r="A350" s="65" t="s">
        <v>433</v>
      </c>
      <c r="B350" s="65" t="s">
        <v>434</v>
      </c>
      <c r="C350" s="65" t="s">
        <v>490</v>
      </c>
      <c r="D350" s="65">
        <v>20029</v>
      </c>
      <c r="E350" s="65" t="s">
        <v>869</v>
      </c>
      <c r="F350" s="66">
        <v>285320.68</v>
      </c>
      <c r="G350" s="66">
        <v>85344.24</v>
      </c>
      <c r="H350" s="65" t="str">
        <f>VLOOKUP(D350,'COA1'!D:I,3,0)</f>
        <v>PL</v>
      </c>
      <c r="I350" s="65" t="str">
        <f>VLOOKUP(D350,'COA1'!D:I,4,0)</f>
        <v>Research and development expenses, net</v>
      </c>
      <c r="J350" s="65" t="str">
        <f>VLOOKUP(D350,'COA1'!D:I,5,0)</f>
        <v xml:space="preserve">Softwere subscription </v>
      </c>
      <c r="K350" s="264">
        <f t="shared" si="1"/>
        <v>3.3431744192695367</v>
      </c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5" hidden="1" customHeight="1">
      <c r="A351" s="65" t="s">
        <v>433</v>
      </c>
      <c r="B351" s="65" t="s">
        <v>434</v>
      </c>
      <c r="C351" s="65" t="s">
        <v>490</v>
      </c>
      <c r="D351" s="65">
        <v>20031</v>
      </c>
      <c r="E351" s="65" t="s">
        <v>495</v>
      </c>
      <c r="F351" s="66">
        <v>91000</v>
      </c>
      <c r="G351" s="66">
        <v>28037.599999999999</v>
      </c>
      <c r="H351" s="65" t="str">
        <f>VLOOKUP(D351,'COA1'!D:I,3,0)</f>
        <v>PL</v>
      </c>
      <c r="I351" s="65" t="str">
        <f>VLOOKUP(D351,'COA1'!D:I,4,0)</f>
        <v>General and administrative expenses</v>
      </c>
      <c r="J351" s="65" t="str">
        <f>VLOOKUP(D351,'COA1'!D:I,5,0)</f>
        <v xml:space="preserve">Softwere subscription </v>
      </c>
      <c r="K351" s="264">
        <f t="shared" si="1"/>
        <v>3.2456415670385486</v>
      </c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5.95" hidden="1" customHeight="1">
      <c r="A352" s="65" t="s">
        <v>496</v>
      </c>
      <c r="B352" s="65" t="s">
        <v>497</v>
      </c>
      <c r="C352" s="65" t="s">
        <v>498</v>
      </c>
      <c r="D352" s="65">
        <v>22000</v>
      </c>
      <c r="E352" s="65" t="s">
        <v>499</v>
      </c>
      <c r="F352" s="66">
        <v>278079.59999999998</v>
      </c>
      <c r="G352" s="66">
        <v>85635.03</v>
      </c>
      <c r="H352" s="65" t="str">
        <f>VLOOKUP(D352,'COA1'!D:I,3,0)</f>
        <v>PL</v>
      </c>
      <c r="I352" s="65" t="str">
        <f>VLOOKUP(D352,'COA1'!D:I,4,0)</f>
        <v>Financial expenses, net</v>
      </c>
      <c r="J352" s="65" t="str">
        <f>VLOOKUP(D352,'COA1'!D:I,5,0)</f>
        <v xml:space="preserve">Bank fee </v>
      </c>
      <c r="K352" s="264">
        <f t="shared" si="1"/>
        <v>3.247264583196853</v>
      </c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5" hidden="1" customHeight="1">
      <c r="A353" s="65" t="s">
        <v>496</v>
      </c>
      <c r="B353" s="65" t="s">
        <v>497</v>
      </c>
      <c r="C353" s="65" t="s">
        <v>498</v>
      </c>
      <c r="D353" s="65">
        <v>22003</v>
      </c>
      <c r="E353" s="65" t="s">
        <v>870</v>
      </c>
      <c r="F353" s="66">
        <v>130498.4</v>
      </c>
      <c r="G353" s="66">
        <v>40289.64</v>
      </c>
      <c r="H353" s="65" t="str">
        <f>VLOOKUP(D353,'COA1'!D:I,3,0)</f>
        <v>PL</v>
      </c>
      <c r="I353" s="65" t="str">
        <f>VLOOKUP(D353,'COA1'!D:I,4,0)</f>
        <v>Financial expenses, net</v>
      </c>
      <c r="J353" s="65" t="str">
        <f>VLOOKUP(D353,'COA1'!D:I,5,0)</f>
        <v>Loan interest</v>
      </c>
      <c r="K353" s="264">
        <f t="shared" si="1"/>
        <v>3.2390063549835637</v>
      </c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5" hidden="1" customHeight="1">
      <c r="A354" s="65" t="s">
        <v>496</v>
      </c>
      <c r="B354" s="65" t="s">
        <v>497</v>
      </c>
      <c r="C354" s="65" t="s">
        <v>498</v>
      </c>
      <c r="D354" s="65">
        <v>22004</v>
      </c>
      <c r="E354" s="65" t="s">
        <v>871</v>
      </c>
      <c r="F354" s="66">
        <v>126391.18</v>
      </c>
      <c r="G354" s="66">
        <v>39085.14</v>
      </c>
      <c r="H354" s="65" t="str">
        <f>VLOOKUP(D354,'COA1'!D:I,3,0)</f>
        <v>PL</v>
      </c>
      <c r="I354" s="65" t="str">
        <f>VLOOKUP(D354,'COA1'!D:I,4,0)</f>
        <v>Financial expenses, net</v>
      </c>
      <c r="J354" s="65" t="str">
        <f>VLOOKUP(D354,'COA1'!D:I,5,0)</f>
        <v>Loan interest</v>
      </c>
      <c r="K354" s="264">
        <f t="shared" si="1"/>
        <v>3.2337399840450871</v>
      </c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5" hidden="1" customHeight="1">
      <c r="A355" s="65" t="s">
        <v>496</v>
      </c>
      <c r="B355" s="65" t="s">
        <v>497</v>
      </c>
      <c r="C355" s="65" t="s">
        <v>498</v>
      </c>
      <c r="D355" s="65">
        <v>22005</v>
      </c>
      <c r="E355" s="65" t="s">
        <v>872</v>
      </c>
      <c r="F355" s="66">
        <v>661581.85</v>
      </c>
      <c r="G355" s="66">
        <v>202958.3</v>
      </c>
      <c r="H355" s="65" t="str">
        <f>VLOOKUP(D355,'COA1'!D:I,3,0)</f>
        <v>PL</v>
      </c>
      <c r="I355" s="65" t="str">
        <f>VLOOKUP(D355,'COA1'!D:I,4,0)</f>
        <v>Financial expenses, net</v>
      </c>
      <c r="J355" s="65" t="str">
        <f>VLOOKUP(D355,'COA1'!D:I,5,0)</f>
        <v>Loan interest</v>
      </c>
      <c r="K355" s="264">
        <f t="shared" si="1"/>
        <v>3.2596934936881126</v>
      </c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5" hidden="1" customHeight="1">
      <c r="A356" s="65" t="s">
        <v>496</v>
      </c>
      <c r="B356" s="65" t="s">
        <v>497</v>
      </c>
      <c r="C356" s="65" t="s">
        <v>498</v>
      </c>
      <c r="D356" s="65">
        <v>22006</v>
      </c>
      <c r="E356" s="65" t="s">
        <v>557</v>
      </c>
      <c r="F356" s="66">
        <v>-49521.599999999999</v>
      </c>
      <c r="G356" s="66">
        <v>-15444</v>
      </c>
      <c r="H356" s="65" t="str">
        <f>VLOOKUP(D356,'COA1'!D:I,3,0)</f>
        <v>PL</v>
      </c>
      <c r="I356" s="65" t="str">
        <f>VLOOKUP(D356,'COA1'!D:I,4,0)</f>
        <v>Financial expenses, net</v>
      </c>
      <c r="J356" s="65" t="str">
        <f>VLOOKUP(D356,'COA1'!D:I,5,0)</f>
        <v>Loan interest</v>
      </c>
      <c r="K356" s="264">
        <f t="shared" si="1"/>
        <v>3.2065268065268064</v>
      </c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5" hidden="1" customHeight="1">
      <c r="A357" s="65" t="s">
        <v>496</v>
      </c>
      <c r="B357" s="65" t="s">
        <v>497</v>
      </c>
      <c r="C357" s="65" t="s">
        <v>506</v>
      </c>
      <c r="D357" s="65">
        <v>22222</v>
      </c>
      <c r="E357" s="65" t="s">
        <v>507</v>
      </c>
      <c r="F357" s="66">
        <v>-1667450.65</v>
      </c>
      <c r="G357" s="66">
        <v>-30318.74</v>
      </c>
      <c r="H357" s="65" t="str">
        <f>VLOOKUP(D357,'COA1'!D:I,3,0)</f>
        <v>PL</v>
      </c>
      <c r="I357" s="65" t="str">
        <f>VLOOKUP(D357,'COA1'!D:I,4,0)</f>
        <v>Financial expenses, net</v>
      </c>
      <c r="J357" s="65" t="str">
        <f>VLOOKUP(D357,'COA1'!D:I,5,0)</f>
        <v xml:space="preserve">Exchange rate </v>
      </c>
      <c r="K357" s="264">
        <f t="shared" si="1"/>
        <v>54.99735971877459</v>
      </c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5" hidden="1" customHeight="1">
      <c r="A358" s="65" t="s">
        <v>496</v>
      </c>
      <c r="B358" s="65" t="s">
        <v>497</v>
      </c>
      <c r="C358" s="65" t="s">
        <v>509</v>
      </c>
      <c r="D358" s="65">
        <v>99999</v>
      </c>
      <c r="E358" s="65" t="s">
        <v>873</v>
      </c>
      <c r="F358" s="66">
        <v>23.63</v>
      </c>
      <c r="G358" s="66">
        <v>30.11</v>
      </c>
      <c r="H358" s="65" t="str">
        <f>VLOOKUP(D358,'COA1'!D:I,3,0)</f>
        <v>PL</v>
      </c>
      <c r="I358" s="65" t="str">
        <f>VLOOKUP(D358,'COA1'!D:I,4,0)</f>
        <v>Financial expenses, net</v>
      </c>
      <c r="J358" s="65" t="str">
        <f>VLOOKUP(D358,'COA1'!D:I,5,0)</f>
        <v xml:space="preserve">Bank fee </v>
      </c>
      <c r="K358" s="264">
        <f t="shared" si="1"/>
        <v>0.78478910660909995</v>
      </c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5" hidden="1" customHeight="1">
      <c r="A359" s="65" t="s">
        <v>874</v>
      </c>
      <c r="B359" s="65" t="s">
        <v>875</v>
      </c>
      <c r="C359" s="65" t="s">
        <v>876</v>
      </c>
      <c r="D359" s="65">
        <v>24000</v>
      </c>
      <c r="E359" s="65" t="s">
        <v>877</v>
      </c>
      <c r="F359" s="66">
        <v>6939064</v>
      </c>
      <c r="G359" s="66">
        <v>2135390.8199999998</v>
      </c>
      <c r="H359" s="65" t="str">
        <f>VLOOKUP(D359,'COA1'!D:I,3,0)</f>
        <v>PL</v>
      </c>
      <c r="I359" s="65" t="str">
        <f>VLOOKUP(D359,'COA1'!D:I,4,0)</f>
        <v>Tax expenses</v>
      </c>
      <c r="J359" s="65" t="str">
        <f>VLOOKUP(D359,'COA1'!D:I,5,0)</f>
        <v>Tax expenses</v>
      </c>
      <c r="K359" s="264">
        <f t="shared" si="1"/>
        <v>3.2495522295071027</v>
      </c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5" hidden="1" customHeight="1">
      <c r="A360" s="65" t="s">
        <v>874</v>
      </c>
      <c r="B360" s="65" t="s">
        <v>875</v>
      </c>
      <c r="C360" s="65" t="s">
        <v>878</v>
      </c>
      <c r="D360" s="65">
        <v>25000</v>
      </c>
      <c r="E360" s="65" t="s">
        <v>812</v>
      </c>
      <c r="F360" s="66">
        <v>-1094799.96</v>
      </c>
      <c r="G360" s="66">
        <v>-352025.71</v>
      </c>
      <c r="H360" s="65" t="str">
        <f>VLOOKUP(D360,'COA1'!D:I,3,0)</f>
        <v>PL</v>
      </c>
      <c r="I360" s="65" t="str">
        <f>VLOOKUP(D360,'COA1'!D:I,4,0)</f>
        <v>Equity</v>
      </c>
      <c r="J360" s="65" t="str">
        <f>VLOOKUP(D360,'COA1'!D:I,5,0)</f>
        <v>Equity</v>
      </c>
      <c r="K360" s="264">
        <f t="shared" si="1"/>
        <v>3.1100000053973327</v>
      </c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5.75" customHeight="1">
      <c r="A361" s="65"/>
      <c r="B361" s="65"/>
      <c r="C361" s="65"/>
      <c r="D361" s="65"/>
      <c r="E361" s="65"/>
      <c r="F361" s="66"/>
      <c r="G361" s="66"/>
      <c r="H361" s="65"/>
      <c r="I361" s="65"/>
      <c r="J361" s="65"/>
      <c r="K361" s="264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5.75" customHeight="1">
      <c r="A362" s="65"/>
      <c r="B362" s="65"/>
      <c r="C362" s="65"/>
      <c r="D362" s="65"/>
      <c r="E362" s="65"/>
      <c r="F362" s="66"/>
      <c r="G362" s="66">
        <f>SUBTOTAL(9,G122:G152)</f>
        <v>0</v>
      </c>
      <c r="H362" s="65"/>
      <c r="I362" s="65"/>
      <c r="J362" s="65"/>
      <c r="K362" s="264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5.75" customHeight="1">
      <c r="A363" s="65"/>
      <c r="B363" s="65"/>
      <c r="C363" s="65"/>
      <c r="D363" s="65"/>
      <c r="E363" s="65"/>
      <c r="F363" s="66"/>
      <c r="G363" s="66"/>
      <c r="H363" s="65"/>
      <c r="I363" s="65"/>
      <c r="J363" s="65"/>
      <c r="K363" s="264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5.75" customHeight="1">
      <c r="A364" s="65"/>
      <c r="B364" s="65"/>
      <c r="C364" s="65"/>
      <c r="D364" s="65"/>
      <c r="E364" s="65"/>
      <c r="F364" s="66"/>
      <c r="G364" s="66">
        <f>F26+F25+F24+F23+F22+F21</f>
        <v>-2290021.4500000002</v>
      </c>
      <c r="H364" s="65"/>
      <c r="I364" s="65"/>
      <c r="J364" s="65"/>
      <c r="K364" s="264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5.75" customHeight="1">
      <c r="A365" s="65"/>
      <c r="B365" s="65"/>
      <c r="C365" s="65"/>
      <c r="D365" s="65"/>
      <c r="E365" s="65"/>
      <c r="F365" s="66"/>
      <c r="G365" s="66"/>
      <c r="H365" s="65"/>
      <c r="I365" s="65"/>
      <c r="J365" s="65"/>
      <c r="K365" s="264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5.75" customHeight="1">
      <c r="A366" s="65"/>
      <c r="B366" s="65"/>
      <c r="C366" s="65"/>
      <c r="D366" s="65"/>
      <c r="E366" s="65"/>
      <c r="F366" s="66" t="s">
        <v>1240</v>
      </c>
      <c r="G366" s="66">
        <f>G9</f>
        <v>-123882.93</v>
      </c>
      <c r="H366" s="65"/>
      <c r="I366" s="65"/>
      <c r="J366" s="65"/>
      <c r="K366" s="264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5.75" customHeight="1">
      <c r="A367" s="65"/>
      <c r="B367" s="65"/>
      <c r="C367" s="65"/>
      <c r="D367" s="65"/>
      <c r="E367" s="65"/>
      <c r="F367" s="66"/>
      <c r="G367" s="66">
        <f>SUBTOTAL(9,G19:G118)</f>
        <v>501895.3</v>
      </c>
      <c r="H367" s="65"/>
      <c r="I367" s="65"/>
      <c r="J367" s="65"/>
      <c r="K367" s="264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5.75" customHeight="1">
      <c r="A368" s="65"/>
      <c r="B368" s="65"/>
      <c r="C368" s="65"/>
      <c r="D368" s="65"/>
      <c r="E368" s="65"/>
      <c r="F368" s="66"/>
      <c r="G368" s="66"/>
      <c r="H368" s="65"/>
      <c r="I368" s="65"/>
      <c r="J368" s="65"/>
      <c r="K368" s="264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5.75" customHeight="1">
      <c r="A369" s="65"/>
      <c r="B369" s="65"/>
      <c r="C369" s="65"/>
      <c r="D369" s="65"/>
      <c r="E369" s="65"/>
      <c r="F369" s="66"/>
      <c r="G369" s="66">
        <f>SUM(G366:G367)</f>
        <v>378012.37</v>
      </c>
      <c r="H369" s="65"/>
      <c r="I369" s="65"/>
      <c r="J369" s="65"/>
      <c r="K369" s="264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5.75" customHeight="1">
      <c r="A370" s="65"/>
      <c r="B370" s="65"/>
      <c r="C370" s="65"/>
      <c r="D370" s="65"/>
      <c r="E370" s="65"/>
      <c r="F370" s="66"/>
      <c r="G370" s="66"/>
      <c r="H370" s="65"/>
      <c r="I370" s="65"/>
      <c r="J370" s="65"/>
      <c r="K370" s="264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5.75" customHeight="1">
      <c r="A371" s="65"/>
      <c r="B371" s="65"/>
      <c r="C371" s="65"/>
      <c r="D371" s="65"/>
      <c r="E371" s="65"/>
      <c r="F371" s="66"/>
      <c r="G371" s="66">
        <v>-1119799.4569421001</v>
      </c>
      <c r="H371" s="65"/>
      <c r="I371" s="65"/>
      <c r="J371" s="65"/>
      <c r="K371" s="264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5.75" customHeight="1">
      <c r="A372" s="65"/>
      <c r="B372" s="65"/>
      <c r="C372" s="65"/>
      <c r="D372" s="65"/>
      <c r="E372" s="65"/>
      <c r="F372" s="66"/>
      <c r="G372" s="66"/>
      <c r="H372" s="65"/>
      <c r="I372" s="65"/>
      <c r="J372" s="65"/>
      <c r="K372" s="264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5.75" customHeight="1">
      <c r="A373" s="65"/>
      <c r="B373" s="65"/>
      <c r="C373" s="65"/>
      <c r="D373" s="65"/>
      <c r="E373" s="65"/>
      <c r="F373" s="66"/>
      <c r="G373" s="66">
        <f>-SUBTOTAL(9,G179:G332)</f>
        <v>0</v>
      </c>
      <c r="H373" s="65"/>
      <c r="I373" s="65"/>
      <c r="J373" s="65"/>
      <c r="K373" s="264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5.75" customHeight="1">
      <c r="A374" s="65"/>
      <c r="B374" s="65"/>
      <c r="C374" s="65"/>
      <c r="D374" s="65"/>
      <c r="E374" s="65"/>
      <c r="F374" s="66"/>
      <c r="G374" s="66"/>
      <c r="H374" s="65"/>
      <c r="I374" s="65"/>
      <c r="J374" s="65"/>
      <c r="K374" s="264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5.75" customHeight="1">
      <c r="A375" s="65"/>
      <c r="B375" s="65"/>
      <c r="C375" s="65"/>
      <c r="D375" s="65"/>
      <c r="E375" s="65"/>
      <c r="F375" s="66"/>
      <c r="G375" s="66">
        <v>17606.080000000002</v>
      </c>
      <c r="H375" s="65"/>
      <c r="I375" s="65"/>
      <c r="J375" s="65"/>
      <c r="K375" s="264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5.75" customHeight="1">
      <c r="A376" s="65"/>
      <c r="B376" s="65"/>
      <c r="C376" s="65"/>
      <c r="D376" s="65"/>
      <c r="E376" s="65"/>
      <c r="F376" s="66"/>
      <c r="G376" s="66">
        <v>12133</v>
      </c>
      <c r="H376" s="65"/>
      <c r="I376" s="65"/>
      <c r="J376" s="65"/>
      <c r="K376" s="264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5.75" customHeight="1">
      <c r="A377" s="65"/>
      <c r="B377" s="65"/>
      <c r="C377" s="65"/>
      <c r="D377" s="65"/>
      <c r="E377" s="65"/>
      <c r="F377" s="66"/>
      <c r="G377" s="66">
        <v>-59978.400000000001</v>
      </c>
      <c r="H377" s="65"/>
      <c r="I377" s="65"/>
      <c r="J377" s="65"/>
      <c r="K377" s="264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5.75" customHeight="1">
      <c r="A378" s="65"/>
      <c r="B378" s="65"/>
      <c r="C378" s="65"/>
      <c r="D378" s="65"/>
      <c r="E378" s="65"/>
      <c r="F378" s="66"/>
      <c r="G378" s="66"/>
      <c r="H378" s="65"/>
      <c r="I378" s="65"/>
      <c r="J378" s="65"/>
      <c r="K378" s="264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5.75" customHeight="1">
      <c r="A379" s="65"/>
      <c r="B379" s="65"/>
      <c r="C379" s="65"/>
      <c r="D379" s="65"/>
      <c r="E379" s="65"/>
      <c r="F379" s="66"/>
      <c r="G379" s="66"/>
      <c r="H379" s="65"/>
      <c r="I379" s="65"/>
      <c r="J379" s="65"/>
      <c r="K379" s="264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5.75" customHeight="1">
      <c r="A380" s="65"/>
      <c r="B380" s="65"/>
      <c r="C380" s="65"/>
      <c r="D380" s="65"/>
      <c r="E380" s="65"/>
      <c r="F380" s="66"/>
      <c r="G380" s="66"/>
      <c r="H380" s="65"/>
      <c r="I380" s="65"/>
      <c r="J380" s="65"/>
      <c r="K380" s="264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5.75" customHeight="1">
      <c r="A381" s="65"/>
      <c r="B381" s="65"/>
      <c r="C381" s="65"/>
      <c r="D381" s="65"/>
      <c r="E381" s="65"/>
      <c r="F381" s="66"/>
      <c r="G381" s="66"/>
      <c r="H381" s="65"/>
      <c r="I381" s="65"/>
      <c r="J381" s="65"/>
      <c r="K381" s="264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5.75" customHeight="1">
      <c r="A382" s="65"/>
      <c r="B382" s="65"/>
      <c r="C382" s="65"/>
      <c r="D382" s="65"/>
      <c r="E382" s="65"/>
      <c r="F382" s="66"/>
      <c r="G382" s="66"/>
      <c r="H382" s="65"/>
      <c r="I382" s="65"/>
      <c r="J382" s="65"/>
      <c r="K382" s="264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5.75" customHeight="1">
      <c r="A383" s="65"/>
      <c r="B383" s="65"/>
      <c r="C383" s="65"/>
      <c r="D383" s="65"/>
      <c r="E383" s="65"/>
      <c r="F383" s="66"/>
      <c r="G383" s="66"/>
      <c r="H383" s="65"/>
      <c r="I383" s="65"/>
      <c r="J383" s="65"/>
      <c r="K383" s="264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5.75" customHeight="1">
      <c r="A384" s="65"/>
      <c r="B384" s="65"/>
      <c r="C384" s="65"/>
      <c r="D384">
        <v>3001</v>
      </c>
      <c r="E384" s="641">
        <v>-2017140.3</v>
      </c>
      <c r="F384" s="66">
        <f>E384-VLOOKUP(D384,$D$122:$F$360,3,0)</f>
        <v>0</v>
      </c>
      <c r="G384" s="66"/>
      <c r="H384" s="65"/>
      <c r="I384" s="65"/>
      <c r="J384" s="65"/>
      <c r="K384" s="264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5.75" customHeight="1">
      <c r="A385" s="65"/>
      <c r="B385" s="65"/>
      <c r="C385" s="65"/>
      <c r="D385">
        <v>3002</v>
      </c>
      <c r="E385" s="641">
        <v>-9520690.6400000006</v>
      </c>
      <c r="F385" s="66">
        <f>E385-VLOOKUP(D385,$D$122:$F$360,3,0)</f>
        <v>0</v>
      </c>
      <c r="G385" s="66"/>
      <c r="H385" s="65"/>
      <c r="I385" s="65"/>
      <c r="J385" s="65"/>
      <c r="K385" s="264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5.75" customHeight="1">
      <c r="A386" s="65"/>
      <c r="B386" s="65"/>
      <c r="C386" s="65"/>
      <c r="D386">
        <v>3003</v>
      </c>
      <c r="E386" s="641">
        <v>-305068.14</v>
      </c>
      <c r="F386" s="66">
        <f t="shared" ref="F386:F408" si="2">E386-VLOOKUP(D386,$D$122:$F$360,3,0)</f>
        <v>0</v>
      </c>
      <c r="G386" s="66"/>
      <c r="H386" s="65"/>
      <c r="I386" s="65"/>
      <c r="J386" s="65"/>
      <c r="K386" s="264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5.75" customHeight="1">
      <c r="A387" s="65"/>
      <c r="B387" s="65"/>
      <c r="C387" s="65"/>
      <c r="D387">
        <v>3004</v>
      </c>
      <c r="E387" s="641">
        <v>-152555.51</v>
      </c>
      <c r="F387" s="66">
        <f t="shared" si="2"/>
        <v>0</v>
      </c>
      <c r="G387" s="66"/>
      <c r="H387" s="65"/>
      <c r="I387" s="65"/>
      <c r="J387" s="65"/>
      <c r="K387" s="264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5.75" customHeight="1">
      <c r="A388" s="65"/>
      <c r="B388" s="65"/>
      <c r="C388" s="65"/>
      <c r="D388">
        <v>3005</v>
      </c>
      <c r="E388" s="641">
        <v>-52931.57</v>
      </c>
      <c r="F388" s="66">
        <f t="shared" si="2"/>
        <v>0</v>
      </c>
      <c r="G388" s="66"/>
      <c r="H388" s="65"/>
      <c r="I388" s="65"/>
      <c r="J388" s="65"/>
      <c r="K388" s="264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5.75" customHeight="1">
      <c r="A389" s="65"/>
      <c r="B389" s="65"/>
      <c r="C389" s="65"/>
      <c r="D389">
        <v>3006</v>
      </c>
      <c r="E389" s="641">
        <v>-48278.01</v>
      </c>
      <c r="F389" s="66">
        <f t="shared" si="2"/>
        <v>0</v>
      </c>
      <c r="G389" s="66"/>
      <c r="H389" s="65"/>
      <c r="I389" s="65"/>
      <c r="J389" s="65"/>
      <c r="K389" s="264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5.75" customHeight="1">
      <c r="A390" s="65"/>
      <c r="B390" s="65"/>
      <c r="C390" s="65"/>
      <c r="D390">
        <v>3007</v>
      </c>
      <c r="E390" s="641">
        <v>-152555.51</v>
      </c>
      <c r="F390" s="66">
        <f t="shared" si="2"/>
        <v>0</v>
      </c>
      <c r="G390" s="66"/>
      <c r="H390" s="65"/>
      <c r="I390" s="65"/>
      <c r="J390" s="65"/>
      <c r="K390" s="264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5.75" customHeight="1">
      <c r="A391" s="65"/>
      <c r="B391" s="65"/>
      <c r="C391" s="65"/>
      <c r="D391">
        <v>3008</v>
      </c>
      <c r="E391" s="641">
        <v>-152533.71</v>
      </c>
      <c r="F391" s="66">
        <f t="shared" si="2"/>
        <v>0</v>
      </c>
      <c r="G391" s="66"/>
      <c r="H391" s="65"/>
      <c r="I391" s="65"/>
      <c r="J391" s="65"/>
      <c r="K391" s="264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5.75" customHeight="1">
      <c r="A392" s="65"/>
      <c r="B392" s="65"/>
      <c r="C392" s="65"/>
      <c r="D392">
        <v>3009</v>
      </c>
      <c r="E392" s="641">
        <v>-152524.14000000001</v>
      </c>
      <c r="F392" s="66">
        <f t="shared" si="2"/>
        <v>0</v>
      </c>
      <c r="G392" s="66"/>
      <c r="H392" s="65"/>
      <c r="I392" s="65"/>
      <c r="J392" s="65"/>
      <c r="K392" s="264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5.75" customHeight="1">
      <c r="A393" s="65"/>
      <c r="B393" s="65"/>
      <c r="C393" s="65"/>
      <c r="D393">
        <v>3011</v>
      </c>
      <c r="E393" s="641">
        <v>-2011925.42</v>
      </c>
      <c r="F393" s="66">
        <f t="shared" si="2"/>
        <v>0</v>
      </c>
      <c r="G393" s="66"/>
      <c r="H393" s="65"/>
      <c r="I393" s="65"/>
      <c r="J393" s="65"/>
      <c r="K393" s="264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5.75" customHeight="1">
      <c r="A394" s="65"/>
      <c r="B394" s="65"/>
      <c r="C394" s="65"/>
      <c r="D394">
        <v>3012</v>
      </c>
      <c r="E394" s="641">
        <v>-168391.4</v>
      </c>
      <c r="F394" s="66">
        <f t="shared" si="2"/>
        <v>0</v>
      </c>
      <c r="G394" s="66"/>
      <c r="H394" s="65"/>
      <c r="I394" s="65"/>
      <c r="J394" s="65"/>
      <c r="K394" s="264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5.75" customHeight="1">
      <c r="A395" s="65"/>
      <c r="B395" s="65"/>
      <c r="C395" s="65"/>
      <c r="D395">
        <v>3013</v>
      </c>
      <c r="E395" s="641">
        <v>-2178379.84</v>
      </c>
      <c r="F395" s="66">
        <f t="shared" si="2"/>
        <v>0</v>
      </c>
      <c r="G395" s="66"/>
      <c r="H395" s="65"/>
      <c r="I395" s="65"/>
      <c r="J395" s="65"/>
      <c r="K395" s="264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5.75" customHeight="1">
      <c r="A396" s="65"/>
      <c r="B396" s="65"/>
      <c r="C396" s="65"/>
      <c r="D396">
        <v>3014</v>
      </c>
      <c r="E396" s="641">
        <v>-335971.35</v>
      </c>
      <c r="F396" s="66">
        <f t="shared" si="2"/>
        <v>0</v>
      </c>
      <c r="G396" s="66"/>
      <c r="H396" s="65"/>
      <c r="I396" s="65"/>
      <c r="J396" s="65"/>
      <c r="K396" s="264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5.75" customHeight="1">
      <c r="A397" s="65"/>
      <c r="B397" s="65"/>
      <c r="C397" s="65"/>
      <c r="D397">
        <v>3015</v>
      </c>
      <c r="E397" s="641">
        <v>-1519426.68</v>
      </c>
      <c r="F397" s="66">
        <f t="shared" si="2"/>
        <v>0</v>
      </c>
      <c r="G397" s="66"/>
      <c r="H397" s="65"/>
      <c r="I397" s="65"/>
      <c r="J397" s="65"/>
      <c r="K397" s="264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5.75" customHeight="1">
      <c r="A398" s="65"/>
      <c r="B398" s="65"/>
      <c r="C398" s="65"/>
      <c r="D398">
        <v>3016</v>
      </c>
      <c r="E398" s="641">
        <v>-335971.35</v>
      </c>
      <c r="F398" s="66">
        <f t="shared" si="2"/>
        <v>0</v>
      </c>
      <c r="G398" s="66"/>
      <c r="H398" s="65"/>
      <c r="I398" s="65"/>
      <c r="J398" s="65"/>
      <c r="K398" s="264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5.75" customHeight="1">
      <c r="A399" s="65"/>
      <c r="B399" s="65"/>
      <c r="C399" s="65"/>
      <c r="D399">
        <v>3017</v>
      </c>
      <c r="E399" s="641">
        <v>-112059.91</v>
      </c>
      <c r="F399" s="66">
        <f t="shared" si="2"/>
        <v>0</v>
      </c>
      <c r="G399" s="66"/>
      <c r="H399" s="65"/>
      <c r="I399" s="65"/>
      <c r="J399" s="65"/>
      <c r="K399" s="264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5.75" customHeight="1">
      <c r="A400" s="65"/>
      <c r="B400" s="65"/>
      <c r="C400" s="65"/>
      <c r="D400">
        <v>3018</v>
      </c>
      <c r="E400" s="641">
        <v>-112260.26</v>
      </c>
      <c r="F400" s="66">
        <f t="shared" si="2"/>
        <v>0</v>
      </c>
      <c r="G400" s="66"/>
      <c r="H400" s="65"/>
      <c r="I400" s="65"/>
      <c r="J400" s="65"/>
      <c r="K400" s="264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5.75" customHeight="1">
      <c r="A401" s="65"/>
      <c r="B401" s="65"/>
      <c r="C401" s="65"/>
      <c r="D401">
        <v>3019</v>
      </c>
      <c r="E401" s="641">
        <v>-112226.87</v>
      </c>
      <c r="F401" s="66">
        <f t="shared" si="2"/>
        <v>0</v>
      </c>
      <c r="G401" s="66"/>
      <c r="H401" s="65"/>
      <c r="I401" s="65"/>
      <c r="J401" s="65"/>
      <c r="K401" s="264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5.75" customHeight="1">
      <c r="A402" s="65"/>
      <c r="B402" s="65"/>
      <c r="C402" s="65"/>
      <c r="D402">
        <v>3020</v>
      </c>
      <c r="E402" s="641">
        <v>-169575.28</v>
      </c>
      <c r="F402" s="66">
        <f t="shared" si="2"/>
        <v>0</v>
      </c>
      <c r="G402" s="66"/>
      <c r="H402" s="65"/>
      <c r="I402" s="65"/>
      <c r="J402" s="65"/>
      <c r="K402" s="264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5.75" customHeight="1">
      <c r="A403" s="65"/>
      <c r="B403" s="65"/>
      <c r="C403" s="65"/>
      <c r="D403">
        <v>3021</v>
      </c>
      <c r="E403" s="641">
        <v>-169576.28</v>
      </c>
      <c r="F403" s="66">
        <f t="shared" si="2"/>
        <v>0</v>
      </c>
      <c r="G403" s="66"/>
      <c r="H403" s="65"/>
      <c r="I403" s="65"/>
      <c r="J403" s="65"/>
      <c r="K403" s="264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5.75" customHeight="1">
      <c r="A404" s="65"/>
      <c r="B404" s="65"/>
      <c r="C404" s="65"/>
      <c r="D404">
        <v>3022</v>
      </c>
      <c r="E404" s="641">
        <v>-452396.12</v>
      </c>
      <c r="F404" s="66">
        <f t="shared" si="2"/>
        <v>0</v>
      </c>
      <c r="G404" s="66"/>
      <c r="H404" s="65"/>
      <c r="I404" s="65"/>
      <c r="J404" s="65"/>
      <c r="K404" s="264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5.75" customHeight="1">
      <c r="A405" s="65"/>
      <c r="B405" s="65"/>
      <c r="C405" s="65"/>
      <c r="D405">
        <v>3023</v>
      </c>
      <c r="E405" s="641">
        <v>-452416.12</v>
      </c>
      <c r="F405" s="66">
        <f t="shared" si="2"/>
        <v>0</v>
      </c>
      <c r="G405" s="66"/>
      <c r="H405" s="65"/>
      <c r="I405" s="65"/>
      <c r="J405" s="65"/>
      <c r="K405" s="264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5.75" customHeight="1">
      <c r="A406" s="65"/>
      <c r="B406" s="65"/>
      <c r="C406" s="65"/>
      <c r="D406">
        <v>3024</v>
      </c>
      <c r="E406" s="641">
        <v>-452416.12</v>
      </c>
      <c r="F406" s="66">
        <f t="shared" si="2"/>
        <v>0</v>
      </c>
      <c r="G406" s="66"/>
      <c r="H406" s="65"/>
      <c r="I406" s="65"/>
      <c r="J406" s="65"/>
      <c r="K406" s="264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5.75" customHeight="1">
      <c r="A407" s="65"/>
      <c r="B407" s="65"/>
      <c r="C407" s="65"/>
      <c r="D407">
        <v>3337</v>
      </c>
      <c r="E407" s="641">
        <v>-52280</v>
      </c>
      <c r="F407" s="66">
        <f t="shared" si="2"/>
        <v>2361316.58</v>
      </c>
      <c r="G407" s="66"/>
      <c r="H407" s="65"/>
      <c r="I407" s="65"/>
      <c r="J407" s="65"/>
      <c r="K407" s="264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5.75" customHeight="1">
      <c r="A408" s="65"/>
      <c r="B408" s="65"/>
      <c r="C408" s="65"/>
      <c r="D408">
        <v>80000</v>
      </c>
      <c r="E408" s="641">
        <v>-1915496.16</v>
      </c>
      <c r="F408" s="66">
        <f t="shared" si="2"/>
        <v>42786.729999999981</v>
      </c>
      <c r="G408" s="66"/>
      <c r="H408" s="65"/>
      <c r="I408" s="65"/>
      <c r="J408" s="65"/>
      <c r="K408" s="264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5.75" customHeight="1">
      <c r="A409" s="65"/>
      <c r="B409" s="65"/>
      <c r="C409" s="65"/>
      <c r="D409" s="65"/>
      <c r="E409" s="65"/>
      <c r="F409" s="66"/>
      <c r="G409" s="66"/>
      <c r="H409" s="65"/>
      <c r="I409" s="65"/>
      <c r="J409" s="65"/>
      <c r="K409" s="264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5.75" customHeight="1">
      <c r="A410" s="65"/>
      <c r="B410" s="65"/>
      <c r="C410" s="65"/>
      <c r="D410" s="65"/>
      <c r="E410" s="65"/>
      <c r="F410" s="66"/>
      <c r="G410" s="66"/>
      <c r="H410" s="65"/>
      <c r="I410" s="65"/>
      <c r="J410" s="65"/>
      <c r="K410" s="264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5.75" customHeight="1">
      <c r="A411" s="65"/>
      <c r="B411" s="65"/>
      <c r="C411" s="65"/>
      <c r="D411" s="65">
        <v>3001</v>
      </c>
      <c r="E411" s="66">
        <v>-2017140.3</v>
      </c>
      <c r="F411" s="66">
        <f>E411-VLOOKUP(D411,$D$384:$E$408,2,0)</f>
        <v>0</v>
      </c>
      <c r="G411" s="66"/>
      <c r="H411" s="65"/>
      <c r="I411" s="65"/>
      <c r="J411" s="65"/>
      <c r="K411" s="264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5.75" customHeight="1">
      <c r="A412" s="65"/>
      <c r="B412" s="65"/>
      <c r="C412" s="65"/>
      <c r="D412" s="65">
        <v>3002</v>
      </c>
      <c r="E412" s="66">
        <v>-9520690.6400000006</v>
      </c>
      <c r="F412" s="66">
        <f t="shared" ref="F412:F436" si="3">E412-VLOOKUP(D412,$D$384:$E$408,2,0)</f>
        <v>0</v>
      </c>
      <c r="G412" s="66"/>
      <c r="H412" s="65"/>
      <c r="I412" s="65"/>
      <c r="J412" s="65"/>
      <c r="K412" s="264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5.75" customHeight="1">
      <c r="A413" s="65"/>
      <c r="B413" s="65"/>
      <c r="C413" s="65"/>
      <c r="D413" s="65">
        <v>3003</v>
      </c>
      <c r="E413" s="66">
        <v>-305068.14</v>
      </c>
      <c r="F413" s="66">
        <f t="shared" si="3"/>
        <v>0</v>
      </c>
      <c r="G413" s="66"/>
      <c r="H413" s="65"/>
      <c r="I413" s="65"/>
      <c r="J413" s="65"/>
      <c r="K413" s="264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5.75" customHeight="1">
      <c r="A414" s="65"/>
      <c r="B414" s="65"/>
      <c r="C414" s="65"/>
      <c r="D414" s="65">
        <v>3004</v>
      </c>
      <c r="E414" s="66">
        <v>-152555.51</v>
      </c>
      <c r="F414" s="66">
        <f t="shared" si="3"/>
        <v>0</v>
      </c>
      <c r="G414" s="66"/>
      <c r="H414" s="65"/>
      <c r="I414" s="65"/>
      <c r="J414" s="65"/>
      <c r="K414" s="264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5.75" customHeight="1">
      <c r="A415" s="65"/>
      <c r="B415" s="65"/>
      <c r="C415" s="65"/>
      <c r="D415" s="65">
        <v>3005</v>
      </c>
      <c r="E415" s="66">
        <v>-52931.57</v>
      </c>
      <c r="F415" s="66">
        <f t="shared" si="3"/>
        <v>0</v>
      </c>
      <c r="G415" s="66"/>
      <c r="H415" s="65"/>
      <c r="I415" s="65"/>
      <c r="J415" s="65"/>
      <c r="K415" s="264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5.75" customHeight="1">
      <c r="A416" s="65"/>
      <c r="B416" s="65"/>
      <c r="C416" s="65"/>
      <c r="D416" s="65">
        <v>3006</v>
      </c>
      <c r="E416" s="66">
        <v>-48278.01</v>
      </c>
      <c r="F416" s="66">
        <f t="shared" si="3"/>
        <v>0</v>
      </c>
      <c r="G416" s="66"/>
      <c r="H416" s="65"/>
      <c r="I416" s="65"/>
      <c r="J416" s="65"/>
      <c r="K416" s="264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5.75" customHeight="1">
      <c r="A417" s="65"/>
      <c r="B417" s="65"/>
      <c r="C417" s="65"/>
      <c r="D417" s="65">
        <v>3007</v>
      </c>
      <c r="E417" s="66">
        <v>-152555.51</v>
      </c>
      <c r="F417" s="66">
        <f t="shared" si="3"/>
        <v>0</v>
      </c>
      <c r="G417" s="66"/>
      <c r="H417" s="65"/>
      <c r="I417" s="65"/>
      <c r="J417" s="65"/>
      <c r="K417" s="264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5.75" customHeight="1">
      <c r="A418" s="65"/>
      <c r="B418" s="65"/>
      <c r="C418" s="65"/>
      <c r="D418" s="65">
        <v>3008</v>
      </c>
      <c r="E418" s="66">
        <v>-152533.71</v>
      </c>
      <c r="F418" s="66">
        <f t="shared" si="3"/>
        <v>0</v>
      </c>
      <c r="G418" s="66"/>
      <c r="H418" s="65"/>
      <c r="I418" s="65"/>
      <c r="J418" s="65"/>
      <c r="K418" s="264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5.75" customHeight="1">
      <c r="A419" s="65"/>
      <c r="B419" s="65"/>
      <c r="C419" s="65"/>
      <c r="D419" s="65">
        <v>3009</v>
      </c>
      <c r="E419" s="66">
        <v>-152524.14000000001</v>
      </c>
      <c r="F419" s="66">
        <f t="shared" si="3"/>
        <v>0</v>
      </c>
      <c r="G419" s="66"/>
      <c r="H419" s="65"/>
      <c r="I419" s="65"/>
      <c r="J419" s="65"/>
      <c r="K419" s="264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5.75" customHeight="1">
      <c r="A420" s="65"/>
      <c r="B420" s="65"/>
      <c r="C420" s="65"/>
      <c r="D420" s="65">
        <v>3011</v>
      </c>
      <c r="E420" s="66">
        <v>-2011925.42</v>
      </c>
      <c r="F420" s="66">
        <f t="shared" si="3"/>
        <v>0</v>
      </c>
      <c r="G420" s="66"/>
      <c r="H420" s="65"/>
      <c r="I420" s="65"/>
      <c r="J420" s="65"/>
      <c r="K420" s="264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5.75" customHeight="1">
      <c r="A421" s="65"/>
      <c r="B421" s="65"/>
      <c r="C421" s="65"/>
      <c r="D421" s="65">
        <v>3012</v>
      </c>
      <c r="E421" s="66">
        <v>-168391.4</v>
      </c>
      <c r="F421" s="66">
        <f t="shared" si="3"/>
        <v>0</v>
      </c>
      <c r="G421" s="66"/>
      <c r="H421" s="65"/>
      <c r="I421" s="65"/>
      <c r="J421" s="65"/>
      <c r="K421" s="264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5.75" customHeight="1">
      <c r="A422" s="65"/>
      <c r="B422" s="65"/>
      <c r="C422" s="65"/>
      <c r="D422" s="65">
        <v>3013</v>
      </c>
      <c r="E422" s="66">
        <v>-2178379.84</v>
      </c>
      <c r="F422" s="66">
        <f t="shared" si="3"/>
        <v>0</v>
      </c>
      <c r="G422" s="66"/>
      <c r="H422" s="65"/>
      <c r="I422" s="65"/>
      <c r="J422" s="65"/>
      <c r="K422" s="264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5.75" customHeight="1">
      <c r="A423" s="65"/>
      <c r="B423" s="65"/>
      <c r="C423" s="65"/>
      <c r="D423" s="65">
        <v>3014</v>
      </c>
      <c r="E423" s="66">
        <v>-335971.35</v>
      </c>
      <c r="F423" s="66">
        <f t="shared" si="3"/>
        <v>0</v>
      </c>
      <c r="G423" s="66"/>
      <c r="H423" s="65"/>
      <c r="I423" s="65"/>
      <c r="J423" s="65"/>
      <c r="K423" s="264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5.75" customHeight="1">
      <c r="A424" s="65"/>
      <c r="B424" s="65"/>
      <c r="C424" s="65"/>
      <c r="D424" s="65">
        <v>3015</v>
      </c>
      <c r="E424" s="66">
        <v>-1519426.68</v>
      </c>
      <c r="F424" s="66">
        <f t="shared" si="3"/>
        <v>0</v>
      </c>
      <c r="G424" s="66"/>
      <c r="H424" s="65"/>
      <c r="I424" s="65"/>
      <c r="J424" s="65"/>
      <c r="K424" s="264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5.75" customHeight="1">
      <c r="A425" s="65"/>
      <c r="B425" s="65"/>
      <c r="C425" s="65"/>
      <c r="D425" s="65">
        <v>3016</v>
      </c>
      <c r="E425" s="66">
        <v>-335971.35</v>
      </c>
      <c r="F425" s="66">
        <f t="shared" si="3"/>
        <v>0</v>
      </c>
      <c r="G425" s="66"/>
      <c r="H425" s="65"/>
      <c r="I425" s="65"/>
      <c r="J425" s="65"/>
      <c r="K425" s="264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5.75" customHeight="1">
      <c r="A426" s="65"/>
      <c r="B426" s="65"/>
      <c r="C426" s="65"/>
      <c r="D426" s="65">
        <v>3017</v>
      </c>
      <c r="E426" s="66">
        <v>-112059.91</v>
      </c>
      <c r="F426" s="66">
        <f t="shared" si="3"/>
        <v>0</v>
      </c>
      <c r="G426" s="66"/>
      <c r="H426" s="65"/>
      <c r="I426" s="65"/>
      <c r="J426" s="65"/>
      <c r="K426" s="264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5.75" customHeight="1">
      <c r="A427" s="65"/>
      <c r="B427" s="65"/>
      <c r="C427" s="65"/>
      <c r="D427" s="65">
        <v>3018</v>
      </c>
      <c r="E427" s="66">
        <v>-112260.26</v>
      </c>
      <c r="F427" s="66">
        <f t="shared" si="3"/>
        <v>0</v>
      </c>
      <c r="G427" s="66"/>
      <c r="H427" s="65"/>
      <c r="I427" s="65"/>
      <c r="J427" s="65"/>
      <c r="K427" s="264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5.75" customHeight="1">
      <c r="A428" s="65"/>
      <c r="B428" s="65"/>
      <c r="C428" s="65"/>
      <c r="D428" s="65">
        <v>3019</v>
      </c>
      <c r="E428" s="66">
        <v>-112226.87</v>
      </c>
      <c r="F428" s="66">
        <f t="shared" si="3"/>
        <v>0</v>
      </c>
      <c r="G428" s="66"/>
      <c r="H428" s="65"/>
      <c r="I428" s="65"/>
      <c r="J428" s="65"/>
      <c r="K428" s="264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5.75" customHeight="1">
      <c r="A429" s="65"/>
      <c r="B429" s="65"/>
      <c r="C429" s="65"/>
      <c r="D429" s="65">
        <v>3020</v>
      </c>
      <c r="E429" s="66">
        <v>-169575.28</v>
      </c>
      <c r="F429" s="66">
        <f t="shared" si="3"/>
        <v>0</v>
      </c>
      <c r="G429" s="66"/>
      <c r="H429" s="65"/>
      <c r="I429" s="65"/>
      <c r="J429" s="65"/>
      <c r="K429" s="264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5.75" customHeight="1">
      <c r="A430" s="65"/>
      <c r="B430" s="65"/>
      <c r="C430" s="65"/>
      <c r="D430" s="65">
        <v>3021</v>
      </c>
      <c r="E430" s="66">
        <v>-169576.28</v>
      </c>
      <c r="F430" s="66">
        <f t="shared" si="3"/>
        <v>0</v>
      </c>
      <c r="G430" s="66"/>
      <c r="H430" s="65"/>
      <c r="I430" s="65"/>
      <c r="J430" s="65"/>
      <c r="K430" s="264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5.75" customHeight="1">
      <c r="A431" s="65"/>
      <c r="B431" s="65"/>
      <c r="C431" s="65"/>
      <c r="D431" s="65">
        <v>3022</v>
      </c>
      <c r="E431" s="66">
        <v>-452396.12</v>
      </c>
      <c r="F431" s="66">
        <f t="shared" si="3"/>
        <v>0</v>
      </c>
      <c r="G431" s="66"/>
      <c r="H431" s="65"/>
      <c r="I431" s="65"/>
      <c r="J431" s="65"/>
      <c r="K431" s="264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5.75" customHeight="1">
      <c r="A432" s="65"/>
      <c r="B432" s="65"/>
      <c r="C432" s="65"/>
      <c r="D432" s="65">
        <v>3023</v>
      </c>
      <c r="E432" s="66">
        <v>-452416.12</v>
      </c>
      <c r="F432" s="66">
        <f t="shared" si="3"/>
        <v>0</v>
      </c>
      <c r="G432" s="66"/>
      <c r="H432" s="65"/>
      <c r="I432" s="65"/>
      <c r="J432" s="65"/>
      <c r="K432" s="264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5.75" customHeight="1">
      <c r="A433" s="65"/>
      <c r="B433" s="65"/>
      <c r="C433" s="65"/>
      <c r="D433" s="65">
        <v>3024</v>
      </c>
      <c r="E433" s="66">
        <v>-452416.12</v>
      </c>
      <c r="F433" s="66">
        <f t="shared" si="3"/>
        <v>0</v>
      </c>
      <c r="G433" s="66"/>
      <c r="H433" s="65"/>
      <c r="I433" s="65"/>
      <c r="J433" s="65"/>
      <c r="K433" s="264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5.75" customHeight="1">
      <c r="A434" s="65"/>
      <c r="B434" s="65"/>
      <c r="C434" s="65"/>
      <c r="D434" s="65">
        <v>3335</v>
      </c>
      <c r="E434" s="66">
        <v>-8575</v>
      </c>
      <c r="F434" s="66" t="e">
        <f t="shared" si="3"/>
        <v>#N/A</v>
      </c>
      <c r="G434" s="66"/>
      <c r="H434" s="65"/>
      <c r="I434" s="65"/>
      <c r="J434" s="65"/>
      <c r="K434" s="264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5.75" customHeight="1">
      <c r="A435" s="65"/>
      <c r="B435" s="65"/>
      <c r="C435" s="65"/>
      <c r="D435" s="65">
        <v>3337</v>
      </c>
      <c r="E435" s="66">
        <v>-2413596.58</v>
      </c>
      <c r="F435" s="66">
        <f t="shared" si="3"/>
        <v>-2361316.58</v>
      </c>
      <c r="G435" s="66"/>
      <c r="H435" s="65"/>
      <c r="I435" s="65"/>
      <c r="J435" s="65"/>
      <c r="K435" s="264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5.75" customHeight="1">
      <c r="A436" s="65"/>
      <c r="B436" s="65"/>
      <c r="C436" s="65"/>
      <c r="D436" s="65">
        <v>80000</v>
      </c>
      <c r="E436" s="66">
        <v>-1958282.89</v>
      </c>
      <c r="F436" s="66">
        <f t="shared" si="3"/>
        <v>-42786.729999999981</v>
      </c>
      <c r="G436" s="66"/>
      <c r="H436" s="65"/>
      <c r="I436" s="65"/>
      <c r="J436" s="65"/>
      <c r="K436" s="264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5.75" customHeight="1">
      <c r="A437" s="65"/>
      <c r="B437" s="65"/>
      <c r="C437" s="65"/>
      <c r="D437" s="65"/>
      <c r="E437" s="65"/>
      <c r="F437" s="66"/>
      <c r="G437" s="66"/>
      <c r="H437" s="65"/>
      <c r="I437" s="65"/>
      <c r="J437" s="65"/>
      <c r="K437" s="264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5.75" customHeight="1">
      <c r="A438" s="65"/>
      <c r="B438" s="65"/>
      <c r="C438" s="65"/>
      <c r="D438" s="65"/>
      <c r="E438" s="65"/>
      <c r="F438" s="66"/>
      <c r="G438" s="66"/>
      <c r="H438" s="65"/>
      <c r="I438" s="65"/>
      <c r="J438" s="65"/>
      <c r="K438" s="264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5.75" customHeight="1">
      <c r="A439" s="65"/>
      <c r="B439" s="65"/>
      <c r="C439" s="65"/>
      <c r="D439" s="65"/>
      <c r="E439" s="65"/>
      <c r="F439" s="66"/>
      <c r="G439" s="66"/>
      <c r="H439" s="65"/>
      <c r="I439" s="65"/>
      <c r="J439" s="65"/>
      <c r="K439" s="264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5.75" customHeight="1">
      <c r="A440" s="65"/>
      <c r="B440" s="65"/>
      <c r="C440" s="65"/>
      <c r="D440" s="65"/>
      <c r="E440" s="65"/>
      <c r="F440" s="66"/>
      <c r="G440" s="66"/>
      <c r="H440" s="65"/>
      <c r="I440" s="65"/>
      <c r="J440" s="65"/>
      <c r="K440" s="264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5.75" customHeight="1">
      <c r="A441" s="65"/>
      <c r="B441" s="65"/>
      <c r="C441" s="65"/>
      <c r="D441" s="65"/>
      <c r="E441" s="65"/>
      <c r="F441" s="66"/>
      <c r="G441" s="66"/>
      <c r="H441" s="65"/>
      <c r="I441" s="65"/>
      <c r="J441" s="65"/>
      <c r="K441" s="264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5.75" customHeight="1">
      <c r="A442" s="65"/>
      <c r="B442" s="65"/>
      <c r="C442" s="65"/>
      <c r="D442" s="65"/>
      <c r="E442" s="65"/>
      <c r="F442" s="66"/>
      <c r="G442" s="66"/>
      <c r="H442" s="65"/>
      <c r="I442" s="65"/>
      <c r="J442" s="65"/>
      <c r="K442" s="264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5.75" customHeight="1">
      <c r="A443" s="65"/>
      <c r="B443" s="65"/>
      <c r="C443" s="65"/>
      <c r="D443" s="65"/>
      <c r="E443" s="65"/>
      <c r="F443" s="66"/>
      <c r="G443" s="66"/>
      <c r="H443" s="65"/>
      <c r="I443" s="65"/>
      <c r="J443" s="65"/>
      <c r="K443" s="264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5.75" customHeight="1">
      <c r="A444" s="65"/>
      <c r="B444" s="65"/>
      <c r="C444" s="65"/>
      <c r="D444" s="65"/>
      <c r="E444" s="65"/>
      <c r="F444" s="66"/>
      <c r="G444" s="66"/>
      <c r="H444" s="65"/>
      <c r="I444" s="65"/>
      <c r="J444" s="65"/>
      <c r="K444" s="264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5.75" customHeight="1">
      <c r="A445" s="65"/>
      <c r="B445" s="65"/>
      <c r="C445" s="65"/>
      <c r="D445" s="65"/>
      <c r="E445" s="65"/>
      <c r="F445" s="66"/>
      <c r="G445" s="66"/>
      <c r="H445" s="65"/>
      <c r="I445" s="65"/>
      <c r="J445" s="65"/>
      <c r="K445" s="264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5.75" customHeight="1">
      <c r="A446" s="65"/>
      <c r="B446" s="65"/>
      <c r="C446" s="65"/>
      <c r="D446" s="65"/>
      <c r="E446" s="65"/>
      <c r="F446" s="66"/>
      <c r="G446" s="66"/>
      <c r="H446" s="65"/>
      <c r="I446" s="65"/>
      <c r="J446" s="65"/>
      <c r="K446" s="264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5.75" customHeight="1">
      <c r="A447" s="65"/>
      <c r="B447" s="65"/>
      <c r="C447" s="65"/>
      <c r="D447" s="65"/>
      <c r="E447" s="65"/>
      <c r="F447" s="66"/>
      <c r="G447" s="66"/>
      <c r="H447" s="65"/>
      <c r="I447" s="65"/>
      <c r="J447" s="65"/>
      <c r="K447" s="264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5.75" customHeight="1">
      <c r="A448" s="65"/>
      <c r="B448" s="65"/>
      <c r="C448" s="65"/>
      <c r="D448" s="65"/>
      <c r="E448" s="65"/>
      <c r="F448" s="66"/>
      <c r="G448" s="66"/>
      <c r="H448" s="65"/>
      <c r="I448" s="65"/>
      <c r="J448" s="65"/>
      <c r="K448" s="264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5.75" customHeight="1">
      <c r="A449" s="65"/>
      <c r="B449" s="65"/>
      <c r="C449" s="65"/>
      <c r="D449" s="65"/>
      <c r="E449" s="65"/>
      <c r="F449" s="66"/>
      <c r="G449" s="66"/>
      <c r="H449" s="65"/>
      <c r="I449" s="65"/>
      <c r="J449" s="65"/>
      <c r="K449" s="264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5.75" customHeight="1">
      <c r="A450" s="65"/>
      <c r="B450" s="65"/>
      <c r="C450" s="65"/>
      <c r="D450" s="65"/>
      <c r="E450" s="65"/>
      <c r="F450" s="66"/>
      <c r="G450" s="66"/>
      <c r="H450" s="65"/>
      <c r="I450" s="65"/>
      <c r="J450" s="65"/>
      <c r="K450" s="264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5.75" customHeight="1">
      <c r="A451" s="65"/>
      <c r="B451" s="65"/>
      <c r="C451" s="65"/>
      <c r="D451" s="65"/>
      <c r="E451" s="65"/>
      <c r="F451" s="66"/>
      <c r="G451" s="66"/>
      <c r="H451" s="65"/>
      <c r="I451" s="65"/>
      <c r="J451" s="65"/>
      <c r="K451" s="264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5.75" customHeight="1">
      <c r="A452" s="65"/>
      <c r="B452" s="65"/>
      <c r="C452" s="65"/>
      <c r="D452" s="65"/>
      <c r="E452" s="65"/>
      <c r="F452" s="66"/>
      <c r="G452" s="66"/>
      <c r="H452" s="65"/>
      <c r="I452" s="65"/>
      <c r="J452" s="65"/>
      <c r="K452" s="264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5.75" customHeight="1">
      <c r="A453" s="65"/>
      <c r="B453" s="65"/>
      <c r="C453" s="65"/>
      <c r="D453" s="65"/>
      <c r="E453" s="65"/>
      <c r="F453" s="66"/>
      <c r="G453" s="66"/>
      <c r="H453" s="65"/>
      <c r="I453" s="65"/>
      <c r="J453" s="65"/>
      <c r="K453" s="264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5.75" customHeight="1">
      <c r="A454" s="65"/>
      <c r="B454" s="65"/>
      <c r="C454" s="65"/>
      <c r="D454" s="65"/>
      <c r="E454" s="65"/>
      <c r="F454" s="66"/>
      <c r="G454" s="66"/>
      <c r="H454" s="65"/>
      <c r="I454" s="65"/>
      <c r="J454" s="65"/>
      <c r="K454" s="264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5.75" customHeight="1">
      <c r="A455" s="65"/>
      <c r="B455" s="65"/>
      <c r="C455" s="65"/>
      <c r="D455" s="65"/>
      <c r="E455" s="65"/>
      <c r="F455" s="66"/>
      <c r="G455" s="66"/>
      <c r="H455" s="65"/>
      <c r="I455" s="65"/>
      <c r="J455" s="65"/>
      <c r="K455" s="264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5.75" customHeight="1">
      <c r="A456" s="65"/>
      <c r="B456" s="65"/>
      <c r="C456" s="65"/>
      <c r="D456" s="65"/>
      <c r="E456" s="65"/>
      <c r="F456" s="66"/>
      <c r="G456" s="66"/>
      <c r="H456" s="65"/>
      <c r="I456" s="65"/>
      <c r="J456" s="65"/>
      <c r="K456" s="264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5.75" customHeight="1">
      <c r="A457" s="65"/>
      <c r="B457" s="65"/>
      <c r="C457" s="65"/>
      <c r="D457" s="65"/>
      <c r="E457" s="65"/>
      <c r="F457" s="66"/>
      <c r="G457" s="66"/>
      <c r="H457" s="65"/>
      <c r="I457" s="65"/>
      <c r="J457" s="65"/>
      <c r="K457" s="264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5.75" customHeight="1">
      <c r="A458" s="65"/>
      <c r="B458" s="65"/>
      <c r="C458" s="65"/>
      <c r="D458" s="65"/>
      <c r="E458" s="65"/>
      <c r="F458" s="66"/>
      <c r="G458" s="66"/>
      <c r="H458" s="65"/>
      <c r="I458" s="65"/>
      <c r="J458" s="65"/>
      <c r="K458" s="264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5.75" customHeight="1">
      <c r="A459" s="65"/>
      <c r="B459" s="65"/>
      <c r="C459" s="65"/>
      <c r="D459" s="65"/>
      <c r="E459" s="65"/>
      <c r="F459" s="66"/>
      <c r="G459" s="66"/>
      <c r="H459" s="65"/>
      <c r="I459" s="65"/>
      <c r="J459" s="65"/>
      <c r="K459" s="264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5.75" customHeight="1">
      <c r="A460" s="65"/>
      <c r="B460" s="65"/>
      <c r="C460" s="65"/>
      <c r="D460" s="65"/>
      <c r="E460" s="65"/>
      <c r="F460" s="66"/>
      <c r="G460" s="66"/>
      <c r="H460" s="65"/>
      <c r="I460" s="65"/>
      <c r="J460" s="65"/>
      <c r="K460" s="264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5.75" customHeight="1">
      <c r="A461" s="65"/>
      <c r="B461" s="65"/>
      <c r="C461" s="65"/>
      <c r="D461" s="65"/>
      <c r="E461" s="65"/>
      <c r="F461" s="66"/>
      <c r="G461" s="66"/>
      <c r="H461" s="65"/>
      <c r="I461" s="65"/>
      <c r="J461" s="65"/>
      <c r="K461" s="264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5.75" customHeight="1">
      <c r="A462" s="65"/>
      <c r="B462" s="65"/>
      <c r="C462" s="65"/>
      <c r="D462" s="65"/>
      <c r="E462" s="65"/>
      <c r="F462" s="66"/>
      <c r="G462" s="66"/>
      <c r="H462" s="65"/>
      <c r="I462" s="65"/>
      <c r="J462" s="65"/>
      <c r="K462" s="264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5.75" customHeight="1">
      <c r="A463" s="65"/>
      <c r="B463" s="65"/>
      <c r="C463" s="65"/>
      <c r="D463" s="65"/>
      <c r="E463" s="65"/>
      <c r="F463" s="66"/>
      <c r="G463" s="66"/>
      <c r="H463" s="65"/>
      <c r="I463" s="65"/>
      <c r="J463" s="65"/>
      <c r="K463" s="264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5.75" customHeight="1">
      <c r="A464" s="65"/>
      <c r="B464" s="65"/>
      <c r="C464" s="65"/>
      <c r="D464" s="65"/>
      <c r="E464" s="65"/>
      <c r="F464" s="66"/>
      <c r="G464" s="66"/>
      <c r="H464" s="65"/>
      <c r="I464" s="65"/>
      <c r="J464" s="65"/>
      <c r="K464" s="264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5.75" customHeight="1">
      <c r="A465" s="65"/>
      <c r="B465" s="65"/>
      <c r="C465" s="65"/>
      <c r="D465" s="65"/>
      <c r="E465" s="65"/>
      <c r="F465" s="66"/>
      <c r="G465" s="66"/>
      <c r="H465" s="65"/>
      <c r="I465" s="65"/>
      <c r="J465" s="65"/>
      <c r="K465" s="264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5.75" customHeight="1">
      <c r="A466" s="65"/>
      <c r="B466" s="65"/>
      <c r="C466" s="65"/>
      <c r="D466" s="65"/>
      <c r="E466" s="65"/>
      <c r="F466" s="66"/>
      <c r="G466" s="66"/>
      <c r="H466" s="65"/>
      <c r="I466" s="65"/>
      <c r="J466" s="65"/>
      <c r="K466" s="264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5.75" customHeight="1">
      <c r="A467" s="65"/>
      <c r="B467" s="65"/>
      <c r="C467" s="65"/>
      <c r="D467" s="65"/>
      <c r="E467" s="65"/>
      <c r="F467" s="66"/>
      <c r="G467" s="66"/>
      <c r="H467" s="65"/>
      <c r="I467" s="65"/>
      <c r="J467" s="65"/>
      <c r="K467" s="264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5.75" customHeight="1">
      <c r="A468" s="65"/>
      <c r="B468" s="65"/>
      <c r="C468" s="65"/>
      <c r="D468" s="65"/>
      <c r="E468" s="65"/>
      <c r="F468" s="66"/>
      <c r="G468" s="66"/>
      <c r="H468" s="65"/>
      <c r="I468" s="65"/>
      <c r="J468" s="65"/>
      <c r="K468" s="264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5.75" customHeight="1">
      <c r="A469" s="65"/>
      <c r="B469" s="65"/>
      <c r="C469" s="65"/>
      <c r="D469" s="65"/>
      <c r="E469" s="65"/>
      <c r="F469" s="66"/>
      <c r="G469" s="66"/>
      <c r="H469" s="65"/>
      <c r="I469" s="65"/>
      <c r="J469" s="65"/>
      <c r="K469" s="264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5.75" customHeight="1">
      <c r="A470" s="65"/>
      <c r="B470" s="65"/>
      <c r="C470" s="65"/>
      <c r="D470" s="65"/>
      <c r="E470" s="65"/>
      <c r="F470" s="66"/>
      <c r="G470" s="66"/>
      <c r="H470" s="65"/>
      <c r="I470" s="65"/>
      <c r="J470" s="65"/>
      <c r="K470" s="264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5.75" customHeight="1">
      <c r="A471" s="65"/>
      <c r="B471" s="65"/>
      <c r="C471" s="65"/>
      <c r="D471" s="65"/>
      <c r="E471" s="65"/>
      <c r="F471" s="66"/>
      <c r="G471" s="66"/>
      <c r="H471" s="65"/>
      <c r="I471" s="65"/>
      <c r="J471" s="65"/>
      <c r="K471" s="264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5.75" customHeight="1">
      <c r="A472" s="65"/>
      <c r="B472" s="65"/>
      <c r="C472" s="65"/>
      <c r="D472" s="65"/>
      <c r="E472" s="65"/>
      <c r="F472" s="66"/>
      <c r="G472" s="66"/>
      <c r="H472" s="65"/>
      <c r="I472" s="65"/>
      <c r="J472" s="65"/>
      <c r="K472" s="264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5.75" customHeight="1">
      <c r="A473" s="65"/>
      <c r="B473" s="65"/>
      <c r="C473" s="65"/>
      <c r="D473" s="65"/>
      <c r="E473" s="65"/>
      <c r="F473" s="66"/>
      <c r="G473" s="66"/>
      <c r="H473" s="65"/>
      <c r="I473" s="65"/>
      <c r="J473" s="65"/>
      <c r="K473" s="264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5.75" customHeight="1">
      <c r="A474" s="65"/>
      <c r="B474" s="65"/>
      <c r="C474" s="65"/>
      <c r="D474" s="65"/>
      <c r="E474" s="65"/>
      <c r="F474" s="66"/>
      <c r="G474" s="66"/>
      <c r="H474" s="65"/>
      <c r="I474" s="65"/>
      <c r="J474" s="65"/>
      <c r="K474" s="264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5.75" customHeight="1">
      <c r="A475" s="65"/>
      <c r="B475" s="65"/>
      <c r="C475" s="65"/>
      <c r="D475" s="65"/>
      <c r="E475" s="65"/>
      <c r="F475" s="66"/>
      <c r="G475" s="66"/>
      <c r="H475" s="65"/>
      <c r="I475" s="65"/>
      <c r="J475" s="65"/>
      <c r="K475" s="264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5.75" customHeight="1">
      <c r="A476" s="65"/>
      <c r="B476" s="65"/>
      <c r="C476" s="65"/>
      <c r="D476" s="65"/>
      <c r="E476" s="65"/>
      <c r="F476" s="66"/>
      <c r="G476" s="66"/>
      <c r="H476" s="65"/>
      <c r="I476" s="65"/>
      <c r="J476" s="65"/>
      <c r="K476" s="264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5.75" customHeight="1">
      <c r="A477" s="65"/>
      <c r="B477" s="65"/>
      <c r="C477" s="65"/>
      <c r="D477" s="65"/>
      <c r="E477" s="65"/>
      <c r="F477" s="66"/>
      <c r="G477" s="66"/>
      <c r="H477" s="65"/>
      <c r="I477" s="65"/>
      <c r="J477" s="65"/>
      <c r="K477" s="264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5.75" customHeight="1">
      <c r="A478" s="65"/>
      <c r="B478" s="65"/>
      <c r="C478" s="65"/>
      <c r="D478" s="65"/>
      <c r="E478" s="65"/>
      <c r="F478" s="66"/>
      <c r="G478" s="66"/>
      <c r="H478" s="65"/>
      <c r="I478" s="65"/>
      <c r="J478" s="65"/>
      <c r="K478" s="264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5.75" customHeight="1">
      <c r="A479" s="65"/>
      <c r="B479" s="65"/>
      <c r="C479" s="65"/>
      <c r="D479" s="65"/>
      <c r="E479" s="65"/>
      <c r="F479" s="66"/>
      <c r="G479" s="66"/>
      <c r="H479" s="65"/>
      <c r="I479" s="65"/>
      <c r="J479" s="65"/>
      <c r="K479" s="264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5.75" customHeight="1">
      <c r="A480" s="65"/>
      <c r="B480" s="65"/>
      <c r="C480" s="65"/>
      <c r="D480" s="65"/>
      <c r="E480" s="65"/>
      <c r="F480" s="66"/>
      <c r="G480" s="66"/>
      <c r="H480" s="65"/>
      <c r="I480" s="65"/>
      <c r="J480" s="65"/>
      <c r="K480" s="264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5.75" customHeight="1">
      <c r="A481" s="65"/>
      <c r="B481" s="65"/>
      <c r="C481" s="65"/>
      <c r="D481" s="65"/>
      <c r="E481" s="65"/>
      <c r="F481" s="66"/>
      <c r="G481" s="66"/>
      <c r="H481" s="65"/>
      <c r="I481" s="65"/>
      <c r="J481" s="65"/>
      <c r="K481" s="264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5.75" customHeight="1">
      <c r="A482" s="65"/>
      <c r="B482" s="65"/>
      <c r="C482" s="65"/>
      <c r="D482" s="65"/>
      <c r="E482" s="65"/>
      <c r="F482" s="66"/>
      <c r="G482" s="66"/>
      <c r="H482" s="65"/>
      <c r="I482" s="65"/>
      <c r="J482" s="65"/>
      <c r="K482" s="264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5.75" customHeight="1">
      <c r="A483" s="65"/>
      <c r="B483" s="65"/>
      <c r="C483" s="65"/>
      <c r="D483" s="65"/>
      <c r="E483" s="65"/>
      <c r="F483" s="66"/>
      <c r="G483" s="66"/>
      <c r="H483" s="65"/>
      <c r="I483" s="65"/>
      <c r="J483" s="65"/>
      <c r="K483" s="264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5.75" customHeight="1">
      <c r="A484" s="65"/>
      <c r="B484" s="65"/>
      <c r="C484" s="65"/>
      <c r="D484" s="65"/>
      <c r="E484" s="65"/>
      <c r="F484" s="66"/>
      <c r="G484" s="66"/>
      <c r="H484" s="65"/>
      <c r="I484" s="65"/>
      <c r="J484" s="65"/>
      <c r="K484" s="264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5.75" customHeight="1">
      <c r="A485" s="65"/>
      <c r="B485" s="65"/>
      <c r="C485" s="65"/>
      <c r="D485" s="65"/>
      <c r="E485" s="65"/>
      <c r="F485" s="66"/>
      <c r="G485" s="66"/>
      <c r="H485" s="65"/>
      <c r="I485" s="65"/>
      <c r="J485" s="65"/>
      <c r="K485" s="264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5.75" customHeight="1">
      <c r="A486" s="65"/>
      <c r="B486" s="65"/>
      <c r="C486" s="65"/>
      <c r="D486" s="65"/>
      <c r="E486" s="65"/>
      <c r="F486" s="66"/>
      <c r="G486" s="66"/>
      <c r="H486" s="65"/>
      <c r="I486" s="65"/>
      <c r="J486" s="65"/>
      <c r="K486" s="264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5.75" customHeight="1">
      <c r="A487" s="65"/>
      <c r="B487" s="65"/>
      <c r="C487" s="65"/>
      <c r="D487" s="65"/>
      <c r="E487" s="65"/>
      <c r="F487" s="66"/>
      <c r="G487" s="66"/>
      <c r="H487" s="65"/>
      <c r="I487" s="65"/>
      <c r="J487" s="65"/>
      <c r="K487" s="264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5.75" customHeight="1">
      <c r="A488" s="65"/>
      <c r="B488" s="65"/>
      <c r="C488" s="65"/>
      <c r="D488" s="65"/>
      <c r="E488" s="65"/>
      <c r="F488" s="66"/>
      <c r="G488" s="66"/>
      <c r="H488" s="65"/>
      <c r="I488" s="65"/>
      <c r="J488" s="65"/>
      <c r="K488" s="264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5.75" customHeight="1">
      <c r="A489" s="65"/>
      <c r="B489" s="65"/>
      <c r="C489" s="65"/>
      <c r="D489" s="65"/>
      <c r="E489" s="65"/>
      <c r="F489" s="66"/>
      <c r="G489" s="66"/>
      <c r="H489" s="65"/>
      <c r="I489" s="65"/>
      <c r="J489" s="65"/>
      <c r="K489" s="264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5.75" customHeight="1">
      <c r="A490" s="65"/>
      <c r="B490" s="65"/>
      <c r="C490" s="65"/>
      <c r="D490" s="65"/>
      <c r="E490" s="65"/>
      <c r="F490" s="66"/>
      <c r="G490" s="66"/>
      <c r="H490" s="65"/>
      <c r="I490" s="65"/>
      <c r="J490" s="65"/>
      <c r="K490" s="264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5.75" customHeight="1">
      <c r="A491" s="65"/>
      <c r="B491" s="65"/>
      <c r="C491" s="65"/>
      <c r="D491" s="65"/>
      <c r="E491" s="65"/>
      <c r="F491" s="66"/>
      <c r="G491" s="66"/>
      <c r="H491" s="65"/>
      <c r="I491" s="65"/>
      <c r="J491" s="65"/>
      <c r="K491" s="264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5.75" customHeight="1">
      <c r="A492" s="65"/>
      <c r="B492" s="65"/>
      <c r="C492" s="65"/>
      <c r="D492" s="65"/>
      <c r="E492" s="65"/>
      <c r="F492" s="66"/>
      <c r="G492" s="66"/>
      <c r="H492" s="65"/>
      <c r="I492" s="65"/>
      <c r="J492" s="65"/>
      <c r="K492" s="264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5.75" customHeight="1">
      <c r="A493" s="65"/>
      <c r="B493" s="65"/>
      <c r="C493" s="65"/>
      <c r="D493" s="65"/>
      <c r="E493" s="65"/>
      <c r="F493" s="66"/>
      <c r="G493" s="66"/>
      <c r="H493" s="65"/>
      <c r="I493" s="65"/>
      <c r="J493" s="65"/>
      <c r="K493" s="264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5.75" customHeight="1">
      <c r="A494" s="65"/>
      <c r="B494" s="65"/>
      <c r="C494" s="65"/>
      <c r="D494" s="65"/>
      <c r="E494" s="65"/>
      <c r="F494" s="66"/>
      <c r="G494" s="66"/>
      <c r="H494" s="65"/>
      <c r="I494" s="65"/>
      <c r="J494" s="65"/>
      <c r="K494" s="264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5.75" customHeight="1">
      <c r="A495" s="65"/>
      <c r="B495" s="65"/>
      <c r="C495" s="65"/>
      <c r="D495" s="65"/>
      <c r="E495" s="65"/>
      <c r="F495" s="66"/>
      <c r="G495" s="66"/>
      <c r="H495" s="65"/>
      <c r="I495" s="65"/>
      <c r="J495" s="65"/>
      <c r="K495" s="264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5.75" customHeight="1">
      <c r="A496" s="65"/>
      <c r="B496" s="65"/>
      <c r="C496" s="65"/>
      <c r="D496" s="65"/>
      <c r="E496" s="65"/>
      <c r="F496" s="66"/>
      <c r="G496" s="66"/>
      <c r="H496" s="65"/>
      <c r="I496" s="65"/>
      <c r="J496" s="65"/>
      <c r="K496" s="264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5.75" customHeight="1">
      <c r="A497" s="65"/>
      <c r="B497" s="65"/>
      <c r="C497" s="65"/>
      <c r="D497" s="65"/>
      <c r="E497" s="65"/>
      <c r="F497" s="66"/>
      <c r="G497" s="66"/>
      <c r="H497" s="65"/>
      <c r="I497" s="65"/>
      <c r="J497" s="65"/>
      <c r="K497" s="264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5.75" customHeight="1">
      <c r="A498" s="65"/>
      <c r="B498" s="65"/>
      <c r="C498" s="65"/>
      <c r="D498" s="65"/>
      <c r="E498" s="65"/>
      <c r="F498" s="66"/>
      <c r="G498" s="66"/>
      <c r="H498" s="65"/>
      <c r="I498" s="65"/>
      <c r="J498" s="65"/>
      <c r="K498" s="264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5.75" customHeight="1">
      <c r="A499" s="65"/>
      <c r="B499" s="65"/>
      <c r="C499" s="65"/>
      <c r="D499" s="65"/>
      <c r="E499" s="65"/>
      <c r="F499" s="66"/>
      <c r="G499" s="66"/>
      <c r="H499" s="65"/>
      <c r="I499" s="65"/>
      <c r="J499" s="65"/>
      <c r="K499" s="264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5.75" customHeight="1">
      <c r="A500" s="65"/>
      <c r="B500" s="65"/>
      <c r="C500" s="65"/>
      <c r="D500" s="65"/>
      <c r="E500" s="65"/>
      <c r="F500" s="66"/>
      <c r="G500" s="66"/>
      <c r="H500" s="65"/>
      <c r="I500" s="65"/>
      <c r="J500" s="65"/>
      <c r="K500" s="264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5.75" customHeight="1">
      <c r="A501" s="65"/>
      <c r="B501" s="65"/>
      <c r="C501" s="65"/>
      <c r="D501" s="65"/>
      <c r="E501" s="65"/>
      <c r="F501" s="66"/>
      <c r="G501" s="66"/>
      <c r="H501" s="65"/>
      <c r="I501" s="65"/>
      <c r="J501" s="65"/>
      <c r="K501" s="264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5.75" customHeight="1">
      <c r="A502" s="65"/>
      <c r="B502" s="65"/>
      <c r="C502" s="65"/>
      <c r="D502" s="65"/>
      <c r="E502" s="65"/>
      <c r="F502" s="66"/>
      <c r="G502" s="66"/>
      <c r="H502" s="65"/>
      <c r="I502" s="65"/>
      <c r="J502" s="65"/>
      <c r="K502" s="264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5.75" customHeight="1">
      <c r="A503" s="65"/>
      <c r="B503" s="65"/>
      <c r="C503" s="65"/>
      <c r="D503" s="65"/>
      <c r="E503" s="65"/>
      <c r="F503" s="66"/>
      <c r="G503" s="66"/>
      <c r="H503" s="65"/>
      <c r="I503" s="65"/>
      <c r="J503" s="65"/>
      <c r="K503" s="264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5.75" customHeight="1">
      <c r="A504" s="65"/>
      <c r="B504" s="65"/>
      <c r="C504" s="65"/>
      <c r="D504" s="65"/>
      <c r="E504" s="65"/>
      <c r="F504" s="66"/>
      <c r="G504" s="66"/>
      <c r="H504" s="65"/>
      <c r="I504" s="65"/>
      <c r="J504" s="65"/>
      <c r="K504" s="264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5.75" customHeight="1">
      <c r="A505" s="65"/>
      <c r="B505" s="65"/>
      <c r="C505" s="65"/>
      <c r="D505" s="65"/>
      <c r="E505" s="65"/>
      <c r="F505" s="66"/>
      <c r="G505" s="66"/>
      <c r="H505" s="65"/>
      <c r="I505" s="65"/>
      <c r="J505" s="65"/>
      <c r="K505" s="264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5.75" customHeight="1">
      <c r="A506" s="65"/>
      <c r="B506" s="65"/>
      <c r="C506" s="65"/>
      <c r="D506" s="65"/>
      <c r="E506" s="65"/>
      <c r="F506" s="66"/>
      <c r="G506" s="66"/>
      <c r="H506" s="65"/>
      <c r="I506" s="65"/>
      <c r="J506" s="65"/>
      <c r="K506" s="264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5.75" customHeight="1">
      <c r="A507" s="65"/>
      <c r="B507" s="65"/>
      <c r="C507" s="65"/>
      <c r="D507" s="65"/>
      <c r="E507" s="65"/>
      <c r="F507" s="66"/>
      <c r="G507" s="66"/>
      <c r="H507" s="65"/>
      <c r="I507" s="65"/>
      <c r="J507" s="65"/>
      <c r="K507" s="264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5.75" customHeight="1">
      <c r="A508" s="65"/>
      <c r="B508" s="65"/>
      <c r="C508" s="65"/>
      <c r="D508" s="65"/>
      <c r="E508" s="65"/>
      <c r="F508" s="66"/>
      <c r="G508" s="66"/>
      <c r="H508" s="65"/>
      <c r="I508" s="65"/>
      <c r="J508" s="65"/>
      <c r="K508" s="264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5.75" customHeight="1">
      <c r="A509" s="65"/>
      <c r="B509" s="65"/>
      <c r="C509" s="65"/>
      <c r="D509" s="65"/>
      <c r="E509" s="65"/>
      <c r="F509" s="66"/>
      <c r="G509" s="66"/>
      <c r="H509" s="65"/>
      <c r="I509" s="65"/>
      <c r="J509" s="65"/>
      <c r="K509" s="264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5.75" customHeight="1">
      <c r="A510" s="65"/>
      <c r="B510" s="65"/>
      <c r="C510" s="65"/>
      <c r="D510" s="65"/>
      <c r="E510" s="65"/>
      <c r="F510" s="66"/>
      <c r="G510" s="66"/>
      <c r="H510" s="65"/>
      <c r="I510" s="65"/>
      <c r="J510" s="65"/>
      <c r="K510" s="264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5.75" customHeight="1">
      <c r="A511" s="65"/>
      <c r="B511" s="65"/>
      <c r="C511" s="65"/>
      <c r="D511" s="65"/>
      <c r="E511" s="65"/>
      <c r="F511" s="66"/>
      <c r="G511" s="66"/>
      <c r="H511" s="65"/>
      <c r="I511" s="65"/>
      <c r="J511" s="65"/>
      <c r="K511" s="264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5.75" customHeight="1">
      <c r="A512" s="65"/>
      <c r="B512" s="65"/>
      <c r="C512" s="65"/>
      <c r="D512" s="65"/>
      <c r="E512" s="65"/>
      <c r="F512" s="66"/>
      <c r="G512" s="66"/>
      <c r="H512" s="65"/>
      <c r="I512" s="65"/>
      <c r="J512" s="65"/>
      <c r="K512" s="264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5.75" customHeight="1">
      <c r="A513" s="65"/>
      <c r="B513" s="65"/>
      <c r="C513" s="65"/>
      <c r="D513" s="65"/>
      <c r="E513" s="65"/>
      <c r="F513" s="66"/>
      <c r="G513" s="66"/>
      <c r="H513" s="65"/>
      <c r="I513" s="65"/>
      <c r="J513" s="65"/>
      <c r="K513" s="264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5.75" customHeight="1">
      <c r="A514" s="65"/>
      <c r="B514" s="65"/>
      <c r="C514" s="65"/>
      <c r="D514" s="65"/>
      <c r="E514" s="65"/>
      <c r="F514" s="66"/>
      <c r="G514" s="66"/>
      <c r="H514" s="65"/>
      <c r="I514" s="65"/>
      <c r="J514" s="65"/>
      <c r="K514" s="264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5.75" customHeight="1">
      <c r="A515" s="65"/>
      <c r="B515" s="65"/>
      <c r="C515" s="65"/>
      <c r="D515" s="65"/>
      <c r="E515" s="65"/>
      <c r="F515" s="66"/>
      <c r="G515" s="66"/>
      <c r="H515" s="65"/>
      <c r="I515" s="65"/>
      <c r="J515" s="65"/>
      <c r="K515" s="264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5.75" customHeight="1">
      <c r="A516" s="65"/>
      <c r="B516" s="65"/>
      <c r="C516" s="65"/>
      <c r="D516" s="65"/>
      <c r="E516" s="65"/>
      <c r="F516" s="66"/>
      <c r="G516" s="66"/>
      <c r="H516" s="65"/>
      <c r="I516" s="65"/>
      <c r="J516" s="65"/>
      <c r="K516" s="264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5.75" customHeight="1">
      <c r="A517" s="65"/>
      <c r="B517" s="65"/>
      <c r="C517" s="65"/>
      <c r="D517" s="65"/>
      <c r="E517" s="65"/>
      <c r="F517" s="66"/>
      <c r="G517" s="66"/>
      <c r="H517" s="65"/>
      <c r="I517" s="65"/>
      <c r="J517" s="65"/>
      <c r="K517" s="264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5.75" customHeight="1">
      <c r="A518" s="65"/>
      <c r="B518" s="65"/>
      <c r="C518" s="65"/>
      <c r="D518" s="65"/>
      <c r="E518" s="65"/>
      <c r="F518" s="66"/>
      <c r="G518" s="66"/>
      <c r="H518" s="65"/>
      <c r="I518" s="65"/>
      <c r="J518" s="65"/>
      <c r="K518" s="264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5.75" customHeight="1">
      <c r="A519" s="65"/>
      <c r="B519" s="65"/>
      <c r="C519" s="65"/>
      <c r="D519" s="65"/>
      <c r="E519" s="65"/>
      <c r="F519" s="66"/>
      <c r="G519" s="66"/>
      <c r="H519" s="65"/>
      <c r="I519" s="65"/>
      <c r="J519" s="65"/>
      <c r="K519" s="264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5.75" customHeight="1">
      <c r="A520" s="65"/>
      <c r="B520" s="65"/>
      <c r="C520" s="65"/>
      <c r="D520" s="65"/>
      <c r="E520" s="65"/>
      <c r="F520" s="66"/>
      <c r="G520" s="66"/>
      <c r="H520" s="65"/>
      <c r="I520" s="65"/>
      <c r="J520" s="65"/>
      <c r="K520" s="264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5.75" customHeight="1">
      <c r="A521" s="65"/>
      <c r="B521" s="65"/>
      <c r="C521" s="65"/>
      <c r="D521" s="65"/>
      <c r="E521" s="65"/>
      <c r="F521" s="66"/>
      <c r="G521" s="66"/>
      <c r="H521" s="65"/>
      <c r="I521" s="65"/>
      <c r="J521" s="65"/>
      <c r="K521" s="264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5.75" customHeight="1">
      <c r="A522" s="65"/>
      <c r="B522" s="65"/>
      <c r="C522" s="65"/>
      <c r="D522" s="65"/>
      <c r="E522" s="65"/>
      <c r="F522" s="66"/>
      <c r="G522" s="66"/>
      <c r="H522" s="65"/>
      <c r="I522" s="65"/>
      <c r="J522" s="65"/>
      <c r="K522" s="264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5.75" customHeight="1">
      <c r="A523" s="65"/>
      <c r="B523" s="65"/>
      <c r="C523" s="65"/>
      <c r="D523" s="65"/>
      <c r="E523" s="65"/>
      <c r="F523" s="66"/>
      <c r="G523" s="66"/>
      <c r="H523" s="65"/>
      <c r="I523" s="65"/>
      <c r="J523" s="65"/>
      <c r="K523" s="264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5.75" customHeight="1">
      <c r="A524" s="65"/>
      <c r="B524" s="65"/>
      <c r="C524" s="65"/>
      <c r="D524" s="65"/>
      <c r="E524" s="65"/>
      <c r="F524" s="66"/>
      <c r="G524" s="66"/>
      <c r="H524" s="65"/>
      <c r="I524" s="65"/>
      <c r="J524" s="65"/>
      <c r="K524" s="264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5.75" customHeight="1">
      <c r="A525" s="65"/>
      <c r="B525" s="65"/>
      <c r="C525" s="65"/>
      <c r="D525" s="65"/>
      <c r="E525" s="65"/>
      <c r="F525" s="66"/>
      <c r="G525" s="66"/>
      <c r="H525" s="65"/>
      <c r="I525" s="65"/>
      <c r="J525" s="65"/>
      <c r="K525" s="264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5.75" customHeight="1">
      <c r="A526" s="65"/>
      <c r="B526" s="65"/>
      <c r="C526" s="65"/>
      <c r="D526" s="65"/>
      <c r="E526" s="65"/>
      <c r="F526" s="66"/>
      <c r="G526" s="66"/>
      <c r="H526" s="65"/>
      <c r="I526" s="65"/>
      <c r="J526" s="65"/>
      <c r="K526" s="264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5.75" customHeight="1">
      <c r="A527" s="65"/>
      <c r="B527" s="65"/>
      <c r="C527" s="65"/>
      <c r="D527" s="65"/>
      <c r="E527" s="65"/>
      <c r="F527" s="66"/>
      <c r="G527" s="66"/>
      <c r="H527" s="65"/>
      <c r="I527" s="65"/>
      <c r="J527" s="65"/>
      <c r="K527" s="264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5.75" customHeight="1">
      <c r="A528" s="65"/>
      <c r="B528" s="65"/>
      <c r="C528" s="65"/>
      <c r="D528" s="65"/>
      <c r="E528" s="65"/>
      <c r="F528" s="66"/>
      <c r="G528" s="66"/>
      <c r="H528" s="65"/>
      <c r="I528" s="65"/>
      <c r="J528" s="65"/>
      <c r="K528" s="264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5.75" customHeight="1">
      <c r="A529" s="65"/>
      <c r="B529" s="65"/>
      <c r="C529" s="65"/>
      <c r="D529" s="65"/>
      <c r="E529" s="65"/>
      <c r="F529" s="66"/>
      <c r="G529" s="66"/>
      <c r="H529" s="65"/>
      <c r="I529" s="65"/>
      <c r="J529" s="65"/>
      <c r="K529" s="264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5.75" customHeight="1">
      <c r="A530" s="65"/>
      <c r="B530" s="65"/>
      <c r="C530" s="65"/>
      <c r="D530" s="65"/>
      <c r="E530" s="65"/>
      <c r="F530" s="66"/>
      <c r="G530" s="66"/>
      <c r="H530" s="65"/>
      <c r="I530" s="65"/>
      <c r="J530" s="65"/>
      <c r="K530" s="264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5.75" customHeight="1">
      <c r="A531" s="65"/>
      <c r="B531" s="65"/>
      <c r="C531" s="65"/>
      <c r="D531" s="65"/>
      <c r="E531" s="65"/>
      <c r="F531" s="66"/>
      <c r="G531" s="66"/>
      <c r="H531" s="65"/>
      <c r="I531" s="65"/>
      <c r="J531" s="65"/>
      <c r="K531" s="264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5.75" customHeight="1">
      <c r="A532" s="65"/>
      <c r="B532" s="65"/>
      <c r="C532" s="65"/>
      <c r="D532" s="65"/>
      <c r="E532" s="65"/>
      <c r="F532" s="66"/>
      <c r="G532" s="66"/>
      <c r="H532" s="65"/>
      <c r="I532" s="65"/>
      <c r="J532" s="65"/>
      <c r="K532" s="264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5.75" customHeight="1">
      <c r="A533" s="65"/>
      <c r="B533" s="65"/>
      <c r="C533" s="65"/>
      <c r="D533" s="65"/>
      <c r="E533" s="65"/>
      <c r="F533" s="66"/>
      <c r="G533" s="66"/>
      <c r="H533" s="65"/>
      <c r="I533" s="65"/>
      <c r="J533" s="65"/>
      <c r="K533" s="264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5.75" customHeight="1">
      <c r="A534" s="65"/>
      <c r="B534" s="65"/>
      <c r="C534" s="65"/>
      <c r="D534" s="65"/>
      <c r="E534" s="65"/>
      <c r="F534" s="66"/>
      <c r="G534" s="66"/>
      <c r="H534" s="65"/>
      <c r="I534" s="65"/>
      <c r="J534" s="65"/>
      <c r="K534" s="264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5.75" customHeight="1">
      <c r="A535" s="65"/>
      <c r="B535" s="65"/>
      <c r="C535" s="65"/>
      <c r="D535" s="65"/>
      <c r="E535" s="65"/>
      <c r="F535" s="66"/>
      <c r="G535" s="66"/>
      <c r="H535" s="65"/>
      <c r="I535" s="65"/>
      <c r="J535" s="65"/>
      <c r="K535" s="264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5.75" customHeight="1">
      <c r="A536" s="65"/>
      <c r="B536" s="65"/>
      <c r="C536" s="65"/>
      <c r="D536" s="65"/>
      <c r="E536" s="65"/>
      <c r="F536" s="66"/>
      <c r="G536" s="66"/>
      <c r="H536" s="65"/>
      <c r="I536" s="65"/>
      <c r="J536" s="65"/>
      <c r="K536" s="264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5.75" customHeight="1">
      <c r="A537" s="65"/>
      <c r="B537" s="65"/>
      <c r="C537" s="65"/>
      <c r="D537" s="65"/>
      <c r="E537" s="65"/>
      <c r="F537" s="66"/>
      <c r="G537" s="66"/>
      <c r="H537" s="65"/>
      <c r="I537" s="65"/>
      <c r="J537" s="65"/>
      <c r="K537" s="264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5.75" customHeight="1">
      <c r="A538" s="65"/>
      <c r="B538" s="65"/>
      <c r="C538" s="65"/>
      <c r="D538" s="65"/>
      <c r="E538" s="65"/>
      <c r="F538" s="66"/>
      <c r="G538" s="66"/>
      <c r="H538" s="65"/>
      <c r="I538" s="65"/>
      <c r="J538" s="65"/>
      <c r="K538" s="264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5.75" customHeight="1">
      <c r="A539" s="65"/>
      <c r="B539" s="65"/>
      <c r="C539" s="65"/>
      <c r="D539" s="65"/>
      <c r="E539" s="65"/>
      <c r="F539" s="66"/>
      <c r="G539" s="66"/>
      <c r="H539" s="65"/>
      <c r="I539" s="65"/>
      <c r="J539" s="65"/>
      <c r="K539" s="264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5.75" customHeight="1">
      <c r="A540" s="65"/>
      <c r="B540" s="65"/>
      <c r="C540" s="65"/>
      <c r="D540" s="65"/>
      <c r="E540" s="65"/>
      <c r="F540" s="66"/>
      <c r="G540" s="66"/>
      <c r="H540" s="65"/>
      <c r="I540" s="65"/>
      <c r="J540" s="65"/>
      <c r="K540" s="264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5.75" customHeight="1">
      <c r="A541" s="65"/>
      <c r="B541" s="65"/>
      <c r="C541" s="65"/>
      <c r="D541" s="65"/>
      <c r="E541" s="65"/>
      <c r="F541" s="66"/>
      <c r="G541" s="66"/>
      <c r="H541" s="65"/>
      <c r="I541" s="65"/>
      <c r="J541" s="65"/>
      <c r="K541" s="264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5.75" customHeight="1">
      <c r="A542" s="65"/>
      <c r="B542" s="65"/>
      <c r="C542" s="65"/>
      <c r="D542" s="65"/>
      <c r="E542" s="65"/>
      <c r="F542" s="66"/>
      <c r="G542" s="66"/>
      <c r="H542" s="65"/>
      <c r="I542" s="65"/>
      <c r="J542" s="65"/>
      <c r="K542" s="264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5.75" customHeight="1">
      <c r="A543" s="65"/>
      <c r="B543" s="65"/>
      <c r="C543" s="65"/>
      <c r="D543" s="65"/>
      <c r="E543" s="65"/>
      <c r="F543" s="66"/>
      <c r="G543" s="66"/>
      <c r="H543" s="65"/>
      <c r="I543" s="65"/>
      <c r="J543" s="65"/>
      <c r="K543" s="264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5.75" customHeight="1">
      <c r="A544" s="65"/>
      <c r="B544" s="65"/>
      <c r="C544" s="65"/>
      <c r="D544" s="65"/>
      <c r="E544" s="65"/>
      <c r="F544" s="66"/>
      <c r="G544" s="66"/>
      <c r="H544" s="65"/>
      <c r="I544" s="65"/>
      <c r="J544" s="65"/>
      <c r="K544" s="264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5.75" customHeight="1">
      <c r="A545" s="65"/>
      <c r="B545" s="65"/>
      <c r="C545" s="65"/>
      <c r="D545" s="65"/>
      <c r="E545" s="65"/>
      <c r="F545" s="66"/>
      <c r="G545" s="66"/>
      <c r="H545" s="65"/>
      <c r="I545" s="65"/>
      <c r="J545" s="65"/>
      <c r="K545" s="264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5.75" customHeight="1">
      <c r="A546" s="65"/>
      <c r="B546" s="65"/>
      <c r="C546" s="65"/>
      <c r="D546" s="65"/>
      <c r="E546" s="65"/>
      <c r="F546" s="66"/>
      <c r="G546" s="66"/>
      <c r="H546" s="65"/>
      <c r="I546" s="65"/>
      <c r="J546" s="65"/>
      <c r="K546" s="264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5.75" customHeight="1">
      <c r="A547" s="65"/>
      <c r="B547" s="65"/>
      <c r="C547" s="65"/>
      <c r="D547" s="65"/>
      <c r="E547" s="65"/>
      <c r="F547" s="66"/>
      <c r="G547" s="66"/>
      <c r="H547" s="65"/>
      <c r="I547" s="65"/>
      <c r="J547" s="65"/>
      <c r="K547" s="264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5.75" customHeight="1">
      <c r="A548" s="65"/>
      <c r="B548" s="65"/>
      <c r="C548" s="65"/>
      <c r="D548" s="65"/>
      <c r="E548" s="65"/>
      <c r="F548" s="66"/>
      <c r="G548" s="66"/>
      <c r="H548" s="65"/>
      <c r="I548" s="65"/>
      <c r="J548" s="65"/>
      <c r="K548" s="264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5.75" customHeight="1">
      <c r="A549" s="65"/>
      <c r="B549" s="65"/>
      <c r="C549" s="65"/>
      <c r="D549" s="65"/>
      <c r="E549" s="65"/>
      <c r="F549" s="66"/>
      <c r="G549" s="66"/>
      <c r="H549" s="65"/>
      <c r="I549" s="65"/>
      <c r="J549" s="65"/>
      <c r="K549" s="264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5.75" customHeight="1">
      <c r="A550" s="65"/>
      <c r="B550" s="65"/>
      <c r="C550" s="65"/>
      <c r="D550" s="65"/>
      <c r="E550" s="65"/>
      <c r="F550" s="66"/>
      <c r="G550" s="66"/>
      <c r="H550" s="65"/>
      <c r="I550" s="65"/>
      <c r="J550" s="65"/>
      <c r="K550" s="264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5.75" customHeight="1">
      <c r="A551" s="65"/>
      <c r="B551" s="65"/>
      <c r="C551" s="65"/>
      <c r="D551" s="65"/>
      <c r="E551" s="65"/>
      <c r="F551" s="66"/>
      <c r="G551" s="66"/>
      <c r="H551" s="65"/>
      <c r="I551" s="65"/>
      <c r="J551" s="65"/>
      <c r="K551" s="264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5.75" customHeight="1">
      <c r="A552" s="65"/>
      <c r="B552" s="65"/>
      <c r="C552" s="65"/>
      <c r="D552" s="65"/>
      <c r="E552" s="65"/>
      <c r="F552" s="66"/>
      <c r="G552" s="66"/>
      <c r="H552" s="65"/>
      <c r="I552" s="65"/>
      <c r="J552" s="65"/>
      <c r="K552" s="264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5.75" customHeight="1">
      <c r="A553" s="65"/>
      <c r="B553" s="65"/>
      <c r="C553" s="65"/>
      <c r="D553" s="65"/>
      <c r="E553" s="65"/>
      <c r="F553" s="66"/>
      <c r="G553" s="66"/>
      <c r="H553" s="65"/>
      <c r="I553" s="65"/>
      <c r="J553" s="65"/>
      <c r="K553" s="264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5.75" customHeight="1">
      <c r="A554" s="65"/>
      <c r="B554" s="65"/>
      <c r="C554" s="65"/>
      <c r="D554" s="65"/>
      <c r="E554" s="65"/>
      <c r="F554" s="66"/>
      <c r="G554" s="66"/>
      <c r="H554" s="65"/>
      <c r="I554" s="65"/>
      <c r="J554" s="65"/>
      <c r="K554" s="264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5.75" customHeight="1">
      <c r="A555" s="65"/>
      <c r="B555" s="65"/>
      <c r="C555" s="65"/>
      <c r="D555" s="65"/>
      <c r="E555" s="65"/>
      <c r="F555" s="66"/>
      <c r="G555" s="66"/>
      <c r="H555" s="65"/>
      <c r="I555" s="65"/>
      <c r="J555" s="65"/>
      <c r="K555" s="264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5.75" customHeight="1">
      <c r="A556" s="65"/>
      <c r="B556" s="65"/>
      <c r="C556" s="65"/>
      <c r="D556" s="65"/>
      <c r="E556" s="65"/>
      <c r="F556" s="66"/>
      <c r="G556" s="66"/>
      <c r="H556" s="65"/>
      <c r="I556" s="65"/>
      <c r="J556" s="65"/>
      <c r="K556" s="264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5.75" customHeight="1">
      <c r="A557" s="65"/>
      <c r="B557" s="65"/>
      <c r="C557" s="65"/>
      <c r="D557" s="65"/>
      <c r="E557" s="65"/>
      <c r="F557" s="66"/>
      <c r="G557" s="66"/>
      <c r="H557" s="65"/>
      <c r="I557" s="65"/>
      <c r="J557" s="65"/>
      <c r="K557" s="264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5.75" customHeight="1">
      <c r="A558" s="65"/>
      <c r="B558" s="65"/>
      <c r="C558" s="65"/>
      <c r="D558" s="65"/>
      <c r="E558" s="65"/>
      <c r="F558" s="66"/>
      <c r="G558" s="66"/>
      <c r="H558" s="65"/>
      <c r="I558" s="65"/>
      <c r="J558" s="65"/>
      <c r="K558" s="264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5.75" customHeight="1">
      <c r="A559" s="65"/>
      <c r="B559" s="65"/>
      <c r="C559" s="65"/>
      <c r="D559" s="65"/>
      <c r="E559" s="65"/>
      <c r="F559" s="66"/>
      <c r="G559" s="66"/>
      <c r="H559" s="65"/>
      <c r="I559" s="65"/>
      <c r="J559" s="65"/>
      <c r="K559" s="264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5.75" customHeight="1">
      <c r="A560" s="65"/>
      <c r="B560" s="65"/>
      <c r="C560" s="65"/>
      <c r="D560" s="65"/>
      <c r="E560" s="65"/>
      <c r="F560" s="66"/>
      <c r="G560" s="66"/>
      <c r="H560" s="65"/>
      <c r="I560" s="65"/>
      <c r="J560" s="65"/>
      <c r="K560" s="264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5.75" customHeight="1">
      <c r="A561" s="65"/>
      <c r="B561" s="65"/>
      <c r="C561" s="65"/>
      <c r="D561" s="65"/>
      <c r="E561" s="65"/>
      <c r="F561" s="66"/>
      <c r="G561" s="66"/>
      <c r="H561" s="65"/>
      <c r="I561" s="65"/>
      <c r="J561" s="65"/>
      <c r="K561" s="264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5.75" customHeight="1">
      <c r="A562" s="65"/>
      <c r="B562" s="65"/>
      <c r="C562" s="65"/>
      <c r="D562" s="65"/>
      <c r="E562" s="65"/>
      <c r="F562" s="66"/>
      <c r="G562" s="66"/>
      <c r="H562" s="65"/>
      <c r="I562" s="65"/>
      <c r="J562" s="65"/>
      <c r="K562" s="264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5.75" customHeight="1">
      <c r="A563" s="65"/>
      <c r="B563" s="65"/>
      <c r="C563" s="65"/>
      <c r="D563" s="65"/>
      <c r="E563" s="65"/>
      <c r="F563" s="66"/>
      <c r="G563" s="66"/>
      <c r="H563" s="65"/>
      <c r="I563" s="65"/>
      <c r="J563" s="65"/>
      <c r="K563" s="264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5.75" customHeight="1">
      <c r="A564" s="65"/>
      <c r="B564" s="65"/>
      <c r="C564" s="65"/>
      <c r="D564" s="65"/>
      <c r="E564" s="65"/>
      <c r="F564" s="66"/>
      <c r="G564" s="66"/>
      <c r="H564" s="65"/>
      <c r="I564" s="65"/>
      <c r="J564" s="65"/>
      <c r="K564" s="264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5.75" customHeight="1">
      <c r="A565" s="65"/>
      <c r="B565" s="65"/>
      <c r="C565" s="65"/>
      <c r="D565" s="65"/>
      <c r="E565" s="65"/>
      <c r="F565" s="66"/>
      <c r="G565" s="66"/>
      <c r="H565" s="65"/>
      <c r="I565" s="65"/>
      <c r="J565" s="65"/>
      <c r="K565" s="264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5.75" customHeight="1">
      <c r="A566" s="65"/>
      <c r="B566" s="65"/>
      <c r="C566" s="65"/>
      <c r="D566" s="65"/>
      <c r="E566" s="65"/>
      <c r="F566" s="66"/>
      <c r="G566" s="66"/>
      <c r="H566" s="65"/>
      <c r="I566" s="65"/>
      <c r="J566" s="65"/>
      <c r="K566" s="264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5.75" customHeight="1">
      <c r="A567" s="65"/>
      <c r="B567" s="65"/>
      <c r="C567" s="65"/>
      <c r="D567" s="65"/>
      <c r="E567" s="65"/>
      <c r="F567" s="66"/>
      <c r="G567" s="66"/>
      <c r="H567" s="65"/>
      <c r="I567" s="65"/>
      <c r="J567" s="65"/>
      <c r="K567" s="264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5.75" customHeight="1">
      <c r="A568" s="65"/>
      <c r="B568" s="65"/>
      <c r="C568" s="65"/>
      <c r="D568" s="65"/>
      <c r="E568" s="65"/>
      <c r="F568" s="66"/>
      <c r="G568" s="66"/>
      <c r="H568" s="65"/>
      <c r="I568" s="65"/>
      <c r="J568" s="65"/>
      <c r="K568" s="264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5.75" customHeight="1">
      <c r="A569" s="65"/>
      <c r="B569" s="65"/>
      <c r="C569" s="65"/>
      <c r="D569" s="65"/>
      <c r="E569" s="65"/>
      <c r="F569" s="66"/>
      <c r="G569" s="66"/>
      <c r="H569" s="65"/>
      <c r="I569" s="65"/>
      <c r="J569" s="65"/>
      <c r="K569" s="264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5.75" customHeight="1">
      <c r="A570" s="65"/>
      <c r="B570" s="65"/>
      <c r="C570" s="65"/>
      <c r="D570" s="65"/>
      <c r="E570" s="65"/>
      <c r="F570" s="66"/>
      <c r="G570" s="66"/>
      <c r="H570" s="65"/>
      <c r="I570" s="65"/>
      <c r="J570" s="65"/>
      <c r="K570" s="264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5.75" customHeight="1">
      <c r="A571" s="65"/>
      <c r="B571" s="65"/>
      <c r="C571" s="65"/>
      <c r="D571" s="65"/>
      <c r="E571" s="65"/>
      <c r="F571" s="66"/>
      <c r="G571" s="66"/>
      <c r="H571" s="65"/>
      <c r="I571" s="65"/>
      <c r="J571" s="65"/>
      <c r="K571" s="264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5.75" customHeight="1">
      <c r="A572" s="65"/>
      <c r="B572" s="65"/>
      <c r="C572" s="65"/>
      <c r="D572" s="65"/>
      <c r="E572" s="65"/>
      <c r="F572" s="66"/>
      <c r="G572" s="66"/>
      <c r="H572" s="65"/>
      <c r="I572" s="65"/>
      <c r="J572" s="65"/>
      <c r="K572" s="264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5.75" customHeight="1">
      <c r="A573" s="65"/>
      <c r="B573" s="65"/>
      <c r="C573" s="65"/>
      <c r="D573" s="65"/>
      <c r="E573" s="65"/>
      <c r="F573" s="66"/>
      <c r="G573" s="66"/>
      <c r="H573" s="65"/>
      <c r="I573" s="65"/>
      <c r="J573" s="65"/>
      <c r="K573" s="264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5.75" customHeight="1">
      <c r="A574" s="65"/>
      <c r="B574" s="65"/>
      <c r="C574" s="65"/>
      <c r="D574" s="65"/>
      <c r="E574" s="65"/>
      <c r="F574" s="66"/>
      <c r="G574" s="66"/>
      <c r="H574" s="65"/>
      <c r="I574" s="65"/>
      <c r="J574" s="65"/>
      <c r="K574" s="264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5.75" customHeight="1">
      <c r="A575" s="65"/>
      <c r="B575" s="65"/>
      <c r="C575" s="65"/>
      <c r="D575" s="65"/>
      <c r="E575" s="65"/>
      <c r="F575" s="66"/>
      <c r="G575" s="66"/>
      <c r="H575" s="65"/>
      <c r="I575" s="65"/>
      <c r="J575" s="65"/>
      <c r="K575" s="264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5.75" customHeight="1">
      <c r="A576" s="65"/>
      <c r="B576" s="65"/>
      <c r="C576" s="65"/>
      <c r="D576" s="65"/>
      <c r="E576" s="65"/>
      <c r="F576" s="66"/>
      <c r="G576" s="66"/>
      <c r="H576" s="65"/>
      <c r="I576" s="65"/>
      <c r="J576" s="65"/>
      <c r="K576" s="264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5.75" customHeight="1">
      <c r="A577" s="65"/>
      <c r="B577" s="65"/>
      <c r="C577" s="65"/>
      <c r="D577" s="65"/>
      <c r="E577" s="65"/>
      <c r="F577" s="66"/>
      <c r="G577" s="66"/>
      <c r="H577" s="65"/>
      <c r="I577" s="65"/>
      <c r="J577" s="65"/>
      <c r="K577" s="264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5.75" customHeight="1">
      <c r="A578" s="65"/>
      <c r="B578" s="65"/>
      <c r="C578" s="65"/>
      <c r="D578" s="65"/>
      <c r="E578" s="65"/>
      <c r="F578" s="66"/>
      <c r="G578" s="66"/>
      <c r="H578" s="65"/>
      <c r="I578" s="65"/>
      <c r="J578" s="65"/>
      <c r="K578" s="264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5.75" customHeight="1">
      <c r="A579" s="65"/>
      <c r="B579" s="65"/>
      <c r="C579" s="65"/>
      <c r="D579" s="65"/>
      <c r="E579" s="65"/>
      <c r="F579" s="66"/>
      <c r="G579" s="66"/>
      <c r="H579" s="65"/>
      <c r="I579" s="65"/>
      <c r="J579" s="65"/>
      <c r="K579" s="264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5.75" customHeight="1">
      <c r="A580" s="65"/>
      <c r="B580" s="65"/>
      <c r="C580" s="65"/>
      <c r="D580" s="65"/>
      <c r="E580" s="65"/>
      <c r="F580" s="66"/>
      <c r="G580" s="66"/>
      <c r="H580" s="65"/>
      <c r="I580" s="65"/>
      <c r="J580" s="65"/>
      <c r="K580" s="264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5.75" customHeight="1">
      <c r="A581" s="65"/>
      <c r="B581" s="65"/>
      <c r="C581" s="65"/>
      <c r="D581" s="65"/>
      <c r="E581" s="65"/>
      <c r="F581" s="66"/>
      <c r="G581" s="66"/>
      <c r="H581" s="65"/>
      <c r="I581" s="65"/>
      <c r="J581" s="65"/>
      <c r="K581" s="264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5.75" customHeight="1">
      <c r="A582" s="65"/>
      <c r="B582" s="65"/>
      <c r="C582" s="65"/>
      <c r="D582" s="65"/>
      <c r="E582" s="65"/>
      <c r="F582" s="66"/>
      <c r="G582" s="66"/>
      <c r="H582" s="65"/>
      <c r="I582" s="65"/>
      <c r="J582" s="65"/>
      <c r="K582" s="264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5.75" customHeight="1">
      <c r="A583" s="65"/>
      <c r="B583" s="65"/>
      <c r="C583" s="65"/>
      <c r="D583" s="65"/>
      <c r="E583" s="65"/>
      <c r="F583" s="66"/>
      <c r="G583" s="66"/>
      <c r="H583" s="65"/>
      <c r="I583" s="65"/>
      <c r="J583" s="65"/>
      <c r="K583" s="264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5.75" customHeight="1">
      <c r="A584" s="65"/>
      <c r="B584" s="65"/>
      <c r="C584" s="65"/>
      <c r="D584" s="65"/>
      <c r="E584" s="65"/>
      <c r="F584" s="66"/>
      <c r="G584" s="66"/>
      <c r="H584" s="65"/>
      <c r="I584" s="65"/>
      <c r="J584" s="65"/>
      <c r="K584" s="264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5.75" customHeight="1">
      <c r="A585" s="65"/>
      <c r="B585" s="65"/>
      <c r="C585" s="65"/>
      <c r="D585" s="65"/>
      <c r="E585" s="65"/>
      <c r="F585" s="66"/>
      <c r="G585" s="66"/>
      <c r="H585" s="65"/>
      <c r="I585" s="65"/>
      <c r="J585" s="65"/>
      <c r="K585" s="264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5.75" customHeight="1">
      <c r="A586" s="65"/>
      <c r="B586" s="65"/>
      <c r="C586" s="65"/>
      <c r="D586" s="65"/>
      <c r="E586" s="65"/>
      <c r="F586" s="66"/>
      <c r="G586" s="66"/>
      <c r="H586" s="65"/>
      <c r="I586" s="65"/>
      <c r="J586" s="65"/>
      <c r="K586" s="264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5.75" customHeight="1">
      <c r="A587" s="65"/>
      <c r="B587" s="65"/>
      <c r="C587" s="65"/>
      <c r="D587" s="65"/>
      <c r="E587" s="65"/>
      <c r="F587" s="66"/>
      <c r="G587" s="66"/>
      <c r="H587" s="65"/>
      <c r="I587" s="65"/>
      <c r="J587" s="65"/>
      <c r="K587" s="264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5.75" customHeight="1">
      <c r="A588" s="65"/>
      <c r="B588" s="65"/>
      <c r="C588" s="65"/>
      <c r="D588" s="65"/>
      <c r="E588" s="65"/>
      <c r="F588" s="66"/>
      <c r="G588" s="66"/>
      <c r="H588" s="65"/>
      <c r="I588" s="65"/>
      <c r="J588" s="65"/>
      <c r="K588" s="264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5.75" customHeight="1">
      <c r="A589" s="65"/>
      <c r="B589" s="65"/>
      <c r="C589" s="65"/>
      <c r="D589" s="65"/>
      <c r="E589" s="65"/>
      <c r="F589" s="66"/>
      <c r="G589" s="66"/>
      <c r="H589" s="65"/>
      <c r="I589" s="65"/>
      <c r="J589" s="65"/>
      <c r="K589" s="264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5.75" customHeight="1">
      <c r="A590" s="65"/>
      <c r="B590" s="65"/>
      <c r="C590" s="65"/>
      <c r="D590" s="65"/>
      <c r="E590" s="65"/>
      <c r="F590" s="66"/>
      <c r="G590" s="66"/>
      <c r="H590" s="65"/>
      <c r="I590" s="65"/>
      <c r="J590" s="65"/>
      <c r="K590" s="264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5.75" customHeight="1">
      <c r="A591" s="65"/>
      <c r="B591" s="65"/>
      <c r="C591" s="65"/>
      <c r="D591" s="65"/>
      <c r="E591" s="65"/>
      <c r="F591" s="66"/>
      <c r="G591" s="66"/>
      <c r="H591" s="65"/>
      <c r="I591" s="65"/>
      <c r="J591" s="65"/>
      <c r="K591" s="264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5.75" customHeight="1">
      <c r="A592" s="65"/>
      <c r="B592" s="65"/>
      <c r="C592" s="65"/>
      <c r="D592" s="65"/>
      <c r="E592" s="65"/>
      <c r="F592" s="66"/>
      <c r="G592" s="66"/>
      <c r="H592" s="65"/>
      <c r="I592" s="65"/>
      <c r="J592" s="65"/>
      <c r="K592" s="264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5.75" customHeight="1">
      <c r="A593" s="65"/>
      <c r="B593" s="65"/>
      <c r="C593" s="65"/>
      <c r="D593" s="65"/>
      <c r="E593" s="65"/>
      <c r="F593" s="66"/>
      <c r="G593" s="66"/>
      <c r="H593" s="65"/>
      <c r="I593" s="65"/>
      <c r="J593" s="65"/>
      <c r="K593" s="264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5.75" customHeight="1">
      <c r="A594" s="65"/>
      <c r="B594" s="65"/>
      <c r="C594" s="65"/>
      <c r="D594" s="65"/>
      <c r="E594" s="65"/>
      <c r="F594" s="66"/>
      <c r="G594" s="66"/>
      <c r="H594" s="65"/>
      <c r="I594" s="65"/>
      <c r="J594" s="65"/>
      <c r="K594" s="264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5.75" customHeight="1">
      <c r="A595" s="65"/>
      <c r="B595" s="65"/>
      <c r="C595" s="65"/>
      <c r="D595" s="65"/>
      <c r="E595" s="65"/>
      <c r="F595" s="66"/>
      <c r="G595" s="66"/>
      <c r="H595" s="65"/>
      <c r="I595" s="65"/>
      <c r="J595" s="65"/>
      <c r="K595" s="264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5.75" customHeight="1">
      <c r="A596" s="65"/>
      <c r="B596" s="65"/>
      <c r="C596" s="65"/>
      <c r="D596" s="65"/>
      <c r="E596" s="65"/>
      <c r="F596" s="66"/>
      <c r="G596" s="66"/>
      <c r="H596" s="65"/>
      <c r="I596" s="65"/>
      <c r="J596" s="65"/>
      <c r="K596" s="264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5.75" customHeight="1">
      <c r="A597" s="65"/>
      <c r="B597" s="65"/>
      <c r="C597" s="65"/>
      <c r="D597" s="65"/>
      <c r="E597" s="65"/>
      <c r="F597" s="66"/>
      <c r="G597" s="66"/>
      <c r="H597" s="65"/>
      <c r="I597" s="65"/>
      <c r="J597" s="65"/>
      <c r="K597" s="264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5.75" customHeight="1">
      <c r="A598" s="65"/>
      <c r="B598" s="65"/>
      <c r="C598" s="65"/>
      <c r="D598" s="65"/>
      <c r="E598" s="65"/>
      <c r="F598" s="66"/>
      <c r="G598" s="66"/>
      <c r="H598" s="65"/>
      <c r="I598" s="65"/>
      <c r="J598" s="65"/>
      <c r="K598" s="264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5.75" customHeight="1">
      <c r="A599" s="65"/>
      <c r="B599" s="65"/>
      <c r="C599" s="65"/>
      <c r="D599" s="65"/>
      <c r="E599" s="65"/>
      <c r="F599" s="66"/>
      <c r="G599" s="66"/>
      <c r="H599" s="65"/>
      <c r="I599" s="65"/>
      <c r="J599" s="65"/>
      <c r="K599" s="264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5.75" customHeight="1">
      <c r="A600" s="65"/>
      <c r="B600" s="65"/>
      <c r="C600" s="65"/>
      <c r="D600" s="65"/>
      <c r="E600" s="65"/>
      <c r="F600" s="66"/>
      <c r="G600" s="66"/>
      <c r="H600" s="65"/>
      <c r="I600" s="65"/>
      <c r="J600" s="65"/>
      <c r="K600" s="264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5.75" customHeight="1">
      <c r="A601" s="65"/>
      <c r="B601" s="65"/>
      <c r="C601" s="65"/>
      <c r="D601" s="65"/>
      <c r="E601" s="65"/>
      <c r="F601" s="66"/>
      <c r="G601" s="66"/>
      <c r="H601" s="65"/>
      <c r="I601" s="65"/>
      <c r="J601" s="65"/>
      <c r="K601" s="264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5.75" customHeight="1">
      <c r="A602" s="65"/>
      <c r="B602" s="65"/>
      <c r="C602" s="65"/>
      <c r="D602" s="65"/>
      <c r="E602" s="65"/>
      <c r="F602" s="66"/>
      <c r="G602" s="66"/>
      <c r="H602" s="65"/>
      <c r="I602" s="65"/>
      <c r="J602" s="65"/>
      <c r="K602" s="264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5.75" customHeight="1">
      <c r="A603" s="65"/>
      <c r="B603" s="65"/>
      <c r="C603" s="65"/>
      <c r="D603" s="65"/>
      <c r="E603" s="65"/>
      <c r="F603" s="66"/>
      <c r="G603" s="66"/>
      <c r="H603" s="65"/>
      <c r="I603" s="65"/>
      <c r="J603" s="65"/>
      <c r="K603" s="264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5.75" customHeight="1">
      <c r="A604" s="65"/>
      <c r="B604" s="65"/>
      <c r="C604" s="65"/>
      <c r="D604" s="65"/>
      <c r="E604" s="65"/>
      <c r="F604" s="66"/>
      <c r="G604" s="66"/>
      <c r="H604" s="65"/>
      <c r="I604" s="65"/>
      <c r="J604" s="65"/>
      <c r="K604" s="264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5.75" customHeight="1">
      <c r="A605" s="65"/>
      <c r="B605" s="65"/>
      <c r="C605" s="65"/>
      <c r="D605" s="65"/>
      <c r="E605" s="65"/>
      <c r="F605" s="66"/>
      <c r="G605" s="66"/>
      <c r="H605" s="65"/>
      <c r="I605" s="65"/>
      <c r="J605" s="65"/>
      <c r="K605" s="264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5.75" customHeight="1">
      <c r="A606" s="65"/>
      <c r="B606" s="65"/>
      <c r="C606" s="65"/>
      <c r="D606" s="65"/>
      <c r="E606" s="65"/>
      <c r="F606" s="66"/>
      <c r="G606" s="66"/>
      <c r="H606" s="65"/>
      <c r="I606" s="65"/>
      <c r="J606" s="65"/>
      <c r="K606" s="264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5.75" customHeight="1">
      <c r="A607" s="65"/>
      <c r="B607" s="65"/>
      <c r="C607" s="65"/>
      <c r="D607" s="65"/>
      <c r="E607" s="65"/>
      <c r="F607" s="66"/>
      <c r="G607" s="66"/>
      <c r="H607" s="65"/>
      <c r="I607" s="65"/>
      <c r="J607" s="65"/>
      <c r="K607" s="264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5.75" customHeight="1">
      <c r="A608" s="65"/>
      <c r="B608" s="65"/>
      <c r="C608" s="65"/>
      <c r="D608" s="65"/>
      <c r="E608" s="65"/>
      <c r="F608" s="66"/>
      <c r="G608" s="66"/>
      <c r="H608" s="65"/>
      <c r="I608" s="65"/>
      <c r="J608" s="65"/>
      <c r="K608" s="264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5.75" customHeight="1">
      <c r="A609" s="65"/>
      <c r="B609" s="65"/>
      <c r="C609" s="65"/>
      <c r="D609" s="65"/>
      <c r="E609" s="65"/>
      <c r="F609" s="66"/>
      <c r="G609" s="66"/>
      <c r="H609" s="65"/>
      <c r="I609" s="65"/>
      <c r="J609" s="65"/>
      <c r="K609" s="264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5.75" customHeight="1">
      <c r="A610" s="65"/>
      <c r="B610" s="65"/>
      <c r="C610" s="65"/>
      <c r="D610" s="65"/>
      <c r="E610" s="65"/>
      <c r="F610" s="66"/>
      <c r="G610" s="66"/>
      <c r="H610" s="65"/>
      <c r="I610" s="65"/>
      <c r="J610" s="65"/>
      <c r="K610" s="264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5.75" customHeight="1">
      <c r="A611" s="65"/>
      <c r="B611" s="65"/>
      <c r="C611" s="65"/>
      <c r="D611" s="65"/>
      <c r="E611" s="65"/>
      <c r="F611" s="66"/>
      <c r="G611" s="66"/>
      <c r="H611" s="65"/>
      <c r="I611" s="65"/>
      <c r="J611" s="65"/>
      <c r="K611" s="264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5.75" customHeight="1">
      <c r="A612" s="65"/>
      <c r="B612" s="65"/>
      <c r="C612" s="65"/>
      <c r="D612" s="65"/>
      <c r="E612" s="65"/>
      <c r="F612" s="66"/>
      <c r="G612" s="66"/>
      <c r="H612" s="65"/>
      <c r="I612" s="65"/>
      <c r="J612" s="65"/>
      <c r="K612" s="264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5.75" customHeight="1">
      <c r="A613" s="65"/>
      <c r="B613" s="65"/>
      <c r="C613" s="65"/>
      <c r="D613" s="65"/>
      <c r="E613" s="65"/>
      <c r="F613" s="66"/>
      <c r="G613" s="66"/>
      <c r="H613" s="65"/>
      <c r="I613" s="65"/>
      <c r="J613" s="65"/>
      <c r="K613" s="264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5.75" customHeight="1">
      <c r="A614" s="65"/>
      <c r="B614" s="65"/>
      <c r="C614" s="65"/>
      <c r="D614" s="65"/>
      <c r="E614" s="65"/>
      <c r="F614" s="66"/>
      <c r="G614" s="66"/>
      <c r="H614" s="65"/>
      <c r="I614" s="65"/>
      <c r="J614" s="65"/>
      <c r="K614" s="264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5.75" customHeight="1">
      <c r="A615" s="65"/>
      <c r="B615" s="65"/>
      <c r="C615" s="65"/>
      <c r="D615" s="65"/>
      <c r="E615" s="65"/>
      <c r="F615" s="66"/>
      <c r="G615" s="66"/>
      <c r="H615" s="65"/>
      <c r="I615" s="65"/>
      <c r="J615" s="65"/>
      <c r="K615" s="264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5.75" customHeight="1">
      <c r="A616" s="65"/>
      <c r="B616" s="65"/>
      <c r="C616" s="65"/>
      <c r="D616" s="65"/>
      <c r="E616" s="65"/>
      <c r="F616" s="66"/>
      <c r="G616" s="66"/>
      <c r="H616" s="65"/>
      <c r="I616" s="65"/>
      <c r="J616" s="65"/>
      <c r="K616" s="264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5.75" customHeight="1">
      <c r="A617" s="65"/>
      <c r="B617" s="65"/>
      <c r="C617" s="65"/>
      <c r="D617" s="65"/>
      <c r="E617" s="65"/>
      <c r="F617" s="66"/>
      <c r="G617" s="66"/>
      <c r="H617" s="65"/>
      <c r="I617" s="65"/>
      <c r="J617" s="65"/>
      <c r="K617" s="264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5.75" customHeight="1">
      <c r="A618" s="65"/>
      <c r="B618" s="65"/>
      <c r="C618" s="65"/>
      <c r="D618" s="65"/>
      <c r="E618" s="65"/>
      <c r="F618" s="66"/>
      <c r="G618" s="66"/>
      <c r="H618" s="65"/>
      <c r="I618" s="65"/>
      <c r="J618" s="65"/>
      <c r="K618" s="264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5.75" customHeight="1">
      <c r="A619" s="65"/>
      <c r="B619" s="65"/>
      <c r="C619" s="65"/>
      <c r="D619" s="65"/>
      <c r="E619" s="65"/>
      <c r="F619" s="66"/>
      <c r="G619" s="66"/>
      <c r="H619" s="65"/>
      <c r="I619" s="65"/>
      <c r="J619" s="65"/>
      <c r="K619" s="264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5.75" customHeight="1">
      <c r="A620" s="65"/>
      <c r="B620" s="65"/>
      <c r="C620" s="65"/>
      <c r="D620" s="65"/>
      <c r="E620" s="65"/>
      <c r="F620" s="66"/>
      <c r="G620" s="66"/>
      <c r="H620" s="65"/>
      <c r="I620" s="65"/>
      <c r="J620" s="65"/>
      <c r="K620" s="264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5.75" customHeight="1">
      <c r="A621" s="65"/>
      <c r="B621" s="65"/>
      <c r="C621" s="65"/>
      <c r="D621" s="65"/>
      <c r="E621" s="65"/>
      <c r="F621" s="66"/>
      <c r="G621" s="66"/>
      <c r="H621" s="65"/>
      <c r="I621" s="65"/>
      <c r="J621" s="65"/>
      <c r="K621" s="264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5.75" customHeight="1">
      <c r="A622" s="65"/>
      <c r="B622" s="65"/>
      <c r="C622" s="65"/>
      <c r="D622" s="65"/>
      <c r="E622" s="65"/>
      <c r="F622" s="66"/>
      <c r="G622" s="66"/>
      <c r="H622" s="65"/>
      <c r="I622" s="65"/>
      <c r="J622" s="65"/>
      <c r="K622" s="264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5.75" customHeight="1">
      <c r="A623" s="65"/>
      <c r="B623" s="65"/>
      <c r="C623" s="65"/>
      <c r="D623" s="65"/>
      <c r="E623" s="65"/>
      <c r="F623" s="66"/>
      <c r="G623" s="66"/>
      <c r="H623" s="65"/>
      <c r="I623" s="65"/>
      <c r="J623" s="65"/>
      <c r="K623" s="264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5.75" customHeight="1">
      <c r="A624" s="65"/>
      <c r="B624" s="65"/>
      <c r="C624" s="65"/>
      <c r="D624" s="65"/>
      <c r="E624" s="65"/>
      <c r="F624" s="66"/>
      <c r="G624" s="66"/>
      <c r="H624" s="65"/>
      <c r="I624" s="65"/>
      <c r="J624" s="65"/>
      <c r="K624" s="264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5.75" customHeight="1">
      <c r="A625" s="65"/>
      <c r="B625" s="65"/>
      <c r="C625" s="65"/>
      <c r="D625" s="65"/>
      <c r="E625" s="65"/>
      <c r="F625" s="66"/>
      <c r="G625" s="66"/>
      <c r="H625" s="65"/>
      <c r="I625" s="65"/>
      <c r="J625" s="65"/>
      <c r="K625" s="264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5.75" customHeight="1">
      <c r="A626" s="65"/>
      <c r="B626" s="65"/>
      <c r="C626" s="65"/>
      <c r="D626" s="65"/>
      <c r="E626" s="65"/>
      <c r="F626" s="66"/>
      <c r="G626" s="66"/>
      <c r="H626" s="65"/>
      <c r="I626" s="65"/>
      <c r="J626" s="65"/>
      <c r="K626" s="264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5.75" customHeight="1">
      <c r="A627" s="65"/>
      <c r="B627" s="65"/>
      <c r="C627" s="65"/>
      <c r="D627" s="65"/>
      <c r="E627" s="65"/>
      <c r="F627" s="66"/>
      <c r="G627" s="66"/>
      <c r="H627" s="65"/>
      <c r="I627" s="65"/>
      <c r="J627" s="65"/>
      <c r="K627" s="264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5.75" customHeight="1">
      <c r="A628" s="65"/>
      <c r="B628" s="65"/>
      <c r="C628" s="65"/>
      <c r="D628" s="65"/>
      <c r="E628" s="65"/>
      <c r="F628" s="66"/>
      <c r="G628" s="66"/>
      <c r="H628" s="65"/>
      <c r="I628" s="65"/>
      <c r="J628" s="65"/>
      <c r="K628" s="264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5.75" customHeight="1">
      <c r="A629" s="65"/>
      <c r="B629" s="65"/>
      <c r="C629" s="65"/>
      <c r="D629" s="65"/>
      <c r="E629" s="65"/>
      <c r="F629" s="66"/>
      <c r="G629" s="66"/>
      <c r="H629" s="65"/>
      <c r="I629" s="65"/>
      <c r="J629" s="65"/>
      <c r="K629" s="264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5.75" customHeight="1">
      <c r="A630" s="65"/>
      <c r="B630" s="65"/>
      <c r="C630" s="65"/>
      <c r="D630" s="65"/>
      <c r="E630" s="65"/>
      <c r="F630" s="66"/>
      <c r="G630" s="66"/>
      <c r="H630" s="65"/>
      <c r="I630" s="65"/>
      <c r="J630" s="65"/>
      <c r="K630" s="264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5.75" customHeight="1">
      <c r="A631" s="65"/>
      <c r="B631" s="65"/>
      <c r="C631" s="65"/>
      <c r="D631" s="65"/>
      <c r="E631" s="65"/>
      <c r="F631" s="66"/>
      <c r="G631" s="66"/>
      <c r="H631" s="65"/>
      <c r="I631" s="65"/>
      <c r="J631" s="65"/>
      <c r="K631" s="264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5.75" customHeight="1">
      <c r="A632" s="65"/>
      <c r="B632" s="65"/>
      <c r="C632" s="65"/>
      <c r="D632" s="65"/>
      <c r="E632" s="65"/>
      <c r="F632" s="66"/>
      <c r="G632" s="66"/>
      <c r="H632" s="65"/>
      <c r="I632" s="65"/>
      <c r="J632" s="65"/>
      <c r="K632" s="264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5.75" customHeight="1">
      <c r="A633" s="65"/>
      <c r="B633" s="65"/>
      <c r="C633" s="65"/>
      <c r="D633" s="65"/>
      <c r="E633" s="65"/>
      <c r="F633" s="66"/>
      <c r="G633" s="66"/>
      <c r="H633" s="65"/>
      <c r="I633" s="65"/>
      <c r="J633" s="65"/>
      <c r="K633" s="264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5.75" customHeight="1">
      <c r="A634" s="65"/>
      <c r="B634" s="65"/>
      <c r="C634" s="65"/>
      <c r="D634" s="65"/>
      <c r="E634" s="65"/>
      <c r="F634" s="66"/>
      <c r="G634" s="66"/>
      <c r="H634" s="65"/>
      <c r="I634" s="65"/>
      <c r="J634" s="65"/>
      <c r="K634" s="264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5.75" customHeight="1">
      <c r="A635" s="65"/>
      <c r="B635" s="65"/>
      <c r="C635" s="65"/>
      <c r="D635" s="65"/>
      <c r="E635" s="65"/>
      <c r="F635" s="66"/>
      <c r="G635" s="66"/>
      <c r="H635" s="65"/>
      <c r="I635" s="65"/>
      <c r="J635" s="65"/>
      <c r="K635" s="264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5.75" customHeight="1">
      <c r="A636" s="65"/>
      <c r="B636" s="65"/>
      <c r="C636" s="65"/>
      <c r="D636" s="65"/>
      <c r="E636" s="65"/>
      <c r="F636" s="66"/>
      <c r="G636" s="66"/>
      <c r="H636" s="65"/>
      <c r="I636" s="65"/>
      <c r="J636" s="65"/>
      <c r="K636" s="264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5.75" customHeight="1">
      <c r="A637" s="65"/>
      <c r="B637" s="65"/>
      <c r="C637" s="65"/>
      <c r="D637" s="65"/>
      <c r="E637" s="65"/>
      <c r="F637" s="66"/>
      <c r="G637" s="66"/>
      <c r="H637" s="65"/>
      <c r="I637" s="65"/>
      <c r="J637" s="65"/>
      <c r="K637" s="264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5.75" customHeight="1">
      <c r="A638" s="65"/>
      <c r="B638" s="65"/>
      <c r="C638" s="65"/>
      <c r="D638" s="65"/>
      <c r="E638" s="65"/>
      <c r="F638" s="66"/>
      <c r="G638" s="66"/>
      <c r="H638" s="65"/>
      <c r="I638" s="65"/>
      <c r="J638" s="65"/>
      <c r="K638" s="264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5.75" customHeight="1">
      <c r="A639" s="65"/>
      <c r="B639" s="65"/>
      <c r="C639" s="65"/>
      <c r="D639" s="65"/>
      <c r="E639" s="65"/>
      <c r="F639" s="66"/>
      <c r="G639" s="66"/>
      <c r="H639" s="65"/>
      <c r="I639" s="65"/>
      <c r="J639" s="65"/>
      <c r="K639" s="264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5.75" customHeight="1">
      <c r="A640" s="65"/>
      <c r="B640" s="65"/>
      <c r="C640" s="65"/>
      <c r="D640" s="65"/>
      <c r="E640" s="65"/>
      <c r="F640" s="66"/>
      <c r="G640" s="66"/>
      <c r="H640" s="65"/>
      <c r="I640" s="65"/>
      <c r="J640" s="65"/>
      <c r="K640" s="264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5.75" customHeight="1">
      <c r="A641" s="65"/>
      <c r="B641" s="65"/>
      <c r="C641" s="65"/>
      <c r="D641" s="65"/>
      <c r="E641" s="65"/>
      <c r="F641" s="66"/>
      <c r="G641" s="66"/>
      <c r="H641" s="65"/>
      <c r="I641" s="65"/>
      <c r="J641" s="65"/>
      <c r="K641" s="264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5.75" customHeight="1">
      <c r="A642" s="65"/>
      <c r="B642" s="65"/>
      <c r="C642" s="65"/>
      <c r="D642" s="65"/>
      <c r="E642" s="65"/>
      <c r="F642" s="66"/>
      <c r="G642" s="66"/>
      <c r="H642" s="65"/>
      <c r="I642" s="65"/>
      <c r="J642" s="65"/>
      <c r="K642" s="264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5.75" customHeight="1">
      <c r="A643" s="65"/>
      <c r="B643" s="65"/>
      <c r="C643" s="65"/>
      <c r="D643" s="65"/>
      <c r="E643" s="65"/>
      <c r="F643" s="66"/>
      <c r="G643" s="66"/>
      <c r="H643" s="65"/>
      <c r="I643" s="65"/>
      <c r="J643" s="65"/>
      <c r="K643" s="264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5.75" customHeight="1">
      <c r="A644" s="65"/>
      <c r="B644" s="65"/>
      <c r="C644" s="65"/>
      <c r="D644" s="65"/>
      <c r="E644" s="65"/>
      <c r="F644" s="66"/>
      <c r="G644" s="66"/>
      <c r="H644" s="65"/>
      <c r="I644" s="65"/>
      <c r="J644" s="65"/>
      <c r="K644" s="264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5.75" customHeight="1">
      <c r="A645" s="65"/>
      <c r="B645" s="65"/>
      <c r="C645" s="65"/>
      <c r="D645" s="65"/>
      <c r="E645" s="65"/>
      <c r="F645" s="66"/>
      <c r="G645" s="66"/>
      <c r="H645" s="65"/>
      <c r="I645" s="65"/>
      <c r="J645" s="65"/>
      <c r="K645" s="264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5.75" customHeight="1">
      <c r="A646" s="65"/>
      <c r="B646" s="65"/>
      <c r="C646" s="65"/>
      <c r="D646" s="65"/>
      <c r="E646" s="65"/>
      <c r="F646" s="66"/>
      <c r="G646" s="66"/>
      <c r="H646" s="65"/>
      <c r="I646" s="65"/>
      <c r="J646" s="65"/>
      <c r="K646" s="264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5.75" customHeight="1">
      <c r="A647" s="65"/>
      <c r="B647" s="65"/>
      <c r="C647" s="65"/>
      <c r="D647" s="65"/>
      <c r="E647" s="65"/>
      <c r="F647" s="66"/>
      <c r="G647" s="66"/>
      <c r="H647" s="65"/>
      <c r="I647" s="65"/>
      <c r="J647" s="65"/>
      <c r="K647" s="264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5.75" customHeight="1">
      <c r="A648" s="65"/>
      <c r="B648" s="65"/>
      <c r="C648" s="65"/>
      <c r="D648" s="65"/>
      <c r="E648" s="65"/>
      <c r="F648" s="66"/>
      <c r="G648" s="66"/>
      <c r="H648" s="65"/>
      <c r="I648" s="65"/>
      <c r="J648" s="65"/>
      <c r="K648" s="264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5.75" customHeight="1">
      <c r="A649" s="65"/>
      <c r="B649" s="65"/>
      <c r="C649" s="65"/>
      <c r="D649" s="65"/>
      <c r="E649" s="65"/>
      <c r="F649" s="66"/>
      <c r="G649" s="66"/>
      <c r="H649" s="65"/>
      <c r="I649" s="65"/>
      <c r="J649" s="65"/>
      <c r="K649" s="264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5.75" customHeight="1">
      <c r="A650" s="65"/>
      <c r="B650" s="65"/>
      <c r="C650" s="65"/>
      <c r="D650" s="65"/>
      <c r="E650" s="65"/>
      <c r="F650" s="66"/>
      <c r="G650" s="66"/>
      <c r="H650" s="65"/>
      <c r="I650" s="65"/>
      <c r="J650" s="65"/>
      <c r="K650" s="264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5.75" customHeight="1">
      <c r="A651" s="65"/>
      <c r="B651" s="65"/>
      <c r="C651" s="65"/>
      <c r="D651" s="65"/>
      <c r="E651" s="65"/>
      <c r="F651" s="66"/>
      <c r="G651" s="66"/>
      <c r="H651" s="65"/>
      <c r="I651" s="65"/>
      <c r="J651" s="65"/>
      <c r="K651" s="264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5.75" customHeight="1">
      <c r="A652" s="65"/>
      <c r="B652" s="65"/>
      <c r="C652" s="65"/>
      <c r="D652" s="65"/>
      <c r="E652" s="65"/>
      <c r="F652" s="66"/>
      <c r="G652" s="66"/>
      <c r="H652" s="65"/>
      <c r="I652" s="65"/>
      <c r="J652" s="65"/>
      <c r="K652" s="264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5.75" customHeight="1">
      <c r="A653" s="65"/>
      <c r="B653" s="65"/>
      <c r="C653" s="65"/>
      <c r="D653" s="65"/>
      <c r="E653" s="65"/>
      <c r="F653" s="66"/>
      <c r="G653" s="66"/>
      <c r="H653" s="65"/>
      <c r="I653" s="65"/>
      <c r="J653" s="65"/>
      <c r="K653" s="264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5.75" customHeight="1">
      <c r="A654" s="65"/>
      <c r="B654" s="65"/>
      <c r="C654" s="65"/>
      <c r="D654" s="65"/>
      <c r="E654" s="65"/>
      <c r="F654" s="66"/>
      <c r="G654" s="66"/>
      <c r="H654" s="65"/>
      <c r="I654" s="65"/>
      <c r="J654" s="65"/>
      <c r="K654" s="264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5.75" customHeight="1">
      <c r="A655" s="65"/>
      <c r="B655" s="65"/>
      <c r="C655" s="65"/>
      <c r="D655" s="65"/>
      <c r="E655" s="65"/>
      <c r="F655" s="66"/>
      <c r="G655" s="66"/>
      <c r="H655" s="65"/>
      <c r="I655" s="65"/>
      <c r="J655" s="65"/>
      <c r="K655" s="264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5.75" customHeight="1">
      <c r="A656" s="65"/>
      <c r="B656" s="65"/>
      <c r="C656" s="65"/>
      <c r="D656" s="65"/>
      <c r="E656" s="65"/>
      <c r="F656" s="66"/>
      <c r="G656" s="66"/>
      <c r="H656" s="65"/>
      <c r="I656" s="65"/>
      <c r="J656" s="65"/>
      <c r="K656" s="264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5.75" customHeight="1">
      <c r="A657" s="65"/>
      <c r="B657" s="65"/>
      <c r="C657" s="65"/>
      <c r="D657" s="65"/>
      <c r="E657" s="65"/>
      <c r="F657" s="66"/>
      <c r="G657" s="66"/>
      <c r="H657" s="65"/>
      <c r="I657" s="65"/>
      <c r="J657" s="65"/>
      <c r="K657" s="264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5.75" customHeight="1">
      <c r="A658" s="65"/>
      <c r="B658" s="65"/>
      <c r="C658" s="65"/>
      <c r="D658" s="65"/>
      <c r="E658" s="65"/>
      <c r="F658" s="66"/>
      <c r="G658" s="66"/>
      <c r="H658" s="65"/>
      <c r="I658" s="65"/>
      <c r="J658" s="65"/>
      <c r="K658" s="264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5.75" customHeight="1">
      <c r="A659" s="65"/>
      <c r="B659" s="65"/>
      <c r="C659" s="65"/>
      <c r="D659" s="65"/>
      <c r="E659" s="65"/>
      <c r="F659" s="66"/>
      <c r="G659" s="66"/>
      <c r="H659" s="65"/>
      <c r="I659" s="65"/>
      <c r="J659" s="65"/>
      <c r="K659" s="264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5.75" customHeight="1">
      <c r="A660" s="65"/>
      <c r="B660" s="65"/>
      <c r="C660" s="65"/>
      <c r="D660" s="65"/>
      <c r="E660" s="65"/>
      <c r="F660" s="66"/>
      <c r="G660" s="66"/>
      <c r="H660" s="65"/>
      <c r="I660" s="65"/>
      <c r="J660" s="65"/>
      <c r="K660" s="264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5.75" customHeight="1">
      <c r="A661" s="65"/>
      <c r="B661" s="65"/>
      <c r="C661" s="65"/>
      <c r="D661" s="65"/>
      <c r="E661" s="65"/>
      <c r="F661" s="66"/>
      <c r="G661" s="66"/>
      <c r="H661" s="65"/>
      <c r="I661" s="65"/>
      <c r="J661" s="65"/>
      <c r="K661" s="264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5.75" customHeight="1">
      <c r="A662" s="65"/>
      <c r="B662" s="65"/>
      <c r="C662" s="65"/>
      <c r="D662" s="65"/>
      <c r="E662" s="65"/>
      <c r="F662" s="66"/>
      <c r="G662" s="66"/>
      <c r="H662" s="65"/>
      <c r="I662" s="65"/>
      <c r="J662" s="65"/>
      <c r="K662" s="264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5.75" customHeight="1">
      <c r="A663" s="65"/>
      <c r="B663" s="65"/>
      <c r="C663" s="65"/>
      <c r="D663" s="65"/>
      <c r="E663" s="65"/>
      <c r="F663" s="66"/>
      <c r="G663" s="66"/>
      <c r="H663" s="65"/>
      <c r="I663" s="65"/>
      <c r="J663" s="65"/>
      <c r="K663" s="264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5.75" customHeight="1">
      <c r="A664" s="65"/>
      <c r="B664" s="65"/>
      <c r="C664" s="65"/>
      <c r="D664" s="65"/>
      <c r="E664" s="65"/>
      <c r="F664" s="66"/>
      <c r="G664" s="66"/>
      <c r="H664" s="65"/>
      <c r="I664" s="65"/>
      <c r="J664" s="65"/>
      <c r="K664" s="264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5.75" customHeight="1">
      <c r="A665" s="65"/>
      <c r="B665" s="65"/>
      <c r="C665" s="65"/>
      <c r="D665" s="65"/>
      <c r="E665" s="65"/>
      <c r="F665" s="66"/>
      <c r="G665" s="66"/>
      <c r="H665" s="65"/>
      <c r="I665" s="65"/>
      <c r="J665" s="65"/>
      <c r="K665" s="264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5.75" customHeight="1">
      <c r="A666" s="65"/>
      <c r="B666" s="65"/>
      <c r="C666" s="65"/>
      <c r="D666" s="65"/>
      <c r="E666" s="65"/>
      <c r="F666" s="66"/>
      <c r="G666" s="66"/>
      <c r="H666" s="65"/>
      <c r="I666" s="65"/>
      <c r="J666" s="65"/>
      <c r="K666" s="264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5.75" customHeight="1">
      <c r="A667" s="65"/>
      <c r="B667" s="65"/>
      <c r="C667" s="65"/>
      <c r="D667" s="65"/>
      <c r="E667" s="65"/>
      <c r="F667" s="66"/>
      <c r="G667" s="66"/>
      <c r="H667" s="65"/>
      <c r="I667" s="65"/>
      <c r="J667" s="65"/>
      <c r="K667" s="264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5.75" customHeight="1">
      <c r="A668" s="65"/>
      <c r="B668" s="65"/>
      <c r="C668" s="65"/>
      <c r="D668" s="65"/>
      <c r="E668" s="65"/>
      <c r="F668" s="66"/>
      <c r="G668" s="66"/>
      <c r="H668" s="65"/>
      <c r="I668" s="65"/>
      <c r="J668" s="65"/>
      <c r="K668" s="264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5.75" customHeight="1">
      <c r="A669" s="65"/>
      <c r="B669" s="65"/>
      <c r="C669" s="65"/>
      <c r="D669" s="65"/>
      <c r="E669" s="65"/>
      <c r="F669" s="66"/>
      <c r="G669" s="66"/>
      <c r="H669" s="65"/>
      <c r="I669" s="65"/>
      <c r="J669" s="65"/>
      <c r="K669" s="264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5.75" customHeight="1">
      <c r="A670" s="65"/>
      <c r="B670" s="65"/>
      <c r="C670" s="65"/>
      <c r="D670" s="65"/>
      <c r="E670" s="65"/>
      <c r="F670" s="66"/>
      <c r="G670" s="66"/>
      <c r="H670" s="65"/>
      <c r="I670" s="65"/>
      <c r="J670" s="65"/>
      <c r="K670" s="264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5.75" customHeight="1">
      <c r="A671" s="65"/>
      <c r="B671" s="65"/>
      <c r="C671" s="65"/>
      <c r="D671" s="65"/>
      <c r="E671" s="65"/>
      <c r="F671" s="66"/>
      <c r="G671" s="66"/>
      <c r="H671" s="65"/>
      <c r="I671" s="65"/>
      <c r="J671" s="65"/>
      <c r="K671" s="264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5.75" customHeight="1">
      <c r="A672" s="65"/>
      <c r="B672" s="65"/>
      <c r="C672" s="65"/>
      <c r="D672" s="65"/>
      <c r="E672" s="65"/>
      <c r="F672" s="66"/>
      <c r="G672" s="66"/>
      <c r="H672" s="65"/>
      <c r="I672" s="65"/>
      <c r="J672" s="65"/>
      <c r="K672" s="264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5.75" customHeight="1">
      <c r="A673" s="65"/>
      <c r="B673" s="65"/>
      <c r="C673" s="65"/>
      <c r="D673" s="65"/>
      <c r="E673" s="65"/>
      <c r="F673" s="66"/>
      <c r="G673" s="66"/>
      <c r="H673" s="65"/>
      <c r="I673" s="65"/>
      <c r="J673" s="65"/>
      <c r="K673" s="264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5.75" customHeight="1">
      <c r="A674" s="65"/>
      <c r="B674" s="65"/>
      <c r="C674" s="65"/>
      <c r="D674" s="65"/>
      <c r="E674" s="65"/>
      <c r="F674" s="66"/>
      <c r="G674" s="66"/>
      <c r="H674" s="65"/>
      <c r="I674" s="65"/>
      <c r="J674" s="65"/>
      <c r="K674" s="264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5.75" customHeight="1">
      <c r="A675" s="65"/>
      <c r="B675" s="65"/>
      <c r="C675" s="65"/>
      <c r="D675" s="65"/>
      <c r="E675" s="65"/>
      <c r="F675" s="66"/>
      <c r="G675" s="66"/>
      <c r="H675" s="65"/>
      <c r="I675" s="65"/>
      <c r="J675" s="65"/>
      <c r="K675" s="264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5.75" customHeight="1">
      <c r="A676" s="65"/>
      <c r="B676" s="65"/>
      <c r="C676" s="65"/>
      <c r="D676" s="65"/>
      <c r="E676" s="65"/>
      <c r="F676" s="66"/>
      <c r="G676" s="66"/>
      <c r="H676" s="65"/>
      <c r="I676" s="65"/>
      <c r="J676" s="65"/>
      <c r="K676" s="264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5.75" customHeight="1">
      <c r="A677" s="65"/>
      <c r="B677" s="65"/>
      <c r="C677" s="65"/>
      <c r="D677" s="65"/>
      <c r="E677" s="65"/>
      <c r="F677" s="66"/>
      <c r="G677" s="66"/>
      <c r="H677" s="65"/>
      <c r="I677" s="65"/>
      <c r="J677" s="65"/>
      <c r="K677" s="264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5.75" customHeight="1">
      <c r="A678" s="65"/>
      <c r="B678" s="65"/>
      <c r="C678" s="65"/>
      <c r="D678" s="65"/>
      <c r="E678" s="65"/>
      <c r="F678" s="66"/>
      <c r="G678" s="66"/>
      <c r="H678" s="65"/>
      <c r="I678" s="65"/>
      <c r="J678" s="65"/>
      <c r="K678" s="264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5.75" customHeight="1">
      <c r="A679" s="65"/>
      <c r="B679" s="65"/>
      <c r="C679" s="65"/>
      <c r="D679" s="65"/>
      <c r="E679" s="65"/>
      <c r="F679" s="66"/>
      <c r="G679" s="66"/>
      <c r="H679" s="65"/>
      <c r="I679" s="65"/>
      <c r="J679" s="65"/>
      <c r="K679" s="264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5.75" customHeight="1">
      <c r="A680" s="65"/>
      <c r="B680" s="65"/>
      <c r="C680" s="65"/>
      <c r="D680" s="65"/>
      <c r="E680" s="65"/>
      <c r="F680" s="66"/>
      <c r="G680" s="66"/>
      <c r="H680" s="65"/>
      <c r="I680" s="65"/>
      <c r="J680" s="65"/>
      <c r="K680" s="264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5.75" customHeight="1">
      <c r="A681" s="65"/>
      <c r="B681" s="65"/>
      <c r="C681" s="65"/>
      <c r="D681" s="65"/>
      <c r="E681" s="65"/>
      <c r="F681" s="66"/>
      <c r="G681" s="66"/>
      <c r="H681" s="65"/>
      <c r="I681" s="65"/>
      <c r="J681" s="65"/>
      <c r="K681" s="264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5.75" customHeight="1">
      <c r="A682" s="65"/>
      <c r="B682" s="65"/>
      <c r="C682" s="65"/>
      <c r="D682" s="65"/>
      <c r="E682" s="65"/>
      <c r="F682" s="66"/>
      <c r="G682" s="66"/>
      <c r="H682" s="65"/>
      <c r="I682" s="65"/>
      <c r="J682" s="65"/>
      <c r="K682" s="264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5.75" customHeight="1">
      <c r="A683" s="65"/>
      <c r="B683" s="65"/>
      <c r="C683" s="65"/>
      <c r="D683" s="65"/>
      <c r="E683" s="65"/>
      <c r="F683" s="66"/>
      <c r="G683" s="66"/>
      <c r="H683" s="65"/>
      <c r="I683" s="65"/>
      <c r="J683" s="65"/>
      <c r="K683" s="264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5.75" customHeight="1">
      <c r="A684" s="65"/>
      <c r="B684" s="65"/>
      <c r="C684" s="65"/>
      <c r="D684" s="65"/>
      <c r="E684" s="65"/>
      <c r="F684" s="66"/>
      <c r="G684" s="66"/>
      <c r="H684" s="65"/>
      <c r="I684" s="65"/>
      <c r="J684" s="65"/>
      <c r="K684" s="264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5.75" customHeight="1">
      <c r="A685" s="65"/>
      <c r="B685" s="65"/>
      <c r="C685" s="65"/>
      <c r="D685" s="65"/>
      <c r="E685" s="65"/>
      <c r="F685" s="66"/>
      <c r="G685" s="66"/>
      <c r="H685" s="65"/>
      <c r="I685" s="65"/>
      <c r="J685" s="65"/>
      <c r="K685" s="264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5.75" customHeight="1">
      <c r="A686" s="65"/>
      <c r="B686" s="65"/>
      <c r="C686" s="65"/>
      <c r="D686" s="65"/>
      <c r="E686" s="65"/>
      <c r="F686" s="66"/>
      <c r="G686" s="66"/>
      <c r="H686" s="65"/>
      <c r="I686" s="65"/>
      <c r="J686" s="65"/>
      <c r="K686" s="264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5.75" customHeight="1">
      <c r="A687" s="65"/>
      <c r="B687" s="65"/>
      <c r="C687" s="65"/>
      <c r="D687" s="65"/>
      <c r="E687" s="65"/>
      <c r="F687" s="66"/>
      <c r="G687" s="66"/>
      <c r="H687" s="65"/>
      <c r="I687" s="65"/>
      <c r="J687" s="65"/>
      <c r="K687" s="264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5.75" customHeight="1">
      <c r="A688" s="65"/>
      <c r="B688" s="65"/>
      <c r="C688" s="65"/>
      <c r="D688" s="65"/>
      <c r="E688" s="65"/>
      <c r="F688" s="66"/>
      <c r="G688" s="66"/>
      <c r="H688" s="65"/>
      <c r="I688" s="65"/>
      <c r="J688" s="65"/>
      <c r="K688" s="264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5.75" customHeight="1">
      <c r="A689" s="65"/>
      <c r="B689" s="65"/>
      <c r="C689" s="65"/>
      <c r="D689" s="65"/>
      <c r="E689" s="65"/>
      <c r="F689" s="66"/>
      <c r="G689" s="66"/>
      <c r="H689" s="65"/>
      <c r="I689" s="65"/>
      <c r="J689" s="65"/>
      <c r="K689" s="264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5.75" customHeight="1">
      <c r="A690" s="65"/>
      <c r="B690" s="65"/>
      <c r="C690" s="65"/>
      <c r="D690" s="65"/>
      <c r="E690" s="65"/>
      <c r="F690" s="66"/>
      <c r="G690" s="66"/>
      <c r="H690" s="65"/>
      <c r="I690" s="65"/>
      <c r="J690" s="65"/>
      <c r="K690" s="264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5.75" customHeight="1">
      <c r="A691" s="65"/>
      <c r="B691" s="65"/>
      <c r="C691" s="65"/>
      <c r="D691" s="65"/>
      <c r="E691" s="65"/>
      <c r="F691" s="66"/>
      <c r="G691" s="66"/>
      <c r="H691" s="65"/>
      <c r="I691" s="65"/>
      <c r="J691" s="65"/>
      <c r="K691" s="264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5.75" customHeight="1">
      <c r="A692" s="65"/>
      <c r="B692" s="65"/>
      <c r="C692" s="65"/>
      <c r="D692" s="65"/>
      <c r="E692" s="65"/>
      <c r="F692" s="66"/>
      <c r="G692" s="66"/>
      <c r="H692" s="65"/>
      <c r="I692" s="65"/>
      <c r="J692" s="65"/>
      <c r="K692" s="264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5.75" customHeight="1">
      <c r="A693" s="65"/>
      <c r="B693" s="65"/>
      <c r="C693" s="65"/>
      <c r="D693" s="65"/>
      <c r="E693" s="65"/>
      <c r="F693" s="66"/>
      <c r="G693" s="66"/>
      <c r="H693" s="65"/>
      <c r="I693" s="65"/>
      <c r="J693" s="65"/>
      <c r="K693" s="264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5.75" customHeight="1">
      <c r="A694" s="65"/>
      <c r="B694" s="65"/>
      <c r="C694" s="65"/>
      <c r="D694" s="65"/>
      <c r="E694" s="65"/>
      <c r="F694" s="66"/>
      <c r="G694" s="66"/>
      <c r="H694" s="65"/>
      <c r="I694" s="65"/>
      <c r="J694" s="65"/>
      <c r="K694" s="264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5.75" customHeight="1">
      <c r="A695" s="65"/>
      <c r="B695" s="65"/>
      <c r="C695" s="65"/>
      <c r="D695" s="65"/>
      <c r="E695" s="65"/>
      <c r="F695" s="66"/>
      <c r="G695" s="66"/>
      <c r="H695" s="65"/>
      <c r="I695" s="65"/>
      <c r="J695" s="65"/>
      <c r="K695" s="264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5.75" customHeight="1">
      <c r="A696" s="65"/>
      <c r="B696" s="65"/>
      <c r="C696" s="65"/>
      <c r="D696" s="65"/>
      <c r="E696" s="65"/>
      <c r="F696" s="66"/>
      <c r="G696" s="66"/>
      <c r="H696" s="65"/>
      <c r="I696" s="65"/>
      <c r="J696" s="65"/>
      <c r="K696" s="264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5.75" customHeight="1">
      <c r="A697" s="65"/>
      <c r="B697" s="65"/>
      <c r="C697" s="65"/>
      <c r="D697" s="65"/>
      <c r="E697" s="65"/>
      <c r="F697" s="66"/>
      <c r="G697" s="66"/>
      <c r="H697" s="65"/>
      <c r="I697" s="65"/>
      <c r="J697" s="65"/>
      <c r="K697" s="264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5.75" customHeight="1">
      <c r="A698" s="65"/>
      <c r="B698" s="65"/>
      <c r="C698" s="65"/>
      <c r="D698" s="65"/>
      <c r="E698" s="65"/>
      <c r="F698" s="66"/>
      <c r="G698" s="66"/>
      <c r="H698" s="65"/>
      <c r="I698" s="65"/>
      <c r="J698" s="65"/>
      <c r="K698" s="264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5.75" customHeight="1">
      <c r="A699" s="65"/>
      <c r="B699" s="65"/>
      <c r="C699" s="65"/>
      <c r="D699" s="65"/>
      <c r="E699" s="65"/>
      <c r="F699" s="66"/>
      <c r="G699" s="66"/>
      <c r="H699" s="65"/>
      <c r="I699" s="65"/>
      <c r="J699" s="65"/>
      <c r="K699" s="264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5.75" customHeight="1">
      <c r="A700" s="65"/>
      <c r="B700" s="65"/>
      <c r="C700" s="65"/>
      <c r="D700" s="65"/>
      <c r="E700" s="65"/>
      <c r="F700" s="66"/>
      <c r="G700" s="66"/>
      <c r="H700" s="65"/>
      <c r="I700" s="65"/>
      <c r="J700" s="65"/>
      <c r="K700" s="264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5.75" customHeight="1">
      <c r="A701" s="65"/>
      <c r="B701" s="65"/>
      <c r="C701" s="65"/>
      <c r="D701" s="65"/>
      <c r="E701" s="65"/>
      <c r="F701" s="66"/>
      <c r="G701" s="66"/>
      <c r="H701" s="65"/>
      <c r="I701" s="65"/>
      <c r="J701" s="65"/>
      <c r="K701" s="264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5.75" customHeight="1">
      <c r="A702" s="65"/>
      <c r="B702" s="65"/>
      <c r="C702" s="65"/>
      <c r="D702" s="65"/>
      <c r="E702" s="65"/>
      <c r="F702" s="66"/>
      <c r="G702" s="66"/>
      <c r="H702" s="65"/>
      <c r="I702" s="65"/>
      <c r="J702" s="65"/>
      <c r="K702" s="264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5.75" customHeight="1">
      <c r="A703" s="65"/>
      <c r="B703" s="65"/>
      <c r="C703" s="65"/>
      <c r="D703" s="65"/>
      <c r="E703" s="65"/>
      <c r="F703" s="66"/>
      <c r="G703" s="66"/>
      <c r="H703" s="65"/>
      <c r="I703" s="65"/>
      <c r="J703" s="65"/>
      <c r="K703" s="264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5.75" customHeight="1">
      <c r="A704" s="65"/>
      <c r="B704" s="65"/>
      <c r="C704" s="65"/>
      <c r="D704" s="65"/>
      <c r="E704" s="65"/>
      <c r="F704" s="66"/>
      <c r="G704" s="66"/>
      <c r="H704" s="65"/>
      <c r="I704" s="65"/>
      <c r="J704" s="65"/>
      <c r="K704" s="264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5.75" customHeight="1">
      <c r="A705" s="65"/>
      <c r="B705" s="65"/>
      <c r="C705" s="65"/>
      <c r="D705" s="65"/>
      <c r="E705" s="65"/>
      <c r="F705" s="66"/>
      <c r="G705" s="66"/>
      <c r="H705" s="65"/>
      <c r="I705" s="65"/>
      <c r="J705" s="65"/>
      <c r="K705" s="264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5.75" customHeight="1">
      <c r="A706" s="65"/>
      <c r="B706" s="65"/>
      <c r="C706" s="65"/>
      <c r="D706" s="65"/>
      <c r="E706" s="65"/>
      <c r="F706" s="66"/>
      <c r="G706" s="66"/>
      <c r="H706" s="65"/>
      <c r="I706" s="65"/>
      <c r="J706" s="65"/>
      <c r="K706" s="264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5.75" customHeight="1">
      <c r="A707" s="65"/>
      <c r="B707" s="65"/>
      <c r="C707" s="65"/>
      <c r="D707" s="65"/>
      <c r="E707" s="65"/>
      <c r="F707" s="66"/>
      <c r="G707" s="66"/>
      <c r="H707" s="65"/>
      <c r="I707" s="65"/>
      <c r="J707" s="65"/>
      <c r="K707" s="264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5.75" customHeight="1">
      <c r="A708" s="65"/>
      <c r="B708" s="65"/>
      <c r="C708" s="65"/>
      <c r="D708" s="65"/>
      <c r="E708" s="65"/>
      <c r="F708" s="66"/>
      <c r="G708" s="66"/>
      <c r="H708" s="65"/>
      <c r="I708" s="65"/>
      <c r="J708" s="65"/>
      <c r="K708" s="264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5.75" customHeight="1">
      <c r="A709" s="65"/>
      <c r="B709" s="65"/>
      <c r="C709" s="65"/>
      <c r="D709" s="65"/>
      <c r="E709" s="65"/>
      <c r="F709" s="66"/>
      <c r="G709" s="66"/>
      <c r="H709" s="65"/>
      <c r="I709" s="65"/>
      <c r="J709" s="65"/>
      <c r="K709" s="264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5.75" customHeight="1">
      <c r="A710" s="65"/>
      <c r="B710" s="65"/>
      <c r="C710" s="65"/>
      <c r="D710" s="65"/>
      <c r="E710" s="65"/>
      <c r="F710" s="66"/>
      <c r="G710" s="66"/>
      <c r="H710" s="65"/>
      <c r="I710" s="65"/>
      <c r="J710" s="65"/>
      <c r="K710" s="264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5.75" customHeight="1">
      <c r="A711" s="65"/>
      <c r="B711" s="65"/>
      <c r="C711" s="65"/>
      <c r="D711" s="65"/>
      <c r="E711" s="65"/>
      <c r="F711" s="66"/>
      <c r="G711" s="66"/>
      <c r="H711" s="65"/>
      <c r="I711" s="65"/>
      <c r="J711" s="65"/>
      <c r="K711" s="264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5.75" customHeight="1">
      <c r="A712" s="65"/>
      <c r="B712" s="65"/>
      <c r="C712" s="65"/>
      <c r="D712" s="65"/>
      <c r="E712" s="65"/>
      <c r="F712" s="66"/>
      <c r="G712" s="66"/>
      <c r="H712" s="65"/>
      <c r="I712" s="65"/>
      <c r="J712" s="65"/>
      <c r="K712" s="264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5.75" customHeight="1">
      <c r="A713" s="65"/>
      <c r="B713" s="65"/>
      <c r="C713" s="65"/>
      <c r="D713" s="65"/>
      <c r="E713" s="65"/>
      <c r="F713" s="66"/>
      <c r="G713" s="66"/>
      <c r="H713" s="65"/>
      <c r="I713" s="65"/>
      <c r="J713" s="65"/>
      <c r="K713" s="264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5.75" customHeight="1">
      <c r="A714" s="65"/>
      <c r="B714" s="65"/>
      <c r="C714" s="65"/>
      <c r="D714" s="65"/>
      <c r="E714" s="65"/>
      <c r="F714" s="66"/>
      <c r="G714" s="66"/>
      <c r="H714" s="65"/>
      <c r="I714" s="65"/>
      <c r="J714" s="65"/>
      <c r="K714" s="264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5.75" customHeight="1">
      <c r="A715" s="65"/>
      <c r="B715" s="65"/>
      <c r="C715" s="65"/>
      <c r="D715" s="65"/>
      <c r="E715" s="65"/>
      <c r="F715" s="66"/>
      <c r="G715" s="66"/>
      <c r="H715" s="65"/>
      <c r="I715" s="65"/>
      <c r="J715" s="65"/>
      <c r="K715" s="264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5.75" customHeight="1">
      <c r="A716" s="65"/>
      <c r="B716" s="65"/>
      <c r="C716" s="65"/>
      <c r="D716" s="65"/>
      <c r="E716" s="65"/>
      <c r="F716" s="66"/>
      <c r="G716" s="66"/>
      <c r="H716" s="65"/>
      <c r="I716" s="65"/>
      <c r="J716" s="65"/>
      <c r="K716" s="264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5.75" customHeight="1">
      <c r="A717" s="65"/>
      <c r="B717" s="65"/>
      <c r="C717" s="65"/>
      <c r="D717" s="65"/>
      <c r="E717" s="65"/>
      <c r="F717" s="66"/>
      <c r="G717" s="66"/>
      <c r="H717" s="65"/>
      <c r="I717" s="65"/>
      <c r="J717" s="65"/>
      <c r="K717" s="264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5.75" customHeight="1">
      <c r="A718" s="65"/>
      <c r="B718" s="65"/>
      <c r="C718" s="65"/>
      <c r="D718" s="65"/>
      <c r="E718" s="65"/>
      <c r="F718" s="66"/>
      <c r="G718" s="66"/>
      <c r="H718" s="65"/>
      <c r="I718" s="65"/>
      <c r="J718" s="65"/>
      <c r="K718" s="264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5.75" customHeight="1">
      <c r="A719" s="65"/>
      <c r="B719" s="65"/>
      <c r="C719" s="65"/>
      <c r="D719" s="65"/>
      <c r="E719" s="65"/>
      <c r="F719" s="66"/>
      <c r="G719" s="66"/>
      <c r="H719" s="65"/>
      <c r="I719" s="65"/>
      <c r="J719" s="65"/>
      <c r="K719" s="264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5.75" customHeight="1">
      <c r="A720" s="65"/>
      <c r="B720" s="65"/>
      <c r="C720" s="65"/>
      <c r="D720" s="65"/>
      <c r="E720" s="65"/>
      <c r="F720" s="66"/>
      <c r="G720" s="66"/>
      <c r="H720" s="65"/>
      <c r="I720" s="65"/>
      <c r="J720" s="65"/>
      <c r="K720" s="264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5.75" customHeight="1">
      <c r="A721" s="65"/>
      <c r="B721" s="65"/>
      <c r="C721" s="65"/>
      <c r="D721" s="65"/>
      <c r="E721" s="65"/>
      <c r="F721" s="66"/>
      <c r="G721" s="66"/>
      <c r="H721" s="65"/>
      <c r="I721" s="65"/>
      <c r="J721" s="65"/>
      <c r="K721" s="264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5.75" customHeight="1">
      <c r="A722" s="65"/>
      <c r="B722" s="65"/>
      <c r="C722" s="65"/>
      <c r="D722" s="65"/>
      <c r="E722" s="65"/>
      <c r="F722" s="66"/>
      <c r="G722" s="66"/>
      <c r="H722" s="65"/>
      <c r="I722" s="65"/>
      <c r="J722" s="65"/>
      <c r="K722" s="264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5.75" customHeight="1">
      <c r="A723" s="65"/>
      <c r="B723" s="65"/>
      <c r="C723" s="65"/>
      <c r="D723" s="65"/>
      <c r="E723" s="65"/>
      <c r="F723" s="66"/>
      <c r="G723" s="66"/>
      <c r="H723" s="65"/>
      <c r="I723" s="65"/>
      <c r="J723" s="65"/>
      <c r="K723" s="264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5.75" customHeight="1">
      <c r="A724" s="65"/>
      <c r="B724" s="65"/>
      <c r="C724" s="65"/>
      <c r="D724" s="65"/>
      <c r="E724" s="65"/>
      <c r="F724" s="66"/>
      <c r="G724" s="66"/>
      <c r="H724" s="65"/>
      <c r="I724" s="65"/>
      <c r="J724" s="65"/>
      <c r="K724" s="264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5.75" customHeight="1">
      <c r="A725" s="65"/>
      <c r="B725" s="65"/>
      <c r="C725" s="65"/>
      <c r="D725" s="65"/>
      <c r="E725" s="65"/>
      <c r="F725" s="66"/>
      <c r="G725" s="66"/>
      <c r="H725" s="65"/>
      <c r="I725" s="65"/>
      <c r="J725" s="65"/>
      <c r="K725" s="264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5.75" customHeight="1">
      <c r="A726" s="65"/>
      <c r="B726" s="65"/>
      <c r="C726" s="65"/>
      <c r="D726" s="65"/>
      <c r="E726" s="65"/>
      <c r="F726" s="66"/>
      <c r="G726" s="66"/>
      <c r="H726" s="65"/>
      <c r="I726" s="65"/>
      <c r="J726" s="65"/>
      <c r="K726" s="264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5.75" customHeight="1">
      <c r="A727" s="65"/>
      <c r="B727" s="65"/>
      <c r="C727" s="65"/>
      <c r="D727" s="65"/>
      <c r="E727" s="65"/>
      <c r="F727" s="66"/>
      <c r="G727" s="66"/>
      <c r="H727" s="65"/>
      <c r="I727" s="65"/>
      <c r="J727" s="65"/>
      <c r="K727" s="264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5.75" customHeight="1">
      <c r="A728" s="65"/>
      <c r="B728" s="65"/>
      <c r="C728" s="65"/>
      <c r="D728" s="65"/>
      <c r="E728" s="65"/>
      <c r="F728" s="66"/>
      <c r="G728" s="66"/>
      <c r="H728" s="65"/>
      <c r="I728" s="65"/>
      <c r="J728" s="65"/>
      <c r="K728" s="264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5.75" customHeight="1">
      <c r="A729" s="65"/>
      <c r="B729" s="65"/>
      <c r="C729" s="65"/>
      <c r="D729" s="65"/>
      <c r="E729" s="65"/>
      <c r="F729" s="66"/>
      <c r="G729" s="66"/>
      <c r="H729" s="65"/>
      <c r="I729" s="65"/>
      <c r="J729" s="65"/>
      <c r="K729" s="264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5.75" customHeight="1">
      <c r="A730" s="65"/>
      <c r="B730" s="65"/>
      <c r="C730" s="65"/>
      <c r="D730" s="65"/>
      <c r="E730" s="65"/>
      <c r="F730" s="66"/>
      <c r="G730" s="66"/>
      <c r="H730" s="65"/>
      <c r="I730" s="65"/>
      <c r="J730" s="65"/>
      <c r="K730" s="264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5.75" customHeight="1">
      <c r="A731" s="65"/>
      <c r="B731" s="65"/>
      <c r="C731" s="65"/>
      <c r="D731" s="65"/>
      <c r="E731" s="65"/>
      <c r="F731" s="66"/>
      <c r="G731" s="66"/>
      <c r="H731" s="65"/>
      <c r="I731" s="65"/>
      <c r="J731" s="65"/>
      <c r="K731" s="264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5.75" customHeight="1">
      <c r="A732" s="65"/>
      <c r="B732" s="65"/>
      <c r="C732" s="65"/>
      <c r="D732" s="65"/>
      <c r="E732" s="65"/>
      <c r="F732" s="66"/>
      <c r="G732" s="66"/>
      <c r="H732" s="65"/>
      <c r="I732" s="65"/>
      <c r="J732" s="65"/>
      <c r="K732" s="264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5.75" customHeight="1">
      <c r="A733" s="65"/>
      <c r="B733" s="65"/>
      <c r="C733" s="65"/>
      <c r="D733" s="65"/>
      <c r="E733" s="65"/>
      <c r="F733" s="66"/>
      <c r="G733" s="66"/>
      <c r="H733" s="65"/>
      <c r="I733" s="65"/>
      <c r="J733" s="65"/>
      <c r="K733" s="264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5.75" customHeight="1">
      <c r="A734" s="65"/>
      <c r="B734" s="65"/>
      <c r="C734" s="65"/>
      <c r="D734" s="65"/>
      <c r="E734" s="65"/>
      <c r="F734" s="66"/>
      <c r="G734" s="66"/>
      <c r="H734" s="65"/>
      <c r="I734" s="65"/>
      <c r="J734" s="65"/>
      <c r="K734" s="264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5.75" customHeight="1">
      <c r="A735" s="65"/>
      <c r="B735" s="65"/>
      <c r="C735" s="65"/>
      <c r="D735" s="65"/>
      <c r="E735" s="65"/>
      <c r="F735" s="66"/>
      <c r="G735" s="66"/>
      <c r="H735" s="65"/>
      <c r="I735" s="65"/>
      <c r="J735" s="65"/>
      <c r="K735" s="264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5.75" customHeight="1">
      <c r="A736" s="65"/>
      <c r="B736" s="65"/>
      <c r="C736" s="65"/>
      <c r="D736" s="65"/>
      <c r="E736" s="65"/>
      <c r="F736" s="66"/>
      <c r="G736" s="66"/>
      <c r="H736" s="65"/>
      <c r="I736" s="65"/>
      <c r="J736" s="65"/>
      <c r="K736" s="264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5.75" customHeight="1">
      <c r="A737" s="65"/>
      <c r="B737" s="65"/>
      <c r="C737" s="65"/>
      <c r="D737" s="65"/>
      <c r="E737" s="65"/>
      <c r="F737" s="66"/>
      <c r="G737" s="66"/>
      <c r="H737" s="65"/>
      <c r="I737" s="65"/>
      <c r="J737" s="65"/>
      <c r="K737" s="264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5.75" customHeight="1">
      <c r="A738" s="65"/>
      <c r="B738" s="65"/>
      <c r="C738" s="65"/>
      <c r="D738" s="65"/>
      <c r="E738" s="65"/>
      <c r="F738" s="66"/>
      <c r="G738" s="66"/>
      <c r="H738" s="65"/>
      <c r="I738" s="65"/>
      <c r="J738" s="65"/>
      <c r="K738" s="264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5.75" customHeight="1">
      <c r="A739" s="65"/>
      <c r="B739" s="65"/>
      <c r="C739" s="65"/>
      <c r="D739" s="65"/>
      <c r="E739" s="65"/>
      <c r="F739" s="66"/>
      <c r="G739" s="66"/>
      <c r="H739" s="65"/>
      <c r="I739" s="65"/>
      <c r="J739" s="65"/>
      <c r="K739" s="264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5.75" customHeight="1">
      <c r="A740" s="65"/>
      <c r="B740" s="65"/>
      <c r="C740" s="65"/>
      <c r="D740" s="65"/>
      <c r="E740" s="65"/>
      <c r="F740" s="66"/>
      <c r="G740" s="66"/>
      <c r="H740" s="65"/>
      <c r="I740" s="65"/>
      <c r="J740" s="65"/>
      <c r="K740" s="264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5.75" customHeight="1">
      <c r="A741" s="65"/>
      <c r="B741" s="65"/>
      <c r="C741" s="65"/>
      <c r="D741" s="65"/>
      <c r="E741" s="65"/>
      <c r="F741" s="66"/>
      <c r="G741" s="66"/>
      <c r="H741" s="65"/>
      <c r="I741" s="65"/>
      <c r="J741" s="65"/>
      <c r="K741" s="264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5.75" customHeight="1">
      <c r="A742" s="65"/>
      <c r="B742" s="65"/>
      <c r="C742" s="65"/>
      <c r="D742" s="65"/>
      <c r="E742" s="65"/>
      <c r="F742" s="66"/>
      <c r="G742" s="66"/>
      <c r="H742" s="65"/>
      <c r="I742" s="65"/>
      <c r="J742" s="65"/>
      <c r="K742" s="264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5.75" customHeight="1">
      <c r="A743" s="65"/>
      <c r="B743" s="65"/>
      <c r="C743" s="65"/>
      <c r="D743" s="65"/>
      <c r="E743" s="65"/>
      <c r="F743" s="66"/>
      <c r="G743" s="66"/>
      <c r="H743" s="65"/>
      <c r="I743" s="65"/>
      <c r="J743" s="65"/>
      <c r="K743" s="264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5.75" customHeight="1">
      <c r="A744" s="65"/>
      <c r="B744" s="65"/>
      <c r="C744" s="65"/>
      <c r="D744" s="65"/>
      <c r="E744" s="65"/>
      <c r="F744" s="66"/>
      <c r="G744" s="66"/>
      <c r="H744" s="65"/>
      <c r="I744" s="65"/>
      <c r="J744" s="65"/>
      <c r="K744" s="264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5.75" customHeight="1">
      <c r="A745" s="65"/>
      <c r="B745" s="65"/>
      <c r="C745" s="65"/>
      <c r="D745" s="65"/>
      <c r="E745" s="65"/>
      <c r="F745" s="66"/>
      <c r="G745" s="66"/>
      <c r="H745" s="65"/>
      <c r="I745" s="65"/>
      <c r="J745" s="65"/>
      <c r="K745" s="264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5.75" customHeight="1">
      <c r="A746" s="65"/>
      <c r="B746" s="65"/>
      <c r="C746" s="65"/>
      <c r="D746" s="65"/>
      <c r="E746" s="65"/>
      <c r="F746" s="66"/>
      <c r="G746" s="66"/>
      <c r="H746" s="65"/>
      <c r="I746" s="65"/>
      <c r="J746" s="65"/>
      <c r="K746" s="264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5.75" customHeight="1">
      <c r="A747" s="65"/>
      <c r="B747" s="65"/>
      <c r="C747" s="65"/>
      <c r="D747" s="65"/>
      <c r="E747" s="65"/>
      <c r="F747" s="66"/>
      <c r="G747" s="66"/>
      <c r="H747" s="65"/>
      <c r="I747" s="65"/>
      <c r="J747" s="65"/>
      <c r="K747" s="264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5.75" customHeight="1">
      <c r="A748" s="65"/>
      <c r="B748" s="65"/>
      <c r="C748" s="65"/>
      <c r="D748" s="65"/>
      <c r="E748" s="65"/>
      <c r="F748" s="66"/>
      <c r="G748" s="66"/>
      <c r="H748" s="65"/>
      <c r="I748" s="65"/>
      <c r="J748" s="65"/>
      <c r="K748" s="264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5.75" customHeight="1">
      <c r="A749" s="65"/>
      <c r="B749" s="65"/>
      <c r="C749" s="65"/>
      <c r="D749" s="65"/>
      <c r="E749" s="65"/>
      <c r="F749" s="66"/>
      <c r="G749" s="66"/>
      <c r="H749" s="65"/>
      <c r="I749" s="65"/>
      <c r="J749" s="65"/>
      <c r="K749" s="264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5.75" customHeight="1">
      <c r="A750" s="65"/>
      <c r="B750" s="65"/>
      <c r="C750" s="65"/>
      <c r="D750" s="65"/>
      <c r="E750" s="65"/>
      <c r="F750" s="66"/>
      <c r="G750" s="66"/>
      <c r="H750" s="65"/>
      <c r="I750" s="65"/>
      <c r="J750" s="65"/>
      <c r="K750" s="264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5.75" customHeight="1">
      <c r="A751" s="65"/>
      <c r="B751" s="65"/>
      <c r="C751" s="65"/>
      <c r="D751" s="65"/>
      <c r="E751" s="65"/>
      <c r="F751" s="66"/>
      <c r="G751" s="66"/>
      <c r="H751" s="65"/>
      <c r="I751" s="65"/>
      <c r="J751" s="65"/>
      <c r="K751" s="264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5.75" customHeight="1">
      <c r="A752" s="65"/>
      <c r="B752" s="65"/>
      <c r="C752" s="65"/>
      <c r="D752" s="65"/>
      <c r="E752" s="65"/>
      <c r="F752" s="66"/>
      <c r="G752" s="66"/>
      <c r="H752" s="65"/>
      <c r="I752" s="65"/>
      <c r="J752" s="65"/>
      <c r="K752" s="264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5.75" customHeight="1">
      <c r="A753" s="65"/>
      <c r="B753" s="65"/>
      <c r="C753" s="65"/>
      <c r="D753" s="65"/>
      <c r="E753" s="65"/>
      <c r="F753" s="66"/>
      <c r="G753" s="66"/>
      <c r="H753" s="65"/>
      <c r="I753" s="65"/>
      <c r="J753" s="65"/>
      <c r="K753" s="264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5.75" customHeight="1">
      <c r="A754" s="65"/>
      <c r="B754" s="65"/>
      <c r="C754" s="65"/>
      <c r="D754" s="65"/>
      <c r="E754" s="65"/>
      <c r="F754" s="66"/>
      <c r="G754" s="66"/>
      <c r="H754" s="65"/>
      <c r="I754" s="65"/>
      <c r="J754" s="65"/>
      <c r="K754" s="264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5.75" customHeight="1">
      <c r="A755" s="65"/>
      <c r="B755" s="65"/>
      <c r="C755" s="65"/>
      <c r="D755" s="65"/>
      <c r="E755" s="65"/>
      <c r="F755" s="66"/>
      <c r="G755" s="66"/>
      <c r="H755" s="65"/>
      <c r="I755" s="65"/>
      <c r="J755" s="65"/>
      <c r="K755" s="264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5.75" customHeight="1">
      <c r="A756" s="65"/>
      <c r="B756" s="65"/>
      <c r="C756" s="65"/>
      <c r="D756" s="65"/>
      <c r="E756" s="65"/>
      <c r="F756" s="66"/>
      <c r="G756" s="66"/>
      <c r="H756" s="65"/>
      <c r="I756" s="65"/>
      <c r="J756" s="65"/>
      <c r="K756" s="264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5.75" customHeight="1">
      <c r="A757" s="65"/>
      <c r="B757" s="65"/>
      <c r="C757" s="65"/>
      <c r="D757" s="65"/>
      <c r="E757" s="65"/>
      <c r="F757" s="66"/>
      <c r="G757" s="66"/>
      <c r="H757" s="65"/>
      <c r="I757" s="65"/>
      <c r="J757" s="65"/>
      <c r="K757" s="264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5.75" customHeight="1">
      <c r="A758" s="65"/>
      <c r="B758" s="65"/>
      <c r="C758" s="65"/>
      <c r="D758" s="65"/>
      <c r="E758" s="65"/>
      <c r="F758" s="66"/>
      <c r="G758" s="66"/>
      <c r="H758" s="65"/>
      <c r="I758" s="65"/>
      <c r="J758" s="65"/>
      <c r="K758" s="264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5.75" customHeight="1">
      <c r="A759" s="65"/>
      <c r="B759" s="65"/>
      <c r="C759" s="65"/>
      <c r="D759" s="65"/>
      <c r="E759" s="65"/>
      <c r="F759" s="66"/>
      <c r="G759" s="66"/>
      <c r="H759" s="65"/>
      <c r="I759" s="65"/>
      <c r="J759" s="65"/>
      <c r="K759" s="264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5.75" customHeight="1">
      <c r="A760" s="65"/>
      <c r="B760" s="65"/>
      <c r="C760" s="65"/>
      <c r="D760" s="65"/>
      <c r="E760" s="65"/>
      <c r="F760" s="66"/>
      <c r="G760" s="66"/>
      <c r="H760" s="65"/>
      <c r="I760" s="65"/>
      <c r="J760" s="65"/>
      <c r="K760" s="264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5.75" customHeight="1">
      <c r="A761" s="65"/>
      <c r="B761" s="65"/>
      <c r="C761" s="65"/>
      <c r="D761" s="65"/>
      <c r="E761" s="65"/>
      <c r="F761" s="66"/>
      <c r="G761" s="66"/>
      <c r="H761" s="65"/>
      <c r="I761" s="65"/>
      <c r="J761" s="65"/>
      <c r="K761" s="264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5.75" customHeight="1">
      <c r="A762" s="65"/>
      <c r="B762" s="65"/>
      <c r="C762" s="65"/>
      <c r="D762" s="65"/>
      <c r="E762" s="65"/>
      <c r="F762" s="66"/>
      <c r="G762" s="66"/>
      <c r="H762" s="65"/>
      <c r="I762" s="65"/>
      <c r="J762" s="65"/>
      <c r="K762" s="264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5.75" customHeight="1">
      <c r="A763" s="65"/>
      <c r="B763" s="65"/>
      <c r="C763" s="65"/>
      <c r="D763" s="65"/>
      <c r="E763" s="65"/>
      <c r="F763" s="66"/>
      <c r="G763" s="66"/>
      <c r="H763" s="65"/>
      <c r="I763" s="65"/>
      <c r="J763" s="65"/>
      <c r="K763" s="264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5.75" customHeight="1">
      <c r="A764" s="65"/>
      <c r="B764" s="65"/>
      <c r="C764" s="65"/>
      <c r="D764" s="65"/>
      <c r="E764" s="65"/>
      <c r="F764" s="66"/>
      <c r="G764" s="66"/>
      <c r="H764" s="65"/>
      <c r="I764" s="65"/>
      <c r="J764" s="65"/>
      <c r="K764" s="264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5.75" customHeight="1">
      <c r="A765" s="65"/>
      <c r="B765" s="65"/>
      <c r="C765" s="65"/>
      <c r="D765" s="65"/>
      <c r="E765" s="65"/>
      <c r="F765" s="66"/>
      <c r="G765" s="66"/>
      <c r="H765" s="65"/>
      <c r="I765" s="65"/>
      <c r="J765" s="65"/>
      <c r="K765" s="264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5.75" customHeight="1">
      <c r="A766" s="65"/>
      <c r="B766" s="65"/>
      <c r="C766" s="65"/>
      <c r="D766" s="65"/>
      <c r="E766" s="65"/>
      <c r="F766" s="66"/>
      <c r="G766" s="66"/>
      <c r="H766" s="65"/>
      <c r="I766" s="65"/>
      <c r="J766" s="65"/>
      <c r="K766" s="264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5.75" customHeight="1">
      <c r="A767" s="65"/>
      <c r="B767" s="65"/>
      <c r="C767" s="65"/>
      <c r="D767" s="65"/>
      <c r="E767" s="65"/>
      <c r="F767" s="66"/>
      <c r="G767" s="66"/>
      <c r="H767" s="65"/>
      <c r="I767" s="65"/>
      <c r="J767" s="65"/>
      <c r="K767" s="264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5.75" customHeight="1">
      <c r="A768" s="65"/>
      <c r="B768" s="65"/>
      <c r="C768" s="65"/>
      <c r="D768" s="65"/>
      <c r="E768" s="65"/>
      <c r="F768" s="66"/>
      <c r="G768" s="66"/>
      <c r="H768" s="65"/>
      <c r="I768" s="65"/>
      <c r="J768" s="65"/>
      <c r="K768" s="264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5.75" customHeight="1">
      <c r="A769" s="65"/>
      <c r="B769" s="65"/>
      <c r="C769" s="65"/>
      <c r="D769" s="65"/>
      <c r="E769" s="65"/>
      <c r="F769" s="66"/>
      <c r="G769" s="66"/>
      <c r="H769" s="65"/>
      <c r="I769" s="65"/>
      <c r="J769" s="65"/>
      <c r="K769" s="264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5.75" customHeight="1">
      <c r="A770" s="65"/>
      <c r="B770" s="65"/>
      <c r="C770" s="65"/>
      <c r="D770" s="65"/>
      <c r="E770" s="65"/>
      <c r="F770" s="66"/>
      <c r="G770" s="66"/>
      <c r="H770" s="65"/>
      <c r="I770" s="65"/>
      <c r="J770" s="65"/>
      <c r="K770" s="264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5.75" customHeight="1">
      <c r="A771" s="65"/>
      <c r="B771" s="65"/>
      <c r="C771" s="65"/>
      <c r="D771" s="65"/>
      <c r="E771" s="65"/>
      <c r="F771" s="66"/>
      <c r="G771" s="66"/>
      <c r="H771" s="65"/>
      <c r="I771" s="65"/>
      <c r="J771" s="65"/>
      <c r="K771" s="264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5.75" customHeight="1">
      <c r="A772" s="65"/>
      <c r="B772" s="65"/>
      <c r="C772" s="65"/>
      <c r="D772" s="65"/>
      <c r="E772" s="65"/>
      <c r="F772" s="66"/>
      <c r="G772" s="66"/>
      <c r="H772" s="65"/>
      <c r="I772" s="65"/>
      <c r="J772" s="65"/>
      <c r="K772" s="264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5.75" customHeight="1">
      <c r="A773" s="65"/>
      <c r="B773" s="65"/>
      <c r="C773" s="65"/>
      <c r="D773" s="65"/>
      <c r="E773" s="65"/>
      <c r="F773" s="66"/>
      <c r="G773" s="66"/>
      <c r="H773" s="65"/>
      <c r="I773" s="65"/>
      <c r="J773" s="65"/>
      <c r="K773" s="264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5.75" customHeight="1">
      <c r="A774" s="65"/>
      <c r="B774" s="65"/>
      <c r="C774" s="65"/>
      <c r="D774" s="65"/>
      <c r="E774" s="65"/>
      <c r="F774" s="66"/>
      <c r="G774" s="66"/>
      <c r="H774" s="65"/>
      <c r="I774" s="65"/>
      <c r="J774" s="65"/>
      <c r="K774" s="264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5.75" customHeight="1">
      <c r="A775" s="65"/>
      <c r="B775" s="65"/>
      <c r="C775" s="65"/>
      <c r="D775" s="65"/>
      <c r="E775" s="65"/>
      <c r="F775" s="66"/>
      <c r="G775" s="66"/>
      <c r="H775" s="65"/>
      <c r="I775" s="65"/>
      <c r="J775" s="65"/>
      <c r="K775" s="264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5.75" customHeight="1">
      <c r="A776" s="65"/>
      <c r="B776" s="65"/>
      <c r="C776" s="65"/>
      <c r="D776" s="65"/>
      <c r="E776" s="65"/>
      <c r="F776" s="66"/>
      <c r="G776" s="66"/>
      <c r="H776" s="65"/>
      <c r="I776" s="65"/>
      <c r="J776" s="65"/>
      <c r="K776" s="264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5.75" customHeight="1">
      <c r="A777" s="65"/>
      <c r="B777" s="65"/>
      <c r="C777" s="65"/>
      <c r="D777" s="65"/>
      <c r="E777" s="65"/>
      <c r="F777" s="66"/>
      <c r="G777" s="66"/>
      <c r="H777" s="65"/>
      <c r="I777" s="65"/>
      <c r="J777" s="65"/>
      <c r="K777" s="264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5.75" customHeight="1">
      <c r="A778" s="65"/>
      <c r="B778" s="65"/>
      <c r="C778" s="65"/>
      <c r="D778" s="65"/>
      <c r="E778" s="65"/>
      <c r="F778" s="66"/>
      <c r="G778" s="66"/>
      <c r="H778" s="65"/>
      <c r="I778" s="65"/>
      <c r="J778" s="65"/>
      <c r="K778" s="264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5.75" customHeight="1">
      <c r="A779" s="65"/>
      <c r="B779" s="65"/>
      <c r="C779" s="65"/>
      <c r="D779" s="65"/>
      <c r="E779" s="65"/>
      <c r="F779" s="66"/>
      <c r="G779" s="66"/>
      <c r="H779" s="65"/>
      <c r="I779" s="65"/>
      <c r="J779" s="65"/>
      <c r="K779" s="264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5.75" customHeight="1">
      <c r="A780" s="65"/>
      <c r="B780" s="65"/>
      <c r="C780" s="65"/>
      <c r="D780" s="65"/>
      <c r="E780" s="65"/>
      <c r="F780" s="66"/>
      <c r="G780" s="66"/>
      <c r="H780" s="65"/>
      <c r="I780" s="65"/>
      <c r="J780" s="65"/>
      <c r="K780" s="264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5.75" customHeight="1">
      <c r="A781" s="65"/>
      <c r="B781" s="65"/>
      <c r="C781" s="65"/>
      <c r="D781" s="65"/>
      <c r="E781" s="65"/>
      <c r="F781" s="66"/>
      <c r="G781" s="66"/>
      <c r="H781" s="65"/>
      <c r="I781" s="65"/>
      <c r="J781" s="65"/>
      <c r="K781" s="264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5.75" customHeight="1">
      <c r="A782" s="65"/>
      <c r="B782" s="65"/>
      <c r="C782" s="65"/>
      <c r="D782" s="65"/>
      <c r="E782" s="65"/>
      <c r="F782" s="66"/>
      <c r="G782" s="66"/>
      <c r="H782" s="65"/>
      <c r="I782" s="65"/>
      <c r="J782" s="65"/>
      <c r="K782" s="264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5.75" customHeight="1">
      <c r="A783" s="65"/>
      <c r="B783" s="65"/>
      <c r="C783" s="65"/>
      <c r="D783" s="65"/>
      <c r="E783" s="65"/>
      <c r="F783" s="66"/>
      <c r="G783" s="66"/>
      <c r="H783" s="65"/>
      <c r="I783" s="65"/>
      <c r="J783" s="65"/>
      <c r="K783" s="264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5.75" customHeight="1">
      <c r="A784" s="65"/>
      <c r="B784" s="65"/>
      <c r="C784" s="65"/>
      <c r="D784" s="65"/>
      <c r="E784" s="65"/>
      <c r="F784" s="66"/>
      <c r="G784" s="66"/>
      <c r="H784" s="65"/>
      <c r="I784" s="65"/>
      <c r="J784" s="65"/>
      <c r="K784" s="264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5.75" customHeight="1">
      <c r="A785" s="65"/>
      <c r="B785" s="65"/>
      <c r="C785" s="65"/>
      <c r="D785" s="65"/>
      <c r="E785" s="65"/>
      <c r="F785" s="66"/>
      <c r="G785" s="66"/>
      <c r="H785" s="65"/>
      <c r="I785" s="65"/>
      <c r="J785" s="65"/>
      <c r="K785" s="264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5.75" customHeight="1">
      <c r="A786" s="65"/>
      <c r="B786" s="65"/>
      <c r="C786" s="65"/>
      <c r="D786" s="65"/>
      <c r="E786" s="65"/>
      <c r="F786" s="66"/>
      <c r="G786" s="66"/>
      <c r="H786" s="65"/>
      <c r="I786" s="65"/>
      <c r="J786" s="65"/>
      <c r="K786" s="264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5.75" customHeight="1">
      <c r="A787" s="65"/>
      <c r="B787" s="65"/>
      <c r="C787" s="65"/>
      <c r="D787" s="65"/>
      <c r="E787" s="65"/>
      <c r="F787" s="66"/>
      <c r="G787" s="66"/>
      <c r="H787" s="65"/>
      <c r="I787" s="65"/>
      <c r="J787" s="65"/>
      <c r="K787" s="264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5.75" customHeight="1">
      <c r="A788" s="65"/>
      <c r="B788" s="65"/>
      <c r="C788" s="65"/>
      <c r="D788" s="65"/>
      <c r="E788" s="65"/>
      <c r="F788" s="66"/>
      <c r="G788" s="66"/>
      <c r="H788" s="65"/>
      <c r="I788" s="65"/>
      <c r="J788" s="65"/>
      <c r="K788" s="264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5.75" customHeight="1">
      <c r="A789" s="65"/>
      <c r="B789" s="65"/>
      <c r="C789" s="65"/>
      <c r="D789" s="65"/>
      <c r="E789" s="65"/>
      <c r="F789" s="66"/>
      <c r="G789" s="66"/>
      <c r="H789" s="65"/>
      <c r="I789" s="65"/>
      <c r="J789" s="65"/>
      <c r="K789" s="264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5.75" customHeight="1">
      <c r="A790" s="65"/>
      <c r="B790" s="65"/>
      <c r="C790" s="65"/>
      <c r="D790" s="65"/>
      <c r="E790" s="65"/>
      <c r="F790" s="66"/>
      <c r="G790" s="66"/>
      <c r="H790" s="65"/>
      <c r="I790" s="65"/>
      <c r="J790" s="65"/>
      <c r="K790" s="264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5.75" customHeight="1">
      <c r="A791" s="65"/>
      <c r="B791" s="65"/>
      <c r="C791" s="65"/>
      <c r="D791" s="65"/>
      <c r="E791" s="65"/>
      <c r="F791" s="66"/>
      <c r="G791" s="66"/>
      <c r="H791" s="65"/>
      <c r="I791" s="65"/>
      <c r="J791" s="65"/>
      <c r="K791" s="264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5.75" customHeight="1">
      <c r="A792" s="65"/>
      <c r="B792" s="65"/>
      <c r="C792" s="65"/>
      <c r="D792" s="65"/>
      <c r="E792" s="65"/>
      <c r="F792" s="66"/>
      <c r="G792" s="66"/>
      <c r="H792" s="65"/>
      <c r="I792" s="65"/>
      <c r="J792" s="65"/>
      <c r="K792" s="264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5.75" customHeight="1">
      <c r="A793" s="65"/>
      <c r="B793" s="65"/>
      <c r="C793" s="65"/>
      <c r="D793" s="65"/>
      <c r="E793" s="65"/>
      <c r="F793" s="66"/>
      <c r="G793" s="66"/>
      <c r="H793" s="65"/>
      <c r="I793" s="65"/>
      <c r="J793" s="65"/>
      <c r="K793" s="264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5.75" customHeight="1">
      <c r="A794" s="65"/>
      <c r="B794" s="65"/>
      <c r="C794" s="65"/>
      <c r="D794" s="65"/>
      <c r="E794" s="65"/>
      <c r="F794" s="66"/>
      <c r="G794" s="66"/>
      <c r="H794" s="65"/>
      <c r="I794" s="65"/>
      <c r="J794" s="65"/>
      <c r="K794" s="264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5.75" customHeight="1">
      <c r="A795" s="65"/>
      <c r="B795" s="65"/>
      <c r="C795" s="65"/>
      <c r="D795" s="65"/>
      <c r="E795" s="65"/>
      <c r="F795" s="66"/>
      <c r="G795" s="66"/>
      <c r="H795" s="65"/>
      <c r="I795" s="65"/>
      <c r="J795" s="65"/>
      <c r="K795" s="264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5.75" customHeight="1">
      <c r="A796" s="65"/>
      <c r="B796" s="65"/>
      <c r="C796" s="65"/>
      <c r="D796" s="65"/>
      <c r="E796" s="65"/>
      <c r="F796" s="66"/>
      <c r="G796" s="66"/>
      <c r="H796" s="65"/>
      <c r="I796" s="65"/>
      <c r="J796" s="65"/>
      <c r="K796" s="264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5.75" customHeight="1">
      <c r="A797" s="65"/>
      <c r="B797" s="65"/>
      <c r="C797" s="65"/>
      <c r="D797" s="65"/>
      <c r="E797" s="65"/>
      <c r="F797" s="66"/>
      <c r="G797" s="66"/>
      <c r="H797" s="65"/>
      <c r="I797" s="65"/>
      <c r="J797" s="65"/>
      <c r="K797" s="264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5.75" customHeight="1">
      <c r="A798" s="65"/>
      <c r="B798" s="65"/>
      <c r="C798" s="65"/>
      <c r="D798" s="65"/>
      <c r="E798" s="65"/>
      <c r="F798" s="66"/>
      <c r="G798" s="66"/>
      <c r="H798" s="65"/>
      <c r="I798" s="65"/>
      <c r="J798" s="65"/>
      <c r="K798" s="264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5.75" customHeight="1">
      <c r="A799" s="65"/>
      <c r="B799" s="65"/>
      <c r="C799" s="65"/>
      <c r="D799" s="65"/>
      <c r="E799" s="65"/>
      <c r="F799" s="66"/>
      <c r="G799" s="66"/>
      <c r="H799" s="65"/>
      <c r="I799" s="65"/>
      <c r="J799" s="65"/>
      <c r="K799" s="264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5.75" customHeight="1">
      <c r="A800" s="65"/>
      <c r="B800" s="65"/>
      <c r="C800" s="65"/>
      <c r="D800" s="65"/>
      <c r="E800" s="65"/>
      <c r="F800" s="66"/>
      <c r="G800" s="66"/>
      <c r="H800" s="65"/>
      <c r="I800" s="65"/>
      <c r="J800" s="65"/>
      <c r="K800" s="264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5.75" customHeight="1">
      <c r="A801" s="65"/>
      <c r="B801" s="65"/>
      <c r="C801" s="65"/>
      <c r="D801" s="65"/>
      <c r="E801" s="65"/>
      <c r="F801" s="66"/>
      <c r="G801" s="66"/>
      <c r="H801" s="65"/>
      <c r="I801" s="65"/>
      <c r="J801" s="65"/>
      <c r="K801" s="264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5.75" customHeight="1">
      <c r="A802" s="65"/>
      <c r="B802" s="65"/>
      <c r="C802" s="65"/>
      <c r="D802" s="65"/>
      <c r="E802" s="65"/>
      <c r="F802" s="66"/>
      <c r="G802" s="66"/>
      <c r="H802" s="65"/>
      <c r="I802" s="65"/>
      <c r="J802" s="65"/>
      <c r="K802" s="264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5.75" customHeight="1">
      <c r="A803" s="65"/>
      <c r="B803" s="65"/>
      <c r="C803" s="65"/>
      <c r="D803" s="65"/>
      <c r="E803" s="65"/>
      <c r="F803" s="66"/>
      <c r="G803" s="66"/>
      <c r="H803" s="65"/>
      <c r="I803" s="65"/>
      <c r="J803" s="65"/>
      <c r="K803" s="264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5.75" customHeight="1">
      <c r="A804" s="65"/>
      <c r="B804" s="65"/>
      <c r="C804" s="65"/>
      <c r="D804" s="65"/>
      <c r="E804" s="65"/>
      <c r="F804" s="66"/>
      <c r="G804" s="66"/>
      <c r="H804" s="65"/>
      <c r="I804" s="65"/>
      <c r="J804" s="65"/>
      <c r="K804" s="264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5.75" customHeight="1">
      <c r="A805" s="65"/>
      <c r="B805" s="65"/>
      <c r="C805" s="65"/>
      <c r="D805" s="65"/>
      <c r="E805" s="65"/>
      <c r="F805" s="66"/>
      <c r="G805" s="66"/>
      <c r="H805" s="65"/>
      <c r="I805" s="65"/>
      <c r="J805" s="65"/>
      <c r="K805" s="264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5.75" customHeight="1">
      <c r="A806" s="65"/>
      <c r="B806" s="65"/>
      <c r="C806" s="65"/>
      <c r="D806" s="65"/>
      <c r="E806" s="65"/>
      <c r="F806" s="66"/>
      <c r="G806" s="66"/>
      <c r="H806" s="65"/>
      <c r="I806" s="65"/>
      <c r="J806" s="65"/>
      <c r="K806" s="264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5.75" customHeight="1">
      <c r="A807" s="65"/>
      <c r="B807" s="65"/>
      <c r="C807" s="65"/>
      <c r="D807" s="65"/>
      <c r="E807" s="65"/>
      <c r="F807" s="66"/>
      <c r="G807" s="66"/>
      <c r="H807" s="65"/>
      <c r="I807" s="65"/>
      <c r="J807" s="65"/>
      <c r="K807" s="264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5.75" customHeight="1">
      <c r="A808" s="65"/>
      <c r="B808" s="65"/>
      <c r="C808" s="65"/>
      <c r="D808" s="65"/>
      <c r="E808" s="65"/>
      <c r="F808" s="66"/>
      <c r="G808" s="66"/>
      <c r="H808" s="65"/>
      <c r="I808" s="65"/>
      <c r="J808" s="65"/>
      <c r="K808" s="264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5.75" customHeight="1">
      <c r="A809" s="65"/>
      <c r="B809" s="65"/>
      <c r="C809" s="65"/>
      <c r="D809" s="65"/>
      <c r="E809" s="65"/>
      <c r="F809" s="66"/>
      <c r="G809" s="66"/>
      <c r="H809" s="65"/>
      <c r="I809" s="65"/>
      <c r="J809" s="65"/>
      <c r="K809" s="264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5.75" customHeight="1">
      <c r="A810" s="65"/>
      <c r="B810" s="65"/>
      <c r="C810" s="65"/>
      <c r="D810" s="65"/>
      <c r="E810" s="65"/>
      <c r="F810" s="66"/>
      <c r="G810" s="66"/>
      <c r="H810" s="65"/>
      <c r="I810" s="65"/>
      <c r="J810" s="65"/>
      <c r="K810" s="264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5.75" customHeight="1">
      <c r="A811" s="65"/>
      <c r="B811" s="65"/>
      <c r="C811" s="65"/>
      <c r="D811" s="65"/>
      <c r="E811" s="65"/>
      <c r="F811" s="66"/>
      <c r="G811" s="66"/>
      <c r="H811" s="65"/>
      <c r="I811" s="65"/>
      <c r="J811" s="65"/>
      <c r="K811" s="264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5.75" customHeight="1">
      <c r="A812" s="65"/>
      <c r="B812" s="65"/>
      <c r="C812" s="65"/>
      <c r="D812" s="65"/>
      <c r="E812" s="65"/>
      <c r="F812" s="66"/>
      <c r="G812" s="66"/>
      <c r="H812" s="65"/>
      <c r="I812" s="65"/>
      <c r="J812" s="65"/>
      <c r="K812" s="264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5.75" customHeight="1">
      <c r="A813" s="65"/>
      <c r="B813" s="65"/>
      <c r="C813" s="65"/>
      <c r="D813" s="65"/>
      <c r="E813" s="65"/>
      <c r="F813" s="66"/>
      <c r="G813" s="66"/>
      <c r="H813" s="65"/>
      <c r="I813" s="65"/>
      <c r="J813" s="65"/>
      <c r="K813" s="264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5.75" customHeight="1">
      <c r="A814" s="65"/>
      <c r="B814" s="65"/>
      <c r="C814" s="65"/>
      <c r="D814" s="65"/>
      <c r="E814" s="65"/>
      <c r="F814" s="66"/>
      <c r="G814" s="66"/>
      <c r="H814" s="65"/>
      <c r="I814" s="65"/>
      <c r="J814" s="65"/>
      <c r="K814" s="264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5.75" customHeight="1">
      <c r="A815" s="65"/>
      <c r="B815" s="65"/>
      <c r="C815" s="65"/>
      <c r="D815" s="65"/>
      <c r="E815" s="65"/>
      <c r="F815" s="66"/>
      <c r="G815" s="66"/>
      <c r="H815" s="65"/>
      <c r="I815" s="65"/>
      <c r="J815" s="65"/>
      <c r="K815" s="264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5.75" customHeight="1">
      <c r="A816" s="65"/>
      <c r="B816" s="65"/>
      <c r="C816" s="65"/>
      <c r="D816" s="65"/>
      <c r="E816" s="65"/>
      <c r="F816" s="66"/>
      <c r="G816" s="66"/>
      <c r="H816" s="65"/>
      <c r="I816" s="65"/>
      <c r="J816" s="65"/>
      <c r="K816" s="264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5.75" customHeight="1">
      <c r="A817" s="65"/>
      <c r="B817" s="65"/>
      <c r="C817" s="65"/>
      <c r="D817" s="65"/>
      <c r="E817" s="65"/>
      <c r="F817" s="66"/>
      <c r="G817" s="66"/>
      <c r="H817" s="65"/>
      <c r="I817" s="65"/>
      <c r="J817" s="65"/>
      <c r="K817" s="264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5.75" customHeight="1">
      <c r="A818" s="65"/>
      <c r="B818" s="65"/>
      <c r="C818" s="65"/>
      <c r="D818" s="65"/>
      <c r="E818" s="65"/>
      <c r="F818" s="66"/>
      <c r="G818" s="66"/>
      <c r="H818" s="65"/>
      <c r="I818" s="65"/>
      <c r="J818" s="65"/>
      <c r="K818" s="264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5.75" customHeight="1">
      <c r="A819" s="65"/>
      <c r="B819" s="65"/>
      <c r="C819" s="65"/>
      <c r="D819" s="65"/>
      <c r="E819" s="65"/>
      <c r="F819" s="66"/>
      <c r="G819" s="66"/>
      <c r="H819" s="65"/>
      <c r="I819" s="65"/>
      <c r="J819" s="65"/>
      <c r="K819" s="264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5.75" customHeight="1">
      <c r="A820" s="65"/>
      <c r="B820" s="65"/>
      <c r="C820" s="65"/>
      <c r="D820" s="65"/>
      <c r="E820" s="65"/>
      <c r="F820" s="66"/>
      <c r="G820" s="66"/>
      <c r="H820" s="65"/>
      <c r="I820" s="65"/>
      <c r="J820" s="65"/>
      <c r="K820" s="264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5.75" customHeight="1">
      <c r="A821" s="65"/>
      <c r="B821" s="65"/>
      <c r="C821" s="65"/>
      <c r="D821" s="65"/>
      <c r="E821" s="65"/>
      <c r="F821" s="66"/>
      <c r="G821" s="66"/>
      <c r="H821" s="65"/>
      <c r="I821" s="65"/>
      <c r="J821" s="65"/>
      <c r="K821" s="264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5.75" customHeight="1">
      <c r="A822" s="65"/>
      <c r="B822" s="65"/>
      <c r="C822" s="65"/>
      <c r="D822" s="65"/>
      <c r="E822" s="65"/>
      <c r="F822" s="66"/>
      <c r="G822" s="66"/>
      <c r="H822" s="65"/>
      <c r="I822" s="65"/>
      <c r="J822" s="65"/>
      <c r="K822" s="264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5.75" customHeight="1">
      <c r="A823" s="65"/>
      <c r="B823" s="65"/>
      <c r="C823" s="65"/>
      <c r="D823" s="65"/>
      <c r="E823" s="65"/>
      <c r="F823" s="66"/>
      <c r="G823" s="66"/>
      <c r="H823" s="65"/>
      <c r="I823" s="65"/>
      <c r="J823" s="65"/>
      <c r="K823" s="264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5.75" customHeight="1">
      <c r="A824" s="65"/>
      <c r="B824" s="65"/>
      <c r="C824" s="65"/>
      <c r="D824" s="65"/>
      <c r="E824" s="65"/>
      <c r="F824" s="66"/>
      <c r="G824" s="66"/>
      <c r="H824" s="65"/>
      <c r="I824" s="65"/>
      <c r="J824" s="65"/>
      <c r="K824" s="264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5.75" customHeight="1">
      <c r="A825" s="65"/>
      <c r="B825" s="65"/>
      <c r="C825" s="65"/>
      <c r="D825" s="65"/>
      <c r="E825" s="65"/>
      <c r="F825" s="66"/>
      <c r="G825" s="66"/>
      <c r="H825" s="65"/>
      <c r="I825" s="65"/>
      <c r="J825" s="65"/>
      <c r="K825" s="264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5.75" customHeight="1">
      <c r="A826" s="65"/>
      <c r="B826" s="65"/>
      <c r="C826" s="65"/>
      <c r="D826" s="65"/>
      <c r="E826" s="65"/>
      <c r="F826" s="66"/>
      <c r="G826" s="66"/>
      <c r="H826" s="65"/>
      <c r="I826" s="65"/>
      <c r="J826" s="65"/>
      <c r="K826" s="264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5.75" customHeight="1">
      <c r="A827" s="65"/>
      <c r="B827" s="65"/>
      <c r="C827" s="65"/>
      <c r="D827" s="65"/>
      <c r="E827" s="65"/>
      <c r="F827" s="66"/>
      <c r="G827" s="66"/>
      <c r="H827" s="65"/>
      <c r="I827" s="65"/>
      <c r="J827" s="65"/>
      <c r="K827" s="264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5.75" customHeight="1">
      <c r="A828" s="65"/>
      <c r="B828" s="65"/>
      <c r="C828" s="65"/>
      <c r="D828" s="65"/>
      <c r="E828" s="65"/>
      <c r="F828" s="66"/>
      <c r="G828" s="66"/>
      <c r="H828" s="65"/>
      <c r="I828" s="65"/>
      <c r="J828" s="65"/>
      <c r="K828" s="264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5.75" customHeight="1">
      <c r="A829" s="65"/>
      <c r="B829" s="65"/>
      <c r="C829" s="65"/>
      <c r="D829" s="65"/>
      <c r="E829" s="65"/>
      <c r="F829" s="66"/>
      <c r="G829" s="66"/>
      <c r="H829" s="65"/>
      <c r="I829" s="65"/>
      <c r="J829" s="65"/>
      <c r="K829" s="264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5.75" customHeight="1">
      <c r="A830" s="65"/>
      <c r="B830" s="65"/>
      <c r="C830" s="65"/>
      <c r="D830" s="65"/>
      <c r="E830" s="65"/>
      <c r="F830" s="66"/>
      <c r="G830" s="66"/>
      <c r="H830" s="65"/>
      <c r="I830" s="65"/>
      <c r="J830" s="65"/>
      <c r="K830" s="264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5.75" customHeight="1">
      <c r="A831" s="65"/>
      <c r="B831" s="65"/>
      <c r="C831" s="65"/>
      <c r="D831" s="65"/>
      <c r="E831" s="65"/>
      <c r="F831" s="66"/>
      <c r="G831" s="66"/>
      <c r="H831" s="65"/>
      <c r="I831" s="65"/>
      <c r="J831" s="65"/>
      <c r="K831" s="264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5.75" customHeight="1">
      <c r="A832" s="65"/>
      <c r="B832" s="65"/>
      <c r="C832" s="65"/>
      <c r="D832" s="65"/>
      <c r="E832" s="65"/>
      <c r="F832" s="66"/>
      <c r="G832" s="66"/>
      <c r="H832" s="65"/>
      <c r="I832" s="65"/>
      <c r="J832" s="65"/>
      <c r="K832" s="264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5.75" customHeight="1">
      <c r="A833" s="65"/>
      <c r="B833" s="65"/>
      <c r="C833" s="65"/>
      <c r="D833" s="65"/>
      <c r="E833" s="65"/>
      <c r="F833" s="66"/>
      <c r="G833" s="66"/>
      <c r="H833" s="65"/>
      <c r="I833" s="65"/>
      <c r="J833" s="65"/>
      <c r="K833" s="264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5.75" customHeight="1">
      <c r="A834" s="65"/>
      <c r="B834" s="65"/>
      <c r="C834" s="65"/>
      <c r="D834" s="65"/>
      <c r="E834" s="65"/>
      <c r="F834" s="66"/>
      <c r="G834" s="66"/>
      <c r="H834" s="65"/>
      <c r="I834" s="65"/>
      <c r="J834" s="65"/>
      <c r="K834" s="264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5.75" customHeight="1">
      <c r="A835" s="65"/>
      <c r="B835" s="65"/>
      <c r="C835" s="65"/>
      <c r="D835" s="65"/>
      <c r="E835" s="65"/>
      <c r="F835" s="66"/>
      <c r="G835" s="66"/>
      <c r="H835" s="65"/>
      <c r="I835" s="65"/>
      <c r="J835" s="65"/>
      <c r="K835" s="264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5.75" customHeight="1">
      <c r="A836" s="65"/>
      <c r="B836" s="65"/>
      <c r="C836" s="65"/>
      <c r="D836" s="65"/>
      <c r="E836" s="65"/>
      <c r="F836" s="66"/>
      <c r="G836" s="66"/>
      <c r="H836" s="65"/>
      <c r="I836" s="65"/>
      <c r="J836" s="65"/>
      <c r="K836" s="264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5.75" customHeight="1">
      <c r="A837" s="65"/>
      <c r="B837" s="65"/>
      <c r="C837" s="65"/>
      <c r="D837" s="65"/>
      <c r="E837" s="65"/>
      <c r="F837" s="66"/>
      <c r="G837" s="66"/>
      <c r="H837" s="65"/>
      <c r="I837" s="65"/>
      <c r="J837" s="65"/>
      <c r="K837" s="264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5.75" customHeight="1">
      <c r="A838" s="65"/>
      <c r="B838" s="65"/>
      <c r="C838" s="65"/>
      <c r="D838" s="65"/>
      <c r="E838" s="65"/>
      <c r="F838" s="66"/>
      <c r="G838" s="66"/>
      <c r="H838" s="65"/>
      <c r="I838" s="65"/>
      <c r="J838" s="65"/>
      <c r="K838" s="264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5.75" customHeight="1">
      <c r="A839" s="65"/>
      <c r="B839" s="65"/>
      <c r="C839" s="65"/>
      <c r="D839" s="65"/>
      <c r="E839" s="65"/>
      <c r="F839" s="66"/>
      <c r="G839" s="66"/>
      <c r="H839" s="65"/>
      <c r="I839" s="65"/>
      <c r="J839" s="65"/>
      <c r="K839" s="264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5.75" customHeight="1">
      <c r="A840" s="65"/>
      <c r="B840" s="65"/>
      <c r="C840" s="65"/>
      <c r="D840" s="65"/>
      <c r="E840" s="65"/>
      <c r="F840" s="66"/>
      <c r="G840" s="66"/>
      <c r="H840" s="65"/>
      <c r="I840" s="65"/>
      <c r="J840" s="65"/>
      <c r="K840" s="264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5.75" customHeight="1">
      <c r="A841" s="65"/>
      <c r="B841" s="65"/>
      <c r="C841" s="65"/>
      <c r="D841" s="65"/>
      <c r="E841" s="65"/>
      <c r="F841" s="66"/>
      <c r="G841" s="66"/>
      <c r="H841" s="65"/>
      <c r="I841" s="65"/>
      <c r="J841" s="65"/>
      <c r="K841" s="264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5.75" customHeight="1">
      <c r="A842" s="65"/>
      <c r="B842" s="65"/>
      <c r="C842" s="65"/>
      <c r="D842" s="65"/>
      <c r="E842" s="65"/>
      <c r="F842" s="66"/>
      <c r="G842" s="66"/>
      <c r="H842" s="65"/>
      <c r="I842" s="65"/>
      <c r="J842" s="65"/>
      <c r="K842" s="264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5.75" customHeight="1">
      <c r="A843" s="65"/>
      <c r="B843" s="65"/>
      <c r="C843" s="65"/>
      <c r="D843" s="65"/>
      <c r="E843" s="65"/>
      <c r="F843" s="66"/>
      <c r="G843" s="66"/>
      <c r="H843" s="65"/>
      <c r="I843" s="65"/>
      <c r="J843" s="65"/>
      <c r="K843" s="264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5.75" customHeight="1">
      <c r="A844" s="65"/>
      <c r="B844" s="65"/>
      <c r="C844" s="65"/>
      <c r="D844" s="65"/>
      <c r="E844" s="65"/>
      <c r="F844" s="66"/>
      <c r="G844" s="66"/>
      <c r="H844" s="65"/>
      <c r="I844" s="65"/>
      <c r="J844" s="65"/>
      <c r="K844" s="264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5.75" customHeight="1">
      <c r="A845" s="65"/>
      <c r="B845" s="65"/>
      <c r="C845" s="65"/>
      <c r="D845" s="65"/>
      <c r="E845" s="65"/>
      <c r="F845" s="66"/>
      <c r="G845" s="66"/>
      <c r="H845" s="65"/>
      <c r="I845" s="65"/>
      <c r="J845" s="65"/>
      <c r="K845" s="264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5.75" customHeight="1">
      <c r="A846" s="65"/>
      <c r="B846" s="65"/>
      <c r="C846" s="65"/>
      <c r="D846" s="65"/>
      <c r="E846" s="65"/>
      <c r="F846" s="66"/>
      <c r="G846" s="66"/>
      <c r="H846" s="65"/>
      <c r="I846" s="65"/>
      <c r="J846" s="65"/>
      <c r="K846" s="264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5.75" customHeight="1">
      <c r="A847" s="65"/>
      <c r="B847" s="65"/>
      <c r="C847" s="65"/>
      <c r="D847" s="65"/>
      <c r="E847" s="65"/>
      <c r="F847" s="66"/>
      <c r="G847" s="66"/>
      <c r="H847" s="65"/>
      <c r="I847" s="65"/>
      <c r="J847" s="65"/>
      <c r="K847" s="264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5.75" customHeight="1">
      <c r="A848" s="65"/>
      <c r="B848" s="65"/>
      <c r="C848" s="65"/>
      <c r="D848" s="65"/>
      <c r="E848" s="65"/>
      <c r="F848" s="66"/>
      <c r="G848" s="66"/>
      <c r="H848" s="65"/>
      <c r="I848" s="65"/>
      <c r="J848" s="65"/>
      <c r="K848" s="264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5.75" customHeight="1">
      <c r="A849" s="65"/>
      <c r="B849" s="65"/>
      <c r="C849" s="65"/>
      <c r="D849" s="65"/>
      <c r="E849" s="65"/>
      <c r="F849" s="66"/>
      <c r="G849" s="66"/>
      <c r="H849" s="65"/>
      <c r="I849" s="65"/>
      <c r="J849" s="65"/>
      <c r="K849" s="264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5.75" customHeight="1">
      <c r="A850" s="65"/>
      <c r="B850" s="65"/>
      <c r="C850" s="65"/>
      <c r="D850" s="65"/>
      <c r="E850" s="65"/>
      <c r="F850" s="66"/>
      <c r="G850" s="66"/>
      <c r="H850" s="65"/>
      <c r="I850" s="65"/>
      <c r="J850" s="65"/>
      <c r="K850" s="264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5.75" customHeight="1">
      <c r="A851" s="65"/>
      <c r="B851" s="65"/>
      <c r="C851" s="65"/>
      <c r="D851" s="65"/>
      <c r="E851" s="65"/>
      <c r="F851" s="66"/>
      <c r="G851" s="66"/>
      <c r="H851" s="65"/>
      <c r="I851" s="65"/>
      <c r="J851" s="65"/>
      <c r="K851" s="264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5.75" customHeight="1">
      <c r="A852" s="65"/>
      <c r="B852" s="65"/>
      <c r="C852" s="65"/>
      <c r="D852" s="65"/>
      <c r="E852" s="65"/>
      <c r="F852" s="66"/>
      <c r="G852" s="66"/>
      <c r="H852" s="65"/>
      <c r="I852" s="65"/>
      <c r="J852" s="65"/>
      <c r="K852" s="264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5.75" customHeight="1">
      <c r="A853" s="65"/>
      <c r="B853" s="65"/>
      <c r="C853" s="65"/>
      <c r="D853" s="65"/>
      <c r="E853" s="65"/>
      <c r="F853" s="66"/>
      <c r="G853" s="66"/>
      <c r="H853" s="65"/>
      <c r="I853" s="65"/>
      <c r="J853" s="65"/>
      <c r="K853" s="264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5.75" customHeight="1">
      <c r="A854" s="65"/>
      <c r="B854" s="65"/>
      <c r="C854" s="65"/>
      <c r="D854" s="65"/>
      <c r="E854" s="65"/>
      <c r="F854" s="66"/>
      <c r="G854" s="66"/>
      <c r="H854" s="65"/>
      <c r="I854" s="65"/>
      <c r="J854" s="65"/>
      <c r="K854" s="264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5.75" customHeight="1">
      <c r="A855" s="65"/>
      <c r="B855" s="65"/>
      <c r="C855" s="65"/>
      <c r="D855" s="65"/>
      <c r="E855" s="65"/>
      <c r="F855" s="66"/>
      <c r="G855" s="66"/>
      <c r="H855" s="65"/>
      <c r="I855" s="65"/>
      <c r="J855" s="65"/>
      <c r="K855" s="264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5.75" customHeight="1">
      <c r="A856" s="65"/>
      <c r="B856" s="65"/>
      <c r="C856" s="65"/>
      <c r="D856" s="65"/>
      <c r="E856" s="65"/>
      <c r="F856" s="66"/>
      <c r="G856" s="66"/>
      <c r="H856" s="65"/>
      <c r="I856" s="65"/>
      <c r="J856" s="65"/>
      <c r="K856" s="264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5.75" customHeight="1">
      <c r="A857" s="65"/>
      <c r="B857" s="65"/>
      <c r="C857" s="65"/>
      <c r="D857" s="65"/>
      <c r="E857" s="65"/>
      <c r="F857" s="66"/>
      <c r="G857" s="66"/>
      <c r="H857" s="65"/>
      <c r="I857" s="65"/>
      <c r="J857" s="65"/>
      <c r="K857" s="264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5.75" customHeight="1">
      <c r="A858" s="65"/>
      <c r="B858" s="65"/>
      <c r="C858" s="65"/>
      <c r="D858" s="65"/>
      <c r="E858" s="65"/>
      <c r="F858" s="66"/>
      <c r="G858" s="66"/>
      <c r="H858" s="65"/>
      <c r="I858" s="65"/>
      <c r="J858" s="65"/>
      <c r="K858" s="264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5.75" customHeight="1">
      <c r="A859" s="65"/>
      <c r="B859" s="65"/>
      <c r="C859" s="65"/>
      <c r="D859" s="65"/>
      <c r="E859" s="65"/>
      <c r="F859" s="66"/>
      <c r="G859" s="66"/>
      <c r="H859" s="65"/>
      <c r="I859" s="65"/>
      <c r="J859" s="65"/>
      <c r="K859" s="264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5.75" customHeight="1">
      <c r="A860" s="65"/>
      <c r="B860" s="65"/>
      <c r="C860" s="65"/>
      <c r="D860" s="65"/>
      <c r="E860" s="65"/>
      <c r="F860" s="66"/>
      <c r="G860" s="66"/>
      <c r="H860" s="65"/>
      <c r="I860" s="65"/>
      <c r="J860" s="65"/>
      <c r="K860" s="264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5.75" customHeight="1">
      <c r="A861" s="65"/>
      <c r="B861" s="65"/>
      <c r="C861" s="65"/>
      <c r="D861" s="65"/>
      <c r="E861" s="65"/>
      <c r="F861" s="66"/>
      <c r="G861" s="66"/>
      <c r="H861" s="65"/>
      <c r="I861" s="65"/>
      <c r="J861" s="65"/>
      <c r="K861" s="264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5.75" customHeight="1">
      <c r="A862" s="65"/>
      <c r="B862" s="65"/>
      <c r="C862" s="65"/>
      <c r="D862" s="65"/>
      <c r="E862" s="65"/>
      <c r="F862" s="66"/>
      <c r="G862" s="66"/>
      <c r="H862" s="65"/>
      <c r="I862" s="65"/>
      <c r="J862" s="65"/>
      <c r="K862" s="264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5.75" customHeight="1">
      <c r="A863" s="65"/>
      <c r="B863" s="65"/>
      <c r="C863" s="65"/>
      <c r="D863" s="65"/>
      <c r="E863" s="65"/>
      <c r="F863" s="66"/>
      <c r="G863" s="66"/>
      <c r="H863" s="65"/>
      <c r="I863" s="65"/>
      <c r="J863" s="65"/>
      <c r="K863" s="264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5.75" customHeight="1">
      <c r="A864" s="65"/>
      <c r="B864" s="65"/>
      <c r="C864" s="65"/>
      <c r="D864" s="65"/>
      <c r="E864" s="65"/>
      <c r="F864" s="66"/>
      <c r="G864" s="66"/>
      <c r="H864" s="65"/>
      <c r="I864" s="65"/>
      <c r="J864" s="65"/>
      <c r="K864" s="264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5.75" customHeight="1">
      <c r="A865" s="65"/>
      <c r="B865" s="65"/>
      <c r="C865" s="65"/>
      <c r="D865" s="65"/>
      <c r="E865" s="65"/>
      <c r="F865" s="66"/>
      <c r="G865" s="66"/>
      <c r="H865" s="65"/>
      <c r="I865" s="65"/>
      <c r="J865" s="65"/>
      <c r="K865" s="264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5.75" customHeight="1">
      <c r="A866" s="65"/>
      <c r="B866" s="65"/>
      <c r="C866" s="65"/>
      <c r="D866" s="65"/>
      <c r="E866" s="65"/>
      <c r="F866" s="66"/>
      <c r="G866" s="66"/>
      <c r="H866" s="65"/>
      <c r="I866" s="65"/>
      <c r="J866" s="65"/>
      <c r="K866" s="264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5.75" customHeight="1">
      <c r="A867" s="65"/>
      <c r="B867" s="65"/>
      <c r="C867" s="65"/>
      <c r="D867" s="65"/>
      <c r="E867" s="65"/>
      <c r="F867" s="66"/>
      <c r="G867" s="66"/>
      <c r="H867" s="65"/>
      <c r="I867" s="65"/>
      <c r="J867" s="65"/>
      <c r="K867" s="264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5.75" customHeight="1">
      <c r="A868" s="65"/>
      <c r="B868" s="65"/>
      <c r="C868" s="65"/>
      <c r="D868" s="65"/>
      <c r="E868" s="65"/>
      <c r="F868" s="66"/>
      <c r="G868" s="66"/>
      <c r="H868" s="65"/>
      <c r="I868" s="65"/>
      <c r="J868" s="65"/>
      <c r="K868" s="264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5.75" customHeight="1">
      <c r="A869" s="65"/>
      <c r="B869" s="65"/>
      <c r="C869" s="65"/>
      <c r="D869" s="65"/>
      <c r="E869" s="65"/>
      <c r="F869" s="66"/>
      <c r="G869" s="66"/>
      <c r="H869" s="65"/>
      <c r="I869" s="65"/>
      <c r="J869" s="65"/>
      <c r="K869" s="264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5.75" customHeight="1">
      <c r="A870" s="65"/>
      <c r="B870" s="65"/>
      <c r="C870" s="65"/>
      <c r="D870" s="65"/>
      <c r="E870" s="65"/>
      <c r="F870" s="66"/>
      <c r="G870" s="66"/>
      <c r="H870" s="65"/>
      <c r="I870" s="65"/>
      <c r="J870" s="65"/>
      <c r="K870" s="264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5.75" customHeight="1">
      <c r="A871" s="65"/>
      <c r="B871" s="65"/>
      <c r="C871" s="65"/>
      <c r="D871" s="65"/>
      <c r="E871" s="65"/>
      <c r="F871" s="66"/>
      <c r="G871" s="66"/>
      <c r="H871" s="65"/>
      <c r="I871" s="65"/>
      <c r="J871" s="65"/>
      <c r="K871" s="264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5.75" customHeight="1">
      <c r="A872" s="65"/>
      <c r="B872" s="65"/>
      <c r="C872" s="65"/>
      <c r="D872" s="65"/>
      <c r="E872" s="65"/>
      <c r="F872" s="66"/>
      <c r="G872" s="66"/>
      <c r="H872" s="65"/>
      <c r="I872" s="65"/>
      <c r="J872" s="65"/>
      <c r="K872" s="264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5.75" customHeight="1">
      <c r="A873" s="65"/>
      <c r="B873" s="65"/>
      <c r="C873" s="65"/>
      <c r="D873" s="65"/>
      <c r="E873" s="65"/>
      <c r="F873" s="66"/>
      <c r="G873" s="66"/>
      <c r="H873" s="65"/>
      <c r="I873" s="65"/>
      <c r="J873" s="65"/>
      <c r="K873" s="264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5.75" customHeight="1">
      <c r="A874" s="65"/>
      <c r="B874" s="65"/>
      <c r="C874" s="65"/>
      <c r="D874" s="65"/>
      <c r="E874" s="65"/>
      <c r="F874" s="66"/>
      <c r="G874" s="66"/>
      <c r="H874" s="65"/>
      <c r="I874" s="65"/>
      <c r="J874" s="65"/>
      <c r="K874" s="264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5.75" customHeight="1">
      <c r="A875" s="65"/>
      <c r="B875" s="65"/>
      <c r="C875" s="65"/>
      <c r="D875" s="65"/>
      <c r="E875" s="65"/>
      <c r="F875" s="66"/>
      <c r="G875" s="66"/>
      <c r="H875" s="65"/>
      <c r="I875" s="65"/>
      <c r="J875" s="65"/>
      <c r="K875" s="264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5.75" customHeight="1">
      <c r="A876" s="65"/>
      <c r="B876" s="65"/>
      <c r="C876" s="65"/>
      <c r="D876" s="65"/>
      <c r="E876" s="65"/>
      <c r="F876" s="66"/>
      <c r="G876" s="66"/>
      <c r="H876" s="65"/>
      <c r="I876" s="65"/>
      <c r="J876" s="65"/>
      <c r="K876" s="264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5.75" customHeight="1">
      <c r="A877" s="65"/>
      <c r="B877" s="65"/>
      <c r="C877" s="65"/>
      <c r="D877" s="65"/>
      <c r="E877" s="65"/>
      <c r="F877" s="66"/>
      <c r="G877" s="66"/>
      <c r="H877" s="65"/>
      <c r="I877" s="65"/>
      <c r="J877" s="65"/>
      <c r="K877" s="264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5.75" customHeight="1">
      <c r="A878" s="65"/>
      <c r="B878" s="65"/>
      <c r="C878" s="65"/>
      <c r="D878" s="65"/>
      <c r="E878" s="65"/>
      <c r="F878" s="66"/>
      <c r="G878" s="66"/>
      <c r="H878" s="65"/>
      <c r="I878" s="65"/>
      <c r="J878" s="65"/>
      <c r="K878" s="264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5.75" customHeight="1">
      <c r="A879" s="65"/>
      <c r="B879" s="65"/>
      <c r="C879" s="65"/>
      <c r="D879" s="65"/>
      <c r="E879" s="65"/>
      <c r="F879" s="66"/>
      <c r="G879" s="66"/>
      <c r="H879" s="65"/>
      <c r="I879" s="65"/>
      <c r="J879" s="65"/>
      <c r="K879" s="264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5.75" customHeight="1">
      <c r="A880" s="65"/>
      <c r="B880" s="65"/>
      <c r="C880" s="65"/>
      <c r="D880" s="65"/>
      <c r="E880" s="65"/>
      <c r="F880" s="66"/>
      <c r="G880" s="66"/>
      <c r="H880" s="65"/>
      <c r="I880" s="65"/>
      <c r="J880" s="65"/>
      <c r="K880" s="264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5.75" customHeight="1">
      <c r="A881" s="65"/>
      <c r="B881" s="65"/>
      <c r="C881" s="65"/>
      <c r="D881" s="65"/>
      <c r="E881" s="65"/>
      <c r="F881" s="66"/>
      <c r="G881" s="66"/>
      <c r="H881" s="65"/>
      <c r="I881" s="65"/>
      <c r="J881" s="65"/>
      <c r="K881" s="264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5.75" customHeight="1">
      <c r="A882" s="65"/>
      <c r="B882" s="65"/>
      <c r="C882" s="65"/>
      <c r="D882" s="65"/>
      <c r="E882" s="65"/>
      <c r="F882" s="66"/>
      <c r="G882" s="66"/>
      <c r="H882" s="65"/>
      <c r="I882" s="65"/>
      <c r="J882" s="65"/>
      <c r="K882" s="264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5.75" customHeight="1">
      <c r="A883" s="65"/>
      <c r="B883" s="65"/>
      <c r="C883" s="65"/>
      <c r="D883" s="65"/>
      <c r="E883" s="65"/>
      <c r="F883" s="66"/>
      <c r="G883" s="66"/>
      <c r="H883" s="65"/>
      <c r="I883" s="65"/>
      <c r="J883" s="65"/>
      <c r="K883" s="264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5.75" customHeight="1">
      <c r="A884" s="65"/>
      <c r="B884" s="65"/>
      <c r="C884" s="65"/>
      <c r="D884" s="65"/>
      <c r="E884" s="65"/>
      <c r="F884" s="66"/>
      <c r="G884" s="66"/>
      <c r="H884" s="65"/>
      <c r="I884" s="65"/>
      <c r="J884" s="65"/>
      <c r="K884" s="264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5.75" customHeight="1">
      <c r="A885" s="65"/>
      <c r="B885" s="65"/>
      <c r="C885" s="65"/>
      <c r="D885" s="65"/>
      <c r="E885" s="65"/>
      <c r="F885" s="66"/>
      <c r="G885" s="66"/>
      <c r="H885" s="65"/>
      <c r="I885" s="65"/>
      <c r="J885" s="65"/>
      <c r="K885" s="264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5.75" customHeight="1">
      <c r="A886" s="65"/>
      <c r="B886" s="65"/>
      <c r="C886" s="65"/>
      <c r="D886" s="65"/>
      <c r="E886" s="65"/>
      <c r="F886" s="66"/>
      <c r="G886" s="66"/>
      <c r="H886" s="65"/>
      <c r="I886" s="65"/>
      <c r="J886" s="65"/>
      <c r="K886" s="264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5.75" customHeight="1">
      <c r="A887" s="65"/>
      <c r="B887" s="65"/>
      <c r="C887" s="65"/>
      <c r="D887" s="65"/>
      <c r="E887" s="65"/>
      <c r="F887" s="66"/>
      <c r="G887" s="66"/>
      <c r="H887" s="65"/>
      <c r="I887" s="65"/>
      <c r="J887" s="65"/>
      <c r="K887" s="264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5.75" customHeight="1">
      <c r="A888" s="65"/>
      <c r="B888" s="65"/>
      <c r="C888" s="65"/>
      <c r="D888" s="65"/>
      <c r="E888" s="65"/>
      <c r="F888" s="66"/>
      <c r="G888" s="66"/>
      <c r="H888" s="65"/>
      <c r="I888" s="65"/>
      <c r="J888" s="65"/>
      <c r="K888" s="264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5.75" customHeight="1">
      <c r="A889" s="65"/>
      <c r="B889" s="65"/>
      <c r="C889" s="65"/>
      <c r="D889" s="65"/>
      <c r="E889" s="65"/>
      <c r="F889" s="66"/>
      <c r="G889" s="66"/>
      <c r="H889" s="65"/>
      <c r="I889" s="65"/>
      <c r="J889" s="65"/>
      <c r="K889" s="264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5.75" customHeight="1">
      <c r="A890" s="65"/>
      <c r="B890" s="65"/>
      <c r="C890" s="65"/>
      <c r="D890" s="65"/>
      <c r="E890" s="65"/>
      <c r="F890" s="66"/>
      <c r="G890" s="66"/>
      <c r="H890" s="65"/>
      <c r="I890" s="65"/>
      <c r="J890" s="65"/>
      <c r="K890" s="264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5.75" customHeight="1">
      <c r="A891" s="65"/>
      <c r="B891" s="65"/>
      <c r="C891" s="65"/>
      <c r="D891" s="65"/>
      <c r="E891" s="65"/>
      <c r="F891" s="66"/>
      <c r="G891" s="66"/>
      <c r="H891" s="65"/>
      <c r="I891" s="65"/>
      <c r="J891" s="65"/>
      <c r="K891" s="264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5.75" customHeight="1">
      <c r="A892" s="65"/>
      <c r="B892" s="65"/>
      <c r="C892" s="65"/>
      <c r="D892" s="65"/>
      <c r="E892" s="65"/>
      <c r="F892" s="66"/>
      <c r="G892" s="66"/>
      <c r="H892" s="65"/>
      <c r="I892" s="65"/>
      <c r="J892" s="65"/>
      <c r="K892" s="264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5.75" customHeight="1">
      <c r="A893" s="65"/>
      <c r="B893" s="65"/>
      <c r="C893" s="65"/>
      <c r="D893" s="65"/>
      <c r="E893" s="65"/>
      <c r="F893" s="66"/>
      <c r="G893" s="66"/>
      <c r="H893" s="65"/>
      <c r="I893" s="65"/>
      <c r="J893" s="65"/>
      <c r="K893" s="264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5.75" customHeight="1">
      <c r="A894" s="65"/>
      <c r="B894" s="65"/>
      <c r="C894" s="65"/>
      <c r="D894" s="65"/>
      <c r="E894" s="65"/>
      <c r="F894" s="66"/>
      <c r="G894" s="66"/>
      <c r="H894" s="65"/>
      <c r="I894" s="65"/>
      <c r="J894" s="65"/>
      <c r="K894" s="264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5.75" customHeight="1">
      <c r="A895" s="65"/>
      <c r="B895" s="65"/>
      <c r="C895" s="65"/>
      <c r="D895" s="65"/>
      <c r="E895" s="65"/>
      <c r="F895" s="66"/>
      <c r="G895" s="66"/>
      <c r="H895" s="65"/>
      <c r="I895" s="65"/>
      <c r="J895" s="65"/>
      <c r="K895" s="264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5.75" customHeight="1">
      <c r="A896" s="65"/>
      <c r="B896" s="65"/>
      <c r="C896" s="65"/>
      <c r="D896" s="65"/>
      <c r="E896" s="65"/>
      <c r="F896" s="66"/>
      <c r="G896" s="66"/>
      <c r="H896" s="65"/>
      <c r="I896" s="65"/>
      <c r="J896" s="65"/>
      <c r="K896" s="264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5.75" customHeight="1">
      <c r="A897" s="65"/>
      <c r="B897" s="65"/>
      <c r="C897" s="65"/>
      <c r="D897" s="65"/>
      <c r="E897" s="65"/>
      <c r="F897" s="66"/>
      <c r="G897" s="66"/>
      <c r="H897" s="65"/>
      <c r="I897" s="65"/>
      <c r="J897" s="65"/>
      <c r="K897" s="264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5.75" customHeight="1">
      <c r="A898" s="65"/>
      <c r="B898" s="65"/>
      <c r="C898" s="65"/>
      <c r="D898" s="65"/>
      <c r="E898" s="65"/>
      <c r="F898" s="66"/>
      <c r="G898" s="66"/>
      <c r="H898" s="65"/>
      <c r="I898" s="65"/>
      <c r="J898" s="65"/>
      <c r="K898" s="264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5.75" customHeight="1">
      <c r="A899" s="65"/>
      <c r="B899" s="65"/>
      <c r="C899" s="65"/>
      <c r="D899" s="65"/>
      <c r="E899" s="65"/>
      <c r="F899" s="66"/>
      <c r="G899" s="66"/>
      <c r="H899" s="65"/>
      <c r="I899" s="65"/>
      <c r="J899" s="65"/>
      <c r="K899" s="264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5.75" customHeight="1">
      <c r="A900" s="65"/>
      <c r="B900" s="65"/>
      <c r="C900" s="65"/>
      <c r="D900" s="65"/>
      <c r="E900" s="65"/>
      <c r="F900" s="66"/>
      <c r="G900" s="66"/>
      <c r="H900" s="65"/>
      <c r="I900" s="65"/>
      <c r="J900" s="65"/>
      <c r="K900" s="264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5.75" customHeight="1">
      <c r="A901" s="65"/>
      <c r="B901" s="65"/>
      <c r="C901" s="65"/>
      <c r="D901" s="65"/>
      <c r="E901" s="65"/>
      <c r="F901" s="66"/>
      <c r="G901" s="66"/>
      <c r="H901" s="65"/>
      <c r="I901" s="65"/>
      <c r="J901" s="65"/>
      <c r="K901" s="264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5.75" customHeight="1">
      <c r="A902" s="65"/>
      <c r="B902" s="65"/>
      <c r="C902" s="65"/>
      <c r="D902" s="65"/>
      <c r="E902" s="65"/>
      <c r="F902" s="66"/>
      <c r="G902" s="66"/>
      <c r="H902" s="65"/>
      <c r="I902" s="65"/>
      <c r="J902" s="65"/>
      <c r="K902" s="264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5.75" customHeight="1">
      <c r="A903" s="65"/>
      <c r="B903" s="65"/>
      <c r="C903" s="65"/>
      <c r="D903" s="65"/>
      <c r="E903" s="65"/>
      <c r="F903" s="66"/>
      <c r="G903" s="66"/>
      <c r="H903" s="65"/>
      <c r="I903" s="65"/>
      <c r="J903" s="65"/>
      <c r="K903" s="264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5.75" customHeight="1">
      <c r="A904" s="65"/>
      <c r="B904" s="65"/>
      <c r="C904" s="65"/>
      <c r="D904" s="65"/>
      <c r="E904" s="65"/>
      <c r="F904" s="66"/>
      <c r="G904" s="66"/>
      <c r="H904" s="65"/>
      <c r="I904" s="65"/>
      <c r="J904" s="65"/>
      <c r="K904" s="264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5.75" customHeight="1">
      <c r="A905" s="65"/>
      <c r="B905" s="65"/>
      <c r="C905" s="65"/>
      <c r="D905" s="65"/>
      <c r="E905" s="65"/>
      <c r="F905" s="66"/>
      <c r="G905" s="66"/>
      <c r="H905" s="65"/>
      <c r="I905" s="65"/>
      <c r="J905" s="65"/>
      <c r="K905" s="264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5.75" customHeight="1">
      <c r="A906" s="65"/>
      <c r="B906" s="65"/>
      <c r="C906" s="65"/>
      <c r="D906" s="65"/>
      <c r="E906" s="65"/>
      <c r="F906" s="66"/>
      <c r="G906" s="66"/>
      <c r="H906" s="65"/>
      <c r="I906" s="65"/>
      <c r="J906" s="65"/>
      <c r="K906" s="264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5.75" customHeight="1">
      <c r="A907" s="65"/>
      <c r="B907" s="65"/>
      <c r="C907" s="65"/>
      <c r="D907" s="65"/>
      <c r="E907" s="65"/>
      <c r="F907" s="66"/>
      <c r="G907" s="66"/>
      <c r="H907" s="65"/>
      <c r="I907" s="65"/>
      <c r="J907" s="65"/>
      <c r="K907" s="264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5.75" customHeight="1">
      <c r="A908" s="65"/>
      <c r="B908" s="65"/>
      <c r="C908" s="65"/>
      <c r="D908" s="65"/>
      <c r="E908" s="65"/>
      <c r="F908" s="66"/>
      <c r="G908" s="66"/>
      <c r="H908" s="65"/>
      <c r="I908" s="65"/>
      <c r="J908" s="65"/>
      <c r="K908" s="264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5.75" customHeight="1">
      <c r="A909" s="65"/>
      <c r="B909" s="65"/>
      <c r="C909" s="65"/>
      <c r="D909" s="65"/>
      <c r="E909" s="65"/>
      <c r="F909" s="66"/>
      <c r="G909" s="66"/>
      <c r="H909" s="65"/>
      <c r="I909" s="65"/>
      <c r="J909" s="65"/>
      <c r="K909" s="264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5.75" customHeight="1">
      <c r="A910" s="65"/>
      <c r="B910" s="65"/>
      <c r="C910" s="65"/>
      <c r="D910" s="65"/>
      <c r="E910" s="65"/>
      <c r="F910" s="66"/>
      <c r="G910" s="66"/>
      <c r="H910" s="65"/>
      <c r="I910" s="65"/>
      <c r="J910" s="65"/>
      <c r="K910" s="264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5.75" customHeight="1">
      <c r="A911" s="65"/>
      <c r="B911" s="65"/>
      <c r="C911" s="65"/>
      <c r="D911" s="65"/>
      <c r="E911" s="65"/>
      <c r="F911" s="66"/>
      <c r="G911" s="66"/>
      <c r="H911" s="65"/>
      <c r="I911" s="65"/>
      <c r="J911" s="65"/>
      <c r="K911" s="264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5.75" customHeight="1">
      <c r="A912" s="65"/>
      <c r="B912" s="65"/>
      <c r="C912" s="65"/>
      <c r="D912" s="65"/>
      <c r="E912" s="65"/>
      <c r="F912" s="66"/>
      <c r="G912" s="66"/>
      <c r="H912" s="65"/>
      <c r="I912" s="65"/>
      <c r="J912" s="65"/>
      <c r="K912" s="264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5.75" customHeight="1">
      <c r="A913" s="65"/>
      <c r="B913" s="65"/>
      <c r="C913" s="65"/>
      <c r="D913" s="65"/>
      <c r="E913" s="65"/>
      <c r="F913" s="66"/>
      <c r="G913" s="66"/>
      <c r="H913" s="65"/>
      <c r="I913" s="65"/>
      <c r="J913" s="65"/>
      <c r="K913" s="264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5.75" customHeight="1">
      <c r="A914" s="65"/>
      <c r="B914" s="65"/>
      <c r="C914" s="65"/>
      <c r="D914" s="65"/>
      <c r="E914" s="65"/>
      <c r="F914" s="66"/>
      <c r="G914" s="66"/>
      <c r="H914" s="65"/>
      <c r="I914" s="65"/>
      <c r="J914" s="65"/>
      <c r="K914" s="264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5.75" customHeight="1">
      <c r="A915" s="65"/>
      <c r="B915" s="65"/>
      <c r="C915" s="65"/>
      <c r="D915" s="65"/>
      <c r="E915" s="65"/>
      <c r="F915" s="66"/>
      <c r="G915" s="66"/>
      <c r="H915" s="65"/>
      <c r="I915" s="65"/>
      <c r="J915" s="65"/>
      <c r="K915" s="264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5.75" customHeight="1">
      <c r="A916" s="65"/>
      <c r="B916" s="65"/>
      <c r="C916" s="65"/>
      <c r="D916" s="65"/>
      <c r="E916" s="65"/>
      <c r="F916" s="66"/>
      <c r="G916" s="66"/>
      <c r="H916" s="65"/>
      <c r="I916" s="65"/>
      <c r="J916" s="65"/>
      <c r="K916" s="264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5.75" customHeight="1">
      <c r="A917" s="65"/>
      <c r="B917" s="65"/>
      <c r="C917" s="65"/>
      <c r="D917" s="65"/>
      <c r="E917" s="65"/>
      <c r="F917" s="66"/>
      <c r="G917" s="66"/>
      <c r="H917" s="65"/>
      <c r="I917" s="65"/>
      <c r="J917" s="65"/>
      <c r="K917" s="264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5.75" customHeight="1">
      <c r="A918" s="65"/>
      <c r="B918" s="65"/>
      <c r="C918" s="65"/>
      <c r="D918" s="65"/>
      <c r="E918" s="65"/>
      <c r="F918" s="66"/>
      <c r="G918" s="66"/>
      <c r="H918" s="65"/>
      <c r="I918" s="65"/>
      <c r="J918" s="65"/>
      <c r="K918" s="264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5.75" customHeight="1">
      <c r="A919" s="65"/>
      <c r="B919" s="65"/>
      <c r="C919" s="65"/>
      <c r="D919" s="65"/>
      <c r="E919" s="65"/>
      <c r="F919" s="66"/>
      <c r="G919" s="66"/>
      <c r="H919" s="65"/>
      <c r="I919" s="65"/>
      <c r="J919" s="65"/>
      <c r="K919" s="264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5.75" customHeight="1">
      <c r="A920" s="65"/>
      <c r="B920" s="65"/>
      <c r="C920" s="65"/>
      <c r="D920" s="65"/>
      <c r="E920" s="65"/>
      <c r="F920" s="66"/>
      <c r="G920" s="66"/>
      <c r="H920" s="65"/>
      <c r="I920" s="65"/>
      <c r="J920" s="65"/>
      <c r="K920" s="264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5.75" customHeight="1">
      <c r="A921" s="65"/>
      <c r="B921" s="65"/>
      <c r="C921" s="65"/>
      <c r="D921" s="65"/>
      <c r="E921" s="65"/>
      <c r="F921" s="66"/>
      <c r="G921" s="66"/>
      <c r="H921" s="65"/>
      <c r="I921" s="65"/>
      <c r="J921" s="65"/>
      <c r="K921" s="264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5.75" customHeight="1">
      <c r="A922" s="65"/>
      <c r="B922" s="65"/>
      <c r="C922" s="65"/>
      <c r="D922" s="65"/>
      <c r="E922" s="65"/>
      <c r="F922" s="66"/>
      <c r="G922" s="66"/>
      <c r="H922" s="65"/>
      <c r="I922" s="65"/>
      <c r="J922" s="65"/>
      <c r="K922" s="264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5.75" customHeight="1">
      <c r="A923" s="65"/>
      <c r="B923" s="65"/>
      <c r="C923" s="65"/>
      <c r="D923" s="65"/>
      <c r="E923" s="65"/>
      <c r="F923" s="66"/>
      <c r="G923" s="66"/>
      <c r="H923" s="65"/>
      <c r="I923" s="65"/>
      <c r="J923" s="65"/>
      <c r="K923" s="264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5.75" customHeight="1">
      <c r="A924" s="65"/>
      <c r="B924" s="65"/>
      <c r="C924" s="65"/>
      <c r="D924" s="65"/>
      <c r="E924" s="65"/>
      <c r="F924" s="66"/>
      <c r="G924" s="66"/>
      <c r="H924" s="65"/>
      <c r="I924" s="65"/>
      <c r="J924" s="65"/>
      <c r="K924" s="264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5.75" customHeight="1">
      <c r="A925" s="65"/>
      <c r="B925" s="65"/>
      <c r="C925" s="65"/>
      <c r="D925" s="65"/>
      <c r="E925" s="65"/>
      <c r="F925" s="66"/>
      <c r="G925" s="66"/>
      <c r="H925" s="65"/>
      <c r="I925" s="65"/>
      <c r="J925" s="65"/>
      <c r="K925" s="264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5.75" customHeight="1">
      <c r="A926" s="65"/>
      <c r="B926" s="65"/>
      <c r="C926" s="65"/>
      <c r="D926" s="65"/>
      <c r="E926" s="65"/>
      <c r="F926" s="66"/>
      <c r="G926" s="66"/>
      <c r="H926" s="65"/>
      <c r="I926" s="65"/>
      <c r="J926" s="65"/>
      <c r="K926" s="264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5.75" customHeight="1">
      <c r="A927" s="65"/>
      <c r="B927" s="65"/>
      <c r="C927" s="65"/>
      <c r="D927" s="65"/>
      <c r="E927" s="65"/>
      <c r="F927" s="66"/>
      <c r="G927" s="66"/>
      <c r="H927" s="65"/>
      <c r="I927" s="65"/>
      <c r="J927" s="65"/>
      <c r="K927" s="264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5.75" customHeight="1">
      <c r="A928" s="65"/>
      <c r="B928" s="65"/>
      <c r="C928" s="65"/>
      <c r="D928" s="65"/>
      <c r="E928" s="65"/>
      <c r="F928" s="66"/>
      <c r="G928" s="66"/>
      <c r="H928" s="65"/>
      <c r="I928" s="65"/>
      <c r="J928" s="65"/>
      <c r="K928" s="264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5.75" customHeight="1">
      <c r="A929" s="65"/>
      <c r="B929" s="65"/>
      <c r="C929" s="65"/>
      <c r="D929" s="65"/>
      <c r="E929" s="65"/>
      <c r="F929" s="66"/>
      <c r="G929" s="66"/>
      <c r="H929" s="65"/>
      <c r="I929" s="65"/>
      <c r="J929" s="65"/>
      <c r="K929" s="264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5.75" customHeight="1">
      <c r="A930" s="65"/>
      <c r="B930" s="65"/>
      <c r="C930" s="65"/>
      <c r="D930" s="65"/>
      <c r="E930" s="65"/>
      <c r="F930" s="66"/>
      <c r="G930" s="66"/>
      <c r="H930" s="65"/>
      <c r="I930" s="65"/>
      <c r="J930" s="65"/>
      <c r="K930" s="264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5.75" customHeight="1">
      <c r="A931" s="65"/>
      <c r="B931" s="65"/>
      <c r="C931" s="65"/>
      <c r="D931" s="65"/>
      <c r="E931" s="65"/>
      <c r="F931" s="66"/>
      <c r="G931" s="66"/>
      <c r="H931" s="65"/>
      <c r="I931" s="65"/>
      <c r="J931" s="65"/>
      <c r="K931" s="264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5.75" customHeight="1">
      <c r="A932" s="65"/>
      <c r="B932" s="65"/>
      <c r="C932" s="65"/>
      <c r="D932" s="65"/>
      <c r="E932" s="65"/>
      <c r="F932" s="66"/>
      <c r="G932" s="66"/>
      <c r="H932" s="65"/>
      <c r="I932" s="65"/>
      <c r="J932" s="65"/>
      <c r="K932" s="264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5.75" customHeight="1">
      <c r="A933" s="65"/>
      <c r="B933" s="65"/>
      <c r="C933" s="65"/>
      <c r="D933" s="65"/>
      <c r="E933" s="65"/>
      <c r="F933" s="66"/>
      <c r="G933" s="66"/>
      <c r="H933" s="65"/>
      <c r="I933" s="65"/>
      <c r="J933" s="65"/>
      <c r="K933" s="264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5.75" customHeight="1">
      <c r="A934" s="65"/>
      <c r="B934" s="65"/>
      <c r="C934" s="65"/>
      <c r="D934" s="65"/>
      <c r="E934" s="65"/>
      <c r="F934" s="66"/>
      <c r="G934" s="66"/>
      <c r="H934" s="65"/>
      <c r="I934" s="65"/>
      <c r="J934" s="65"/>
      <c r="K934" s="264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5.75" customHeight="1">
      <c r="A935" s="65"/>
      <c r="B935" s="65"/>
      <c r="C935" s="65"/>
      <c r="D935" s="65"/>
      <c r="E935" s="65"/>
      <c r="F935" s="66"/>
      <c r="G935" s="66"/>
      <c r="H935" s="65"/>
      <c r="I935" s="65"/>
      <c r="J935" s="65"/>
      <c r="K935" s="264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5.75" customHeight="1">
      <c r="A936" s="65"/>
      <c r="B936" s="65"/>
      <c r="C936" s="65"/>
      <c r="D936" s="65"/>
      <c r="E936" s="65"/>
      <c r="F936" s="66"/>
      <c r="G936" s="66"/>
      <c r="H936" s="65"/>
      <c r="I936" s="65"/>
      <c r="J936" s="65"/>
      <c r="K936" s="264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5.75" customHeight="1">
      <c r="A937" s="65"/>
      <c r="B937" s="65"/>
      <c r="C937" s="65"/>
      <c r="D937" s="65"/>
      <c r="E937" s="65"/>
      <c r="F937" s="66"/>
      <c r="G937" s="66"/>
      <c r="H937" s="65"/>
      <c r="I937" s="65"/>
      <c r="J937" s="65"/>
      <c r="K937" s="264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5.75" customHeight="1">
      <c r="A938" s="65"/>
      <c r="B938" s="65"/>
      <c r="C938" s="65"/>
      <c r="D938" s="65"/>
      <c r="E938" s="65"/>
      <c r="F938" s="66"/>
      <c r="G938" s="66"/>
      <c r="H938" s="65"/>
      <c r="I938" s="65"/>
      <c r="J938" s="65"/>
      <c r="K938" s="264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5.75" customHeight="1">
      <c r="A939" s="65"/>
      <c r="B939" s="65"/>
      <c r="C939" s="65"/>
      <c r="D939" s="65"/>
      <c r="E939" s="65"/>
      <c r="F939" s="66"/>
      <c r="G939" s="66"/>
      <c r="H939" s="65"/>
      <c r="I939" s="65"/>
      <c r="J939" s="65"/>
      <c r="K939" s="264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5.75" customHeight="1">
      <c r="A940" s="65"/>
      <c r="B940" s="65"/>
      <c r="C940" s="65"/>
      <c r="D940" s="65"/>
      <c r="E940" s="65"/>
      <c r="F940" s="66"/>
      <c r="G940" s="66"/>
      <c r="H940" s="65"/>
      <c r="I940" s="65"/>
      <c r="J940" s="65"/>
      <c r="K940" s="264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5.75" customHeight="1">
      <c r="A941" s="65"/>
      <c r="B941" s="65"/>
      <c r="C941" s="65"/>
      <c r="D941" s="65"/>
      <c r="E941" s="65"/>
      <c r="F941" s="66"/>
      <c r="G941" s="66"/>
      <c r="H941" s="65"/>
      <c r="I941" s="65"/>
      <c r="J941" s="65"/>
      <c r="K941" s="264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5.75" customHeight="1">
      <c r="A942" s="65"/>
      <c r="B942" s="65"/>
      <c r="C942" s="65"/>
      <c r="D942" s="65"/>
      <c r="E942" s="65"/>
      <c r="F942" s="66"/>
      <c r="G942" s="66"/>
      <c r="H942" s="65"/>
      <c r="I942" s="65"/>
      <c r="J942" s="65"/>
      <c r="K942" s="264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5.75" customHeight="1">
      <c r="A943" s="65"/>
      <c r="B943" s="65"/>
      <c r="C943" s="65"/>
      <c r="D943" s="65"/>
      <c r="E943" s="65"/>
      <c r="F943" s="66"/>
      <c r="G943" s="66"/>
      <c r="H943" s="65"/>
      <c r="I943" s="65"/>
      <c r="J943" s="65"/>
      <c r="K943" s="264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5.75" customHeight="1">
      <c r="A944" s="65"/>
      <c r="B944" s="65"/>
      <c r="C944" s="65"/>
      <c r="D944" s="65"/>
      <c r="E944" s="65"/>
      <c r="F944" s="66"/>
      <c r="G944" s="66"/>
      <c r="H944" s="65"/>
      <c r="I944" s="65"/>
      <c r="J944" s="65"/>
      <c r="K944" s="264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5.75" customHeight="1">
      <c r="A945" s="65"/>
      <c r="B945" s="65"/>
      <c r="C945" s="65"/>
      <c r="D945" s="65"/>
      <c r="E945" s="65"/>
      <c r="F945" s="66"/>
      <c r="G945" s="66"/>
      <c r="H945" s="65"/>
      <c r="I945" s="65"/>
      <c r="J945" s="65"/>
      <c r="K945" s="264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5.75" customHeight="1">
      <c r="A946" s="65"/>
      <c r="B946" s="65"/>
      <c r="C946" s="65"/>
      <c r="D946" s="65"/>
      <c r="E946" s="65"/>
      <c r="F946" s="66"/>
      <c r="G946" s="66"/>
      <c r="H946" s="65"/>
      <c r="I946" s="65"/>
      <c r="J946" s="65"/>
      <c r="K946" s="264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5.75" customHeight="1">
      <c r="A947" s="65"/>
      <c r="B947" s="65"/>
      <c r="C947" s="65"/>
      <c r="D947" s="65"/>
      <c r="E947" s="65"/>
      <c r="F947" s="66"/>
      <c r="G947" s="66"/>
      <c r="H947" s="65"/>
      <c r="I947" s="65"/>
      <c r="J947" s="65"/>
      <c r="K947" s="264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5.75" customHeight="1">
      <c r="A948" s="65"/>
      <c r="B948" s="65"/>
      <c r="C948" s="65"/>
      <c r="D948" s="65"/>
      <c r="E948" s="65"/>
      <c r="F948" s="66"/>
      <c r="G948" s="66"/>
      <c r="H948" s="65"/>
      <c r="I948" s="65"/>
      <c r="J948" s="65"/>
      <c r="K948" s="264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5.75" customHeight="1">
      <c r="A949" s="65"/>
      <c r="B949" s="65"/>
      <c r="C949" s="65"/>
      <c r="D949" s="65"/>
      <c r="E949" s="65"/>
      <c r="F949" s="66"/>
      <c r="G949" s="66"/>
      <c r="H949" s="65"/>
      <c r="I949" s="65"/>
      <c r="J949" s="65"/>
      <c r="K949" s="264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5.75" customHeight="1">
      <c r="A950" s="65"/>
      <c r="B950" s="65"/>
      <c r="C950" s="65"/>
      <c r="D950" s="65"/>
      <c r="E950" s="65"/>
      <c r="F950" s="66"/>
      <c r="G950" s="66"/>
      <c r="H950" s="65"/>
      <c r="I950" s="65"/>
      <c r="J950" s="65"/>
      <c r="K950" s="264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5.75" customHeight="1">
      <c r="A951" s="65"/>
      <c r="B951" s="65"/>
      <c r="C951" s="65"/>
      <c r="D951" s="65"/>
      <c r="E951" s="65"/>
      <c r="F951" s="66"/>
      <c r="G951" s="66"/>
      <c r="H951" s="65"/>
      <c r="I951" s="65"/>
      <c r="J951" s="65"/>
      <c r="K951" s="264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5.75" customHeight="1">
      <c r="A952" s="65"/>
      <c r="B952" s="65"/>
      <c r="C952" s="65"/>
      <c r="D952" s="65"/>
      <c r="E952" s="65"/>
      <c r="F952" s="66"/>
      <c r="G952" s="66"/>
      <c r="H952" s="65"/>
      <c r="I952" s="65"/>
      <c r="J952" s="65"/>
      <c r="K952" s="264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5.75" customHeight="1">
      <c r="A953" s="65"/>
      <c r="B953" s="65"/>
      <c r="C953" s="65"/>
      <c r="D953" s="65"/>
      <c r="E953" s="65"/>
      <c r="F953" s="66"/>
      <c r="G953" s="66"/>
      <c r="H953" s="65"/>
      <c r="I953" s="65"/>
      <c r="J953" s="65"/>
      <c r="K953" s="264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5.75" customHeight="1">
      <c r="A954" s="65"/>
      <c r="B954" s="65"/>
      <c r="C954" s="65"/>
      <c r="D954" s="65"/>
      <c r="E954" s="65"/>
      <c r="F954" s="66"/>
      <c r="G954" s="66"/>
      <c r="H954" s="65"/>
      <c r="I954" s="65"/>
      <c r="J954" s="65"/>
      <c r="K954" s="264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5.75" customHeight="1">
      <c r="A955" s="65"/>
      <c r="B955" s="65"/>
      <c r="C955" s="65"/>
      <c r="D955" s="65"/>
      <c r="E955" s="65"/>
      <c r="F955" s="66"/>
      <c r="G955" s="66"/>
      <c r="H955" s="65"/>
      <c r="I955" s="65"/>
      <c r="J955" s="65"/>
      <c r="K955" s="264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5.75" customHeight="1">
      <c r="A956" s="65"/>
      <c r="B956" s="65"/>
      <c r="C956" s="65"/>
      <c r="D956" s="65"/>
      <c r="E956" s="65"/>
      <c r="F956" s="66"/>
      <c r="G956" s="66"/>
      <c r="H956" s="65"/>
      <c r="I956" s="65"/>
      <c r="J956" s="65"/>
      <c r="K956" s="264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5.75" customHeight="1">
      <c r="A957" s="65"/>
      <c r="B957" s="65"/>
      <c r="C957" s="65"/>
      <c r="D957" s="65"/>
      <c r="E957" s="65"/>
      <c r="F957" s="66"/>
      <c r="G957" s="66"/>
      <c r="H957" s="65"/>
      <c r="I957" s="65"/>
      <c r="J957" s="65"/>
      <c r="K957" s="264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5.75" customHeight="1">
      <c r="A958" s="65"/>
      <c r="B958" s="65"/>
      <c r="C958" s="65"/>
      <c r="D958" s="65"/>
      <c r="E958" s="65"/>
      <c r="F958" s="66"/>
      <c r="G958" s="66"/>
      <c r="H958" s="65"/>
      <c r="I958" s="65"/>
      <c r="J958" s="65"/>
      <c r="K958" s="264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5.75" customHeight="1">
      <c r="A959" s="65"/>
      <c r="B959" s="65"/>
      <c r="C959" s="65"/>
      <c r="D959" s="65"/>
      <c r="E959" s="65"/>
      <c r="F959" s="66"/>
      <c r="G959" s="66"/>
      <c r="H959" s="65"/>
      <c r="I959" s="65"/>
      <c r="J959" s="65"/>
      <c r="K959" s="264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5.75" customHeight="1">
      <c r="A960" s="65"/>
      <c r="B960" s="65"/>
      <c r="C960" s="65"/>
      <c r="D960" s="65"/>
      <c r="E960" s="65"/>
      <c r="F960" s="66"/>
      <c r="G960" s="66"/>
      <c r="H960" s="65"/>
      <c r="I960" s="65"/>
      <c r="J960" s="65"/>
      <c r="K960" s="264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5.75" customHeight="1">
      <c r="A961" s="65"/>
      <c r="B961" s="65"/>
      <c r="C961" s="65"/>
      <c r="D961" s="65"/>
      <c r="E961" s="65"/>
      <c r="F961" s="66"/>
      <c r="G961" s="66"/>
      <c r="H961" s="65"/>
      <c r="I961" s="65"/>
      <c r="J961" s="65"/>
      <c r="K961" s="264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5.75" customHeight="1">
      <c r="A962" s="65"/>
      <c r="B962" s="65"/>
      <c r="C962" s="65"/>
      <c r="D962" s="65"/>
      <c r="E962" s="65"/>
      <c r="F962" s="66"/>
      <c r="G962" s="66"/>
      <c r="H962" s="65"/>
      <c r="I962" s="65"/>
      <c r="J962" s="65"/>
      <c r="K962" s="264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5.75" customHeight="1">
      <c r="A963" s="65"/>
      <c r="B963" s="65"/>
      <c r="C963" s="65"/>
      <c r="D963" s="65"/>
      <c r="E963" s="65"/>
      <c r="F963" s="66"/>
      <c r="G963" s="66"/>
      <c r="H963" s="65"/>
      <c r="I963" s="65"/>
      <c r="J963" s="65"/>
      <c r="K963" s="264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5.75" customHeight="1">
      <c r="A964" s="65"/>
      <c r="B964" s="65"/>
      <c r="C964" s="65"/>
      <c r="D964" s="65"/>
      <c r="E964" s="65"/>
      <c r="F964" s="66"/>
      <c r="G964" s="66"/>
      <c r="H964" s="65"/>
      <c r="I964" s="65"/>
      <c r="J964" s="65"/>
      <c r="K964" s="264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5.75" customHeight="1">
      <c r="A965" s="65"/>
      <c r="B965" s="65"/>
      <c r="C965" s="65"/>
      <c r="D965" s="65"/>
      <c r="E965" s="65"/>
      <c r="F965" s="66"/>
      <c r="G965" s="66"/>
      <c r="H965" s="65"/>
      <c r="I965" s="65"/>
      <c r="J965" s="65"/>
      <c r="K965" s="264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5.75" customHeight="1">
      <c r="A966" s="65"/>
      <c r="B966" s="65"/>
      <c r="C966" s="65"/>
      <c r="D966" s="65"/>
      <c r="E966" s="65"/>
      <c r="F966" s="66"/>
      <c r="G966" s="66"/>
      <c r="H966" s="65"/>
      <c r="I966" s="65"/>
      <c r="J966" s="65"/>
      <c r="K966" s="264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5.75" customHeight="1">
      <c r="A967" s="65"/>
      <c r="B967" s="65"/>
      <c r="C967" s="65"/>
      <c r="D967" s="65"/>
      <c r="E967" s="65"/>
      <c r="F967" s="66"/>
      <c r="G967" s="66"/>
      <c r="H967" s="65"/>
      <c r="I967" s="65"/>
      <c r="J967" s="65"/>
      <c r="K967" s="264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5.75" customHeight="1">
      <c r="A968" s="65"/>
      <c r="B968" s="65"/>
      <c r="C968" s="65"/>
      <c r="D968" s="65"/>
      <c r="E968" s="65"/>
      <c r="F968" s="66"/>
      <c r="G968" s="66"/>
      <c r="H968" s="65"/>
      <c r="I968" s="65"/>
      <c r="J968" s="65"/>
      <c r="K968" s="264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5.75" customHeight="1">
      <c r="A969" s="65"/>
      <c r="B969" s="65"/>
      <c r="C969" s="65"/>
      <c r="D969" s="65"/>
      <c r="E969" s="65"/>
      <c r="F969" s="66"/>
      <c r="G969" s="66"/>
      <c r="H969" s="65"/>
      <c r="I969" s="65"/>
      <c r="J969" s="65"/>
      <c r="K969" s="264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5.75" customHeight="1">
      <c r="A970" s="65"/>
      <c r="B970" s="65"/>
      <c r="C970" s="65"/>
      <c r="D970" s="65"/>
      <c r="E970" s="65"/>
      <c r="F970" s="66"/>
      <c r="G970" s="66"/>
      <c r="H970" s="65"/>
      <c r="I970" s="65"/>
      <c r="J970" s="65"/>
      <c r="K970" s="264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5.75" customHeight="1">
      <c r="A971" s="65"/>
      <c r="B971" s="65"/>
      <c r="C971" s="65"/>
      <c r="D971" s="65"/>
      <c r="E971" s="65"/>
      <c r="F971" s="66"/>
      <c r="G971" s="66"/>
      <c r="H971" s="65"/>
      <c r="I971" s="65"/>
      <c r="J971" s="65"/>
      <c r="K971" s="264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5.75" customHeight="1">
      <c r="A972" s="65"/>
      <c r="B972" s="65"/>
      <c r="C972" s="65"/>
      <c r="D972" s="65"/>
      <c r="E972" s="65"/>
      <c r="F972" s="66"/>
      <c r="G972" s="66"/>
      <c r="H972" s="65"/>
      <c r="I972" s="65"/>
      <c r="J972" s="65"/>
      <c r="K972" s="264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5.75" customHeight="1">
      <c r="A973" s="65"/>
      <c r="B973" s="65"/>
      <c r="C973" s="65"/>
      <c r="D973" s="65"/>
      <c r="E973" s="65"/>
      <c r="F973" s="66"/>
      <c r="G973" s="66"/>
      <c r="H973" s="65"/>
      <c r="I973" s="65"/>
      <c r="J973" s="65"/>
      <c r="K973" s="264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5.75" customHeight="1">
      <c r="A974" s="65"/>
      <c r="B974" s="65"/>
      <c r="C974" s="65"/>
      <c r="D974" s="65"/>
      <c r="E974" s="65"/>
      <c r="F974" s="66"/>
      <c r="G974" s="66"/>
      <c r="H974" s="65"/>
      <c r="I974" s="65"/>
      <c r="J974" s="65"/>
      <c r="K974" s="264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5.75" customHeight="1">
      <c r="A975" s="65"/>
      <c r="B975" s="65"/>
      <c r="C975" s="65"/>
      <c r="D975" s="65"/>
      <c r="E975" s="65"/>
      <c r="F975" s="66"/>
      <c r="G975" s="66"/>
      <c r="H975" s="65"/>
      <c r="I975" s="65"/>
      <c r="J975" s="65"/>
      <c r="K975" s="264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5.75" customHeight="1">
      <c r="A976" s="65"/>
      <c r="B976" s="65"/>
      <c r="C976" s="65"/>
      <c r="D976" s="65"/>
      <c r="E976" s="65"/>
      <c r="F976" s="66"/>
      <c r="G976" s="66"/>
      <c r="H976" s="65"/>
      <c r="I976" s="65"/>
      <c r="J976" s="65"/>
      <c r="K976" s="264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5.75" customHeight="1">
      <c r="A977" s="65"/>
      <c r="B977" s="65"/>
      <c r="C977" s="65"/>
      <c r="D977" s="65"/>
      <c r="E977" s="65"/>
      <c r="F977" s="66"/>
      <c r="G977" s="66"/>
      <c r="H977" s="65"/>
      <c r="I977" s="65"/>
      <c r="J977" s="65"/>
      <c r="K977" s="264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5.75" customHeight="1">
      <c r="A978" s="65"/>
      <c r="B978" s="65"/>
      <c r="C978" s="65"/>
      <c r="D978" s="65"/>
      <c r="E978" s="65"/>
      <c r="F978" s="66"/>
      <c r="G978" s="66"/>
      <c r="H978" s="65"/>
      <c r="I978" s="65"/>
      <c r="J978" s="65"/>
      <c r="K978" s="264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5.75" customHeight="1">
      <c r="A979" s="65"/>
      <c r="B979" s="65"/>
      <c r="C979" s="65"/>
      <c r="D979" s="65"/>
      <c r="E979" s="65"/>
      <c r="F979" s="66"/>
      <c r="G979" s="66"/>
      <c r="H979" s="65"/>
      <c r="I979" s="65"/>
      <c r="J979" s="65"/>
      <c r="K979" s="264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5.75" customHeight="1">
      <c r="A980" s="65"/>
      <c r="B980" s="65"/>
      <c r="C980" s="65"/>
      <c r="D980" s="65"/>
      <c r="E980" s="65"/>
      <c r="F980" s="66"/>
      <c r="G980" s="66"/>
      <c r="H980" s="65"/>
      <c r="I980" s="65"/>
      <c r="J980" s="65"/>
      <c r="K980" s="264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5.75" customHeight="1">
      <c r="A981" s="65"/>
      <c r="B981" s="65"/>
      <c r="C981" s="65"/>
      <c r="D981" s="65"/>
      <c r="E981" s="65"/>
      <c r="F981" s="66"/>
      <c r="G981" s="66"/>
      <c r="H981" s="65"/>
      <c r="I981" s="65"/>
      <c r="J981" s="65"/>
      <c r="K981" s="264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5.75" customHeight="1">
      <c r="A982" s="65"/>
      <c r="B982" s="65"/>
      <c r="C982" s="65"/>
      <c r="D982" s="65"/>
      <c r="E982" s="65"/>
      <c r="F982" s="66"/>
      <c r="G982" s="66"/>
      <c r="H982" s="65"/>
      <c r="I982" s="65"/>
      <c r="J982" s="65"/>
      <c r="K982" s="264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5.75" customHeight="1">
      <c r="A983" s="65"/>
      <c r="B983" s="65"/>
      <c r="C983" s="65"/>
      <c r="D983" s="65"/>
      <c r="E983" s="65"/>
      <c r="F983" s="66"/>
      <c r="G983" s="66"/>
      <c r="H983" s="65"/>
      <c r="I983" s="65"/>
      <c r="J983" s="65"/>
      <c r="K983" s="264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5.75" customHeight="1">
      <c r="A984" s="65"/>
      <c r="B984" s="65"/>
      <c r="C984" s="65"/>
      <c r="D984" s="65"/>
      <c r="E984" s="65"/>
      <c r="F984" s="66"/>
      <c r="G984" s="66"/>
      <c r="H984" s="65"/>
      <c r="I984" s="65"/>
      <c r="J984" s="65"/>
      <c r="K984" s="264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5.75" customHeight="1">
      <c r="A985" s="65"/>
      <c r="B985" s="65"/>
      <c r="C985" s="65"/>
      <c r="D985" s="65"/>
      <c r="E985" s="65"/>
      <c r="F985" s="66"/>
      <c r="G985" s="66"/>
      <c r="H985" s="65"/>
      <c r="I985" s="65"/>
      <c r="J985" s="65"/>
      <c r="K985" s="264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5.75" customHeight="1">
      <c r="A986" s="65"/>
      <c r="B986" s="65"/>
      <c r="C986" s="65"/>
      <c r="D986" s="65"/>
      <c r="E986" s="65"/>
      <c r="F986" s="66"/>
      <c r="G986" s="66"/>
      <c r="H986" s="65"/>
      <c r="I986" s="65"/>
      <c r="J986" s="65"/>
      <c r="K986" s="264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5.75" customHeight="1">
      <c r="A987" s="65"/>
      <c r="B987" s="65"/>
      <c r="C987" s="65"/>
      <c r="D987" s="65"/>
      <c r="E987" s="65"/>
      <c r="F987" s="66"/>
      <c r="G987" s="66"/>
      <c r="H987" s="65"/>
      <c r="I987" s="65"/>
      <c r="J987" s="65"/>
      <c r="K987" s="264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5.75" customHeight="1">
      <c r="A988" s="65"/>
      <c r="B988" s="65"/>
      <c r="C988" s="65"/>
      <c r="D988" s="65"/>
      <c r="E988" s="65"/>
      <c r="F988" s="66"/>
      <c r="G988" s="66"/>
      <c r="H988" s="65"/>
      <c r="I988" s="65"/>
      <c r="J988" s="65"/>
      <c r="K988" s="264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5.75" customHeight="1">
      <c r="A989" s="65"/>
      <c r="B989" s="65"/>
      <c r="C989" s="65"/>
      <c r="D989" s="65"/>
      <c r="E989" s="65"/>
      <c r="F989" s="66"/>
      <c r="G989" s="66"/>
      <c r="H989" s="65"/>
      <c r="I989" s="65"/>
      <c r="J989" s="65"/>
      <c r="K989" s="264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5.75" customHeight="1">
      <c r="A990" s="65"/>
      <c r="B990" s="65"/>
      <c r="C990" s="65"/>
      <c r="D990" s="65"/>
      <c r="E990" s="65"/>
      <c r="F990" s="66"/>
      <c r="G990" s="66"/>
      <c r="H990" s="65"/>
      <c r="I990" s="65"/>
      <c r="J990" s="65"/>
      <c r="K990" s="264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5.75" customHeight="1">
      <c r="A991" s="65"/>
      <c r="B991" s="65"/>
      <c r="C991" s="65"/>
      <c r="D991" s="65"/>
      <c r="E991" s="65"/>
      <c r="F991" s="66"/>
      <c r="G991" s="66"/>
      <c r="H991" s="65"/>
      <c r="I991" s="65"/>
      <c r="J991" s="65"/>
      <c r="K991" s="264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5.75" customHeight="1">
      <c r="A992" s="65"/>
      <c r="B992" s="65"/>
      <c r="C992" s="65"/>
      <c r="D992" s="65"/>
      <c r="E992" s="65"/>
      <c r="F992" s="66"/>
      <c r="G992" s="66"/>
      <c r="H992" s="65"/>
      <c r="I992" s="65"/>
      <c r="J992" s="65"/>
      <c r="K992" s="264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5.75" customHeight="1">
      <c r="A993" s="65"/>
      <c r="B993" s="65"/>
      <c r="C993" s="65"/>
      <c r="D993" s="65"/>
      <c r="E993" s="65"/>
      <c r="F993" s="66"/>
      <c r="G993" s="66"/>
      <c r="H993" s="65"/>
      <c r="I993" s="65"/>
      <c r="J993" s="65"/>
      <c r="K993" s="264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5.75" customHeight="1">
      <c r="A994" s="65"/>
      <c r="B994" s="65"/>
      <c r="C994" s="65"/>
      <c r="D994" s="65"/>
      <c r="E994" s="65"/>
      <c r="F994" s="66"/>
      <c r="G994" s="66"/>
      <c r="H994" s="65"/>
      <c r="I994" s="65"/>
      <c r="J994" s="65"/>
      <c r="K994" s="264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5.75" customHeight="1">
      <c r="A995" s="65"/>
      <c r="B995" s="65"/>
      <c r="C995" s="65"/>
      <c r="D995" s="65"/>
      <c r="E995" s="65"/>
      <c r="F995" s="66"/>
      <c r="G995" s="66"/>
      <c r="H995" s="65"/>
      <c r="I995" s="65"/>
      <c r="J995" s="65"/>
      <c r="K995" s="264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5.75" customHeight="1">
      <c r="A996" s="65"/>
      <c r="B996" s="65"/>
      <c r="C996" s="65"/>
      <c r="D996" s="65"/>
      <c r="E996" s="65"/>
      <c r="F996" s="66"/>
      <c r="G996" s="66"/>
      <c r="H996" s="65"/>
      <c r="I996" s="65"/>
      <c r="J996" s="65"/>
      <c r="K996" s="264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5.75" customHeight="1">
      <c r="A997" s="65"/>
      <c r="B997" s="65"/>
      <c r="C997" s="65"/>
      <c r="D997" s="65"/>
      <c r="E997" s="65"/>
      <c r="F997" s="66"/>
      <c r="G997" s="66"/>
      <c r="H997" s="65"/>
      <c r="I997" s="65"/>
      <c r="J997" s="65"/>
      <c r="K997" s="264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5.75" customHeight="1">
      <c r="A998" s="65"/>
      <c r="B998" s="65"/>
      <c r="C998" s="65"/>
      <c r="D998" s="65"/>
      <c r="E998" s="65"/>
      <c r="F998" s="66"/>
      <c r="G998" s="66"/>
      <c r="H998" s="65"/>
      <c r="I998" s="65"/>
      <c r="J998" s="65"/>
      <c r="K998" s="264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5.75" customHeight="1">
      <c r="A999" s="65"/>
      <c r="B999" s="65"/>
      <c r="C999" s="65"/>
      <c r="D999" s="65"/>
      <c r="E999" s="65"/>
      <c r="F999" s="66"/>
      <c r="G999" s="66"/>
      <c r="H999" s="65"/>
      <c r="I999" s="65"/>
      <c r="J999" s="65"/>
      <c r="K999" s="264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5.75" customHeight="1">
      <c r="A1000" s="65"/>
      <c r="B1000" s="65"/>
      <c r="C1000" s="65"/>
      <c r="D1000" s="65"/>
      <c r="E1000" s="65"/>
      <c r="F1000" s="66"/>
      <c r="G1000" s="66"/>
      <c r="H1000" s="65"/>
      <c r="I1000" s="65"/>
      <c r="J1000" s="65"/>
      <c r="K1000" s="264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autoFilter ref="A1:K360" xr:uid="{00000000-0001-0000-0200-000000000000}">
    <filterColumn colId="8">
      <filters>
        <filter val="Fixed assets, net"/>
      </filters>
    </filterColumn>
  </autoFilter>
  <pageMargins left="0.74803149606299213" right="0.74803149606299213" top="0.98425196850393704" bottom="0.98425196850393704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afdf70-76d9-40b4-b77c-b159082189ce">
      <Terms xmlns="http://schemas.microsoft.com/office/infopath/2007/PartnerControls"/>
    </lcf76f155ced4ddcb4097134ff3c332f>
    <TaxCatchAll xmlns="7fb697db-589b-47c2-9e96-f521f6b7bc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880ADB7B902745BB3EF451E496D12F" ma:contentTypeVersion="17" ma:contentTypeDescription="Create a new document." ma:contentTypeScope="" ma:versionID="c92716620f2b3d7bc7248f76a8c2974b">
  <xsd:schema xmlns:xsd="http://www.w3.org/2001/XMLSchema" xmlns:xs="http://www.w3.org/2001/XMLSchema" xmlns:p="http://schemas.microsoft.com/office/2006/metadata/properties" xmlns:ns2="7fafdf70-76d9-40b4-b77c-b159082189ce" xmlns:ns3="7fb697db-589b-47c2-9e96-f521f6b7bc88" targetNamespace="http://schemas.microsoft.com/office/2006/metadata/properties" ma:root="true" ma:fieldsID="eac12138e9cdfd559af2bc6bb61ea657" ns2:_="" ns3:_="">
    <xsd:import namespace="7fafdf70-76d9-40b4-b77c-b159082189ce"/>
    <xsd:import namespace="7fb697db-589b-47c2-9e96-f521f6b7bc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fdf70-76d9-40b4-b77c-b159082189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697db-589b-47c2-9e96-f521f6b7bc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9d6e8b9-af7b-431e-a4ce-7d87a859fa5e}" ma:internalName="TaxCatchAll" ma:showField="CatchAllData" ma:web="7fb697db-589b-47c2-9e96-f521f6b7bc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BE0ED-549B-4244-9EC4-DBAE7A570517}">
  <ds:schemaRefs>
    <ds:schemaRef ds:uri="http://schemas.microsoft.com/office/2006/metadata/properties"/>
    <ds:schemaRef ds:uri="http://schemas.microsoft.com/office/infopath/2007/PartnerControls"/>
    <ds:schemaRef ds:uri="7fafdf70-76d9-40b4-b77c-b159082189ce"/>
    <ds:schemaRef ds:uri="7fb697db-589b-47c2-9e96-f521f6b7bc88"/>
  </ds:schemaRefs>
</ds:datastoreItem>
</file>

<file path=customXml/itemProps2.xml><?xml version="1.0" encoding="utf-8"?>
<ds:datastoreItem xmlns:ds="http://schemas.openxmlformats.org/officeDocument/2006/customXml" ds:itemID="{1D8DDFD2-B692-416C-9E97-5D3DD0F386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CC10CE-3173-491A-82AF-B6D95964F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fdf70-76d9-40b4-b77c-b159082189ce"/>
    <ds:schemaRef ds:uri="7fb697db-589b-47c2-9e96-f521f6b7bc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998052</vt:lpwstr>
  </property>
  <property fmtid="{D5CDD505-2E9C-101B-9397-08002B2CF9AE}" pid="4" name="OptimizationTime">
    <vt:lpwstr>20240527_1035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דוח התאמה למס</vt:lpstr>
      <vt:lpstr>Exp By type</vt:lpstr>
      <vt:lpstr>Summary </vt:lpstr>
      <vt:lpstr>COA1</vt:lpstr>
      <vt:lpstr>FS</vt:lpstr>
      <vt:lpstr>FS Notes</vt:lpstr>
      <vt:lpstr>P&amp;L USD CONS</vt:lpstr>
      <vt:lpstr>BS USD CONS </vt:lpstr>
      <vt:lpstr>BS LTD USD </vt:lpstr>
      <vt:lpstr>P&amp;L LTD  USD</vt:lpstr>
      <vt:lpstr>BS &amp; P&amp;L INC </vt:lpstr>
      <vt:lpstr>Tech Plant Check</vt:lpstr>
      <vt:lpstr>R&amp;D 20A</vt:lpstr>
      <vt:lpstr>CF FS</vt:lpstr>
      <vt:lpstr>CF WP</vt:lpstr>
      <vt:lpstr>Changes in equity</vt:lpstr>
      <vt:lpstr>AJE 2021</vt:lpstr>
      <vt:lpstr>Tech Plant Check ILS</vt:lpstr>
      <vt:lpstr>TB LTD 12.21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עדית ארד</dc:creator>
  <cp:lastModifiedBy>Eliya Kapulsky</cp:lastModifiedBy>
  <dcterms:created xsi:type="dcterms:W3CDTF">2016-10-19T11:41:04Z</dcterms:created>
  <dcterms:modified xsi:type="dcterms:W3CDTF">2024-05-27T07:35:32Z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0x0101009D880ADB7B902745BB3EF451E496D12F</vt:lpwstr>
  </property>
</Properties>
</file>